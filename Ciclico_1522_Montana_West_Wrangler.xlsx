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</sheets>
  <definedNames>
    <definedName name="_xlnm._FilterDatabase" localSheetId="4" hidden="1">'Productos'!$A$1:$AR$1063</definedName>
    <definedName name="_xlnm._FilterDatabase" localSheetId="7" hidden="1">'Revisión Duplicados'!$A$1:$AU$155</definedName>
    <definedName name="_xlnm._FilterDatabase" localSheetId="8" hidden="1">'Stock por Ubicación'!$A$1:$J$1013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</numFmts>
  <fonts count="40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</fonts>
  <fills count="21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8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106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7506674600162</t>
        </is>
      </c>
      <c r="B2" s="51" t="inlineStr">
        <is>
          <t>117952</t>
        </is>
      </c>
      <c r="C2" s="156" t="inlineStr">
        <is>
          <t>Wrangler</t>
        </is>
      </c>
      <c r="D2" s="156" t="inlineStr">
        <is>
          <t>C47565-27</t>
        </is>
      </c>
      <c r="E2" s="156" t="inlineStr">
        <is>
          <t>C47565-27-XL</t>
        </is>
      </c>
      <c r="F2" s="156" t="inlineStr">
        <is>
          <t>XL</t>
        </is>
      </c>
      <c r="G2" s="156" t="inlineStr">
        <is>
          <t>XL</t>
        </is>
      </c>
      <c r="H2" s="156" t="inlineStr">
        <is>
          <t>Wrangler</t>
        </is>
      </c>
      <c r="I2" s="156" t="inlineStr">
        <is>
          <t>Cinturón Wrangler Una Vista Casual para Mujer, Color Cafe</t>
        </is>
      </c>
      <c r="J2" s="156" t="inlineStr">
        <is>
          <t>Accesorios</t>
        </is>
      </c>
      <c r="K2" s="156" t="inlineStr">
        <is>
          <t>Cinturones</t>
        </is>
      </c>
      <c r="L2" s="156" t="inlineStr">
        <is>
          <t>Mujer</t>
        </is>
      </c>
      <c r="M2" s="156" t="inlineStr">
        <is>
          <t>Wrangler</t>
        </is>
      </c>
      <c r="N2" s="156" t="inlineStr">
        <is>
          <t>SS26</t>
        </is>
      </c>
      <c r="O2" s="156" t="inlineStr">
        <is>
          <t>Seasonal</t>
        </is>
      </c>
      <c r="P2" s="156" t="inlineStr">
        <is>
          <t>Cafe</t>
        </is>
      </c>
      <c r="Q2" s="156" t="n"/>
      <c r="R2" s="156" t="n"/>
      <c r="S2" s="156" t="inlineStr">
        <is>
          <t>100% piel de vacuno</t>
        </is>
      </c>
      <c r="T2" s="156" t="inlineStr">
        <is>
          <t>Cinturón para mujer Wrangler de diseño clásico y atemporal. Fabricado con materiales de alta calidad y piel genuina para garantizar durabilidad y resistencia en el uso diario. Cuenta con una hebilla metálica robusta pasador con detalles grabados y costuras reforzadas que reflejan el auténtico legado western. Su diseño versátil y ajuste cómodo lo convierten en el complemento perfecto para tus jeans favoritos y un básico imprescindible para cualquier guardarropa femenino.</t>
        </is>
      </c>
      <c r="U2" s="156" t="inlineStr">
        <is>
          <t>México</t>
        </is>
      </c>
      <c r="V2" s="156" t="inlineStr">
        <is>
          <t>PZS</t>
        </is>
      </c>
      <c r="W2" s="51" t="inlineStr">
        <is>
          <t>53102501</t>
        </is>
      </c>
      <c r="X2" s="156" t="n"/>
      <c r="Y2" s="54" t="n">
        <v>310</v>
      </c>
      <c r="Z2" s="54" t="n">
        <v>899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IFERROR(_xlfn.XMATCH(A2,$A$2:$A$1063,0,1)&lt;&gt;_xlfn.XMATCH(A2,$A$2:$A$1063,0,-1),FALSE)), "Código de barras duplicado", ""), IF(AND(E2&lt;&gt;"", COUNTIF($E$2:$E$1063,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>
        <v>1</v>
      </c>
      <c r="AE2" s="156" t="inlineStr">
        <is>
          <t>WB OUTLET LERMA (1)</t>
        </is>
      </c>
      <c r="AF2" s="51" t="n">
        <v>1</v>
      </c>
      <c r="AG2" s="156" t="inlineStr">
        <is>
          <t>Catálogo existente</t>
        </is>
      </c>
      <c r="AH2" s="156" t="inlineStr">
        <is>
          <t>Coincidencia por código de barras (ID NetSuite 117952) | ID alternativo de Hoja a Revisar 117952 (UPC coincidente); se conserva ID principal; Auditoría NetSuite 30/09/2026: Vinculado por código de barras al ID NetSuite 117952 (antes en Identificador interno: 'C47565-27-XL') | 01/10/2026: complementado desde Shopify Western Brothers (match por código de barras): WB Fit, WB Silueta | Homologación G1522 06/10/2026: WB País de origen: «MX» → «México» (Corrección aplicada) · Validador Shopify: WB: precio con IVA no termina en 9</t>
        </is>
      </c>
      <c r="AI2" s="156" t="inlineStr">
        <is>
          <t>No</t>
        </is>
      </c>
      <c r="AJ2" s="156" t="n"/>
      <c r="AK2" s="155" t="inlineStr">
        <is>
          <t>| Hoja a Revisar: fila 196006 (ID 117952, misma clave UPC) | Shopify WB: producto 10310436880569 / variante 50512592208057 | Odoo: producto 30990 / plantilla 39663</t>
        </is>
      </c>
      <c r="AL2" s="58" t="n">
        <v>310</v>
      </c>
      <c r="AM2" s="58" t="n">
        <v>899</v>
      </c>
      <c r="AN2" s="155" t="inlineStr">
        <is>
          <t>Shopify Western Brothers | Odoo Universal Unique Brands</t>
        </is>
      </c>
      <c r="AO2" s="59" t="n"/>
      <c r="AP2" s="59" t="n">
        <v>1</v>
      </c>
      <c r="AQ2" s="59" t="n">
        <v>14</v>
      </c>
      <c r="AR2" s="155" t="inlineStr">
        <is>
          <t>Shopify Western Brothers › Western Brothers Outlet Lerma: 1 | Odoo Universal Unique Brands › Bodega 25 › Bodega 25/General: 14</t>
        </is>
      </c>
    </row>
    <row r="3">
      <c r="A3" s="50" t="inlineStr">
        <is>
          <t>7506674600155</t>
        </is>
      </c>
      <c r="B3" s="51" t="inlineStr">
        <is>
          <t>117949</t>
        </is>
      </c>
      <c r="C3" s="156" t="inlineStr">
        <is>
          <t>Wrangler</t>
        </is>
      </c>
      <c r="D3" s="156" t="inlineStr">
        <is>
          <t>C47565-27</t>
        </is>
      </c>
      <c r="E3" s="156" t="inlineStr">
        <is>
          <t>C47565-27-L</t>
        </is>
      </c>
      <c r="F3" s="156" t="inlineStr">
        <is>
          <t>L</t>
        </is>
      </c>
      <c r="G3" s="156" t="inlineStr">
        <is>
          <t>L</t>
        </is>
      </c>
      <c r="H3" s="156" t="inlineStr">
        <is>
          <t>Wrangler</t>
        </is>
      </c>
      <c r="I3" s="156" t="inlineStr">
        <is>
          <t>Cinturón Wrangler Una Vista Casual para Mujer, Color Cafe</t>
        </is>
      </c>
      <c r="J3" s="156" t="inlineStr">
        <is>
          <t>Accesorios</t>
        </is>
      </c>
      <c r="K3" s="156" t="inlineStr">
        <is>
          <t>Cinturones</t>
        </is>
      </c>
      <c r="L3" s="156" t="inlineStr">
        <is>
          <t>Mujer</t>
        </is>
      </c>
      <c r="M3" s="156" t="inlineStr">
        <is>
          <t>Wrangler</t>
        </is>
      </c>
      <c r="N3" s="156" t="inlineStr">
        <is>
          <t>SS26</t>
        </is>
      </c>
      <c r="O3" s="156" t="inlineStr">
        <is>
          <t>Seasonal</t>
        </is>
      </c>
      <c r="P3" s="156" t="inlineStr">
        <is>
          <t>Cafe</t>
        </is>
      </c>
      <c r="Q3" s="156" t="n"/>
      <c r="R3" s="156" t="n"/>
      <c r="S3" s="156" t="inlineStr">
        <is>
          <t>100% piel de vacuno</t>
        </is>
      </c>
      <c r="T3" s="156" t="inlineStr">
        <is>
          <t>Cinturón para mujer Wrangler de diseño clásico y atemporal. Fabricado con materiales de alta calidad y piel genuina para garantizar durabilidad y resistencia en el uso diario. Cuenta con una hebilla metálica robusta pasador con detalles grabados y costuras reforzadas que reflejan el auténtico legado western. Su diseño versátil y ajuste cómodo lo convierten en el complemento perfecto para tus jeans favoritos y un básico imprescindible para cualquier guardarropa femenino.</t>
        </is>
      </c>
      <c r="U3" s="156" t="inlineStr">
        <is>
          <t>México</t>
        </is>
      </c>
      <c r="V3" s="156" t="inlineStr">
        <is>
          <t>PZS</t>
        </is>
      </c>
      <c r="W3" s="51" t="inlineStr">
        <is>
          <t>53102501</t>
        </is>
      </c>
      <c r="X3" s="156" t="n"/>
      <c r="Y3" s="54" t="n">
        <v>310</v>
      </c>
      <c r="Z3" s="54" t="n">
        <v>899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IFERROR(_xlfn.XMATCH(A3,$A$2:$A$1063,0,1)&lt;&gt;_xlfn.XMATCH(A3,$A$2:$A$1063,0,-1),FALSE)), "Código de barras duplicado", ""), IF(AND(E3&lt;&gt;"", COUNTIF($E$2:$E$1063,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>
        <v>2</v>
      </c>
      <c r="AE3" s="156" t="inlineStr">
        <is>
          <t>WB OUTLET LERMA (2)</t>
        </is>
      </c>
      <c r="AF3" s="51" t="n">
        <v>2</v>
      </c>
      <c r="AG3" s="156" t="inlineStr">
        <is>
          <t>Catálogo existente</t>
        </is>
      </c>
      <c r="AH3" s="156" t="inlineStr">
        <is>
          <t>Coincidencia por código de barras (ID NetSuite 117949) | ID alternativo de Hoja a Revisar 117949 (UPC coincidente); se conserva ID principal; Auditoría NetSuite 30/09/2026: Vinculado por código de barras al ID NetSuite 117949 (antes en Identificador interno: 'C47565-27-L') | 01/10/2026: complementado desde Shopify Western Brothers (match por código de barras): WB Fit, WB Silueta | Homologación G1522 06/10/2026: WB País de origen: «MX» → «México» (Corrección aplicada) · Validador Shopify: WB: precio con IVA no termina en 9</t>
        </is>
      </c>
      <c r="AI3" s="156" t="inlineStr">
        <is>
          <t>No</t>
        </is>
      </c>
      <c r="AJ3" s="156" t="n"/>
      <c r="AK3" s="155" t="inlineStr">
        <is>
          <t>| Hoja a Revisar: fila 196005 (ID 117949, misma clave UPC) | Shopify WB: producto 10310436880569 / variante 50512592175289 | Odoo: producto 30989 / plantilla 39663</t>
        </is>
      </c>
      <c r="AL3" s="58" t="n">
        <v>310</v>
      </c>
      <c r="AM3" s="58" t="n">
        <v>899</v>
      </c>
      <c r="AN3" s="155" t="inlineStr">
        <is>
          <t>Shopify Western Brothers | Odoo Universal Unique Brands</t>
        </is>
      </c>
      <c r="AO3" s="59" t="n"/>
      <c r="AP3" s="59" t="n">
        <v>2</v>
      </c>
      <c r="AQ3" s="59" t="n">
        <v>18</v>
      </c>
      <c r="AR3" s="155" t="inlineStr">
        <is>
          <t>Shopify Western Brothers › Western Brothers Outlet Lerma: 2 | Odoo Universal Unique Brands › Bodega 25 › Bodega 25/General: 18</t>
        </is>
      </c>
    </row>
    <row r="4">
      <c r="A4" s="50" t="inlineStr">
        <is>
          <t>7506674600148</t>
        </is>
      </c>
      <c r="B4" s="51" t="inlineStr">
        <is>
          <t>117950</t>
        </is>
      </c>
      <c r="C4" s="156" t="inlineStr">
        <is>
          <t>Wrangler</t>
        </is>
      </c>
      <c r="D4" s="156" t="inlineStr">
        <is>
          <t>C47565-27</t>
        </is>
      </c>
      <c r="E4" s="156" t="inlineStr">
        <is>
          <t>C47565-27-M</t>
        </is>
      </c>
      <c r="F4" s="156" t="inlineStr">
        <is>
          <t>M</t>
        </is>
      </c>
      <c r="G4" s="156" t="inlineStr">
        <is>
          <t>M</t>
        </is>
      </c>
      <c r="H4" s="156" t="inlineStr">
        <is>
          <t>Wrangler</t>
        </is>
      </c>
      <c r="I4" s="156" t="inlineStr">
        <is>
          <t>Cinturón Wrangler Una Vista Casual para Mujer, Color Cafe</t>
        </is>
      </c>
      <c r="J4" s="156" t="inlineStr">
        <is>
          <t>Accesorios</t>
        </is>
      </c>
      <c r="K4" s="156" t="inlineStr">
        <is>
          <t>Cinturones</t>
        </is>
      </c>
      <c r="L4" s="156" t="inlineStr">
        <is>
          <t>Mujer</t>
        </is>
      </c>
      <c r="M4" s="156" t="inlineStr">
        <is>
          <t>Wrangler</t>
        </is>
      </c>
      <c r="N4" s="156" t="inlineStr">
        <is>
          <t>SS26</t>
        </is>
      </c>
      <c r="O4" s="156" t="inlineStr">
        <is>
          <t>Seasonal</t>
        </is>
      </c>
      <c r="P4" s="156" t="inlineStr">
        <is>
          <t>Cafe</t>
        </is>
      </c>
      <c r="Q4" s="156" t="n"/>
      <c r="R4" s="156" t="n"/>
      <c r="S4" s="156" t="inlineStr">
        <is>
          <t>100% piel de vacuno</t>
        </is>
      </c>
      <c r="T4" s="156" t="inlineStr">
        <is>
          <t>Cinturón para mujer Wrangler de diseño clásico y atemporal. Fabricado con materiales de alta calidad y piel genuina para garantizar durabilidad y resistencia en el uso diario. Cuenta con una hebilla metálica robusta pasador con detalles grabados y costuras reforzadas que reflejan el auténtico legado western. Su diseño versátil y ajuste cómodo lo convierten en el complemento perfecto para tus jeans favoritos y un básico imprescindible para cualquier guardarropa femenino.</t>
        </is>
      </c>
      <c r="U4" s="156" t="inlineStr">
        <is>
          <t>México</t>
        </is>
      </c>
      <c r="V4" s="156" t="inlineStr">
        <is>
          <t>PZS</t>
        </is>
      </c>
      <c r="W4" s="51" t="inlineStr">
        <is>
          <t>53102501</t>
        </is>
      </c>
      <c r="X4" s="156" t="n"/>
      <c r="Y4" s="54" t="n">
        <v>310</v>
      </c>
      <c r="Z4" s="54" t="n">
        <v>899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IFERROR(_xlfn.XMATCH(A4,$A$2:$A$1063,0,1)&lt;&gt;_xlfn.XMATCH(A4,$A$2:$A$1063,0,-1),FALSE)), "Código de barras duplicado", ""), IF(AND(E4&lt;&gt;"", COUNTIF($E$2:$E$1063,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>
        <v>3</v>
      </c>
      <c r="AE4" s="156" t="inlineStr">
        <is>
          <t>WB OUTLET LERMA (3)</t>
        </is>
      </c>
      <c r="AF4" s="51" t="n">
        <v>3</v>
      </c>
      <c r="AG4" s="156" t="inlineStr">
        <is>
          <t>Catálogo existente</t>
        </is>
      </c>
      <c r="AH4" s="156" t="inlineStr">
        <is>
          <t>Coincidencia por código de barras (ID NetSuite 117950) | ID alternativo de Hoja a Revisar 117950 (UPC coincidente); se conserva ID principal; Auditoría NetSuite 30/09/2026: Vinculado por código de barras al ID NetSuite 117950 (antes en Identificador interno: 'C47565-27-M') | 01/10/2026: complementado desde Shopify Western Brothers (match por código de barras): WB Fit, WB Silueta | Homologación G1522 06/10/2026: WB País de origen: «MX» → «México» (Corrección aplicada) · Validador Shopify: WB: precio con IVA no termina en 9</t>
        </is>
      </c>
      <c r="AI4" s="156" t="inlineStr">
        <is>
          <t>No</t>
        </is>
      </c>
      <c r="AJ4" s="156" t="n"/>
      <c r="AK4" s="155" t="inlineStr">
        <is>
          <t>| Hoja a Revisar: fila 196004 (ID 117950, misma clave UPC) | Shopify WB: producto 10310436880569 / variante 50512592142521 | Odoo: producto 30988 / plantilla 39663</t>
        </is>
      </c>
      <c r="AL4" s="58" t="n">
        <v>310</v>
      </c>
      <c r="AM4" s="58" t="n">
        <v>899</v>
      </c>
      <c r="AN4" s="155" t="inlineStr">
        <is>
          <t>Shopify Western Brothers | Odoo Universal Unique Brands</t>
        </is>
      </c>
      <c r="AO4" s="59" t="n"/>
      <c r="AP4" s="59" t="n">
        <v>3</v>
      </c>
      <c r="AQ4" s="59" t="n">
        <v>31</v>
      </c>
      <c r="AR4" s="155" t="inlineStr">
        <is>
          <t>Shopify Western Brothers › Western Brothers Outlet Lerma: 3 | Odoo Universal Unique Brands › Bodega 25 › Bodega 25/General: 31</t>
        </is>
      </c>
    </row>
    <row r="5">
      <c r="A5" s="50" t="inlineStr">
        <is>
          <t>7506674600131</t>
        </is>
      </c>
      <c r="B5" s="51" t="inlineStr">
        <is>
          <t>117951</t>
        </is>
      </c>
      <c r="C5" s="156" t="inlineStr">
        <is>
          <t>Wrangler</t>
        </is>
      </c>
      <c r="D5" s="156" t="inlineStr">
        <is>
          <t>C47565-27</t>
        </is>
      </c>
      <c r="E5" s="156" t="inlineStr">
        <is>
          <t>C47565-27-S</t>
        </is>
      </c>
      <c r="F5" s="156" t="inlineStr">
        <is>
          <t>S</t>
        </is>
      </c>
      <c r="G5" s="156" t="inlineStr">
        <is>
          <t>S</t>
        </is>
      </c>
      <c r="H5" s="156" t="inlineStr">
        <is>
          <t>Wrangler</t>
        </is>
      </c>
      <c r="I5" s="156" t="inlineStr">
        <is>
          <t>Cinturón Wrangler Una Vista Casual para Mujer, Color Cafe</t>
        </is>
      </c>
      <c r="J5" s="156" t="inlineStr">
        <is>
          <t>Accesorios</t>
        </is>
      </c>
      <c r="K5" s="156" t="inlineStr">
        <is>
          <t>Cinturones</t>
        </is>
      </c>
      <c r="L5" s="156" t="inlineStr">
        <is>
          <t>Mujer</t>
        </is>
      </c>
      <c r="M5" s="156" t="inlineStr">
        <is>
          <t>Wrangler</t>
        </is>
      </c>
      <c r="N5" s="156" t="inlineStr">
        <is>
          <t>SS26</t>
        </is>
      </c>
      <c r="O5" s="156" t="inlineStr">
        <is>
          <t>Seasonal</t>
        </is>
      </c>
      <c r="P5" s="156" t="inlineStr">
        <is>
          <t>Cafe</t>
        </is>
      </c>
      <c r="Q5" s="156" t="n"/>
      <c r="R5" s="156" t="n"/>
      <c r="S5" s="156" t="inlineStr">
        <is>
          <t>100% piel de vacuno</t>
        </is>
      </c>
      <c r="T5" s="156" t="inlineStr">
        <is>
          <t>Cinturón para mujer Wrangler de diseño clásico y atemporal. Fabricado con materiales de alta calidad y piel genuina para garantizar durabilidad y resistencia en el uso diario. Cuenta con una hebilla metálica robusta pasador con detalles grabados y costuras reforzadas que reflejan el auténtico legado western. Su diseño versátil y ajuste cómodo lo convierten en el complemento perfecto para tus jeans favoritos y un básico imprescindible para cualquier guardarropa femenino.</t>
        </is>
      </c>
      <c r="U5" s="156" t="inlineStr">
        <is>
          <t>México</t>
        </is>
      </c>
      <c r="V5" s="156" t="inlineStr">
        <is>
          <t>PZS</t>
        </is>
      </c>
      <c r="W5" s="51" t="inlineStr">
        <is>
          <t>53102501</t>
        </is>
      </c>
      <c r="X5" s="156" t="n"/>
      <c r="Y5" s="54" t="n">
        <v>310</v>
      </c>
      <c r="Z5" s="54" t="n">
        <v>899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IFERROR(_xlfn.XMATCH(A5,$A$2:$A$1063,0,1)&lt;&gt;_xlfn.XMATCH(A5,$A$2:$A$1063,0,-1),FALSE)), "Código de barras duplicado", ""), IF(AND(E5&lt;&gt;"", COUNTIF($E$2:$E$1063,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>
        <v>2</v>
      </c>
      <c r="AE5" s="156" t="inlineStr">
        <is>
          <t>WB OUTLET LERMA (2)</t>
        </is>
      </c>
      <c r="AF5" s="51" t="n">
        <v>2</v>
      </c>
      <c r="AG5" s="156" t="inlineStr">
        <is>
          <t>Catálogo existente</t>
        </is>
      </c>
      <c r="AH5" s="156" t="inlineStr">
        <is>
          <t>Coincidencia por código de barras (ID NetSuite 117951) | ID alternativo de Hoja a Revisar 117951 (UPC coincidente); se conserva ID principal; Auditoría NetSuite 30/09/2026: Vinculado por código de barras al ID NetSuite 117951 (antes en Identificador interno: 'C47565-27-S') | 01/10/2026: complementado desde Shopify Western Brothers (match por código de barras): WB Fit, WB Silueta | Homologación G1522 06/10/2026: WB País de origen: «MX» → «México» (Corrección aplicada) · Validador Shopify: WB: precio con IVA no termina en 9</t>
        </is>
      </c>
      <c r="AI5" s="156" t="inlineStr">
        <is>
          <t>No</t>
        </is>
      </c>
      <c r="AJ5" s="156" t="n"/>
      <c r="AK5" s="155" t="inlineStr">
        <is>
          <t>| Hoja a Revisar: fila 196003 (ID 117951, misma clave UPC) | Shopify WB: producto 10310436880569 / variante 50512592109753 | Odoo: producto 30987 / plantilla 39663</t>
        </is>
      </c>
      <c r="AL5" s="58" t="n">
        <v>310</v>
      </c>
      <c r="AM5" s="58" t="n">
        <v>899</v>
      </c>
      <c r="AN5" s="155" t="inlineStr">
        <is>
          <t>Shopify Western Brothers | Odoo Universal Unique Brands</t>
        </is>
      </c>
      <c r="AO5" s="59" t="n"/>
      <c r="AP5" s="59" t="n">
        <v>2</v>
      </c>
      <c r="AQ5" s="59" t="n">
        <v>20</v>
      </c>
      <c r="AR5" s="155" t="inlineStr">
        <is>
          <t>Shopify Western Brothers › Western Brothers Outlet Lerma: 2 | Odoo Universal Unique Brands › Bodega 25 › Bodega 25/General: 20</t>
        </is>
      </c>
    </row>
    <row r="6">
      <c r="A6" s="50" t="inlineStr">
        <is>
          <t>7506674600056</t>
        </is>
      </c>
      <c r="B6" s="51" t="inlineStr">
        <is>
          <t>117943</t>
        </is>
      </c>
      <c r="C6" s="156" t="inlineStr">
        <is>
          <t>Wrangler</t>
        </is>
      </c>
      <c r="D6" s="156" t="inlineStr">
        <is>
          <t>C47574-59</t>
        </is>
      </c>
      <c r="E6" s="156" t="inlineStr">
        <is>
          <t>C47574-59-S</t>
        </is>
      </c>
      <c r="F6" s="156" t="inlineStr">
        <is>
          <t>S</t>
        </is>
      </c>
      <c r="G6" s="156" t="inlineStr">
        <is>
          <t>S</t>
        </is>
      </c>
      <c r="H6" s="156" t="inlineStr">
        <is>
          <t>Wrangler</t>
        </is>
      </c>
      <c r="I6" s="156" t="inlineStr">
        <is>
          <t>Cinturón Wrangler Una Vista Casual para Mujer, Color Negro</t>
        </is>
      </c>
      <c r="J6" s="156" t="inlineStr">
        <is>
          <t>Accesorios</t>
        </is>
      </c>
      <c r="K6" s="156" t="inlineStr">
        <is>
          <t>Cinturones</t>
        </is>
      </c>
      <c r="L6" s="156" t="inlineStr">
        <is>
          <t>Mujer</t>
        </is>
      </c>
      <c r="M6" s="156" t="inlineStr">
        <is>
          <t>Wrangler</t>
        </is>
      </c>
      <c r="N6" s="156" t="inlineStr">
        <is>
          <t>SS26</t>
        </is>
      </c>
      <c r="O6" s="156" t="inlineStr">
        <is>
          <t>Seasonal</t>
        </is>
      </c>
      <c r="P6" s="156" t="inlineStr">
        <is>
          <t>Negro</t>
        </is>
      </c>
      <c r="Q6" s="156" t="n"/>
      <c r="R6" s="156" t="n"/>
      <c r="S6" s="156" t="inlineStr">
        <is>
          <t>100% Poliuretano</t>
        </is>
      </c>
      <c r="T6" s="156" t="inlineStr">
        <is>
          <t>Cinturón para mujer Wrangler de diseño clásico y atemporal. Fabricado con materiales de alta calidad para garantizar durabilidad y resistencia en el uso diario. Cuenta con una hebilla metálica robusta con detalles que reflejan el auténtico legado western. Su diseño versátil y ajuste cómodo lo convierten en el complemento perfecto para tus jeans favoritos y un básico imprescindible para cualquier guardarropa femenino.</t>
        </is>
      </c>
      <c r="U6" s="156" t="inlineStr">
        <is>
          <t>México</t>
        </is>
      </c>
      <c r="V6" s="156" t="inlineStr">
        <is>
          <t>PZS</t>
        </is>
      </c>
      <c r="W6" s="51" t="inlineStr">
        <is>
          <t>53102501</t>
        </is>
      </c>
      <c r="X6" s="156" t="n"/>
      <c r="Y6" s="54" t="n">
        <v>275.52</v>
      </c>
      <c r="Z6" s="54" t="n">
        <v>799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IFERROR(_xlfn.XMATCH(A6,$A$2:$A$1063,0,1)&lt;&gt;_xlfn.XMATCH(A6,$A$2:$A$1063,0,-1),FALSE)), "Código de barras duplicado", ""), IF(AND(E6&lt;&gt;"", COUNTIF($E$2:$E$1063,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>
        <v>3</v>
      </c>
      <c r="AE6" s="156" t="inlineStr">
        <is>
          <t>WB OUTLET LERMA (3)</t>
        </is>
      </c>
      <c r="AF6" s="51" t="n">
        <v>3</v>
      </c>
      <c r="AG6" s="156" t="inlineStr">
        <is>
          <t>Catálogo existente</t>
        </is>
      </c>
      <c r="AH6" s="156" t="inlineStr">
        <is>
          <t>Coincidencia por código de barras (ID NetSuite 117943) | ID alternativo de Hoja a Revisar 117943 (UPC coincidente); se conserva ID principal; Auditoría NetSuite 30/09/2026: Vinculado por código de barras al ID NetSuite 117943 (antes en Identificador interno: 'C47574-59-S') | 01/10/2026: complementado desde Shopify Western Brothers (match por código de barras): WB Fit, WB Silueta | Homologación G1522 06/10/2026: Precio de compra: «275,52» → «275.52» (Corrección aplicada) · WB País de origen: «MX» → «México» (Corrección aplicada) · Validador Shopify: WB: precio con IVA no termina en 9</t>
        </is>
      </c>
      <c r="AI6" s="156" t="inlineStr">
        <is>
          <t>No</t>
        </is>
      </c>
      <c r="AJ6" s="156" t="n"/>
      <c r="AK6" s="155" t="inlineStr">
        <is>
          <t>| Hoja a Revisar: fila 196021 (ID 117943, misma clave UPC) | Shopify WB: producto 10310436815033 / variante 50512591847609 | Odoo: producto 30997 / plantilla 39665</t>
        </is>
      </c>
      <c r="AL6" s="58" t="inlineStr">
        <is>
          <t>275,52</t>
        </is>
      </c>
      <c r="AM6" s="58" t="n">
        <v>799</v>
      </c>
      <c r="AN6" s="155" t="inlineStr">
        <is>
          <t>Shopify Western Brothers | Odoo Universal Unique Brands</t>
        </is>
      </c>
      <c r="AO6" s="59" t="n"/>
      <c r="AP6" s="59" t="n">
        <v>3</v>
      </c>
      <c r="AQ6" s="59" t="n">
        <v>20</v>
      </c>
      <c r="AR6" s="155" t="inlineStr">
        <is>
          <t>Shopify Western Brothers › Western Brothers Outlet Lerma: 3 | Odoo Universal Unique Brands › Bodega 25 › Bodega 25/General: 20</t>
        </is>
      </c>
    </row>
    <row r="7">
      <c r="A7" s="50" t="inlineStr">
        <is>
          <t>7506674600063</t>
        </is>
      </c>
      <c r="B7" s="51" t="inlineStr">
        <is>
          <t>117942</t>
        </is>
      </c>
      <c r="C7" s="156" t="inlineStr">
        <is>
          <t>Wrangler</t>
        </is>
      </c>
      <c r="D7" s="156" t="inlineStr">
        <is>
          <t>C47574-59</t>
        </is>
      </c>
      <c r="E7" s="156" t="inlineStr">
        <is>
          <t>C47574-59-M</t>
        </is>
      </c>
      <c r="F7" s="156" t="inlineStr">
        <is>
          <t>M</t>
        </is>
      </c>
      <c r="G7" s="156" t="inlineStr">
        <is>
          <t>M</t>
        </is>
      </c>
      <c r="H7" s="156" t="inlineStr">
        <is>
          <t>Wrangler</t>
        </is>
      </c>
      <c r="I7" s="156" t="inlineStr">
        <is>
          <t>Cinturón Wrangler Una Vista Casual para Mujer, Color Negro</t>
        </is>
      </c>
      <c r="J7" s="156" t="inlineStr">
        <is>
          <t>Accesorios</t>
        </is>
      </c>
      <c r="K7" s="156" t="inlineStr">
        <is>
          <t>Cinturones</t>
        </is>
      </c>
      <c r="L7" s="156" t="inlineStr">
        <is>
          <t>Mujer</t>
        </is>
      </c>
      <c r="M7" s="156" t="inlineStr">
        <is>
          <t>Wrangler</t>
        </is>
      </c>
      <c r="N7" s="156" t="inlineStr">
        <is>
          <t>SS26</t>
        </is>
      </c>
      <c r="O7" s="156" t="inlineStr">
        <is>
          <t>Seasonal</t>
        </is>
      </c>
      <c r="P7" s="156" t="inlineStr">
        <is>
          <t>Negro</t>
        </is>
      </c>
      <c r="Q7" s="156" t="n"/>
      <c r="R7" s="156" t="n"/>
      <c r="S7" s="156" t="inlineStr">
        <is>
          <t>100% Poliuretano</t>
        </is>
      </c>
      <c r="T7" s="156" t="inlineStr">
        <is>
          <t>Cinturón para mujer Wrangler de diseño clásico y atemporal. Fabricado con materiales de alta calidad para garantizar durabilidad y resistencia en el uso diario. Cuenta con una hebilla metálica robusta con detalles que reflejan el auténtico legado western. Su diseño versátil y ajuste cómodo lo convierten en el complemento perfecto para tus jeans favoritos y un básico imprescindible para cualquier guardarropa femenino.</t>
        </is>
      </c>
      <c r="U7" s="156" t="inlineStr">
        <is>
          <t>México</t>
        </is>
      </c>
      <c r="V7" s="156" t="inlineStr">
        <is>
          <t>PZS</t>
        </is>
      </c>
      <c r="W7" s="51" t="inlineStr">
        <is>
          <t>53102501</t>
        </is>
      </c>
      <c r="X7" s="156" t="n"/>
      <c r="Y7" s="54" t="n">
        <v>275.52</v>
      </c>
      <c r="Z7" s="54" t="n">
        <v>799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IFERROR(_xlfn.XMATCH(A7,$A$2:$A$1063,0,1)&lt;&gt;_xlfn.XMATCH(A7,$A$2:$A$1063,0,-1),FALSE)), "Código de barras duplicado", ""), IF(AND(E7&lt;&gt;"", COUNTIF($E$2:$E$1063,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>
        <v>3</v>
      </c>
      <c r="AE7" s="156" t="inlineStr">
        <is>
          <t>WB OUTLET LERMA (3)</t>
        </is>
      </c>
      <c r="AF7" s="51" t="n">
        <v>3</v>
      </c>
      <c r="AG7" s="156" t="inlineStr">
        <is>
          <t>Catálogo existente</t>
        </is>
      </c>
      <c r="AH7" s="156" t="inlineStr">
        <is>
          <t>Coincidencia por código de barras (ID NetSuite 117942) | ID alternativo de Hoja a Revisar 117942 (UPC coincidente); se conserva ID principal; Auditoría NetSuite 30/09/2026: Vinculado por código de barras al ID NetSuite 117942 (antes en Identificador interno: 'C47574-59-M') | 01/10/2026: complementado desde Shopify Western Brothers (match por código de barras): WB Fit, WB Silueta | Homologación G1522 06/10/2026: Precio de compra: «275,52» → «275.52» (Corrección aplicada) · WB País de origen: «MX» → «México» (Corrección aplicada) · Validador Shopify: WB: precio con IVA no termina en 9</t>
        </is>
      </c>
      <c r="AI7" s="156" t="inlineStr">
        <is>
          <t>No</t>
        </is>
      </c>
      <c r="AJ7" s="156" t="n"/>
      <c r="AK7" s="155" t="inlineStr">
        <is>
          <t>| Hoja a Revisar: fila 196022 (ID 117942, misma clave UPC) | Shopify WB: producto 10310436815033 / variante 50512591880377 | Odoo: producto 30998 / plantilla 39665</t>
        </is>
      </c>
      <c r="AL7" s="58" t="inlineStr">
        <is>
          <t>275,52</t>
        </is>
      </c>
      <c r="AM7" s="58" t="n">
        <v>799</v>
      </c>
      <c r="AN7" s="155" t="inlineStr">
        <is>
          <t>Shopify Western Brothers | Odoo Universal Unique Brands</t>
        </is>
      </c>
      <c r="AO7" s="59" t="n"/>
      <c r="AP7" s="59" t="n">
        <v>3</v>
      </c>
      <c r="AQ7" s="59" t="n">
        <v>33</v>
      </c>
      <c r="AR7" s="155" t="inlineStr">
        <is>
          <t>Shopify Western Brothers › Western Brothers Outlet Lerma: 3 | Odoo Universal Unique Brands › Bodega 25 › Bodega 25/General: 33</t>
        </is>
      </c>
    </row>
    <row r="8">
      <c r="A8" s="50" t="inlineStr">
        <is>
          <t>7506674600070</t>
        </is>
      </c>
      <c r="B8" s="51" t="inlineStr">
        <is>
          <t>117941</t>
        </is>
      </c>
      <c r="C8" s="156" t="inlineStr">
        <is>
          <t>Wrangler</t>
        </is>
      </c>
      <c r="D8" s="156" t="inlineStr">
        <is>
          <t>C47574-59</t>
        </is>
      </c>
      <c r="E8" s="156" t="inlineStr">
        <is>
          <t>C47574-59-L</t>
        </is>
      </c>
      <c r="F8" s="156" t="inlineStr">
        <is>
          <t>L</t>
        </is>
      </c>
      <c r="G8" s="156" t="inlineStr">
        <is>
          <t>L</t>
        </is>
      </c>
      <c r="H8" s="156" t="inlineStr">
        <is>
          <t>Wrangler</t>
        </is>
      </c>
      <c r="I8" s="156" t="inlineStr">
        <is>
          <t>Cinturón Wrangler Una Vista Casual para Mujer, Color Negro</t>
        </is>
      </c>
      <c r="J8" s="156" t="inlineStr">
        <is>
          <t>Accesorios</t>
        </is>
      </c>
      <c r="K8" s="156" t="inlineStr">
        <is>
          <t>Cinturones</t>
        </is>
      </c>
      <c r="L8" s="156" t="inlineStr">
        <is>
          <t>Mujer</t>
        </is>
      </c>
      <c r="M8" s="156" t="inlineStr">
        <is>
          <t>Wrangler</t>
        </is>
      </c>
      <c r="N8" s="156" t="inlineStr">
        <is>
          <t>SS26</t>
        </is>
      </c>
      <c r="O8" s="156" t="inlineStr">
        <is>
          <t>Seasonal</t>
        </is>
      </c>
      <c r="P8" s="156" t="inlineStr">
        <is>
          <t>Negro</t>
        </is>
      </c>
      <c r="Q8" s="156" t="n"/>
      <c r="R8" s="156" t="n"/>
      <c r="S8" s="156" t="inlineStr">
        <is>
          <t>100% Poliuretano</t>
        </is>
      </c>
      <c r="T8" s="156" t="inlineStr">
        <is>
          <t>Cinturón para mujer Wrangler de diseño clásico y atemporal. Fabricado con materiales de alta calidad para garantizar durabilidad y resistencia en el uso diario. Cuenta con una hebilla metálica robusta con detalles que reflejan el auténtico legado western. Su diseño versátil y ajuste cómodo lo convierten en el complemento perfecto para tus jeans favoritos y un básico imprescindible para cualquier guardarropa femenino.</t>
        </is>
      </c>
      <c r="U8" s="156" t="inlineStr">
        <is>
          <t>México</t>
        </is>
      </c>
      <c r="V8" s="156" t="inlineStr">
        <is>
          <t>PZS</t>
        </is>
      </c>
      <c r="W8" s="51" t="inlineStr">
        <is>
          <t>53102501</t>
        </is>
      </c>
      <c r="X8" s="156" t="n"/>
      <c r="Y8" s="54" t="n">
        <v>275.52</v>
      </c>
      <c r="Z8" s="54" t="n">
        <v>799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IFERROR(_xlfn.XMATCH(A8,$A$2:$A$1063,0,1)&lt;&gt;_xlfn.XMATCH(A8,$A$2:$A$1063,0,-1),FALSE)), "Código de barras duplicado", ""), IF(AND(E8&lt;&gt;"", COUNTIF($E$2:$E$1063,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>
        <v>2</v>
      </c>
      <c r="AE8" s="156" t="inlineStr">
        <is>
          <t>WB OUTLET LERMA (2)</t>
        </is>
      </c>
      <c r="AF8" s="51" t="n">
        <v>2</v>
      </c>
      <c r="AG8" s="156" t="inlineStr">
        <is>
          <t>Catálogo existente</t>
        </is>
      </c>
      <c r="AH8" s="156" t="inlineStr">
        <is>
          <t>Coincidencia por código de barras (ID NetSuite 117941) | ID alternativo de Hoja a Revisar 117941 (UPC coincidente); se conserva ID principal; Auditoría NetSuite 30/09/2026: Vinculado por código de barras al ID NetSuite 117941 (antes en Identificador interno: 'C47574-59-L') | 01/10/2026: complementado desde Shopify Western Brothers (match por código de barras): WB Fit, WB Silueta | Homologación G1522 06/10/2026: Precio de compra: «275,52» → «275.52» (Corrección aplicada) · WB País de origen: «MX» → «México» (Corrección aplicada) · Validador Shopify: WB: precio con IVA no termina en 9</t>
        </is>
      </c>
      <c r="AI8" s="156" t="inlineStr">
        <is>
          <t>No</t>
        </is>
      </c>
      <c r="AJ8" s="156" t="n"/>
      <c r="AK8" s="155" t="inlineStr">
        <is>
          <t>| Hoja a Revisar: fila 196023 (ID 117941, misma clave UPC) | Shopify WB: producto 10310436815033 / variante 50512591913145 | Odoo: producto 30999 / plantilla 39665</t>
        </is>
      </c>
      <c r="AL8" s="58" t="inlineStr">
        <is>
          <t>275,52</t>
        </is>
      </c>
      <c r="AM8" s="58" t="n">
        <v>799</v>
      </c>
      <c r="AN8" s="155" t="inlineStr">
        <is>
          <t>Shopify Western Brothers | Odoo Universal Unique Brands</t>
        </is>
      </c>
      <c r="AO8" s="59" t="n"/>
      <c r="AP8" s="59" t="n">
        <v>2</v>
      </c>
      <c r="AQ8" s="59" t="n">
        <v>22</v>
      </c>
      <c r="AR8" s="155" t="inlineStr">
        <is>
          <t>Shopify Western Brothers › Western Brothers Outlet Lerma: 2 | Odoo Universal Unique Brands › Bodega 25 › Bodega 25/General: 22</t>
        </is>
      </c>
    </row>
    <row r="9">
      <c r="A9" s="50" t="inlineStr">
        <is>
          <t>7506674600087</t>
        </is>
      </c>
      <c r="B9" s="51" t="inlineStr">
        <is>
          <t>117944</t>
        </is>
      </c>
      <c r="C9" s="156" t="inlineStr">
        <is>
          <t>Wrangler</t>
        </is>
      </c>
      <c r="D9" s="156" t="inlineStr">
        <is>
          <t>C47574-59</t>
        </is>
      </c>
      <c r="E9" s="156" t="inlineStr">
        <is>
          <t>C47574-59-XL</t>
        </is>
      </c>
      <c r="F9" s="156" t="inlineStr">
        <is>
          <t>XL</t>
        </is>
      </c>
      <c r="G9" s="156" t="inlineStr">
        <is>
          <t>XL</t>
        </is>
      </c>
      <c r="H9" s="156" t="inlineStr">
        <is>
          <t>Wrangler</t>
        </is>
      </c>
      <c r="I9" s="156" t="inlineStr">
        <is>
          <t>Cinturón Wrangler Una Vista Casual para Mujer, Color Negro</t>
        </is>
      </c>
      <c r="J9" s="156" t="inlineStr">
        <is>
          <t>Accesorios</t>
        </is>
      </c>
      <c r="K9" s="156" t="inlineStr">
        <is>
          <t>Cinturones</t>
        </is>
      </c>
      <c r="L9" s="156" t="inlineStr">
        <is>
          <t>Mujer</t>
        </is>
      </c>
      <c r="M9" s="156" t="inlineStr">
        <is>
          <t>Wrangler</t>
        </is>
      </c>
      <c r="N9" s="156" t="inlineStr">
        <is>
          <t>SS26</t>
        </is>
      </c>
      <c r="O9" s="156" t="inlineStr">
        <is>
          <t>Seasonal</t>
        </is>
      </c>
      <c r="P9" s="156" t="inlineStr">
        <is>
          <t>Negro</t>
        </is>
      </c>
      <c r="Q9" s="156" t="n"/>
      <c r="R9" s="156" t="n"/>
      <c r="S9" s="156" t="inlineStr">
        <is>
          <t>100% Poliuretano</t>
        </is>
      </c>
      <c r="T9" s="156" t="inlineStr">
        <is>
          <t>Cinturón para mujer Wrangler de diseño clásico y atemporal. Fabricado con materiales de alta calidad para garantizar durabilidad y resistencia en el uso diario. Cuenta con una hebilla metálica robusta con detalles que reflejan el auténtico legado western. Su diseño versátil y ajuste cómodo lo convierten en el complemento perfecto para tus jeans favoritos y un básico imprescindible para cualquier guardarropa femenino.</t>
        </is>
      </c>
      <c r="U9" s="156" t="inlineStr">
        <is>
          <t>México</t>
        </is>
      </c>
      <c r="V9" s="156" t="inlineStr">
        <is>
          <t>PZS</t>
        </is>
      </c>
      <c r="W9" s="51" t="inlineStr">
        <is>
          <t>53102501</t>
        </is>
      </c>
      <c r="X9" s="156" t="n"/>
      <c r="Y9" s="54" t="n">
        <v>275.52</v>
      </c>
      <c r="Z9" s="54" t="n">
        <v>799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IFERROR(_xlfn.XMATCH(A9,$A$2:$A$1063,0,1)&lt;&gt;_xlfn.XMATCH(A9,$A$2:$A$1063,0,-1),FALSE)), "Código de barras duplicado", ""), IF(AND(E9&lt;&gt;"", COUNTIF($E$2:$E$1063,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>
        <v>1</v>
      </c>
      <c r="AE9" s="156" t="inlineStr">
        <is>
          <t>WB OUTLET LERMA (1)</t>
        </is>
      </c>
      <c r="AF9" s="51" t="n">
        <v>1</v>
      </c>
      <c r="AG9" s="156" t="inlineStr">
        <is>
          <t>Catálogo existente</t>
        </is>
      </c>
      <c r="AH9" s="156" t="inlineStr">
        <is>
          <t>Coincidencia por código de barras (ID NetSuite 117944) | ID alternativo de Hoja a Revisar 117944 (UPC coincidente); se conserva ID principal; Auditoría NetSuite 30/09/2026: Vinculado por código de barras al ID NetSuite 117944 (antes en Identificador interno: 'C47574-59-XL') | 01/10/2026: complementado desde Shopify Western Brothers (match por código de barras): WB Fit, WB Silueta | Homologación G1522 06/10/2026: Precio de compra: «275,52» → «275.52» (Corrección aplicada) · WB País de origen: «MX» → «México» (Corrección aplicada) · Validador Shopify: WB: precio con IVA no termina en 9</t>
        </is>
      </c>
      <c r="AI9" s="156" t="inlineStr">
        <is>
          <t>No</t>
        </is>
      </c>
      <c r="AJ9" s="156" t="n"/>
      <c r="AK9" s="155" t="inlineStr">
        <is>
          <t>| Hoja a Revisar: fila 196024 (ID 117944, misma clave UPC) | Shopify WB: producto 10310436815033 / variante 50512591945913 | Odoo: producto 31000 / plantilla 39665</t>
        </is>
      </c>
      <c r="AL9" s="58" t="inlineStr">
        <is>
          <t>275,52</t>
        </is>
      </c>
      <c r="AM9" s="58" t="n">
        <v>799</v>
      </c>
      <c r="AN9" s="155" t="inlineStr">
        <is>
          <t>Shopify Western Brothers | Odoo Universal Unique Brands</t>
        </is>
      </c>
      <c r="AO9" s="59" t="n"/>
      <c r="AP9" s="59" t="n">
        <v>1</v>
      </c>
      <c r="AQ9" s="59" t="n">
        <v>15</v>
      </c>
      <c r="AR9" s="155" t="inlineStr">
        <is>
          <t>Shopify Western Brothers › Western Brothers Outlet Lerma: 1 | Odoo Universal Unique Brands › Bodega 25 › Bodega 25/General: 15</t>
        </is>
      </c>
    </row>
    <row r="10">
      <c r="A10" s="50" t="inlineStr">
        <is>
          <t>7506674600094</t>
        </is>
      </c>
      <c r="B10" s="51" t="inlineStr">
        <is>
          <t>117947</t>
        </is>
      </c>
      <c r="C10" s="156" t="inlineStr">
        <is>
          <t>Wrangler</t>
        </is>
      </c>
      <c r="D10" s="156" t="inlineStr">
        <is>
          <t>C47574-26</t>
        </is>
      </c>
      <c r="E10" s="156" t="inlineStr">
        <is>
          <t>C47574-26-S</t>
        </is>
      </c>
      <c r="F10" s="156" t="inlineStr">
        <is>
          <t>S</t>
        </is>
      </c>
      <c r="G10" s="156" t="inlineStr">
        <is>
          <t>S</t>
        </is>
      </c>
      <c r="H10" s="156" t="inlineStr">
        <is>
          <t>Wrangler</t>
        </is>
      </c>
      <c r="I10" s="156" t="inlineStr">
        <is>
          <t>Cinturón Wrangler Una Vista Casual para Mujer, Color Cafe</t>
        </is>
      </c>
      <c r="J10" s="156" t="inlineStr">
        <is>
          <t>Accesorios</t>
        </is>
      </c>
      <c r="K10" s="156" t="inlineStr">
        <is>
          <t>Cinturones</t>
        </is>
      </c>
      <c r="L10" s="156" t="inlineStr">
        <is>
          <t>Mujer</t>
        </is>
      </c>
      <c r="M10" s="156" t="inlineStr">
        <is>
          <t>Wrangler</t>
        </is>
      </c>
      <c r="N10" s="156" t="inlineStr">
        <is>
          <t>SS26</t>
        </is>
      </c>
      <c r="O10" s="156" t="inlineStr">
        <is>
          <t>Seasonal</t>
        </is>
      </c>
      <c r="P10" s="156" t="inlineStr">
        <is>
          <t>Cafe</t>
        </is>
      </c>
      <c r="Q10" s="156" t="n"/>
      <c r="R10" s="156" t="n"/>
      <c r="S10" s="156" t="inlineStr">
        <is>
          <t>100% Poliuretano</t>
        </is>
      </c>
      <c r="T10" s="156" t="inlineStr">
        <is>
          <t>Cinturón para mujer Wrangler de diseño clásico y atemporal. Fabricado con materiales de alta calidad para garantizar durabilidad y resistencia en el uso diario. Cuenta con una hebilla metálica robusta con detalles que reflejan el auténtico legado western. Su diseño versátil y ajuste cómodo lo convierten en el complemento perfecto para tus jeans favoritos y un básico imprescindible para cualquier guardarropa femenino.</t>
        </is>
      </c>
      <c r="U10" s="156" t="inlineStr">
        <is>
          <t>México</t>
        </is>
      </c>
      <c r="V10" s="156" t="inlineStr">
        <is>
          <t>PZS</t>
        </is>
      </c>
      <c r="W10" s="51" t="inlineStr">
        <is>
          <t>53102501</t>
        </is>
      </c>
      <c r="X10" s="156" t="n"/>
      <c r="Y10" s="54" t="n">
        <v>275.52</v>
      </c>
      <c r="Z10" s="54" t="n">
        <v>799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IFERROR(_xlfn.XMATCH(A10,$A$2:$A$1063,0,1)&lt;&gt;_xlfn.XMATCH(A10,$A$2:$A$1063,0,-1),FALSE)), "Código de barras duplicado", ""), IF(AND(E10&lt;&gt;"", COUNTIF($E$2:$E$1063,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3</v>
      </c>
      <c r="AE10" s="156" t="inlineStr">
        <is>
          <t>WB OUTLET LERMA (3)</t>
        </is>
      </c>
      <c r="AF10" s="51" t="n">
        <v>3</v>
      </c>
      <c r="AG10" s="156" t="inlineStr">
        <is>
          <t>Catálogo existente</t>
        </is>
      </c>
      <c r="AH10" s="156" t="inlineStr">
        <is>
          <t>Coincidencia por código de barras (ID NetSuite 117947) | ID alternativo de Hoja a Revisar 117947 (UPC coincidente); se conserva ID principal; Auditoría NetSuite 30/09/2026: Vinculado por código de barras al ID NetSuite 117947 (antes en Identificador interno: 'C47574-26-S') | 01/10/2026: complementado desde Shopify Western Brothers (match por código de barras): WB Fit, WB Silueta | Homologación G1522 06/10/2026: Precio de compra: «275,52» → «275.52» (Corrección aplicada) · WB País de origen: «MX» → «México» (Corrección aplicada) · Validador Shopify: WB: precio con IVA no termina en 9</t>
        </is>
      </c>
      <c r="AI10" s="156" t="inlineStr">
        <is>
          <t>No</t>
        </is>
      </c>
      <c r="AJ10" s="156" t="n"/>
      <c r="AK10" s="155" t="inlineStr">
        <is>
          <t>| Hoja a Revisar: fila 196016 (ID 117947, misma clave UPC) | Shopify WB: producto 10310436847801 / variante 50512591978681 | Odoo: producto 30992 / plantilla 39664</t>
        </is>
      </c>
      <c r="AL10" s="58" t="inlineStr">
        <is>
          <t>275,52</t>
        </is>
      </c>
      <c r="AM10" s="58" t="n">
        <v>799</v>
      </c>
      <c r="AN10" s="155" t="inlineStr">
        <is>
          <t>Shopify Western Brothers | Odoo Universal Unique Brands</t>
        </is>
      </c>
      <c r="AO10" s="59" t="n"/>
      <c r="AP10" s="59" t="n">
        <v>3</v>
      </c>
      <c r="AQ10" s="59" t="n">
        <v>20</v>
      </c>
      <c r="AR10" s="155" t="inlineStr">
        <is>
          <t>Shopify Western Brothers › Western Brothers Outlet Lerma: 3 | Odoo Universal Unique Brands › Bodega 25 › Bodega 25/General: 20</t>
        </is>
      </c>
    </row>
    <row r="11">
      <c r="A11" s="50" t="inlineStr">
        <is>
          <t>7506674600100</t>
        </is>
      </c>
      <c r="B11" s="51" t="inlineStr">
        <is>
          <t>117946</t>
        </is>
      </c>
      <c r="C11" s="156" t="inlineStr">
        <is>
          <t>Wrangler</t>
        </is>
      </c>
      <c r="D11" s="156" t="inlineStr">
        <is>
          <t>C47574-26</t>
        </is>
      </c>
      <c r="E11" s="156" t="inlineStr">
        <is>
          <t>C47574-26-M</t>
        </is>
      </c>
      <c r="F11" s="156" t="inlineStr">
        <is>
          <t>M</t>
        </is>
      </c>
      <c r="G11" s="156" t="inlineStr">
        <is>
          <t>M</t>
        </is>
      </c>
      <c r="H11" s="156" t="inlineStr">
        <is>
          <t>Wrangler</t>
        </is>
      </c>
      <c r="I11" s="156" t="inlineStr">
        <is>
          <t>Cinturón Wrangler Una Vista Casual para Mujer, Color Cafe</t>
        </is>
      </c>
      <c r="J11" s="156" t="inlineStr">
        <is>
          <t>Accesorios</t>
        </is>
      </c>
      <c r="K11" s="156" t="inlineStr">
        <is>
          <t>Cinturones</t>
        </is>
      </c>
      <c r="L11" s="156" t="inlineStr">
        <is>
          <t>Mujer</t>
        </is>
      </c>
      <c r="M11" s="156" t="inlineStr">
        <is>
          <t>Wrangler</t>
        </is>
      </c>
      <c r="N11" s="156" t="inlineStr">
        <is>
          <t>SS26</t>
        </is>
      </c>
      <c r="O11" s="156" t="inlineStr">
        <is>
          <t>Seasonal</t>
        </is>
      </c>
      <c r="P11" s="156" t="inlineStr">
        <is>
          <t>Cafe</t>
        </is>
      </c>
      <c r="Q11" s="156" t="n"/>
      <c r="R11" s="156" t="n"/>
      <c r="S11" s="156" t="inlineStr">
        <is>
          <t>100% Poliuretano</t>
        </is>
      </c>
      <c r="T11" s="156" t="inlineStr">
        <is>
          <t>Cinturón para mujer Wrangler de diseño clásico y atemporal. Fabricado con materiales de alta calidad para garantizar durabilidad y resistencia en el uso diario. Cuenta con una hebilla metálica robusta con detalles que reflejan el auténtico legado western. Su diseño versátil y ajuste cómodo lo convierten en el complemento perfecto para tus jeans favoritos y un básico imprescindible para cualquier guardarropa femenino.</t>
        </is>
      </c>
      <c r="U11" s="156" t="inlineStr">
        <is>
          <t>México</t>
        </is>
      </c>
      <c r="V11" s="156" t="inlineStr">
        <is>
          <t>PZS</t>
        </is>
      </c>
      <c r="W11" s="51" t="inlineStr">
        <is>
          <t>53102501</t>
        </is>
      </c>
      <c r="X11" s="156" t="n"/>
      <c r="Y11" s="54" t="n">
        <v>275.52</v>
      </c>
      <c r="Z11" s="54" t="n">
        <v>799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IFERROR(_xlfn.XMATCH(A11,$A$2:$A$1063,0,1)&lt;&gt;_xlfn.XMATCH(A11,$A$2:$A$1063,0,-1),FALSE)), "Código de barras duplicado", ""), IF(AND(E11&lt;&gt;"", COUNTIF($E$2:$E$1063,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>
        <v>3</v>
      </c>
      <c r="AE11" s="156" t="inlineStr">
        <is>
          <t>WB OUTLET LERMA (3)</t>
        </is>
      </c>
      <c r="AF11" s="51" t="n">
        <v>3</v>
      </c>
      <c r="AG11" s="156" t="inlineStr">
        <is>
          <t>Catálogo existente</t>
        </is>
      </c>
      <c r="AH11" s="156" t="inlineStr">
        <is>
          <t>Coincidencia por código de barras (ID NetSuite 117946) | ID alternativo de Hoja a Revisar 117946 (UPC coincidente); se conserva ID principal; Auditoría NetSuite 30/09/2026: Vinculado por código de barras al ID NetSuite 117946 (antes en Identificador interno: 'C47574-26-M') | 01/10/2026: complementado desde Shopify Western Brothers (match por código de barras): WB Fit, WB Silueta | Homologación G1522 06/10/2026: Precio de compra: «275,52» → «275.52» (Corrección aplicada) · WB País de origen: «MX» → «México» (Corrección aplicada) · Validador Shopify: WB: precio con IVA no termina en 9</t>
        </is>
      </c>
      <c r="AI11" s="156" t="inlineStr">
        <is>
          <t>No</t>
        </is>
      </c>
      <c r="AJ11" s="156" t="n"/>
      <c r="AK11" s="155" t="inlineStr">
        <is>
          <t>| Hoja a Revisar: fila 196017 (ID 117946, misma clave UPC) | Shopify WB: producto 10310436847801 / variante 50512592011449 | Odoo: producto 30993 / plantilla 39664</t>
        </is>
      </c>
      <c r="AL11" s="58" t="inlineStr">
        <is>
          <t>275,52</t>
        </is>
      </c>
      <c r="AM11" s="58" t="n">
        <v>799</v>
      </c>
      <c r="AN11" s="155" t="inlineStr">
        <is>
          <t>Shopify Western Brothers | Odoo Universal Unique Brands</t>
        </is>
      </c>
      <c r="AO11" s="59" t="n"/>
      <c r="AP11" s="59" t="n">
        <v>3</v>
      </c>
      <c r="AQ11" s="59" t="n">
        <v>33</v>
      </c>
      <c r="AR11" s="155" t="inlineStr">
        <is>
          <t>Shopify Western Brothers › Western Brothers Outlet Lerma: 3 | Odoo Universal Unique Brands › Bodega 25 › Bodega 25/General: 33</t>
        </is>
      </c>
    </row>
    <row r="12">
      <c r="A12" s="50" t="inlineStr">
        <is>
          <t>7506674600117</t>
        </is>
      </c>
      <c r="B12" s="51" t="inlineStr">
        <is>
          <t>117945</t>
        </is>
      </c>
      <c r="C12" s="156" t="inlineStr">
        <is>
          <t>Wrangler</t>
        </is>
      </c>
      <c r="D12" s="156" t="inlineStr">
        <is>
          <t>C47574-26</t>
        </is>
      </c>
      <c r="E12" s="156" t="inlineStr">
        <is>
          <t>C47574-26-L</t>
        </is>
      </c>
      <c r="F12" s="156" t="inlineStr">
        <is>
          <t>L</t>
        </is>
      </c>
      <c r="G12" s="156" t="inlineStr">
        <is>
          <t>L</t>
        </is>
      </c>
      <c r="H12" s="156" t="inlineStr">
        <is>
          <t>Wrangler</t>
        </is>
      </c>
      <c r="I12" s="156" t="inlineStr">
        <is>
          <t>Cinturón Wrangler Una Vista Casual para Mujer, Color Cafe</t>
        </is>
      </c>
      <c r="J12" s="156" t="inlineStr">
        <is>
          <t>Accesorios</t>
        </is>
      </c>
      <c r="K12" s="156" t="inlineStr">
        <is>
          <t>Cinturones</t>
        </is>
      </c>
      <c r="L12" s="156" t="inlineStr">
        <is>
          <t>Mujer</t>
        </is>
      </c>
      <c r="M12" s="156" t="inlineStr">
        <is>
          <t>Wrangler</t>
        </is>
      </c>
      <c r="N12" s="156" t="inlineStr">
        <is>
          <t>SS26</t>
        </is>
      </c>
      <c r="O12" s="156" t="inlineStr">
        <is>
          <t>Seasonal</t>
        </is>
      </c>
      <c r="P12" s="156" t="inlineStr">
        <is>
          <t>Cafe</t>
        </is>
      </c>
      <c r="Q12" s="156" t="n"/>
      <c r="R12" s="156" t="n"/>
      <c r="S12" s="156" t="inlineStr">
        <is>
          <t>100% Poliuretano</t>
        </is>
      </c>
      <c r="T12" s="156" t="inlineStr">
        <is>
          <t>Cinturón para mujer Wrangler de diseño clásico y atemporal. Fabricado con materiales de alta calidad para garantizar durabilidad y resistencia en el uso diario. Cuenta con una hebilla metálica robusta con detalles que reflejan el auténtico legado western. Su diseño versátil y ajuste cómodo lo convierten en el complemento perfecto para tus jeans favoritos y un básico imprescindible para cualquier guardarropa femenino.</t>
        </is>
      </c>
      <c r="U12" s="156" t="inlineStr">
        <is>
          <t>México</t>
        </is>
      </c>
      <c r="V12" s="156" t="inlineStr">
        <is>
          <t>PZS</t>
        </is>
      </c>
      <c r="W12" s="51" t="inlineStr">
        <is>
          <t>53102501</t>
        </is>
      </c>
      <c r="X12" s="156" t="n"/>
      <c r="Y12" s="54" t="n">
        <v>275.52</v>
      </c>
      <c r="Z12" s="54" t="n">
        <v>799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IFERROR(_xlfn.XMATCH(A12,$A$2:$A$1063,0,1)&lt;&gt;_xlfn.XMATCH(A12,$A$2:$A$1063,0,-1),FALSE)), "Código de barras duplicado", ""), IF(AND(E12&lt;&gt;"", COUNTIF($E$2:$E$1063,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2</v>
      </c>
      <c r="AE12" s="156" t="inlineStr">
        <is>
          <t>WB OUTLET LERMA (2)</t>
        </is>
      </c>
      <c r="AF12" s="51" t="n">
        <v>2</v>
      </c>
      <c r="AG12" s="156" t="inlineStr">
        <is>
          <t>Catálogo existente</t>
        </is>
      </c>
      <c r="AH12" s="156" t="inlineStr">
        <is>
          <t>Coincidencia por código de barras (ID NetSuite 117945) | ID alternativo de Hoja a Revisar 117945 (UPC coincidente); se conserva ID principal; Auditoría NetSuite 30/09/2026: Vinculado por código de barras al ID NetSuite 117945 (antes en Identificador interno: 'C47574-26-L') | 01/10/2026: complementado desde Shopify Western Brothers (match por código de barras): WB Fit, WB Silueta | Homologación G1522 06/10/2026: Precio de compra: «275,52» → «275.52» (Corrección aplicada) · WB País de origen: «MX» → «México» (Corrección aplicada) · Validador Shopify: WB: precio con IVA no termina en 9</t>
        </is>
      </c>
      <c r="AI12" s="156" t="inlineStr">
        <is>
          <t>No</t>
        </is>
      </c>
      <c r="AJ12" s="156" t="n"/>
      <c r="AK12" s="155" t="inlineStr">
        <is>
          <t>| Hoja a Revisar: fila 196018 (ID 117945, misma clave UPC) | Shopify WB: producto 10310436847801 / variante 50512592044217 | Odoo: producto 30994 / plantilla 39664</t>
        </is>
      </c>
      <c r="AL12" s="58" t="inlineStr">
        <is>
          <t>275,52</t>
        </is>
      </c>
      <c r="AM12" s="58" t="n">
        <v>799</v>
      </c>
      <c r="AN12" s="155" t="inlineStr">
        <is>
          <t>Shopify Western Brothers | Odoo Universal Unique Brands</t>
        </is>
      </c>
      <c r="AO12" s="59" t="n"/>
      <c r="AP12" s="59" t="n">
        <v>2</v>
      </c>
      <c r="AQ12" s="59" t="n">
        <v>22</v>
      </c>
      <c r="AR12" s="155" t="inlineStr">
        <is>
          <t>Shopify Western Brothers › Western Brothers Outlet Lerma: 2 | Odoo Universal Unique Brands › Bodega 25 › Bodega 25/General: 22</t>
        </is>
      </c>
    </row>
    <row r="13">
      <c r="A13" s="50" t="inlineStr">
        <is>
          <t>7506674600124</t>
        </is>
      </c>
      <c r="B13" s="51" t="inlineStr">
        <is>
          <t>117948</t>
        </is>
      </c>
      <c r="C13" s="156" t="inlineStr">
        <is>
          <t>Wrangler</t>
        </is>
      </c>
      <c r="D13" s="156" t="inlineStr">
        <is>
          <t>C47574-26</t>
        </is>
      </c>
      <c r="E13" s="156" t="inlineStr">
        <is>
          <t>C47574-26-XL</t>
        </is>
      </c>
      <c r="F13" s="156" t="inlineStr">
        <is>
          <t>XL</t>
        </is>
      </c>
      <c r="G13" s="156" t="inlineStr">
        <is>
          <t>XL</t>
        </is>
      </c>
      <c r="H13" s="156" t="inlineStr">
        <is>
          <t>Wrangler</t>
        </is>
      </c>
      <c r="I13" s="156" t="inlineStr">
        <is>
          <t>Cinturón Wrangler Una Vista Casual para Mujer, Color Cafe</t>
        </is>
      </c>
      <c r="J13" s="156" t="inlineStr">
        <is>
          <t>Accesorios</t>
        </is>
      </c>
      <c r="K13" s="156" t="inlineStr">
        <is>
          <t>Cinturones</t>
        </is>
      </c>
      <c r="L13" s="156" t="inlineStr">
        <is>
          <t>Mujer</t>
        </is>
      </c>
      <c r="M13" s="156" t="inlineStr">
        <is>
          <t>Wrangler</t>
        </is>
      </c>
      <c r="N13" s="156" t="inlineStr">
        <is>
          <t>SS26</t>
        </is>
      </c>
      <c r="O13" s="156" t="inlineStr">
        <is>
          <t>Seasonal</t>
        </is>
      </c>
      <c r="P13" s="156" t="inlineStr">
        <is>
          <t>Cafe</t>
        </is>
      </c>
      <c r="Q13" s="156" t="n"/>
      <c r="R13" s="156" t="n"/>
      <c r="S13" s="156" t="inlineStr">
        <is>
          <t>100% Poliuretano</t>
        </is>
      </c>
      <c r="T13" s="156" t="inlineStr">
        <is>
          <t>Cinturón para mujer Wrangler de diseño clásico y atemporal. Fabricado con materiales de alta calidad para garantizar durabilidad y resistencia en el uso diario. Cuenta con una hebilla metálica robusta con detalles que reflejan el auténtico legado western. Su diseño versátil y ajuste cómodo lo convierten en el complemento perfecto para tus jeans favoritos y un básico imprescindible para cualquier guardarropa femenino.</t>
        </is>
      </c>
      <c r="U13" s="156" t="inlineStr">
        <is>
          <t>México</t>
        </is>
      </c>
      <c r="V13" s="156" t="inlineStr">
        <is>
          <t>PZS</t>
        </is>
      </c>
      <c r="W13" s="51" t="inlineStr">
        <is>
          <t>53102501</t>
        </is>
      </c>
      <c r="X13" s="156" t="n"/>
      <c r="Y13" s="54" t="n">
        <v>275.52</v>
      </c>
      <c r="Z13" s="54" t="n">
        <v>799</v>
      </c>
      <c r="AA13" s="55">
        <f>IF(AND(A13="", B13="", E13=""), "", IF(AB13="", "Válido", IF((LEN(AB13)-LEN(SUBSTITUTE(AB13,"; ","")))/2+1&gt;(LEN(AB13)-LEN(SUBSTITUTE(AB13,"[Aviso]","")))/7, "Con Incidencias", "Válido")))</f>
        <v/>
      </c>
      <c r="AB13" s="56">
        <f>IF(AND(A13="", B13="", E13=""), "", TEXTJOIN("; ", TRUE, IF(OR(TRIM(A13&amp;"")="", ISNUMBER(SEARCH("FALTA", A13))), "UPC faltante/inválido", ""), IF(AND(A13&lt;&gt;"", IFERROR(_xlfn.XMATCH(A13,$A$2:$A$1063,0,1)&lt;&gt;_xlfn.XMATCH(A13,$A$2:$A$1063,0,-1),FALSE)), "Código de barras duplicado", ""), IF(AND(E13&lt;&gt;"", COUNTIF($E$2:$E$1063, E13)&gt;1), "SKU duplicado", ""), IF(OR(J13="", J13=""), "[Aviso] División no capturada ()", IF(ISNA(MATCH(J13, Criterios!$A$123:$A$126, 0)), "División no válida", "")), IF(OR(K13="", K13=""), "[Aviso] Categoría no capturada ()", IF(ISNA(MATCH(K13, Criterios!$A$81:$A$120, 0)), "Categoría no válida", IF(AND(J13&lt;&gt;"", J13&lt;&gt;"", J13&lt;&gt;VLOOKUP(K13, Criterios!$A$81:$B$120, 2, FALSE)), "División no coincide con Categoría", ""))), IF(OR(L13="", L13=""), "[Aviso] Género no capturado ()", IF(ISNA(MATCH(L13, Criterios!$B$123:$B$127, 0)), "Género no válido", "")), IF(OR(N13="", N13=""), "[Aviso] Temporada no capturada ()", IF(ISNA(MATCH(N13, Criterios!$C$123:$C$128, 0)), "Temporada no válida", "")), IF(OR(O13="", O13=""), "[Aviso] Ciclo de vida no capturado ()", IF(ISNA(MATCH(O13, Criterios!$D$123:$D$124, 0)), "Ciclo de vida no válido", ""))))</f>
        <v/>
      </c>
      <c r="AC13" s="56" t="n"/>
      <c r="AD13" s="51" t="n">
        <v>1</v>
      </c>
      <c r="AE13" s="156" t="inlineStr">
        <is>
          <t>WB OUTLET LERMA (1)</t>
        </is>
      </c>
      <c r="AF13" s="51" t="n">
        <v>1</v>
      </c>
      <c r="AG13" s="156" t="inlineStr">
        <is>
          <t>Catálogo existente</t>
        </is>
      </c>
      <c r="AH13" s="156" t="inlineStr">
        <is>
          <t>Coincidencia por código de barras (ID NetSuite 117948) | ID alternativo de Hoja a Revisar 117948 (UPC coincidente); se conserva ID principal; Auditoría NetSuite 30/09/2026: Vinculado por código de barras al ID NetSuite 117948 (antes en Identificador interno: 'C47574-26-XL') | 01/10/2026: complementado desde Shopify Western Brothers (match por código de barras): WB Fit, WB Silueta | Homologación G1522 06/10/2026: Precio de compra: «275,52» → «275.52» (Corrección aplicada) · WB País de origen: «MX» → «México» (Corrección aplicada) · Validador Shopify: WB: precio con IVA no termina en 9</t>
        </is>
      </c>
      <c r="AI13" s="156" t="inlineStr">
        <is>
          <t>No</t>
        </is>
      </c>
      <c r="AJ13" s="156" t="n"/>
      <c r="AK13" s="155" t="inlineStr">
        <is>
          <t>| Hoja a Revisar: fila 196019 (ID 117948, misma clave UPC) | Shopify WB: producto 10310436847801 / variante 50512592076985 | Odoo: producto 30995 / plantilla 39664</t>
        </is>
      </c>
      <c r="AL13" s="58" t="inlineStr">
        <is>
          <t>275,52</t>
        </is>
      </c>
      <c r="AM13" s="58" t="n">
        <v>799</v>
      </c>
      <c r="AN13" s="155" t="inlineStr">
        <is>
          <t>Shopify Western Brothers | Odoo Universal Unique Brands</t>
        </is>
      </c>
      <c r="AO13" s="59" t="n"/>
      <c r="AP13" s="59" t="n">
        <v>1</v>
      </c>
      <c r="AQ13" s="59" t="n">
        <v>15</v>
      </c>
      <c r="AR13" s="155" t="inlineStr">
        <is>
          <t>Shopify Western Brothers › Western Brothers Outlet Lerma: 1 | Odoo Universal Unique Brands › Bodega 25 › Bodega 25/General: 15</t>
        </is>
      </c>
    </row>
    <row r="14">
      <c r="A14" s="50" t="inlineStr">
        <is>
          <t>7506674601176</t>
        </is>
      </c>
      <c r="B14" s="51" t="inlineStr">
        <is>
          <t>117920</t>
        </is>
      </c>
      <c r="C14" s="156" t="inlineStr">
        <is>
          <t>Wrangler</t>
        </is>
      </c>
      <c r="D14" s="156" t="inlineStr">
        <is>
          <t>C49733-59</t>
        </is>
      </c>
      <c r="E14" s="156" t="inlineStr">
        <is>
          <t>C49733-59-32</t>
        </is>
      </c>
      <c r="F14" s="156" t="inlineStr">
        <is>
          <t>32</t>
        </is>
      </c>
      <c r="G14" s="156" t="inlineStr">
        <is>
          <t>32</t>
        </is>
      </c>
      <c r="H14" s="156" t="inlineStr">
        <is>
          <t>Wrangler</t>
        </is>
      </c>
      <c r="I14" s="156" t="inlineStr">
        <is>
          <t>Cinturón Wrangler Una Vista Casual para Hombre, Color Negro</t>
        </is>
      </c>
      <c r="J14" s="156" t="inlineStr">
        <is>
          <t>Accesorios</t>
        </is>
      </c>
      <c r="K14" s="156" t="inlineStr">
        <is>
          <t>Cinturones</t>
        </is>
      </c>
      <c r="L14" s="156" t="inlineStr">
        <is>
          <t>Hombre</t>
        </is>
      </c>
      <c r="M14" s="156" t="inlineStr">
        <is>
          <t>Wrangler</t>
        </is>
      </c>
      <c r="N14" s="156" t="inlineStr">
        <is>
          <t>SS26</t>
        </is>
      </c>
      <c r="O14" s="156" t="inlineStr">
        <is>
          <t>Seasonal</t>
        </is>
      </c>
      <c r="P14" s="156" t="inlineStr">
        <is>
          <t>Negro</t>
        </is>
      </c>
      <c r="Q14" s="156" t="n"/>
      <c r="R14" s="156" t="n"/>
      <c r="S14" s="156" t="inlineStr">
        <is>
          <t>100% piel de vacuno</t>
        </is>
      </c>
      <c r="T14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14" s="156" t="inlineStr">
        <is>
          <t>México</t>
        </is>
      </c>
      <c r="V14" s="156" t="inlineStr">
        <is>
          <t>PZS</t>
        </is>
      </c>
      <c r="W14" s="51" t="inlineStr">
        <is>
          <t>53102501</t>
        </is>
      </c>
      <c r="X14" s="156" t="n"/>
      <c r="Y14" s="54" t="n">
        <v>344.48</v>
      </c>
      <c r="Z14" s="54" t="n">
        <v>949</v>
      </c>
      <c r="AA14" s="55">
        <f>IF(AND(A14="", B14="", E14=""), "", IF(AB14="", "Válido", IF((LEN(AB14)-LEN(SUBSTITUTE(AB14,"; ","")))/2+1&gt;(LEN(AB14)-LEN(SUBSTITUTE(AB14,"[Aviso]","")))/7, "Con Incidencias", "Válido")))</f>
        <v/>
      </c>
      <c r="AB14" s="56">
        <f>IF(AND(A14="", B14="", E14=""), "", TEXTJOIN("; ", TRUE, IF(OR(TRIM(A14&amp;"")="", ISNUMBER(SEARCH("FALTA", A14))), "UPC faltante/inválido", ""), IF(AND(A14&lt;&gt;"", IFERROR(_xlfn.XMATCH(A14,$A$2:$A$1063,0,1)&lt;&gt;_xlfn.XMATCH(A14,$A$2:$A$1063,0,-1),FALSE)), "Código de barras duplicado", ""), IF(AND(E14&lt;&gt;"", COUNTIF($E$2:$E$1063, E14)&gt;1), "SKU duplicado", ""), IF(OR(J14="", J14=""), "[Aviso] División no capturada ()", IF(ISNA(MATCH(J14, Criterios!$A$123:$A$126, 0)), "División no válida", "")), IF(OR(K14="", K14=""), "[Aviso] Categoría no capturada ()", IF(ISNA(MATCH(K14, Criterios!$A$81:$A$120, 0)), "Categoría no válida", IF(AND(J14&lt;&gt;"", J14&lt;&gt;"", J14&lt;&gt;VLOOKUP(K14, Criterios!$A$81:$B$120, 2, FALSE)), "División no coincide con Categoría", ""))), IF(OR(L14="", L14=""), "[Aviso] Género no capturado ()", IF(ISNA(MATCH(L14, Criterios!$B$123:$B$127, 0)), "Género no válido", "")), IF(OR(N14="", N14=""), "[Aviso] Temporada no capturada ()", IF(ISNA(MATCH(N14, Criterios!$C$123:$C$128, 0)), "Temporada no válida", "")), IF(OR(O14="", O14=""), "[Aviso] Ciclo de vida no capturado ()", IF(ISNA(MATCH(O14, Criterios!$D$123:$D$124, 0)), "Ciclo de vida no válido", ""))))</f>
        <v/>
      </c>
      <c r="AC14" s="56" t="inlineStr">
        <is>
          <t>Homologación G1522: integra 1 registro(s) iguales por mismo WB SKU; códigos de barras alternos: 7503063066844</t>
        </is>
      </c>
      <c r="AD14" s="51" t="n">
        <v>1</v>
      </c>
      <c r="AE14" s="156" t="inlineStr">
        <is>
          <t>WB OUTLET LERMA (1)</t>
        </is>
      </c>
      <c r="AF14" s="51" t="n">
        <v>1</v>
      </c>
      <c r="AG14" s="156" t="inlineStr">
        <is>
          <t>Catálogo existente</t>
        </is>
      </c>
      <c r="AH14" s="156" t="inlineStr">
        <is>
          <t>Coincidencia por código de barras (ID NetSuite 117920) | ID alternativo de Hoja a Revisar 117920 (UPC coincidente); se conserva ID principal; Auditoría NetSuite 30/09/2026: llenado desde NetSuite [Z]; Vinculado por código de barras al ID NetSuite 117920 (antes en Identificador interno: 'C49733-59-32'); 01/10/2026: mismo SKU registrado también en fila 67750 con código 7503063066844 (ID 30910,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«7503063066844» → «7506674601176» (Requiere revisión) · WB Descripcion: «Cinturon de hombre C49733-59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14" s="156" t="inlineStr">
        <is>
          <t>No</t>
        </is>
      </c>
      <c r="AJ14" s="156" t="n"/>
      <c r="AK14" s="155" t="inlineStr">
        <is>
          <t>| Hoja a Revisar: fila 196098 (ID 117920, misma clave UPC); G1522_Extraccion_Articulos_NetSuite_2026-09-30.xlsx: fila 64161 [Z] | Shopify WB: producto 10310436716729 / variante 50512591356089; Hoja3: fila 731 | Odoo: producto 30910 / plantilla 39653</t>
        </is>
      </c>
      <c r="AL14" s="58" t="inlineStr">
        <is>
          <t>344,48</t>
        </is>
      </c>
      <c r="AM14" s="58" t="n"/>
      <c r="AN14" s="155" t="inlineStr">
        <is>
          <t>Shopify Western Brothers; Odoo Universal Unique Brands</t>
        </is>
      </c>
      <c r="AO14" s="59" t="n"/>
      <c r="AP14" s="59" t="n">
        <v>1</v>
      </c>
      <c r="AQ14" s="59" t="n">
        <v>5</v>
      </c>
      <c r="AR14" s="155" t="inlineStr">
        <is>
          <t>Shopify Western Brothers › Western Brothers Outlet Lerma: 1; Odoo Universal Unique Brands › Bodega 25 › Bodega 25/General: 5</t>
        </is>
      </c>
    </row>
    <row r="15">
      <c r="A15" s="50" t="inlineStr">
        <is>
          <t>7506674601183</t>
        </is>
      </c>
      <c r="B15" s="51" t="inlineStr">
        <is>
          <t>117921</t>
        </is>
      </c>
      <c r="C15" s="156" t="inlineStr">
        <is>
          <t>Wrangler</t>
        </is>
      </c>
      <c r="D15" s="156" t="inlineStr">
        <is>
          <t>C49733-59</t>
        </is>
      </c>
      <c r="E15" s="156" t="inlineStr">
        <is>
          <t>C49733-59-34</t>
        </is>
      </c>
      <c r="F15" s="156" t="inlineStr">
        <is>
          <t>34</t>
        </is>
      </c>
      <c r="G15" s="156" t="inlineStr">
        <is>
          <t>34</t>
        </is>
      </c>
      <c r="H15" s="156" t="inlineStr">
        <is>
          <t>Wrangler</t>
        </is>
      </c>
      <c r="I15" s="156" t="inlineStr">
        <is>
          <t>Cinturón Wrangler Una Vista Casual para Hombre, Color Negro</t>
        </is>
      </c>
      <c r="J15" s="156" t="inlineStr">
        <is>
          <t>Accesorios</t>
        </is>
      </c>
      <c r="K15" s="156" t="inlineStr">
        <is>
          <t>Cinturones</t>
        </is>
      </c>
      <c r="L15" s="156" t="inlineStr">
        <is>
          <t>Hombre</t>
        </is>
      </c>
      <c r="M15" s="156" t="inlineStr">
        <is>
          <t>Wrangler</t>
        </is>
      </c>
      <c r="N15" s="156" t="inlineStr">
        <is>
          <t>SS26</t>
        </is>
      </c>
      <c r="O15" s="156" t="inlineStr">
        <is>
          <t>Seasonal</t>
        </is>
      </c>
      <c r="P15" s="156" t="inlineStr">
        <is>
          <t>Negro</t>
        </is>
      </c>
      <c r="Q15" s="156" t="n"/>
      <c r="R15" s="156" t="n"/>
      <c r="S15" s="156" t="inlineStr">
        <is>
          <t>100% piel de vacuno</t>
        </is>
      </c>
      <c r="T15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15" s="156" t="inlineStr">
        <is>
          <t>México</t>
        </is>
      </c>
      <c r="V15" s="156" t="inlineStr">
        <is>
          <t>PZS</t>
        </is>
      </c>
      <c r="W15" s="51" t="inlineStr">
        <is>
          <t>53102501</t>
        </is>
      </c>
      <c r="X15" s="156" t="n"/>
      <c r="Y15" s="54" t="n">
        <v>344.48</v>
      </c>
      <c r="Z15" s="54" t="n">
        <v>949</v>
      </c>
      <c r="AA15" s="55">
        <f>IF(AND(A15="", B15="", E15=""), "", IF(AB15="", "Válido", IF((LEN(AB15)-LEN(SUBSTITUTE(AB15,"; ","")))/2+1&gt;(LEN(AB15)-LEN(SUBSTITUTE(AB15,"[Aviso]","")))/7, "Con Incidencias", "Válido")))</f>
        <v/>
      </c>
      <c r="AB15" s="56">
        <f>IF(AND(A15="", B15="", E15=""), "", TEXTJOIN("; ", TRUE, IF(OR(TRIM(A15&amp;"")="", ISNUMBER(SEARCH("FALTA", A15))), "UPC faltante/inválido", ""), IF(AND(A15&lt;&gt;"", IFERROR(_xlfn.XMATCH(A15,$A$2:$A$1063,0,1)&lt;&gt;_xlfn.XMATCH(A15,$A$2:$A$1063,0,-1),FALSE)), "Código de barras duplicado", ""), IF(AND(E15&lt;&gt;"", COUNTIF($E$2:$E$1063, E15)&gt;1), "SKU duplicado", ""), IF(OR(J15="", J15=""), "[Aviso] División no capturada ()", IF(ISNA(MATCH(J15, Criterios!$A$123:$A$126, 0)), "División no válida", "")), IF(OR(K15="", K15=""), "[Aviso] Categoría no capturada ()", IF(ISNA(MATCH(K15, Criterios!$A$81:$A$120, 0)), "Categoría no válida", IF(AND(J15&lt;&gt;"", J15&lt;&gt;"", J15&lt;&gt;VLOOKUP(K15, Criterios!$A$81:$B$120, 2, FALSE)), "División no coincide con Categoría", ""))), IF(OR(L15="", L15=""), "[Aviso] Género no capturado ()", IF(ISNA(MATCH(L15, Criterios!$B$123:$B$127, 0)), "Género no válido", "")), IF(OR(N15="", N15=""), "[Aviso] Temporada no capturada ()", IF(ISNA(MATCH(N15, Criterios!$C$123:$C$128, 0)), "Temporada no válida", "")), IF(OR(O15="", O15=""), "[Aviso] Ciclo de vida no capturado ()", IF(ISNA(MATCH(O15, Criterios!$D$123:$D$124, 0)), "Ciclo de vida no válido", ""))))</f>
        <v/>
      </c>
      <c r="AC15" s="56" t="inlineStr">
        <is>
          <t>Homologación G1522: integra 1 registro(s) iguales por mismo WB SKU; códigos de barras alternos: 7503063066851</t>
        </is>
      </c>
      <c r="AD15" s="51" t="n">
        <v>2</v>
      </c>
      <c r="AE15" s="156" t="inlineStr">
        <is>
          <t>WB OUTLET LERMA (2)</t>
        </is>
      </c>
      <c r="AF15" s="51" t="n">
        <v>2</v>
      </c>
      <c r="AG15" s="156" t="inlineStr">
        <is>
          <t>Catálogo existente</t>
        </is>
      </c>
      <c r="AH15" s="156" t="inlineStr">
        <is>
          <t>Coincidencia por código de barras (ID NetSuite 117921) | ID alternativo de Hoja a Revisar 117921 (UPC coincidente); se conserva ID principal; Auditoría NetSuite 30/09/2026: llenado desde NetSuite [Z]; Vinculado por código de barras al ID NetSuite 117921 (antes en Identificador interno: 'C49733-59-34'); 01/10/2026: mismo SKU registrado también en fila 67751 con código 7503063066851 (ID 30911,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«7503063066851» → «7506674601183» (Requiere revisión) · WB Descripcion: «Cinturon de hombre C49733-59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15" s="156" t="inlineStr">
        <is>
          <t>No</t>
        </is>
      </c>
      <c r="AJ15" s="156" t="n"/>
      <c r="AK15" s="155" t="inlineStr">
        <is>
          <t>| Hoja a Revisar: fila 196099 (ID 117921, misma clave UPC); G1522_Extraccion_Articulos_NetSuite_2026-09-30.xlsx: fila 64162 [Z] | Shopify WB: producto 10310436716729 / variante 50512591388857; Hoja3: fila 732 | Odoo: producto 30911 / plantilla 39653</t>
        </is>
      </c>
      <c r="AL15" s="58" t="inlineStr">
        <is>
          <t>344,48</t>
        </is>
      </c>
      <c r="AM15" s="58" t="n"/>
      <c r="AN15" s="155" t="inlineStr">
        <is>
          <t>Shopify Western Brothers; Odoo Universal Unique Brands</t>
        </is>
      </c>
      <c r="AO15" s="59" t="n"/>
      <c r="AP15" s="59" t="n">
        <v>2</v>
      </c>
      <c r="AQ15" s="59" t="n">
        <v>10</v>
      </c>
      <c r="AR15" s="155" t="inlineStr">
        <is>
          <t>Shopify Western Brothers › Western Brothers Outlet Lerma: 2; Odoo Universal Unique Brands › Bodega 25 › Bodega 25/General: 10</t>
        </is>
      </c>
    </row>
    <row r="16">
      <c r="A16" s="50" t="inlineStr">
        <is>
          <t>7506674601190</t>
        </is>
      </c>
      <c r="B16" s="51" t="inlineStr">
        <is>
          <t>117922</t>
        </is>
      </c>
      <c r="C16" s="156" t="inlineStr">
        <is>
          <t>Wrangler</t>
        </is>
      </c>
      <c r="D16" s="156" t="inlineStr">
        <is>
          <t>C49733-59</t>
        </is>
      </c>
      <c r="E16" s="156" t="inlineStr">
        <is>
          <t>C49733-59-36</t>
        </is>
      </c>
      <c r="F16" s="156" t="inlineStr">
        <is>
          <t>36</t>
        </is>
      </c>
      <c r="G16" s="156" t="inlineStr">
        <is>
          <t>36</t>
        </is>
      </c>
      <c r="H16" s="156" t="inlineStr">
        <is>
          <t>Wrangler</t>
        </is>
      </c>
      <c r="I16" s="156" t="inlineStr">
        <is>
          <t>Cinturón Wrangler Una Vista Casual para Hombre, Color Negro</t>
        </is>
      </c>
      <c r="J16" s="156" t="inlineStr">
        <is>
          <t>Accesorios</t>
        </is>
      </c>
      <c r="K16" s="156" t="inlineStr">
        <is>
          <t>Cinturones</t>
        </is>
      </c>
      <c r="L16" s="156" t="inlineStr">
        <is>
          <t>Hombre</t>
        </is>
      </c>
      <c r="M16" s="156" t="inlineStr">
        <is>
          <t>Wrangler</t>
        </is>
      </c>
      <c r="N16" s="156" t="inlineStr">
        <is>
          <t>SS26</t>
        </is>
      </c>
      <c r="O16" s="156" t="inlineStr">
        <is>
          <t>Seasonal</t>
        </is>
      </c>
      <c r="P16" s="156" t="inlineStr">
        <is>
          <t>Negro</t>
        </is>
      </c>
      <c r="Q16" s="156" t="n"/>
      <c r="R16" s="156" t="n"/>
      <c r="S16" s="156" t="inlineStr">
        <is>
          <t>100% piel de vacuno</t>
        </is>
      </c>
      <c r="T16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16" s="156" t="inlineStr">
        <is>
          <t>México</t>
        </is>
      </c>
      <c r="V16" s="156" t="inlineStr">
        <is>
          <t>PZS</t>
        </is>
      </c>
      <c r="W16" s="51" t="inlineStr">
        <is>
          <t>53102501</t>
        </is>
      </c>
      <c r="X16" s="156" t="n"/>
      <c r="Y16" s="54" t="n">
        <v>344.48</v>
      </c>
      <c r="Z16" s="54" t="n">
        <v>949</v>
      </c>
      <c r="AA16" s="55">
        <f>IF(AND(A16="", B16="", E16=""), "", IF(AB16="", "Válido", IF((LEN(AB16)-LEN(SUBSTITUTE(AB16,"; ","")))/2+1&gt;(LEN(AB16)-LEN(SUBSTITUTE(AB16,"[Aviso]","")))/7, "Con Incidencias", "Válido")))</f>
        <v/>
      </c>
      <c r="AB16" s="56">
        <f>IF(AND(A16="", B16="", E16=""), "", TEXTJOIN("; ", TRUE, IF(OR(TRIM(A16&amp;"")="", ISNUMBER(SEARCH("FALTA", A16))), "UPC faltante/inválido", ""), IF(AND(A16&lt;&gt;"", IFERROR(_xlfn.XMATCH(A16,$A$2:$A$1063,0,1)&lt;&gt;_xlfn.XMATCH(A16,$A$2:$A$1063,0,-1),FALSE)), "Código de barras duplicado", ""), IF(AND(E16&lt;&gt;"", COUNTIF($E$2:$E$1063, E16)&gt;1), "SKU duplicado", ""), IF(OR(J16="", J16=""), "[Aviso] División no capturada ()", IF(ISNA(MATCH(J16, Criterios!$A$123:$A$126, 0)), "División no válida", "")), IF(OR(K16="", K16=""), "[Aviso] Categoría no capturada ()", IF(ISNA(MATCH(K16, Criterios!$A$81:$A$120, 0)), "Categoría no válida", IF(AND(J16&lt;&gt;"", J16&lt;&gt;"", J16&lt;&gt;VLOOKUP(K16, Criterios!$A$81:$B$120, 2, FALSE)), "División no coincide con Categoría", ""))), IF(OR(L16="", L16=""), "[Aviso] Género no capturado ()", IF(ISNA(MATCH(L16, Criterios!$B$123:$B$127, 0)), "Género no válido", "")), IF(OR(N16="", N16=""), "[Aviso] Temporada no capturada ()", IF(ISNA(MATCH(N16, Criterios!$C$123:$C$128, 0)), "Temporada no válida", "")), IF(OR(O16="", O16=""), "[Aviso] Ciclo de vida no capturado ()", IF(ISNA(MATCH(O16, Criterios!$D$123:$D$124, 0)), "Ciclo de vida no válido", ""))))</f>
        <v/>
      </c>
      <c r="AC16" s="56" t="inlineStr">
        <is>
          <t>Homologación G1522: integra 1 registro(s) iguales por mismo WB SKU; códigos de barras alternos: 7503063066868</t>
        </is>
      </c>
      <c r="AD16" s="51" t="n">
        <v>2</v>
      </c>
      <c r="AE16" s="156" t="inlineStr">
        <is>
          <t>WB OUTLET LERMA (2)</t>
        </is>
      </c>
      <c r="AF16" s="51" t="n">
        <v>2</v>
      </c>
      <c r="AG16" s="156" t="inlineStr">
        <is>
          <t>Catálogo existente</t>
        </is>
      </c>
      <c r="AH16" s="156" t="inlineStr">
        <is>
          <t>Coincidencia por código de barras (ID NetSuite 117922) | ID alternativo de Hoja a Revisar 117922 (UPC coincidente); se conserva ID principal; Auditoría NetSuite 30/09/2026: llenado desde NetSuite [Z]; Vinculado por código de barras al ID NetSuite 117922 (antes en Identificador interno: 'C49733-59-36'); 01/10/2026: mismo SKU registrado también en fila 67752 con código 7503063066868 (ID 30912,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«7503063066868» → «7506674601190» (Requiere revisión) · WB Descripcion: «Cinturon de hombre C49733-59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16" s="156" t="inlineStr">
        <is>
          <t>No</t>
        </is>
      </c>
      <c r="AJ16" s="156" t="n"/>
      <c r="AK16" s="155" t="inlineStr">
        <is>
          <t>| Hoja a Revisar: fila 196100 (ID 117922, misma clave UPC); G1522_Extraccion_Articulos_NetSuite_2026-09-30.xlsx: fila 64163 [Z] | Shopify WB: producto 10310436716729 / variante 50512591421625; Hoja3: fila 733 | Odoo: producto 30912 / plantilla 39653</t>
        </is>
      </c>
      <c r="AL16" s="58" t="inlineStr">
        <is>
          <t>344,48</t>
        </is>
      </c>
      <c r="AM16" s="58" t="n"/>
      <c r="AN16" s="155" t="inlineStr">
        <is>
          <t>Shopify Western Brothers; Odoo Universal Unique Brands</t>
        </is>
      </c>
      <c r="AO16" s="59" t="n"/>
      <c r="AP16" s="59" t="n">
        <v>2</v>
      </c>
      <c r="AQ16" s="59" t="n">
        <v>10</v>
      </c>
      <c r="AR16" s="155" t="inlineStr">
        <is>
          <t>Shopify Western Brothers › Western Brothers Outlet Lerma: 2; Odoo Universal Unique Brands › Bodega 25 › Bodega 25/General: 10</t>
        </is>
      </c>
    </row>
    <row r="17">
      <c r="A17" s="50" t="inlineStr">
        <is>
          <t>7506674601206</t>
        </is>
      </c>
      <c r="B17" s="51" t="inlineStr">
        <is>
          <t>117923</t>
        </is>
      </c>
      <c r="C17" s="156" t="inlineStr">
        <is>
          <t>Wrangler</t>
        </is>
      </c>
      <c r="D17" s="156" t="inlineStr">
        <is>
          <t>C49733-59</t>
        </is>
      </c>
      <c r="E17" s="156" t="inlineStr">
        <is>
          <t>C49733-59-38</t>
        </is>
      </c>
      <c r="F17" s="156" t="inlineStr">
        <is>
          <t>38</t>
        </is>
      </c>
      <c r="G17" s="156" t="inlineStr">
        <is>
          <t>38</t>
        </is>
      </c>
      <c r="H17" s="156" t="inlineStr">
        <is>
          <t>Wrangler</t>
        </is>
      </c>
      <c r="I17" s="156" t="inlineStr">
        <is>
          <t>Cinturón Wrangler Una Vista Casual para Hombre, Color Negro</t>
        </is>
      </c>
      <c r="J17" s="156" t="inlineStr">
        <is>
          <t>Accesorios</t>
        </is>
      </c>
      <c r="K17" s="156" t="inlineStr">
        <is>
          <t>Cinturones</t>
        </is>
      </c>
      <c r="L17" s="156" t="inlineStr">
        <is>
          <t>Hombre</t>
        </is>
      </c>
      <c r="M17" s="156" t="inlineStr">
        <is>
          <t>Wrangler</t>
        </is>
      </c>
      <c r="N17" s="156" t="inlineStr">
        <is>
          <t>SS26</t>
        </is>
      </c>
      <c r="O17" s="156" t="inlineStr">
        <is>
          <t>Seasonal</t>
        </is>
      </c>
      <c r="P17" s="156" t="inlineStr">
        <is>
          <t>Negro</t>
        </is>
      </c>
      <c r="Q17" s="156" t="n"/>
      <c r="R17" s="156" t="n"/>
      <c r="S17" s="156" t="inlineStr">
        <is>
          <t>100% piel de vacuno</t>
        </is>
      </c>
      <c r="T17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17" s="156" t="inlineStr">
        <is>
          <t>México</t>
        </is>
      </c>
      <c r="V17" s="156" t="inlineStr">
        <is>
          <t>PZS</t>
        </is>
      </c>
      <c r="W17" s="51" t="inlineStr">
        <is>
          <t>53102501</t>
        </is>
      </c>
      <c r="X17" s="156" t="n"/>
      <c r="Y17" s="54" t="n">
        <v>344.48</v>
      </c>
      <c r="Z17" s="54" t="n">
        <v>949</v>
      </c>
      <c r="AA17" s="55">
        <f>IF(AND(A17="", B17="", E17=""), "", IF(AB17="", "Válido", IF((LEN(AB17)-LEN(SUBSTITUTE(AB17,"; ","")))/2+1&gt;(LEN(AB17)-LEN(SUBSTITUTE(AB17,"[Aviso]","")))/7, "Con Incidencias", "Válido")))</f>
        <v/>
      </c>
      <c r="AB17" s="56">
        <f>IF(AND(A17="", B17="", E17=""), "", TEXTJOIN("; ", TRUE, IF(OR(TRIM(A17&amp;"")="", ISNUMBER(SEARCH("FALTA", A17))), "UPC faltante/inválido", ""), IF(AND(A17&lt;&gt;"", IFERROR(_xlfn.XMATCH(A17,$A$2:$A$1063,0,1)&lt;&gt;_xlfn.XMATCH(A17,$A$2:$A$1063,0,-1),FALSE)), "Código de barras duplicado", ""), IF(AND(E17&lt;&gt;"", COUNTIF($E$2:$E$1063, E17)&gt;1), "SKU duplicado", ""), IF(OR(J17="", J17=""), "[Aviso] División no capturada ()", IF(ISNA(MATCH(J17, Criterios!$A$123:$A$126, 0)), "División no válida", "")), IF(OR(K17="", K17=""), "[Aviso] Categoría no capturada ()", IF(ISNA(MATCH(K17, Criterios!$A$81:$A$120, 0)), "Categoría no válida", IF(AND(J17&lt;&gt;"", J17&lt;&gt;"", J17&lt;&gt;VLOOKUP(K17, Criterios!$A$81:$B$120, 2, FALSE)), "División no coincide con Categoría", ""))), IF(OR(L17="", L17=""), "[Aviso] Género no capturado ()", IF(ISNA(MATCH(L17, Criterios!$B$123:$B$127, 0)), "Género no válido", "")), IF(OR(N17="", N17=""), "[Aviso] Temporada no capturada ()", IF(ISNA(MATCH(N17, Criterios!$C$123:$C$128, 0)), "Temporada no válida", "")), IF(OR(O17="", O17=""), "[Aviso] Ciclo de vida no capturado ()", IF(ISNA(MATCH(O17, Criterios!$D$123:$D$124, 0)), "Ciclo de vida no válido", ""))))</f>
        <v/>
      </c>
      <c r="AC17" s="56" t="inlineStr">
        <is>
          <t>Homologación G1522: integra 1 registro(s) iguales por mismo WB SKU; códigos de barras alternos: 7503063066875</t>
        </is>
      </c>
      <c r="AD17" s="51" t="n">
        <v>3</v>
      </c>
      <c r="AE17" s="156" t="inlineStr">
        <is>
          <t>WB OUTLET LERMA (3)</t>
        </is>
      </c>
      <c r="AF17" s="51" t="n">
        <v>3</v>
      </c>
      <c r="AG17" s="156" t="inlineStr">
        <is>
          <t>Catálogo existente</t>
        </is>
      </c>
      <c r="AH17" s="156" t="inlineStr">
        <is>
          <t>Coincidencia por código de barras (ID NetSuite 117923) | ID alternativo de Hoja a Revisar 117923 (UPC coincidente); se conserva ID principal; Auditoría NetSuite 30/09/2026: llenado desde NetSuite [Z]; Vinculado por código de barras al ID NetSuite 117923 (antes en Identificador interno: 'C49733-59-38'); 01/10/2026: mismo SKU registrado también en fila 67753 con código 7503063066875 (ID 30913,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«7503063066875» → «7506674601206» (Requiere revisión) · WB Descripcion: «Cinturon de hombre C49733-59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17" s="156" t="inlineStr">
        <is>
          <t>No</t>
        </is>
      </c>
      <c r="AJ17" s="156" t="n"/>
      <c r="AK17" s="155" t="inlineStr">
        <is>
          <t>| Hoja a Revisar: fila 196101 (ID 117923, misma clave UPC); G1522_Extraccion_Articulos_NetSuite_2026-09-30.xlsx: fila 64164 [Z] | Shopify WB: producto 10310436716729 / variante 50512591454393; Hoja3: fila 734 | Odoo: producto 30913 / plantilla 39653</t>
        </is>
      </c>
      <c r="AL17" s="58" t="inlineStr">
        <is>
          <t>344,48</t>
        </is>
      </c>
      <c r="AM17" s="58" t="n"/>
      <c r="AN17" s="155" t="inlineStr">
        <is>
          <t>Shopify Western Brothers; Odoo Universal Unique Brands</t>
        </is>
      </c>
      <c r="AO17" s="59" t="n"/>
      <c r="AP17" s="59" t="n">
        <v>3</v>
      </c>
      <c r="AQ17" s="59" t="n">
        <v>15</v>
      </c>
      <c r="AR17" s="155" t="inlineStr">
        <is>
          <t>Shopify Western Brothers › Western Brothers Outlet Lerma: 3; Odoo Universal Unique Brands › Bodega 25 › Bodega 25/General: 15</t>
        </is>
      </c>
    </row>
    <row r="18">
      <c r="A18" s="50" t="inlineStr">
        <is>
          <t>7506674601213</t>
        </is>
      </c>
      <c r="B18" s="51" t="inlineStr">
        <is>
          <t>117924</t>
        </is>
      </c>
      <c r="C18" s="156" t="inlineStr">
        <is>
          <t>Wrangler</t>
        </is>
      </c>
      <c r="D18" s="156" t="inlineStr">
        <is>
          <t>C49733-59</t>
        </is>
      </c>
      <c r="E18" s="156" t="inlineStr">
        <is>
          <t>C49733-59-40</t>
        </is>
      </c>
      <c r="F18" s="156" t="inlineStr">
        <is>
          <t>40</t>
        </is>
      </c>
      <c r="G18" s="156" t="inlineStr">
        <is>
          <t>40</t>
        </is>
      </c>
      <c r="H18" s="156" t="inlineStr">
        <is>
          <t>Wrangler</t>
        </is>
      </c>
      <c r="I18" s="156" t="inlineStr">
        <is>
          <t>Cinturón Wrangler Una Vista Casual para Hombre, Color Negro</t>
        </is>
      </c>
      <c r="J18" s="156" t="inlineStr">
        <is>
          <t>Accesorios</t>
        </is>
      </c>
      <c r="K18" s="156" t="inlineStr">
        <is>
          <t>Cinturones</t>
        </is>
      </c>
      <c r="L18" s="156" t="inlineStr">
        <is>
          <t>Hombre</t>
        </is>
      </c>
      <c r="M18" s="156" t="inlineStr">
        <is>
          <t>Wrangler</t>
        </is>
      </c>
      <c r="N18" s="156" t="inlineStr">
        <is>
          <t>SS26</t>
        </is>
      </c>
      <c r="O18" s="156" t="inlineStr">
        <is>
          <t>Seasonal</t>
        </is>
      </c>
      <c r="P18" s="156" t="inlineStr">
        <is>
          <t>Negro</t>
        </is>
      </c>
      <c r="Q18" s="156" t="n"/>
      <c r="R18" s="156" t="n"/>
      <c r="S18" s="156" t="inlineStr">
        <is>
          <t>100% piel de vacuno</t>
        </is>
      </c>
      <c r="T18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18" s="156" t="inlineStr">
        <is>
          <t>México</t>
        </is>
      </c>
      <c r="V18" s="156" t="inlineStr">
        <is>
          <t>PZS</t>
        </is>
      </c>
      <c r="W18" s="51" t="inlineStr">
        <is>
          <t>53102501</t>
        </is>
      </c>
      <c r="X18" s="156" t="n"/>
      <c r="Y18" s="54" t="n">
        <v>344.48</v>
      </c>
      <c r="Z18" s="54" t="n">
        <v>949</v>
      </c>
      <c r="AA18" s="55">
        <f>IF(AND(A18="", B18="", E18=""), "", IF(AB18="", "Válido", IF((LEN(AB18)-LEN(SUBSTITUTE(AB18,"; ","")))/2+1&gt;(LEN(AB18)-LEN(SUBSTITUTE(AB18,"[Aviso]","")))/7, "Con Incidencias", "Válido")))</f>
        <v/>
      </c>
      <c r="AB18" s="56">
        <f>IF(AND(A18="", B18="", E18=""), "", TEXTJOIN("; ", TRUE, IF(OR(TRIM(A18&amp;"")="", ISNUMBER(SEARCH("FALTA", A18))), "UPC faltante/inválido", ""), IF(AND(A18&lt;&gt;"", IFERROR(_xlfn.XMATCH(A18,$A$2:$A$1063,0,1)&lt;&gt;_xlfn.XMATCH(A18,$A$2:$A$1063,0,-1),FALSE)), "Código de barras duplicado", ""), IF(AND(E18&lt;&gt;"", COUNTIF($E$2:$E$1063, E18)&gt;1), "SKU duplicado", ""), IF(OR(J18="", J18=""), "[Aviso] División no capturada ()", IF(ISNA(MATCH(J18, Criterios!$A$123:$A$126, 0)), "División no válida", "")), IF(OR(K18="", K18=""), "[Aviso] Categoría no capturada ()", IF(ISNA(MATCH(K18, Criterios!$A$81:$A$120, 0)), "Categoría no válida", IF(AND(J18&lt;&gt;"", J18&lt;&gt;"", J18&lt;&gt;VLOOKUP(K18, Criterios!$A$81:$B$120, 2, FALSE)), "División no coincide con Categoría", ""))), IF(OR(L18="", L18=""), "[Aviso] Género no capturado ()", IF(ISNA(MATCH(L18, Criterios!$B$123:$B$127, 0)), "Género no válido", "")), IF(OR(N18="", N18=""), "[Aviso] Temporada no capturada ()", IF(ISNA(MATCH(N18, Criterios!$C$123:$C$128, 0)), "Temporada no válida", "")), IF(OR(O18="", O18=""), "[Aviso] Ciclo de vida no capturado ()", IF(ISNA(MATCH(O18, Criterios!$D$123:$D$124, 0)), "Ciclo de vida no válido", ""))))</f>
        <v/>
      </c>
      <c r="AC18" s="56" t="inlineStr">
        <is>
          <t>Homologación G1522: integra 1 registro(s) iguales por mismo WB SKU; códigos de barras alternos: 7503063066882</t>
        </is>
      </c>
      <c r="AD18" s="51" t="n">
        <v>2</v>
      </c>
      <c r="AE18" s="156" t="inlineStr">
        <is>
          <t>WB OUTLET LERMA (2)</t>
        </is>
      </c>
      <c r="AF18" s="51" t="n">
        <v>2</v>
      </c>
      <c r="AG18" s="156" t="inlineStr">
        <is>
          <t>Catálogo existente</t>
        </is>
      </c>
      <c r="AH18" s="156" t="inlineStr">
        <is>
          <t>Coincidencia por código de barras (ID NetSuite 117924) | ID alternativo de Hoja a Revisar 117924 (UPC coincidente); se conserva ID principal; Auditoría NetSuite 30/09/2026: llenado desde NetSuite [Z]; Vinculado por código de barras al ID NetSuite 117924 (antes en Identificador interno: 'C49733-59-40'); 01/10/2026: mismo SKU registrado también en fila 67754 con código 7503063066882 (ID 30914,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«7503063066882» → «7506674601213» (Requiere revisión) · WB Descripcion: «Cinturon de hombre C49733-59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18" s="156" t="inlineStr">
        <is>
          <t>No</t>
        </is>
      </c>
      <c r="AJ18" s="156" t="n"/>
      <c r="AK18" s="155" t="inlineStr">
        <is>
          <t>| Hoja a Revisar: fila 196102 (ID 117924, misma clave UPC); G1522_Extraccion_Articulos_NetSuite_2026-09-30.xlsx: fila 64165 [Z] | Shopify WB: producto 10310436716729 / variante 50512591487161; Hoja3: fila 735 | Odoo: producto 30914 / plantilla 39653</t>
        </is>
      </c>
      <c r="AL18" s="58" t="inlineStr">
        <is>
          <t>344,48</t>
        </is>
      </c>
      <c r="AM18" s="58" t="n"/>
      <c r="AN18" s="155" t="inlineStr">
        <is>
          <t>Shopify Western Brothers; Odoo Universal Unique Brands</t>
        </is>
      </c>
      <c r="AO18" s="59" t="n"/>
      <c r="AP18" s="59" t="n">
        <v>2</v>
      </c>
      <c r="AQ18" s="59" t="n">
        <v>22</v>
      </c>
      <c r="AR18" s="155" t="inlineStr">
        <is>
          <t>Shopify Western Brothers › Western Brothers Outlet Lerma: 2; Odoo Universal Unique Brands › Bodega 25 › Bodega 25/General: 22</t>
        </is>
      </c>
    </row>
    <row r="19">
      <c r="A19" s="50" t="inlineStr">
        <is>
          <t>7506674601220</t>
        </is>
      </c>
      <c r="B19" s="51" t="inlineStr">
        <is>
          <t>117925</t>
        </is>
      </c>
      <c r="C19" s="156" t="inlineStr">
        <is>
          <t>Wrangler</t>
        </is>
      </c>
      <c r="D19" s="156" t="inlineStr">
        <is>
          <t>C49733-59</t>
        </is>
      </c>
      <c r="E19" s="156" t="inlineStr">
        <is>
          <t>C49733-59-42</t>
        </is>
      </c>
      <c r="F19" s="156" t="inlineStr">
        <is>
          <t>42</t>
        </is>
      </c>
      <c r="G19" s="156" t="inlineStr">
        <is>
          <t>42</t>
        </is>
      </c>
      <c r="H19" s="156" t="inlineStr">
        <is>
          <t>Wrangler</t>
        </is>
      </c>
      <c r="I19" s="156" t="inlineStr">
        <is>
          <t>Cinturón Wrangler Una Vista Casual para Hombre, Color Negro</t>
        </is>
      </c>
      <c r="J19" s="156" t="inlineStr">
        <is>
          <t>Accesorios</t>
        </is>
      </c>
      <c r="K19" s="156" t="inlineStr">
        <is>
          <t>Cinturones</t>
        </is>
      </c>
      <c r="L19" s="156" t="inlineStr">
        <is>
          <t>Hombre</t>
        </is>
      </c>
      <c r="M19" s="156" t="inlineStr">
        <is>
          <t>Wrangler</t>
        </is>
      </c>
      <c r="N19" s="156" t="inlineStr">
        <is>
          <t>SS26</t>
        </is>
      </c>
      <c r="O19" s="156" t="inlineStr">
        <is>
          <t>Seasonal</t>
        </is>
      </c>
      <c r="P19" s="156" t="inlineStr">
        <is>
          <t>Negro</t>
        </is>
      </c>
      <c r="Q19" s="156" t="n"/>
      <c r="R19" s="156" t="n"/>
      <c r="S19" s="156" t="inlineStr">
        <is>
          <t>100% piel de vacuno</t>
        </is>
      </c>
      <c r="T19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19" s="156" t="inlineStr">
        <is>
          <t>México</t>
        </is>
      </c>
      <c r="V19" s="156" t="inlineStr">
        <is>
          <t>PZS</t>
        </is>
      </c>
      <c r="W19" s="51" t="inlineStr">
        <is>
          <t>53102501</t>
        </is>
      </c>
      <c r="X19" s="156" t="n"/>
      <c r="Y19" s="54" t="n">
        <v>344.48</v>
      </c>
      <c r="Z19" s="54" t="n">
        <v>949</v>
      </c>
      <c r="AA19" s="55">
        <f>IF(AND(A19="", B19="", E19=""), "", IF(AB19="", "Válido", IF((LEN(AB19)-LEN(SUBSTITUTE(AB19,"; ","")))/2+1&gt;(LEN(AB19)-LEN(SUBSTITUTE(AB19,"[Aviso]","")))/7, "Con Incidencias", "Válido")))</f>
        <v/>
      </c>
      <c r="AB19" s="56">
        <f>IF(AND(A19="", B19="", E19=""), "", TEXTJOIN("; ", TRUE, IF(OR(TRIM(A19&amp;"")="", ISNUMBER(SEARCH("FALTA", A19))), "UPC faltante/inválido", ""), IF(AND(A19&lt;&gt;"", IFERROR(_xlfn.XMATCH(A19,$A$2:$A$1063,0,1)&lt;&gt;_xlfn.XMATCH(A19,$A$2:$A$1063,0,-1),FALSE)), "Código de barras duplicado", ""), IF(AND(E19&lt;&gt;"", COUNTIF($E$2:$E$1063, E19)&gt;1), "SKU duplicado", ""), IF(OR(J19="", J19=""), "[Aviso] División no capturada ()", IF(ISNA(MATCH(J19, Criterios!$A$123:$A$126, 0)), "División no válida", "")), IF(OR(K19="", K19=""), "[Aviso] Categoría no capturada ()", IF(ISNA(MATCH(K19, Criterios!$A$81:$A$120, 0)), "Categoría no válida", IF(AND(J19&lt;&gt;"", J19&lt;&gt;"", J19&lt;&gt;VLOOKUP(K19, Criterios!$A$81:$B$120, 2, FALSE)), "División no coincide con Categoría", ""))), IF(OR(L19="", L19=""), "[Aviso] Género no capturado ()", IF(ISNA(MATCH(L19, Criterios!$B$123:$B$127, 0)), "Género no válido", "")), IF(OR(N19="", N19=""), "[Aviso] Temporada no capturada ()", IF(ISNA(MATCH(N19, Criterios!$C$123:$C$128, 0)), "Temporada no válida", "")), IF(OR(O19="", O19=""), "[Aviso] Ciclo de vida no capturado ()", IF(ISNA(MATCH(O19, Criterios!$D$123:$D$124, 0)), "Ciclo de vida no válido", ""))))</f>
        <v/>
      </c>
      <c r="AC19" s="56" t="inlineStr">
        <is>
          <t>Homologación G1522: integra 1 registro(s) iguales por mismo WB SKU; códigos de barras alternos: 7503063066899</t>
        </is>
      </c>
      <c r="AD19" s="51" t="n">
        <v>2</v>
      </c>
      <c r="AE19" s="156" t="inlineStr">
        <is>
          <t>WB OUTLET LERMA (2)</t>
        </is>
      </c>
      <c r="AF19" s="51" t="n">
        <v>2</v>
      </c>
      <c r="AG19" s="156" t="inlineStr">
        <is>
          <t>Catálogo existente</t>
        </is>
      </c>
      <c r="AH19" s="156" t="inlineStr">
        <is>
          <t>Coincidencia por código de barras (ID NetSuite 117925) | ID alternativo de Hoja a Revisar 117925 (UPC coincidente); se conserva ID principal; Auditoría NetSuite 30/09/2026: llenado desde NetSuite [Z]; Vinculado por código de barras al ID NetSuite 117925 (antes en Identificador interno: 'C49733-59-42'); 01/10/2026: mismo SKU registrado también en fila 67755 con código 7503063066899 (ID 30915,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«7503063066899» → «7506674601220» (Requiere revisión) · WB Descripcion: «Cinturon de hombre C49733-59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19" s="156" t="inlineStr">
        <is>
          <t>No</t>
        </is>
      </c>
      <c r="AJ19" s="156" t="n"/>
      <c r="AK19" s="155" t="inlineStr">
        <is>
          <t>| Hoja a Revisar: fila 196103 (ID 117925, misma clave UPC); G1522_Extraccion_Articulos_NetSuite_2026-09-30.xlsx: fila 64166 [Z] | Shopify WB: producto 10310436716729 / variante 50512591519929; Hoja3: fila 736 | Odoo: producto 30915 / plantilla 39653</t>
        </is>
      </c>
      <c r="AL19" s="58" t="inlineStr">
        <is>
          <t>344,48</t>
        </is>
      </c>
      <c r="AM19" s="58" t="n"/>
      <c r="AN19" s="155" t="inlineStr">
        <is>
          <t>Shopify Western Brothers; Odoo Universal Unique Brands</t>
        </is>
      </c>
      <c r="AO19" s="59" t="n"/>
      <c r="AP19" s="59" t="n">
        <v>2</v>
      </c>
      <c r="AQ19" s="59" t="n">
        <v>22</v>
      </c>
      <c r="AR19" s="155" t="inlineStr">
        <is>
          <t>Shopify Western Brothers › Western Brothers Outlet Lerma: 2; Odoo Universal Unique Brands › Bodega 25 › Bodega 25/General: 22</t>
        </is>
      </c>
    </row>
    <row r="20">
      <c r="A20" s="50" t="inlineStr">
        <is>
          <t>7506674601237</t>
        </is>
      </c>
      <c r="B20" s="51" t="inlineStr">
        <is>
          <t>117926</t>
        </is>
      </c>
      <c r="C20" s="156" t="inlineStr">
        <is>
          <t>Wrangler</t>
        </is>
      </c>
      <c r="D20" s="156" t="inlineStr">
        <is>
          <t>C49733-59</t>
        </is>
      </c>
      <c r="E20" s="156" t="inlineStr">
        <is>
          <t>C49733-59-44</t>
        </is>
      </c>
      <c r="F20" s="156" t="inlineStr">
        <is>
          <t>44</t>
        </is>
      </c>
      <c r="G20" s="156" t="inlineStr">
        <is>
          <t>44</t>
        </is>
      </c>
      <c r="H20" s="156" t="inlineStr">
        <is>
          <t>Wrangler</t>
        </is>
      </c>
      <c r="I20" s="156" t="inlineStr">
        <is>
          <t>Cinturón Wrangler Una Vista Casual para Hombre, Color Negro</t>
        </is>
      </c>
      <c r="J20" s="156" t="inlineStr">
        <is>
          <t>Accesorios</t>
        </is>
      </c>
      <c r="K20" s="156" t="inlineStr">
        <is>
          <t>Cinturones</t>
        </is>
      </c>
      <c r="L20" s="156" t="inlineStr">
        <is>
          <t>Hombre</t>
        </is>
      </c>
      <c r="M20" s="156" t="inlineStr">
        <is>
          <t>Wrangler</t>
        </is>
      </c>
      <c r="N20" s="156" t="inlineStr">
        <is>
          <t>SS26</t>
        </is>
      </c>
      <c r="O20" s="156" t="inlineStr">
        <is>
          <t>Seasonal</t>
        </is>
      </c>
      <c r="P20" s="156" t="inlineStr">
        <is>
          <t>Negro</t>
        </is>
      </c>
      <c r="Q20" s="156" t="n"/>
      <c r="R20" s="156" t="n"/>
      <c r="S20" s="156" t="inlineStr">
        <is>
          <t>100% piel de vacuno</t>
        </is>
      </c>
      <c r="T20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20" s="156" t="inlineStr">
        <is>
          <t>México</t>
        </is>
      </c>
      <c r="V20" s="156" t="inlineStr">
        <is>
          <t>PZS</t>
        </is>
      </c>
      <c r="W20" s="51" t="inlineStr">
        <is>
          <t>53102501</t>
        </is>
      </c>
      <c r="X20" s="156" t="n"/>
      <c r="Y20" s="54" t="n">
        <v>344.48</v>
      </c>
      <c r="Z20" s="54" t="n">
        <v>949</v>
      </c>
      <c r="AA20" s="55">
        <f>IF(AND(A20="", B20="", E20=""), "", IF(AB20="", "Válido", IF((LEN(AB20)-LEN(SUBSTITUTE(AB20,"; ","")))/2+1&gt;(LEN(AB20)-LEN(SUBSTITUTE(AB20,"[Aviso]","")))/7, "Con Incidencias", "Válido")))</f>
        <v/>
      </c>
      <c r="AB20" s="56">
        <f>IF(AND(A20="", B20="", E20=""), "", TEXTJOIN("; ", TRUE, IF(OR(TRIM(A20&amp;"")="", ISNUMBER(SEARCH("FALTA", A20))), "UPC faltante/inválido", ""), IF(AND(A20&lt;&gt;"", IFERROR(_xlfn.XMATCH(A20,$A$2:$A$1063,0,1)&lt;&gt;_xlfn.XMATCH(A20,$A$2:$A$1063,0,-1),FALSE)), "Código de barras duplicado", ""), IF(AND(E20&lt;&gt;"", COUNTIF($E$2:$E$1063, E20)&gt;1), "SKU duplicado", ""), IF(OR(J20="", J20=""), "[Aviso] División no capturada ()", IF(ISNA(MATCH(J20, Criterios!$A$123:$A$126, 0)), "División no válida", "")), IF(OR(K20="", K20=""), "[Aviso] Categoría no capturada ()", IF(ISNA(MATCH(K20, Criterios!$A$81:$A$120, 0)), "Categoría no válida", IF(AND(J20&lt;&gt;"", J20&lt;&gt;"", J20&lt;&gt;VLOOKUP(K20, Criterios!$A$81:$B$120, 2, FALSE)), "División no coincide con Categoría", ""))), IF(OR(L20="", L20=""), "[Aviso] Género no capturado ()", IF(ISNA(MATCH(L20, Criterios!$B$123:$B$127, 0)), "Género no válido", "")), IF(OR(N20="", N20=""), "[Aviso] Temporada no capturada ()", IF(ISNA(MATCH(N20, Criterios!$C$123:$C$128, 0)), "Temporada no válida", "")), IF(OR(O20="", O20=""), "[Aviso] Ciclo de vida no capturado ()", IF(ISNA(MATCH(O20, Criterios!$D$123:$D$124, 0)), "Ciclo de vida no válido", ""))))</f>
        <v/>
      </c>
      <c r="AC20" s="56" t="inlineStr">
        <is>
          <t>Homologación G1522: integra 1 registro(s) iguales por mismo WB SKU; códigos de barras alternos: 7503063066905</t>
        </is>
      </c>
      <c r="AD20" s="51" t="n">
        <v>1</v>
      </c>
      <c r="AE20" s="156" t="inlineStr">
        <is>
          <t>WB OUTLET LERMA (1)</t>
        </is>
      </c>
      <c r="AF20" s="51" t="n">
        <v>1</v>
      </c>
      <c r="AG20" s="156" t="inlineStr">
        <is>
          <t>Catálogo existente</t>
        </is>
      </c>
      <c r="AH20" s="156" t="inlineStr">
        <is>
          <t>Coincidencia por código de barras (ID NetSuite 117926) | ID alternativo de Hoja a Revisar 117926 (UPC coincidente); se conserva ID principal; Auditoría NetSuite 30/09/2026: llenado desde NetSuite [Z]; Vinculado por código de barras al ID NetSuite 117926 (antes en Identificador interno: 'C49733-59-44'); 01/10/2026: mismo SKU registrado también en fila 67756 con código 7503063066905 (ID 30916,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«7503063066905» → «7506674601237» (Requiere revisión) · WB Descripcion: «Cinturon de hombre C49733-59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20" s="156" t="inlineStr">
        <is>
          <t>No</t>
        </is>
      </c>
      <c r="AJ20" s="156" t="n"/>
      <c r="AK20" s="155" t="inlineStr">
        <is>
          <t>| Hoja a Revisar: fila 196104 (ID 117926, misma clave UPC); G1522_Extraccion_Articulos_NetSuite_2026-09-30.xlsx: fila 64167 [Z] | Shopify WB: producto 10310436716729 / variante 50512591552697; Hoja3: fila 737 | Odoo: producto 30916 / plantilla 39653</t>
        </is>
      </c>
      <c r="AL20" s="58" t="inlineStr">
        <is>
          <t>344,48</t>
        </is>
      </c>
      <c r="AM20" s="58" t="n"/>
      <c r="AN20" s="155" t="inlineStr">
        <is>
          <t>Shopify Western Brothers; Odoo Universal Unique Brands</t>
        </is>
      </c>
      <c r="AO20" s="59" t="n"/>
      <c r="AP20" s="59" t="n">
        <v>1</v>
      </c>
      <c r="AQ20" s="59" t="n">
        <v>17</v>
      </c>
      <c r="AR20" s="155" t="inlineStr">
        <is>
          <t>Shopify Western Brothers › Western Brothers Outlet Lerma: 1; Odoo Universal Unique Brands › Bodega 25 › Bodega 25/General: 17</t>
        </is>
      </c>
    </row>
    <row r="21">
      <c r="A21" s="50" t="inlineStr">
        <is>
          <t>7506674601107</t>
        </is>
      </c>
      <c r="B21" s="51" t="inlineStr">
        <is>
          <t>117927</t>
        </is>
      </c>
      <c r="C21" s="156" t="inlineStr">
        <is>
          <t>Wrangler</t>
        </is>
      </c>
      <c r="D21" s="156" t="inlineStr">
        <is>
          <t>C49733-27</t>
        </is>
      </c>
      <c r="E21" s="156" t="inlineStr">
        <is>
          <t>C49733-27-32</t>
        </is>
      </c>
      <c r="F21" s="156" t="inlineStr">
        <is>
          <t>32</t>
        </is>
      </c>
      <c r="G21" s="156" t="inlineStr">
        <is>
          <t>32</t>
        </is>
      </c>
      <c r="H21" s="156" t="inlineStr">
        <is>
          <t>Wrangler</t>
        </is>
      </c>
      <c r="I21" s="156" t="inlineStr">
        <is>
          <t>Cinturón Wrangler Una Vista Casual para Hombre, Color Cafe</t>
        </is>
      </c>
      <c r="J21" s="156" t="inlineStr">
        <is>
          <t>Accesorios</t>
        </is>
      </c>
      <c r="K21" s="156" t="inlineStr">
        <is>
          <t>Cinturones</t>
        </is>
      </c>
      <c r="L21" s="156" t="inlineStr">
        <is>
          <t>Hombre</t>
        </is>
      </c>
      <c r="M21" s="156" t="inlineStr">
        <is>
          <t>Wrangler</t>
        </is>
      </c>
      <c r="N21" s="156" t="inlineStr">
        <is>
          <t>SS26</t>
        </is>
      </c>
      <c r="O21" s="156" t="inlineStr">
        <is>
          <t>Seasonal</t>
        </is>
      </c>
      <c r="P21" s="156" t="inlineStr">
        <is>
          <t>Cafe</t>
        </is>
      </c>
      <c r="Q21" s="156" t="n"/>
      <c r="R21" s="156" t="n"/>
      <c r="S21" s="156" t="inlineStr">
        <is>
          <t>100% piel de vacuno</t>
        </is>
      </c>
      <c r="T21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21" s="156" t="inlineStr">
        <is>
          <t>México</t>
        </is>
      </c>
      <c r="V21" s="156" t="inlineStr">
        <is>
          <t>PZS</t>
        </is>
      </c>
      <c r="W21" s="51" t="inlineStr">
        <is>
          <t>53102501</t>
        </is>
      </c>
      <c r="X21" s="156" t="n"/>
      <c r="Y21" s="54" t="n">
        <v>344.48</v>
      </c>
      <c r="Z21" s="54" t="n">
        <v>949</v>
      </c>
      <c r="AA21" s="55">
        <f>IF(AND(A21="", B21="", E21=""), "", IF(AB21="", "Válido", IF((LEN(AB21)-LEN(SUBSTITUTE(AB21,"; ","")))/2+1&gt;(LEN(AB21)-LEN(SUBSTITUTE(AB21,"[Aviso]","")))/7, "Con Incidencias", "Válido")))</f>
        <v/>
      </c>
      <c r="AB21" s="56">
        <f>IF(AND(A21="", B21="", E21=""), "", TEXTJOIN("; ", TRUE, IF(OR(TRIM(A21&amp;"")="", ISNUMBER(SEARCH("FALTA", A21))), "UPC faltante/inválido", ""), IF(AND(A21&lt;&gt;"", IFERROR(_xlfn.XMATCH(A21,$A$2:$A$1063,0,1)&lt;&gt;_xlfn.XMATCH(A21,$A$2:$A$1063,0,-1),FALSE)), "Código de barras duplicado", ""), IF(AND(E21&lt;&gt;"", COUNTIF($E$2:$E$1063, E21)&gt;1), "SKU duplicado", ""), IF(OR(J21="", J21=""), "[Aviso] División no capturada ()", IF(ISNA(MATCH(J21, Criterios!$A$123:$A$126, 0)), "División no válida", "")), IF(OR(K21="", K21=""), "[Aviso] Categoría no capturada ()", IF(ISNA(MATCH(K21, Criterios!$A$81:$A$120, 0)), "Categoría no válida", IF(AND(J21&lt;&gt;"", J21&lt;&gt;"", J21&lt;&gt;VLOOKUP(K21, Criterios!$A$81:$B$120, 2, FALSE)), "División no coincide con Categoría", ""))), IF(OR(L21="", L21=""), "[Aviso] Género no capturado ()", IF(ISNA(MATCH(L21, Criterios!$B$123:$B$127, 0)), "Género no válido", "")), IF(OR(N21="", N21=""), "[Aviso] Temporada no capturada ()", IF(ISNA(MATCH(N21, Criterios!$C$123:$C$128, 0)), "Temporada no válida", "")), IF(OR(O21="", O21=""), "[Aviso] Ciclo de vida no capturado ()", IF(ISNA(MATCH(O21, Criterios!$D$123:$D$124, 0)), "Ciclo de vida no válido", ""))))</f>
        <v/>
      </c>
      <c r="AC21" s="56" t="inlineStr">
        <is>
          <t>Homologación G1522: integra 1 registro(s) iguales por mismo WB SKU; códigos de barras alternos: 7503063066912</t>
        </is>
      </c>
      <c r="AD21" s="51" t="n">
        <v>1</v>
      </c>
      <c r="AE21" s="156" t="inlineStr">
        <is>
          <t>WB OUTLET LERMA (1)</t>
        </is>
      </c>
      <c r="AF21" s="51" t="n">
        <v>1</v>
      </c>
      <c r="AG21" s="156" t="inlineStr">
        <is>
          <t>Catálogo existente</t>
        </is>
      </c>
      <c r="AH21" s="156" t="inlineStr">
        <is>
          <t>Coincidencia por código de barras (ID NetSuite 117927) | ID alternativo de Hoja a Revisar 117927 (UPC coincidente); se conserva ID principal; Auditoría NetSuite 30/09/2026: llenado desde NetSuite [Z]; Vinculado por código de barras al ID NetSuite 117927 (antes en Identificador interno: 'C49733-27-32'); 01/10/2026: mismo SKU registrado también en fila 67743 con código 7503063066912 (ID 30918,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«7503063066912» → «7506674601107» (Requiere revisión) · WB Descripcion: «Cinturón de hombre C49733-27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21" s="156" t="inlineStr">
        <is>
          <t>No</t>
        </is>
      </c>
      <c r="AJ21" s="156" t="n"/>
      <c r="AK21" s="155" t="inlineStr">
        <is>
          <t>| Hoja a Revisar: fila 196090 (ID 117927, misma clave UPC); G1522_Extraccion_Articulos_NetSuite_2026-09-30.xlsx: fila 64168 [Z] | Shopify WB: producto 10310436749497 / variante 50512591585465; Hoja3: fila 724 | Odoo: producto 30918 / plantilla 39654</t>
        </is>
      </c>
      <c r="AL21" s="58" t="inlineStr">
        <is>
          <t>344,48</t>
        </is>
      </c>
      <c r="AM21" s="58" t="n"/>
      <c r="AN21" s="155" t="inlineStr">
        <is>
          <t>Shopify Western Brothers; Odoo Universal Unique Brands</t>
        </is>
      </c>
      <c r="AO21" s="59" t="n"/>
      <c r="AP21" s="59" t="n">
        <v>1</v>
      </c>
      <c r="AQ21" s="59" t="n">
        <v>5</v>
      </c>
      <c r="AR21" s="155" t="inlineStr">
        <is>
          <t>Shopify Western Brothers › Western Brothers Outlet Lerma: 1; Odoo Universal Unique Brands › Bodega 25 › Bodega 25/General: 5</t>
        </is>
      </c>
    </row>
    <row r="22">
      <c r="A22" s="50" t="inlineStr">
        <is>
          <t>7506674601114</t>
        </is>
      </c>
      <c r="B22" s="51" t="inlineStr">
        <is>
          <t>117928</t>
        </is>
      </c>
      <c r="C22" s="156" t="inlineStr">
        <is>
          <t>Wrangler</t>
        </is>
      </c>
      <c r="D22" s="156" t="inlineStr">
        <is>
          <t>C49733-27</t>
        </is>
      </c>
      <c r="E22" s="156" t="inlineStr">
        <is>
          <t>C49733-27-34</t>
        </is>
      </c>
      <c r="F22" s="156" t="inlineStr">
        <is>
          <t>34</t>
        </is>
      </c>
      <c r="G22" s="156" t="inlineStr">
        <is>
          <t>34</t>
        </is>
      </c>
      <c r="H22" s="156" t="inlineStr">
        <is>
          <t>Wrangler</t>
        </is>
      </c>
      <c r="I22" s="156" t="inlineStr">
        <is>
          <t>Cinturón Wrangler Una Vista Casual para Hombre, Color Cafe</t>
        </is>
      </c>
      <c r="J22" s="156" t="inlineStr">
        <is>
          <t>Accesorios</t>
        </is>
      </c>
      <c r="K22" s="156" t="inlineStr">
        <is>
          <t>Cinturones</t>
        </is>
      </c>
      <c r="L22" s="156" t="inlineStr">
        <is>
          <t>Hombre</t>
        </is>
      </c>
      <c r="M22" s="156" t="inlineStr">
        <is>
          <t>Wrangler</t>
        </is>
      </c>
      <c r="N22" s="156" t="inlineStr">
        <is>
          <t>SS26</t>
        </is>
      </c>
      <c r="O22" s="156" t="inlineStr">
        <is>
          <t>Seasonal</t>
        </is>
      </c>
      <c r="P22" s="156" t="inlineStr">
        <is>
          <t>Cafe</t>
        </is>
      </c>
      <c r="Q22" s="156" t="n"/>
      <c r="R22" s="156" t="n"/>
      <c r="S22" s="156" t="inlineStr">
        <is>
          <t>100% piel de vacuno</t>
        </is>
      </c>
      <c r="T22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22" s="156" t="inlineStr">
        <is>
          <t>México</t>
        </is>
      </c>
      <c r="V22" s="156" t="inlineStr">
        <is>
          <t>PZS</t>
        </is>
      </c>
      <c r="W22" s="51" t="inlineStr">
        <is>
          <t>53102501</t>
        </is>
      </c>
      <c r="X22" s="156" t="n"/>
      <c r="Y22" s="54" t="n">
        <v>344.48</v>
      </c>
      <c r="Z22" s="54" t="n">
        <v>949</v>
      </c>
      <c r="AA22" s="55">
        <f>IF(AND(A22="", B22="", E22=""), "", IF(AB22="", "Válido", IF((LEN(AB22)-LEN(SUBSTITUTE(AB22,"; ","")))/2+1&gt;(LEN(AB22)-LEN(SUBSTITUTE(AB22,"[Aviso]","")))/7, "Con Incidencias", "Válido")))</f>
        <v/>
      </c>
      <c r="AB22" s="56">
        <f>IF(AND(A22="", B22="", E22=""), "", TEXTJOIN("; ", TRUE, IF(OR(TRIM(A22&amp;"")="", ISNUMBER(SEARCH("FALTA", A22))), "UPC faltante/inválido", ""), IF(AND(A22&lt;&gt;"", IFERROR(_xlfn.XMATCH(A22,$A$2:$A$1063,0,1)&lt;&gt;_xlfn.XMATCH(A22,$A$2:$A$1063,0,-1),FALSE)), "Código de barras duplicado", ""), IF(AND(E22&lt;&gt;"", COUNTIF($E$2:$E$1063, E22)&gt;1), "SKU duplicado", ""), IF(OR(J22="", J22=""), "[Aviso] División no capturada ()", IF(ISNA(MATCH(J22, Criterios!$A$123:$A$126, 0)), "División no válida", "")), IF(OR(K22="", K22=""), "[Aviso] Categoría no capturada ()", IF(ISNA(MATCH(K22, Criterios!$A$81:$A$120, 0)), "Categoría no válida", IF(AND(J22&lt;&gt;"", J22&lt;&gt;"", J22&lt;&gt;VLOOKUP(K22, Criterios!$A$81:$B$120, 2, FALSE)), "División no coincide con Categoría", ""))), IF(OR(L22="", L22=""), "[Aviso] Género no capturado ()", IF(ISNA(MATCH(L22, Criterios!$B$123:$B$127, 0)), "Género no válido", "")), IF(OR(N22="", N22=""), "[Aviso] Temporada no capturada ()", IF(ISNA(MATCH(N22, Criterios!$C$123:$C$128, 0)), "Temporada no válida", "")), IF(OR(O22="", O22=""), "[Aviso] Ciclo de vida no capturado ()", IF(ISNA(MATCH(O22, Criterios!$D$123:$D$124, 0)), "Ciclo de vida no válido", ""))))</f>
        <v/>
      </c>
      <c r="AC22" s="56" t="inlineStr">
        <is>
          <t>Homologación G1522: integra 1 registro(s) iguales por mismo WB SKU; códigos de barras alternos: 7503063066929</t>
        </is>
      </c>
      <c r="AD22" s="51" t="n">
        <v>2</v>
      </c>
      <c r="AE22" s="156" t="inlineStr">
        <is>
          <t>WB OUTLET LERMA (2)</t>
        </is>
      </c>
      <c r="AF22" s="51" t="n">
        <v>2</v>
      </c>
      <c r="AG22" s="156" t="inlineStr">
        <is>
          <t>Catálogo existente</t>
        </is>
      </c>
      <c r="AH22" s="156" t="inlineStr">
        <is>
          <t>Coincidencia por código de barras (ID NetSuite 117928) | ID alternativo de Hoja a Revisar 117928 (UPC coincidente); se conserva ID principal; Auditoría NetSuite 30/09/2026: llenado desde NetSuite [Z]; Vinculado por código de barras al ID NetSuite 117928 (antes en Identificador interno: 'C49733-27-34'); 01/10/2026: mismo SKU registrado también en fila 67744 con código 7503063066929 (ID 30919,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«7503063066929» → «7506674601114» (Requiere revisión) · WB Descripcion: «Cinturón de hombre C49733-27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22" s="156" t="inlineStr">
        <is>
          <t>No</t>
        </is>
      </c>
      <c r="AJ22" s="156" t="n"/>
      <c r="AK22" s="155" t="inlineStr">
        <is>
          <t>| Hoja a Revisar: fila 196091 (ID 117928, misma clave UPC); G1522_Extraccion_Articulos_NetSuite_2026-09-30.xlsx: fila 64169 [Z] | Shopify WB: producto 10310436749497 / variante 50512591618233; Hoja3: fila 725 | Odoo: producto 30919 / plantilla 39654</t>
        </is>
      </c>
      <c r="AL22" s="58" t="inlineStr">
        <is>
          <t>344,48</t>
        </is>
      </c>
      <c r="AM22" s="58" t="n"/>
      <c r="AN22" s="155" t="inlineStr">
        <is>
          <t>Shopify Western Brothers; Odoo Universal Unique Brands</t>
        </is>
      </c>
      <c r="AO22" s="59" t="n"/>
      <c r="AP22" s="59" t="n">
        <v>2</v>
      </c>
      <c r="AQ22" s="59" t="n">
        <v>10</v>
      </c>
      <c r="AR22" s="155" t="inlineStr">
        <is>
          <t>Shopify Western Brothers › Western Brothers Outlet Lerma: 2; Odoo Universal Unique Brands › Bodega 25 › Bodega 25/General: 10</t>
        </is>
      </c>
    </row>
    <row r="23">
      <c r="A23" s="50" t="inlineStr">
        <is>
          <t>7506674601121</t>
        </is>
      </c>
      <c r="B23" s="51" t="inlineStr">
        <is>
          <t>117929</t>
        </is>
      </c>
      <c r="C23" s="156" t="inlineStr">
        <is>
          <t>Wrangler</t>
        </is>
      </c>
      <c r="D23" s="156" t="inlineStr">
        <is>
          <t>C49733-27</t>
        </is>
      </c>
      <c r="E23" s="156" t="inlineStr">
        <is>
          <t>C49733-27-36</t>
        </is>
      </c>
      <c r="F23" s="156" t="inlineStr">
        <is>
          <t>36</t>
        </is>
      </c>
      <c r="G23" s="156" t="inlineStr">
        <is>
          <t>36</t>
        </is>
      </c>
      <c r="H23" s="156" t="inlineStr">
        <is>
          <t>Wrangler</t>
        </is>
      </c>
      <c r="I23" s="156" t="inlineStr">
        <is>
          <t>Cinturón Wrangler Una Vista Casual para Hombre, Color Cafe</t>
        </is>
      </c>
      <c r="J23" s="156" t="inlineStr">
        <is>
          <t>Accesorios</t>
        </is>
      </c>
      <c r="K23" s="156" t="inlineStr">
        <is>
          <t>Cinturones</t>
        </is>
      </c>
      <c r="L23" s="156" t="inlineStr">
        <is>
          <t>Hombre</t>
        </is>
      </c>
      <c r="M23" s="156" t="inlineStr">
        <is>
          <t>Wrangler</t>
        </is>
      </c>
      <c r="N23" s="156" t="inlineStr">
        <is>
          <t>SS26</t>
        </is>
      </c>
      <c r="O23" s="156" t="inlineStr">
        <is>
          <t>Seasonal</t>
        </is>
      </c>
      <c r="P23" s="156" t="inlineStr">
        <is>
          <t>Cafe</t>
        </is>
      </c>
      <c r="Q23" s="156" t="n"/>
      <c r="R23" s="156" t="n"/>
      <c r="S23" s="156" t="inlineStr">
        <is>
          <t>100% piel de vacuno</t>
        </is>
      </c>
      <c r="T23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23" s="156" t="inlineStr">
        <is>
          <t>México</t>
        </is>
      </c>
      <c r="V23" s="156" t="inlineStr">
        <is>
          <t>PZS</t>
        </is>
      </c>
      <c r="W23" s="51" t="inlineStr">
        <is>
          <t>53102501</t>
        </is>
      </c>
      <c r="X23" s="156" t="n"/>
      <c r="Y23" s="54" t="n">
        <v>344.48</v>
      </c>
      <c r="Z23" s="54" t="n">
        <v>949</v>
      </c>
      <c r="AA23" s="55">
        <f>IF(AND(A23="", B23="", E23=""), "", IF(AB23="", "Válido", IF((LEN(AB23)-LEN(SUBSTITUTE(AB23,"; ","")))/2+1&gt;(LEN(AB23)-LEN(SUBSTITUTE(AB23,"[Aviso]","")))/7, "Con Incidencias", "Válido")))</f>
        <v/>
      </c>
      <c r="AB23" s="56">
        <f>IF(AND(A23="", B23="", E23=""), "", TEXTJOIN("; ", TRUE, IF(OR(TRIM(A23&amp;"")="", ISNUMBER(SEARCH("FALTA", A23))), "UPC faltante/inválido", ""), IF(AND(A23&lt;&gt;"", IFERROR(_xlfn.XMATCH(A23,$A$2:$A$1063,0,1)&lt;&gt;_xlfn.XMATCH(A23,$A$2:$A$1063,0,-1),FALSE)), "Código de barras duplicado", ""), IF(AND(E23&lt;&gt;"", COUNTIF($E$2:$E$1063, E23)&gt;1), "SKU duplicado", ""), IF(OR(J23="", J23=""), "[Aviso] División no capturada ()", IF(ISNA(MATCH(J23, Criterios!$A$123:$A$126, 0)), "División no válida", "")), IF(OR(K23="", K23=""), "[Aviso] Categoría no capturada ()", IF(ISNA(MATCH(K23, Criterios!$A$81:$A$120, 0)), "Categoría no válida", IF(AND(J23&lt;&gt;"", J23&lt;&gt;"", J23&lt;&gt;VLOOKUP(K23, Criterios!$A$81:$B$120, 2, FALSE)), "División no coincide con Categoría", ""))), IF(OR(L23="", L23=""), "[Aviso] Género no capturado ()", IF(ISNA(MATCH(L23, Criterios!$B$123:$B$127, 0)), "Género no válido", "")), IF(OR(N23="", N23=""), "[Aviso] Temporada no capturada ()", IF(ISNA(MATCH(N23, Criterios!$C$123:$C$128, 0)), "Temporada no válida", "")), IF(OR(O23="", O23=""), "[Aviso] Ciclo de vida no capturado ()", IF(ISNA(MATCH(O23, Criterios!$D$123:$D$124, 0)), "Ciclo de vida no válido", ""))))</f>
        <v/>
      </c>
      <c r="AC23" s="56" t="inlineStr">
        <is>
          <t>Homologación G1522: integra 1 registro(s) iguales por mismo WB SKU; códigos de barras alternos: 7503063066936</t>
        </is>
      </c>
      <c r="AD23" s="51" t="n">
        <v>1</v>
      </c>
      <c r="AE23" s="156" t="inlineStr">
        <is>
          <t>WB OUTLET LERMA (1)</t>
        </is>
      </c>
      <c r="AF23" s="51" t="n">
        <v>1</v>
      </c>
      <c r="AG23" s="156" t="inlineStr">
        <is>
          <t>Catálogo existente</t>
        </is>
      </c>
      <c r="AH23" s="156" t="inlineStr">
        <is>
          <t>Coincidencia por código de barras (ID NetSuite 117929) | ID alternativo de Hoja a Revisar 117929 (UPC coincidente); se conserva ID principal; Auditoría NetSuite 30/09/2026: llenado desde NetSuite [Z]; Vinculado por código de barras al ID NetSuite 117929 (antes en Identificador interno: 'C49733-27-36'); 01/10/2026: mismo SKU registrado también en fila 67745 con código 7503063066936 (ID 30920,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«7503063066936» → «7506674601121» (Requiere revisión) · WB Descripcion: «Cinturón de hombre C49733-27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23" s="156" t="inlineStr">
        <is>
          <t>No</t>
        </is>
      </c>
      <c r="AJ23" s="156" t="n"/>
      <c r="AK23" s="155" t="inlineStr">
        <is>
          <t>| Hoja a Revisar: fila 196092 (ID 117929, misma clave UPC); G1522_Extraccion_Articulos_NetSuite_2026-09-30.xlsx: fila 64170 [Z] | Shopify WB: producto 10310436749497 / variante 50512591651001; Hoja3: fila 726 | Odoo: producto 30920 / plantilla 39654</t>
        </is>
      </c>
      <c r="AL23" s="58" t="inlineStr">
        <is>
          <t>344,48</t>
        </is>
      </c>
      <c r="AM23" s="58" t="n"/>
      <c r="AN23" s="155" t="inlineStr">
        <is>
          <t>Shopify Western Brothers; Odoo Universal Unique Brands</t>
        </is>
      </c>
      <c r="AO23" s="59" t="n"/>
      <c r="AP23" s="59" t="n">
        <v>1</v>
      </c>
      <c r="AQ23" s="59" t="n">
        <v>10</v>
      </c>
      <c r="AR23" s="155" t="inlineStr">
        <is>
          <t>Shopify Western Brothers › Western Brothers Outlet Lerma: 1; Odoo Universal Unique Brands › Bodega 25 › Bodega 25/General: 10</t>
        </is>
      </c>
    </row>
    <row r="24">
      <c r="A24" s="50" t="inlineStr">
        <is>
          <t>7506674601138</t>
        </is>
      </c>
      <c r="B24" s="51" t="inlineStr">
        <is>
          <t>117930</t>
        </is>
      </c>
      <c r="C24" s="156" t="inlineStr">
        <is>
          <t>Wrangler</t>
        </is>
      </c>
      <c r="D24" s="156" t="inlineStr">
        <is>
          <t>C49733-27</t>
        </is>
      </c>
      <c r="E24" s="156" t="inlineStr">
        <is>
          <t>C49733-27-38</t>
        </is>
      </c>
      <c r="F24" s="156" t="inlineStr">
        <is>
          <t>38</t>
        </is>
      </c>
      <c r="G24" s="156" t="inlineStr">
        <is>
          <t>38</t>
        </is>
      </c>
      <c r="H24" s="156" t="inlineStr">
        <is>
          <t>Wrangler</t>
        </is>
      </c>
      <c r="I24" s="156" t="inlineStr">
        <is>
          <t>Cinturón Wrangler Una Vista Casual para Hombre, Color Cafe</t>
        </is>
      </c>
      <c r="J24" s="156" t="inlineStr">
        <is>
          <t>Accesorios</t>
        </is>
      </c>
      <c r="K24" s="156" t="inlineStr">
        <is>
          <t>Cinturones</t>
        </is>
      </c>
      <c r="L24" s="156" t="inlineStr">
        <is>
          <t>Hombre</t>
        </is>
      </c>
      <c r="M24" s="156" t="inlineStr">
        <is>
          <t>Wrangler</t>
        </is>
      </c>
      <c r="N24" s="156" t="inlineStr">
        <is>
          <t>SS26</t>
        </is>
      </c>
      <c r="O24" s="156" t="inlineStr">
        <is>
          <t>Seasonal</t>
        </is>
      </c>
      <c r="P24" s="156" t="inlineStr">
        <is>
          <t>Cafe</t>
        </is>
      </c>
      <c r="Q24" s="156" t="n"/>
      <c r="R24" s="156" t="n"/>
      <c r="S24" s="156" t="inlineStr">
        <is>
          <t>100% piel de vacuno</t>
        </is>
      </c>
      <c r="T24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24" s="156" t="inlineStr">
        <is>
          <t>México</t>
        </is>
      </c>
      <c r="V24" s="156" t="inlineStr">
        <is>
          <t>PZS</t>
        </is>
      </c>
      <c r="W24" s="51" t="inlineStr">
        <is>
          <t>53102501</t>
        </is>
      </c>
      <c r="X24" s="156" t="n"/>
      <c r="Y24" s="54" t="n">
        <v>344.48</v>
      </c>
      <c r="Z24" s="54" t="n">
        <v>949</v>
      </c>
      <c r="AA24" s="55">
        <f>IF(AND(A24="", B24="", E24=""), "", IF(AB24="", "Válido", IF((LEN(AB24)-LEN(SUBSTITUTE(AB24,"; ","")))/2+1&gt;(LEN(AB24)-LEN(SUBSTITUTE(AB24,"[Aviso]","")))/7, "Con Incidencias", "Válido")))</f>
        <v/>
      </c>
      <c r="AB24" s="56">
        <f>IF(AND(A24="", B24="", E24=""), "", TEXTJOIN("; ", TRUE, IF(OR(TRIM(A24&amp;"")="", ISNUMBER(SEARCH("FALTA", A24))), "UPC faltante/inválido", ""), IF(AND(A24&lt;&gt;"", IFERROR(_xlfn.XMATCH(A24,$A$2:$A$1063,0,1)&lt;&gt;_xlfn.XMATCH(A24,$A$2:$A$1063,0,-1),FALSE)), "Código de barras duplicado", ""), IF(AND(E24&lt;&gt;"", COUNTIF($E$2:$E$1063, E24)&gt;1), "SKU duplicado", ""), IF(OR(J24="", J24=""), "[Aviso] División no capturada ()", IF(ISNA(MATCH(J24, Criterios!$A$123:$A$126, 0)), "División no válida", "")), IF(OR(K24="", K24=""), "[Aviso] Categoría no capturada ()", IF(ISNA(MATCH(K24, Criterios!$A$81:$A$120, 0)), "Categoría no válida", IF(AND(J24&lt;&gt;"", J24&lt;&gt;"", J24&lt;&gt;VLOOKUP(K24, Criterios!$A$81:$B$120, 2, FALSE)), "División no coincide con Categoría", ""))), IF(OR(L24="", L24=""), "[Aviso] Género no capturado ()", IF(ISNA(MATCH(L24, Criterios!$B$123:$B$127, 0)), "Género no válido", "")), IF(OR(N24="", N24=""), "[Aviso] Temporada no capturada ()", IF(ISNA(MATCH(N24, Criterios!$C$123:$C$128, 0)), "Temporada no válida", "")), IF(OR(O24="", O24=""), "[Aviso] Ciclo de vida no capturado ()", IF(ISNA(MATCH(O24, Criterios!$D$123:$D$124, 0)), "Ciclo de vida no válido", ""))))</f>
        <v/>
      </c>
      <c r="AC24" s="56" t="inlineStr">
        <is>
          <t>Homologación G1522: integra 1 registro(s) iguales por mismo WB SKU; códigos de barras alternos: 7503063066943</t>
        </is>
      </c>
      <c r="AD24" s="51" t="n">
        <v>3</v>
      </c>
      <c r="AE24" s="156" t="inlineStr">
        <is>
          <t>WB OUTLET LERMA (3)</t>
        </is>
      </c>
      <c r="AF24" s="51" t="n">
        <v>3</v>
      </c>
      <c r="AG24" s="156" t="inlineStr">
        <is>
          <t>Catálogo existente</t>
        </is>
      </c>
      <c r="AH24" s="156" t="inlineStr">
        <is>
          <t>Coincidencia por código de barras (ID NetSuite 117930) | ID alternativo de Hoja a Revisar 117930 (UPC coincidente); se conserva ID principal; Auditoría NetSuite 30/09/2026: llenado desde NetSuite [Z]; Vinculado por código de barras al ID NetSuite 117930 (antes en Identificador interno: 'C49733-27-38'); 01/10/2026: mismo SKU registrado también en fila 67746 con código 7503063066943 (ID 30921,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«7503063066943» → «7506674601138» (Requiere revisión) · WB Descripcion: «Cinturón de hombre C49733-27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24" s="156" t="inlineStr">
        <is>
          <t>No</t>
        </is>
      </c>
      <c r="AJ24" s="156" t="n"/>
      <c r="AK24" s="155" t="inlineStr">
        <is>
          <t>| Hoja a Revisar: fila 196093 (ID 117930, misma clave UPC); G1522_Extraccion_Articulos_NetSuite_2026-09-30.xlsx: fila 64171 [Z] | Shopify WB: producto 10310436749497 / variante 50512591683769; Hoja3: fila 727 | Odoo: producto 30921 / plantilla 39654</t>
        </is>
      </c>
      <c r="AL24" s="58" t="inlineStr">
        <is>
          <t>344,48</t>
        </is>
      </c>
      <c r="AM24" s="58" t="n"/>
      <c r="AN24" s="155" t="inlineStr">
        <is>
          <t>Shopify Western Brothers; Odoo Universal Unique Brands</t>
        </is>
      </c>
      <c r="AO24" s="59" t="n"/>
      <c r="AP24" s="59" t="n">
        <v>3</v>
      </c>
      <c r="AQ24" s="59" t="n">
        <v>15</v>
      </c>
      <c r="AR24" s="155" t="inlineStr">
        <is>
          <t>Shopify Western Brothers › Western Brothers Outlet Lerma: 3; Odoo Universal Unique Brands › Bodega 25 › Bodega 25/General: 15</t>
        </is>
      </c>
    </row>
    <row r="25">
      <c r="A25" s="50" t="inlineStr">
        <is>
          <t>7506674601145</t>
        </is>
      </c>
      <c r="B25" s="51" t="inlineStr">
        <is>
          <t>117931</t>
        </is>
      </c>
      <c r="C25" s="156" t="inlineStr">
        <is>
          <t>Wrangler</t>
        </is>
      </c>
      <c r="D25" s="156" t="inlineStr">
        <is>
          <t>C49733-27</t>
        </is>
      </c>
      <c r="E25" s="156" t="inlineStr">
        <is>
          <t>C49733-27-40</t>
        </is>
      </c>
      <c r="F25" s="156" t="inlineStr">
        <is>
          <t>40</t>
        </is>
      </c>
      <c r="G25" s="156" t="inlineStr">
        <is>
          <t>40</t>
        </is>
      </c>
      <c r="H25" s="156" t="inlineStr">
        <is>
          <t>Wrangler</t>
        </is>
      </c>
      <c r="I25" s="156" t="inlineStr">
        <is>
          <t>Cinturón Wrangler Una Vista Casual para Hombre, Color Cafe</t>
        </is>
      </c>
      <c r="J25" s="156" t="inlineStr">
        <is>
          <t>Accesorios</t>
        </is>
      </c>
      <c r="K25" s="156" t="inlineStr">
        <is>
          <t>Cinturones</t>
        </is>
      </c>
      <c r="L25" s="156" t="inlineStr">
        <is>
          <t>Hombre</t>
        </is>
      </c>
      <c r="M25" s="156" t="inlineStr">
        <is>
          <t>Wrangler</t>
        </is>
      </c>
      <c r="N25" s="156" t="inlineStr">
        <is>
          <t>SS26</t>
        </is>
      </c>
      <c r="O25" s="156" t="inlineStr">
        <is>
          <t>Seasonal</t>
        </is>
      </c>
      <c r="P25" s="156" t="inlineStr">
        <is>
          <t>Cafe</t>
        </is>
      </c>
      <c r="Q25" s="156" t="n"/>
      <c r="R25" s="156" t="n"/>
      <c r="S25" s="156" t="inlineStr">
        <is>
          <t>100% piel de vacuno</t>
        </is>
      </c>
      <c r="T25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25" s="156" t="inlineStr">
        <is>
          <t>México</t>
        </is>
      </c>
      <c r="V25" s="156" t="inlineStr">
        <is>
          <t>PZS</t>
        </is>
      </c>
      <c r="W25" s="51" t="inlineStr">
        <is>
          <t>53102501</t>
        </is>
      </c>
      <c r="X25" s="156" t="n"/>
      <c r="Y25" s="54" t="n">
        <v>344.48</v>
      </c>
      <c r="Z25" s="54" t="n">
        <v>949</v>
      </c>
      <c r="AA25" s="55">
        <f>IF(AND(A25="", B25="", E25=""), "", IF(AB25="", "Válido", IF((LEN(AB25)-LEN(SUBSTITUTE(AB25,"; ","")))/2+1&gt;(LEN(AB25)-LEN(SUBSTITUTE(AB25,"[Aviso]","")))/7, "Con Incidencias", "Válido")))</f>
        <v/>
      </c>
      <c r="AB25" s="56">
        <f>IF(AND(A25="", B25="", E25=""), "", TEXTJOIN("; ", TRUE, IF(OR(TRIM(A25&amp;"")="", ISNUMBER(SEARCH("FALTA", A25))), "UPC faltante/inválido", ""), IF(AND(A25&lt;&gt;"", IFERROR(_xlfn.XMATCH(A25,$A$2:$A$1063,0,1)&lt;&gt;_xlfn.XMATCH(A25,$A$2:$A$1063,0,-1),FALSE)), "Código de barras duplicado", ""), IF(AND(E25&lt;&gt;"", COUNTIF($E$2:$E$1063, E25)&gt;1), "SKU duplicado", ""), IF(OR(J25="", J25=""), "[Aviso] División no capturada ()", IF(ISNA(MATCH(J25, Criterios!$A$123:$A$126, 0)), "División no válida", "")), IF(OR(K25="", K25=""), "[Aviso] Categoría no capturada ()", IF(ISNA(MATCH(K25, Criterios!$A$81:$A$120, 0)), "Categoría no válida", IF(AND(J25&lt;&gt;"", J25&lt;&gt;"", J25&lt;&gt;VLOOKUP(K25, Criterios!$A$81:$B$120, 2, FALSE)), "División no coincide con Categoría", ""))), IF(OR(L25="", L25=""), "[Aviso] Género no capturado ()", IF(ISNA(MATCH(L25, Criterios!$B$123:$B$127, 0)), "Género no válido", "")), IF(OR(N25="", N25=""), "[Aviso] Temporada no capturada ()", IF(ISNA(MATCH(N25, Criterios!$C$123:$C$128, 0)), "Temporada no válida", "")), IF(OR(O25="", O25=""), "[Aviso] Ciclo de vida no capturado ()", IF(ISNA(MATCH(O25, Criterios!$D$123:$D$124, 0)), "Ciclo de vida no válido", ""))))</f>
        <v/>
      </c>
      <c r="AC25" s="56" t="inlineStr">
        <is>
          <t>Homologación G1522: integra 1 registro(s) iguales por mismo WB SKU; códigos de barras alternos: 7503063066950</t>
        </is>
      </c>
      <c r="AD25" s="51" t="n">
        <v>2</v>
      </c>
      <c r="AE25" s="156" t="inlineStr">
        <is>
          <t>WB OUTLET LERMA (2)</t>
        </is>
      </c>
      <c r="AF25" s="51" t="n">
        <v>2</v>
      </c>
      <c r="AG25" s="156" t="inlineStr">
        <is>
          <t>Catálogo existente</t>
        </is>
      </c>
      <c r="AH25" s="156" t="inlineStr">
        <is>
          <t>Coincidencia por código de barras (ID NetSuite 117931) | ID alternativo de Hoja a Revisar 117931 (UPC coincidente); se conserva ID principal; Auditoría NetSuite 30/09/2026: llenado desde NetSuite [Z]; Vinculado por código de barras al ID NetSuite 117931 (antes en Identificador interno: 'C49733-27-40'); 01/10/2026: mismo SKU registrado también en fila 67747 con código 7503063066950 (ID 30922,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«7503063066950» → «7506674601145» (Requiere revisión) · WB Descripcion: «Cinturón de hombre C49733-27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25" s="156" t="inlineStr">
        <is>
          <t>No</t>
        </is>
      </c>
      <c r="AJ25" s="156" t="n"/>
      <c r="AK25" s="155" t="inlineStr">
        <is>
          <t>| Hoja a Revisar: fila 196094 (ID 117931, misma clave UPC); G1522_Extraccion_Articulos_NetSuite_2026-09-30.xlsx: fila 64172 [Z] | Shopify WB: producto 10310436749497 / variante 50512591716537; Hoja3: fila 728 | Odoo: producto 30922 / plantilla 39654</t>
        </is>
      </c>
      <c r="AL25" s="58" t="inlineStr">
        <is>
          <t>344,48</t>
        </is>
      </c>
      <c r="AM25" s="58" t="n"/>
      <c r="AN25" s="155" t="inlineStr">
        <is>
          <t>Shopify Western Brothers; Odoo Universal Unique Brands</t>
        </is>
      </c>
      <c r="AO25" s="59" t="n"/>
      <c r="AP25" s="59" t="n">
        <v>2</v>
      </c>
      <c r="AQ25" s="59" t="n">
        <v>22</v>
      </c>
      <c r="AR25" s="155" t="inlineStr">
        <is>
          <t>Shopify Western Brothers › Western Brothers Outlet Lerma: 2; Odoo Universal Unique Brands › Bodega 25 › Bodega 25/General: 22</t>
        </is>
      </c>
    </row>
    <row r="26">
      <c r="A26" s="50" t="inlineStr">
        <is>
          <t>7506674601152</t>
        </is>
      </c>
      <c r="B26" s="51" t="inlineStr">
        <is>
          <t>117932</t>
        </is>
      </c>
      <c r="C26" s="156" t="inlineStr">
        <is>
          <t>Wrangler</t>
        </is>
      </c>
      <c r="D26" s="156" t="inlineStr">
        <is>
          <t>C49733-27</t>
        </is>
      </c>
      <c r="E26" s="156" t="inlineStr">
        <is>
          <t>C49733-27-42</t>
        </is>
      </c>
      <c r="F26" s="156" t="inlineStr">
        <is>
          <t>42</t>
        </is>
      </c>
      <c r="G26" s="156" t="inlineStr">
        <is>
          <t>42</t>
        </is>
      </c>
      <c r="H26" s="156" t="inlineStr">
        <is>
          <t>Wrangler</t>
        </is>
      </c>
      <c r="I26" s="156" t="inlineStr">
        <is>
          <t>Cinturón Wrangler Una Vista Casual para Hombre, Color Cafe</t>
        </is>
      </c>
      <c r="J26" s="156" t="inlineStr">
        <is>
          <t>Accesorios</t>
        </is>
      </c>
      <c r="K26" s="156" t="inlineStr">
        <is>
          <t>Cinturones</t>
        </is>
      </c>
      <c r="L26" s="156" t="inlineStr">
        <is>
          <t>Hombre</t>
        </is>
      </c>
      <c r="M26" s="156" t="inlineStr">
        <is>
          <t>Wrangler</t>
        </is>
      </c>
      <c r="N26" s="156" t="inlineStr">
        <is>
          <t>SS26</t>
        </is>
      </c>
      <c r="O26" s="156" t="inlineStr">
        <is>
          <t>Seasonal</t>
        </is>
      </c>
      <c r="P26" s="156" t="inlineStr">
        <is>
          <t>Cafe</t>
        </is>
      </c>
      <c r="Q26" s="156" t="n"/>
      <c r="R26" s="156" t="n"/>
      <c r="S26" s="156" t="inlineStr">
        <is>
          <t>100% piel de vacuno</t>
        </is>
      </c>
      <c r="T26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26" s="156" t="inlineStr">
        <is>
          <t>México</t>
        </is>
      </c>
      <c r="V26" s="156" t="inlineStr">
        <is>
          <t>PZS</t>
        </is>
      </c>
      <c r="W26" s="51" t="inlineStr">
        <is>
          <t>53102501</t>
        </is>
      </c>
      <c r="X26" s="156" t="n"/>
      <c r="Y26" s="54" t="n">
        <v>344.48</v>
      </c>
      <c r="Z26" s="54" t="n">
        <v>949</v>
      </c>
      <c r="AA26" s="55">
        <f>IF(AND(A26="", B26="", E26=""), "", IF(AB26="", "Válido", IF((LEN(AB26)-LEN(SUBSTITUTE(AB26,"; ","")))/2+1&gt;(LEN(AB26)-LEN(SUBSTITUTE(AB26,"[Aviso]","")))/7, "Con Incidencias", "Válido")))</f>
        <v/>
      </c>
      <c r="AB26" s="56">
        <f>IF(AND(A26="", B26="", E26=""), "", TEXTJOIN("; ", TRUE, IF(OR(TRIM(A26&amp;"")="", ISNUMBER(SEARCH("FALTA", A26))), "UPC faltante/inválido", ""), IF(AND(A26&lt;&gt;"", IFERROR(_xlfn.XMATCH(A26,$A$2:$A$1063,0,1)&lt;&gt;_xlfn.XMATCH(A26,$A$2:$A$1063,0,-1),FALSE)), "Código de barras duplicado", ""), IF(AND(E26&lt;&gt;"", COUNTIF($E$2:$E$1063, E26)&gt;1), "SKU duplicado", ""), IF(OR(J26="", J26=""), "[Aviso] División no capturada ()", IF(ISNA(MATCH(J26, Criterios!$A$123:$A$126, 0)), "División no válida", "")), IF(OR(K26="", K26=""), "[Aviso] Categoría no capturada ()", IF(ISNA(MATCH(K26, Criterios!$A$81:$A$120, 0)), "Categoría no válida", IF(AND(J26&lt;&gt;"", J26&lt;&gt;"", J26&lt;&gt;VLOOKUP(K26, Criterios!$A$81:$B$120, 2, FALSE)), "División no coincide con Categoría", ""))), IF(OR(L26="", L26=""), "[Aviso] Género no capturado ()", IF(ISNA(MATCH(L26, Criterios!$B$123:$B$127, 0)), "Género no válido", "")), IF(OR(N26="", N26=""), "[Aviso] Temporada no capturada ()", IF(ISNA(MATCH(N26, Criterios!$C$123:$C$128, 0)), "Temporada no válida", "")), IF(OR(O26="", O26=""), "[Aviso] Ciclo de vida no capturado ()", IF(ISNA(MATCH(O26, Criterios!$D$123:$D$124, 0)), "Ciclo de vida no válido", ""))))</f>
        <v/>
      </c>
      <c r="AC26" s="56" t="inlineStr">
        <is>
          <t>Homologación G1522: integra 1 registro(s) iguales por mismo WB SKU; códigos de barras alternos: 7503063066967</t>
        </is>
      </c>
      <c r="AD26" s="51" t="n">
        <v>2</v>
      </c>
      <c r="AE26" s="156" t="inlineStr">
        <is>
          <t>WB OUTLET LERMA (2)</t>
        </is>
      </c>
      <c r="AF26" s="51" t="n">
        <v>2</v>
      </c>
      <c r="AG26" s="156" t="inlineStr">
        <is>
          <t>Catálogo existente</t>
        </is>
      </c>
      <c r="AH26" s="156" t="inlineStr">
        <is>
          <t>Coincidencia por código de barras (ID NetSuite 117932) | ID alternativo de Hoja a Revisar 117932 (UPC coincidente); se conserva ID principal; Auditoría NetSuite 30/09/2026: llenado desde NetSuite [Z]; Vinculado por código de barras al ID NetSuite 117932 (antes en Identificador interno: 'C49733-27-42'); 01/10/2026: mismo SKU registrado también en fila 67748 con código 7503063066967 (ID 30923,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«7503063066967» → «7506674601152» (Requiere revisión) · WB Descripcion: «Cinturón de hombre C49733-27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26" s="156" t="inlineStr">
        <is>
          <t>No</t>
        </is>
      </c>
      <c r="AJ26" s="156" t="n"/>
      <c r="AK26" s="155" t="inlineStr">
        <is>
          <t>| Hoja a Revisar: fila 196095 (ID 117932, misma clave UPC); G1522_Extraccion_Articulos_NetSuite_2026-09-30.xlsx: fila 64173 [Z] | Shopify WB: producto 10310436749497 / variante 50512591749305; Hoja3: fila 729 | Odoo: producto 30923 / plantilla 39654</t>
        </is>
      </c>
      <c r="AL26" s="58" t="inlineStr">
        <is>
          <t>344,48</t>
        </is>
      </c>
      <c r="AM26" s="58" t="n"/>
      <c r="AN26" s="155" t="inlineStr">
        <is>
          <t>Shopify Western Brothers; Odoo Universal Unique Brands</t>
        </is>
      </c>
      <c r="AO26" s="59" t="n"/>
      <c r="AP26" s="59" t="n">
        <v>2</v>
      </c>
      <c r="AQ26" s="59" t="n">
        <v>22</v>
      </c>
      <c r="AR26" s="155" t="inlineStr">
        <is>
          <t>Shopify Western Brothers › Western Brothers Outlet Lerma: 2; Odoo Universal Unique Brands › Bodega 25 › Bodega 25/General: 22</t>
        </is>
      </c>
    </row>
    <row r="27">
      <c r="A27" s="50" t="inlineStr">
        <is>
          <t>7506674601169</t>
        </is>
      </c>
      <c r="B27" s="51" t="inlineStr">
        <is>
          <t>117933</t>
        </is>
      </c>
      <c r="C27" s="156" t="inlineStr">
        <is>
          <t>Wrangler</t>
        </is>
      </c>
      <c r="D27" s="156" t="inlineStr">
        <is>
          <t>C49733-27</t>
        </is>
      </c>
      <c r="E27" s="156" t="inlineStr">
        <is>
          <t>C49733-27-44</t>
        </is>
      </c>
      <c r="F27" s="156" t="inlineStr">
        <is>
          <t>44</t>
        </is>
      </c>
      <c r="G27" s="156" t="inlineStr">
        <is>
          <t>44</t>
        </is>
      </c>
      <c r="H27" s="156" t="inlineStr">
        <is>
          <t>Wrangler</t>
        </is>
      </c>
      <c r="I27" s="156" t="inlineStr">
        <is>
          <t>Cinturón Wrangler Una Vista Casual para Hombre, Color Cafe</t>
        </is>
      </c>
      <c r="J27" s="156" t="inlineStr">
        <is>
          <t>Accesorios</t>
        </is>
      </c>
      <c r="K27" s="156" t="inlineStr">
        <is>
          <t>Cinturones</t>
        </is>
      </c>
      <c r="L27" s="156" t="inlineStr">
        <is>
          <t>Hombre</t>
        </is>
      </c>
      <c r="M27" s="156" t="inlineStr">
        <is>
          <t>Wrangler</t>
        </is>
      </c>
      <c r="N27" s="156" t="inlineStr">
        <is>
          <t>SS26</t>
        </is>
      </c>
      <c r="O27" s="156" t="inlineStr">
        <is>
          <t>Seasonal</t>
        </is>
      </c>
      <c r="P27" s="156" t="inlineStr">
        <is>
          <t>Cafe</t>
        </is>
      </c>
      <c r="Q27" s="156" t="n"/>
      <c r="R27" s="156" t="n"/>
      <c r="S27" s="156" t="inlineStr">
        <is>
          <t>100% piel de vacuno</t>
        </is>
      </c>
      <c r="T27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27" s="156" t="inlineStr">
        <is>
          <t>México</t>
        </is>
      </c>
      <c r="V27" s="156" t="inlineStr">
        <is>
          <t>PZS</t>
        </is>
      </c>
      <c r="W27" s="51" t="inlineStr">
        <is>
          <t>53102501</t>
        </is>
      </c>
      <c r="X27" s="156" t="n"/>
      <c r="Y27" s="54" t="n">
        <v>344.48</v>
      </c>
      <c r="Z27" s="54" t="n">
        <v>949</v>
      </c>
      <c r="AA27" s="55">
        <f>IF(AND(A27="", B27="", E27=""), "", IF(AB27="", "Válido", IF((LEN(AB27)-LEN(SUBSTITUTE(AB27,"; ","")))/2+1&gt;(LEN(AB27)-LEN(SUBSTITUTE(AB27,"[Aviso]","")))/7, "Con Incidencias", "Válido")))</f>
        <v/>
      </c>
      <c r="AB27" s="56">
        <f>IF(AND(A27="", B27="", E27=""), "", TEXTJOIN("; ", TRUE, IF(OR(TRIM(A27&amp;"")="", ISNUMBER(SEARCH("FALTA", A27))), "UPC faltante/inválido", ""), IF(AND(A27&lt;&gt;"", IFERROR(_xlfn.XMATCH(A27,$A$2:$A$1063,0,1)&lt;&gt;_xlfn.XMATCH(A27,$A$2:$A$1063,0,-1),FALSE)), "Código de barras duplicado", ""), IF(AND(E27&lt;&gt;"", COUNTIF($E$2:$E$1063, E27)&gt;1), "SKU duplicado", ""), IF(OR(J27="", J27=""), "[Aviso] División no capturada ()", IF(ISNA(MATCH(J27, Criterios!$A$123:$A$126, 0)), "División no válida", "")), IF(OR(K27="", K27=""), "[Aviso] Categoría no capturada ()", IF(ISNA(MATCH(K27, Criterios!$A$81:$A$120, 0)), "Categoría no válida", IF(AND(J27&lt;&gt;"", J27&lt;&gt;"", J27&lt;&gt;VLOOKUP(K27, Criterios!$A$81:$B$120, 2, FALSE)), "División no coincide con Categoría", ""))), IF(OR(L27="", L27=""), "[Aviso] Género no capturado ()", IF(ISNA(MATCH(L27, Criterios!$B$123:$B$127, 0)), "Género no válido", "")), IF(OR(N27="", N27=""), "[Aviso] Temporada no capturada ()", IF(ISNA(MATCH(N27, Criterios!$C$123:$C$128, 0)), "Temporada no válida", "")), IF(OR(O27="", O27=""), "[Aviso] Ciclo de vida no capturado ()", IF(ISNA(MATCH(O27, Criterios!$D$123:$D$124, 0)), "Ciclo de vida no válido", ""))))</f>
        <v/>
      </c>
      <c r="AC27" s="56" t="inlineStr">
        <is>
          <t>Homologación G1522: integra 1 registro(s) iguales por mismo WB SKU; códigos de barras alternos: 7503063066974</t>
        </is>
      </c>
      <c r="AD27" s="51" t="n">
        <v>1</v>
      </c>
      <c r="AE27" s="156" t="inlineStr">
        <is>
          <t>WB OUTLET LERMA (1)</t>
        </is>
      </c>
      <c r="AF27" s="51" t="n">
        <v>1</v>
      </c>
      <c r="AG27" s="156" t="inlineStr">
        <is>
          <t>Catálogo existente</t>
        </is>
      </c>
      <c r="AH27" s="156" t="inlineStr">
        <is>
          <t>Coincidencia por código de barras (ID NetSuite 117933) | ID alternativo de Hoja a Revisar 117933 (UPC coincidente); se conserva ID principal; Auditoría NetSuite 30/09/2026: llenado desde NetSuite [Z]; Vinculado por código de barras al ID NetSuite 117933 (antes en Identificador interno: 'C49733-27-44'); 01/10/2026: mismo SKU registrado también en fila 67749 con código 7503063066974 (ID 30924,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«7503063066974» → «7506674601169» (Requiere revisión) · WB Descripcion: «Cinturón de hombre C49733-27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27" s="156" t="inlineStr">
        <is>
          <t>No</t>
        </is>
      </c>
      <c r="AJ27" s="156" t="n"/>
      <c r="AK27" s="155" t="inlineStr">
        <is>
          <t>| Hoja a Revisar: fila 196096 (ID 117933, misma clave UPC); G1522_Extraccion_Articulos_NetSuite_2026-09-30.xlsx: fila 64174 [Z] | Shopify WB: producto 10310436749497 / variante 50512591782073; Hoja3: fila 730 | Odoo: producto 30924 / plantilla 39654</t>
        </is>
      </c>
      <c r="AL27" s="58" t="inlineStr">
        <is>
          <t>344,48</t>
        </is>
      </c>
      <c r="AM27" s="58" t="n"/>
      <c r="AN27" s="155" t="inlineStr">
        <is>
          <t>Shopify Western Brothers; Odoo Universal Unique Brands</t>
        </is>
      </c>
      <c r="AO27" s="59" t="n"/>
      <c r="AP27" s="59" t="n">
        <v>1</v>
      </c>
      <c r="AQ27" s="59" t="n">
        <v>17</v>
      </c>
      <c r="AR27" s="155" t="inlineStr">
        <is>
          <t>Shopify Western Brothers › Western Brothers Outlet Lerma: 1; Odoo Universal Unique Brands › Bodega 25 › Bodega 25/General: 17</t>
        </is>
      </c>
    </row>
    <row r="28">
      <c r="A28" s="50" t="inlineStr">
        <is>
          <t>7506674601039</t>
        </is>
      </c>
      <c r="B28" s="51" t="inlineStr">
        <is>
          <t>117913</t>
        </is>
      </c>
      <c r="C28" s="156" t="inlineStr">
        <is>
          <t>Wrangler</t>
        </is>
      </c>
      <c r="D28" s="156" t="inlineStr">
        <is>
          <t>C49732-22</t>
        </is>
      </c>
      <c r="E28" s="156" t="inlineStr">
        <is>
          <t>C49732-22-32</t>
        </is>
      </c>
      <c r="F28" s="156" t="inlineStr">
        <is>
          <t>32</t>
        </is>
      </c>
      <c r="G28" s="156" t="inlineStr">
        <is>
          <t>32</t>
        </is>
      </c>
      <c r="H28" s="156" t="inlineStr">
        <is>
          <t>Wrangler</t>
        </is>
      </c>
      <c r="I28" s="156" t="inlineStr">
        <is>
          <t>Cinturón Wrangler Una Vista Casual para Hombre, Color Beige</t>
        </is>
      </c>
      <c r="J28" s="156" t="inlineStr">
        <is>
          <t>Accesorios</t>
        </is>
      </c>
      <c r="K28" s="156" t="inlineStr">
        <is>
          <t>Cinturones</t>
        </is>
      </c>
      <c r="L28" s="156" t="inlineStr">
        <is>
          <t>Hombre</t>
        </is>
      </c>
      <c r="M28" s="156" t="inlineStr">
        <is>
          <t>Wrangler</t>
        </is>
      </c>
      <c r="N28" s="156" t="inlineStr">
        <is>
          <t>SS26</t>
        </is>
      </c>
      <c r="O28" s="156" t="inlineStr">
        <is>
          <t>Seasonal</t>
        </is>
      </c>
      <c r="P28" s="156" t="inlineStr">
        <is>
          <t>Beige</t>
        </is>
      </c>
      <c r="Q28" s="156" t="n"/>
      <c r="R28" s="156" t="n"/>
      <c r="S28" s="156" t="inlineStr">
        <is>
          <t>100% piel de vacuno</t>
        </is>
      </c>
      <c r="T28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28" s="156" t="inlineStr">
        <is>
          <t>México</t>
        </is>
      </c>
      <c r="V28" s="156" t="inlineStr">
        <is>
          <t>PZS</t>
        </is>
      </c>
      <c r="W28" s="51" t="inlineStr">
        <is>
          <t>53102501</t>
        </is>
      </c>
      <c r="X28" s="156" t="n"/>
      <c r="Y28" s="54" t="n">
        <v>344.48</v>
      </c>
      <c r="Z28" s="54" t="n">
        <v>949</v>
      </c>
      <c r="AA28" s="55">
        <f>IF(AND(A28="", B28="", E28=""), "", IF(AB28="", "Válido", IF((LEN(AB28)-LEN(SUBSTITUTE(AB28,"; ","")))/2+1&gt;(LEN(AB28)-LEN(SUBSTITUTE(AB28,"[Aviso]","")))/7, "Con Incidencias", "Válido")))</f>
        <v/>
      </c>
      <c r="AB28" s="56">
        <f>IF(AND(A28="", B28="", E28=""), "", TEXTJOIN("; ", TRUE, IF(OR(TRIM(A28&amp;"")="", ISNUMBER(SEARCH("FALTA", A28))), "UPC faltante/inválido", ""), IF(AND(A28&lt;&gt;"", IFERROR(_xlfn.XMATCH(A28,$A$2:$A$1063,0,1)&lt;&gt;_xlfn.XMATCH(A28,$A$2:$A$1063,0,-1),FALSE)), "Código de barras duplicado", ""), IF(AND(E28&lt;&gt;"", COUNTIF($E$2:$E$1063, E28)&gt;1), "SKU duplicado", ""), IF(OR(J28="", J28=""), "[Aviso] División no capturada ()", IF(ISNA(MATCH(J28, Criterios!$A$123:$A$126, 0)), "División no válida", "")), IF(OR(K28="", K28=""), "[Aviso] Categoría no capturada ()", IF(ISNA(MATCH(K28, Criterios!$A$81:$A$120, 0)), "Categoría no válida", IF(AND(J28&lt;&gt;"", J28&lt;&gt;"", J28&lt;&gt;VLOOKUP(K28, Criterios!$A$81:$B$120, 2, FALSE)), "División no coincide con Categoría", ""))), IF(OR(L28="", L28=""), "[Aviso] Género no capturado ()", IF(ISNA(MATCH(L28, Criterios!$B$123:$B$127, 0)), "Género no válido", "")), IF(OR(N28="", N28=""), "[Aviso] Temporada no capturada ()", IF(ISNA(MATCH(N28, Criterios!$C$123:$C$128, 0)), "Temporada no válida", "")), IF(OR(O28="", O28=""), "[Aviso] Ciclo de vida no capturado ()", IF(ISNA(MATCH(O28, Criterios!$D$123:$D$124, 0)), "Ciclo de vida no válido", ""))))</f>
        <v/>
      </c>
      <c r="AC28" s="56" t="n"/>
      <c r="AD28" s="51" t="n">
        <v>1</v>
      </c>
      <c r="AE28" s="156" t="inlineStr">
        <is>
          <t>WB OUTLET LERMA (1)</t>
        </is>
      </c>
      <c r="AF28" s="51" t="n">
        <v>1</v>
      </c>
      <c r="AG28" s="156" t="inlineStr">
        <is>
          <t>Catálogo existente</t>
        </is>
      </c>
      <c r="AH28" s="156" t="inlineStr">
        <is>
          <t>Coincidencia por código de barras (ID NetSuite 117913) | ID alternativo de Hoja a Revisar 117913 (UPC coincidente); se conserva ID principal; Auditoría NetSuite 30/09/2026: llenado desde NetSuite [Z]; Vinculado por código de barras al ID NetSuite 117913 (antes en Identificador interno: 'C49732-22-32'); 01/10/2026: mismo SKU registrado también en fila 67736 con código 7503063066776 (ID 30933,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Validación G1522: WB SKU duplicado · Validador NetSuite / Odoo: V4: SKU repetido · Validador Shopify: V4: SKU repetido; WB: precio con IVA no termina en 9</t>
        </is>
      </c>
      <c r="AI28" s="156" t="inlineStr">
        <is>
          <t>No</t>
        </is>
      </c>
      <c r="AJ28" s="156" t="n"/>
      <c r="AK28" s="155" t="inlineStr">
        <is>
          <t>| Hoja a Revisar: fila 196082 (ID 117913, misma clave UPC); G1522_Extraccion_Articulos_NetSuite_2026-09-30.xlsx: fila 64154 [Z] | Shopify WB: producto 10310436552889 / variante 50512590995641</t>
        </is>
      </c>
      <c r="AL28" s="58" t="inlineStr">
        <is>
          <t>344,48</t>
        </is>
      </c>
      <c r="AM28" s="58" t="n"/>
      <c r="AN28" s="155" t="inlineStr">
        <is>
          <t>Shopify Western Brothers</t>
        </is>
      </c>
      <c r="AO28" s="59" t="n"/>
      <c r="AP28" s="59" t="n">
        <v>1</v>
      </c>
      <c r="AQ28" s="59" t="n"/>
      <c r="AR28" s="155" t="inlineStr">
        <is>
          <t>Shopify Western Brothers › Western Brothers Outlet Lerma: 1</t>
        </is>
      </c>
    </row>
    <row r="29">
      <c r="A29" s="50" t="inlineStr">
        <is>
          <t>7506674601046</t>
        </is>
      </c>
      <c r="B29" s="51" t="inlineStr">
        <is>
          <t>117914</t>
        </is>
      </c>
      <c r="C29" s="156" t="inlineStr">
        <is>
          <t>Wrangler</t>
        </is>
      </c>
      <c r="D29" s="156" t="inlineStr">
        <is>
          <t>C49732-22</t>
        </is>
      </c>
      <c r="E29" s="156" t="inlineStr">
        <is>
          <t>C49732-22-34</t>
        </is>
      </c>
      <c r="F29" s="156" t="inlineStr">
        <is>
          <t>34</t>
        </is>
      </c>
      <c r="G29" s="156" t="inlineStr">
        <is>
          <t>34</t>
        </is>
      </c>
      <c r="H29" s="156" t="inlineStr">
        <is>
          <t>Wrangler</t>
        </is>
      </c>
      <c r="I29" s="156" t="inlineStr">
        <is>
          <t>Cinturón Wrangler Una Vista Casual para Hombre, Color Beige</t>
        </is>
      </c>
      <c r="J29" s="156" t="inlineStr">
        <is>
          <t>Accesorios</t>
        </is>
      </c>
      <c r="K29" s="156" t="inlineStr">
        <is>
          <t>Cinturones</t>
        </is>
      </c>
      <c r="L29" s="156" t="inlineStr">
        <is>
          <t>Hombre</t>
        </is>
      </c>
      <c r="M29" s="156" t="inlineStr">
        <is>
          <t>Wrangler</t>
        </is>
      </c>
      <c r="N29" s="156" t="inlineStr">
        <is>
          <t>SS26</t>
        </is>
      </c>
      <c r="O29" s="156" t="inlineStr">
        <is>
          <t>Seasonal</t>
        </is>
      </c>
      <c r="P29" s="156" t="inlineStr">
        <is>
          <t>Beige</t>
        </is>
      </c>
      <c r="Q29" s="156" t="n"/>
      <c r="R29" s="156" t="n"/>
      <c r="S29" s="156" t="inlineStr">
        <is>
          <t>100% piel de vacuno</t>
        </is>
      </c>
      <c r="T29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29" s="156" t="inlineStr">
        <is>
          <t>México</t>
        </is>
      </c>
      <c r="V29" s="156" t="inlineStr">
        <is>
          <t>PZS</t>
        </is>
      </c>
      <c r="W29" s="51" t="inlineStr">
        <is>
          <t>53102501</t>
        </is>
      </c>
      <c r="X29" s="156" t="n"/>
      <c r="Y29" s="54" t="n">
        <v>344.48</v>
      </c>
      <c r="Z29" s="54" t="n">
        <v>949</v>
      </c>
      <c r="AA29" s="55">
        <f>IF(AND(A29="", B29="", E29=""), "", IF(AB29="", "Válido", IF((LEN(AB29)-LEN(SUBSTITUTE(AB29,"; ","")))/2+1&gt;(LEN(AB29)-LEN(SUBSTITUTE(AB29,"[Aviso]","")))/7, "Con Incidencias", "Válido")))</f>
        <v/>
      </c>
      <c r="AB29" s="56">
        <f>IF(AND(A29="", B29="", E29=""), "", TEXTJOIN("; ", TRUE, IF(OR(TRIM(A29&amp;"")="", ISNUMBER(SEARCH("FALTA", A29))), "UPC faltante/inválido", ""), IF(AND(A29&lt;&gt;"", IFERROR(_xlfn.XMATCH(A29,$A$2:$A$1063,0,1)&lt;&gt;_xlfn.XMATCH(A29,$A$2:$A$1063,0,-1),FALSE)), "Código de barras duplicado", ""), IF(AND(E29&lt;&gt;"", COUNTIF($E$2:$E$1063, E29)&gt;1), "SKU duplicado", ""), IF(OR(J29="", J29=""), "[Aviso] División no capturada ()", IF(ISNA(MATCH(J29, Criterios!$A$123:$A$126, 0)), "División no válida", "")), IF(OR(K29="", K29=""), "[Aviso] Categoría no capturada ()", IF(ISNA(MATCH(K29, Criterios!$A$81:$A$120, 0)), "Categoría no válida", IF(AND(J29&lt;&gt;"", J29&lt;&gt;"", J29&lt;&gt;VLOOKUP(K29, Criterios!$A$81:$B$120, 2, FALSE)), "División no coincide con Categoría", ""))), IF(OR(L29="", L29=""), "[Aviso] Género no capturado ()", IF(ISNA(MATCH(L29, Criterios!$B$123:$B$127, 0)), "Género no válido", "")), IF(OR(N29="", N29=""), "[Aviso] Temporada no capturada ()", IF(ISNA(MATCH(N29, Criterios!$C$123:$C$128, 0)), "Temporada no válida", "")), IF(OR(O29="", O29=""), "[Aviso] Ciclo de vida no capturado ()", IF(ISNA(MATCH(O29, Criterios!$D$123:$D$124, 0)), "Ciclo de vida no válido", ""))))</f>
        <v/>
      </c>
      <c r="AC29" s="56" t="n"/>
      <c r="AD29" s="51" t="n">
        <v>1</v>
      </c>
      <c r="AE29" s="156" t="inlineStr">
        <is>
          <t>WB OUTLET LERMA (1)</t>
        </is>
      </c>
      <c r="AF29" s="51" t="n">
        <v>1</v>
      </c>
      <c r="AG29" s="156" t="inlineStr">
        <is>
          <t>Catálogo existente</t>
        </is>
      </c>
      <c r="AH29" s="156" t="inlineStr">
        <is>
          <t>Coincidencia por código de barras (ID NetSuite 117914) | ID alternativo de Hoja a Revisar 117914 (UPC coincidente); se conserva ID principal; Auditoría NetSuite 30/09/2026: llenado desde NetSuite [Z]; Vinculado por código de barras al ID NetSuite 117914 (antes en Identificador interno: 'C49732-22-34'); 01/10/2026: mismo SKU registrado también en fila 67737 con código 7503063066783 (ID 30934,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Validación G1522: WB SKU duplicado · Validador NetSuite / Odoo: V4: SKU repetido · Validador Shopify: V4: SKU repetido; WB: precio con IVA no termina en 9</t>
        </is>
      </c>
      <c r="AI29" s="156" t="inlineStr">
        <is>
          <t>No</t>
        </is>
      </c>
      <c r="AJ29" s="156" t="n"/>
      <c r="AK29" s="155" t="inlineStr">
        <is>
          <t>| Hoja a Revisar: fila 196083 (ID 117914, misma clave UPC); G1522_Extraccion_Articulos_NetSuite_2026-09-30.xlsx: fila 64155 [Z] | Shopify WB: producto 10310436552889 / variante 50512591028409</t>
        </is>
      </c>
      <c r="AL29" s="58" t="inlineStr">
        <is>
          <t>344,48</t>
        </is>
      </c>
      <c r="AM29" s="58" t="n"/>
      <c r="AN29" s="155" t="inlineStr">
        <is>
          <t>Shopify Western Brothers</t>
        </is>
      </c>
      <c r="AO29" s="59" t="n"/>
      <c r="AP29" s="59" t="n">
        <v>1</v>
      </c>
      <c r="AQ29" s="59" t="n"/>
      <c r="AR29" s="155" t="inlineStr">
        <is>
          <t>Shopify Western Brothers › Western Brothers Outlet Lerma: 1</t>
        </is>
      </c>
    </row>
    <row r="30">
      <c r="A30" s="50" t="inlineStr">
        <is>
          <t>7506674601053</t>
        </is>
      </c>
      <c r="B30" s="51" t="inlineStr">
        <is>
          <t>117915</t>
        </is>
      </c>
      <c r="C30" s="156" t="inlineStr">
        <is>
          <t>Wrangler</t>
        </is>
      </c>
      <c r="D30" s="156" t="inlineStr">
        <is>
          <t>C49732-22</t>
        </is>
      </c>
      <c r="E30" s="156" t="inlineStr">
        <is>
          <t>C49732-22-36</t>
        </is>
      </c>
      <c r="F30" s="156" t="inlineStr">
        <is>
          <t>36</t>
        </is>
      </c>
      <c r="G30" s="156" t="inlineStr">
        <is>
          <t>36</t>
        </is>
      </c>
      <c r="H30" s="156" t="inlineStr">
        <is>
          <t>Wrangler</t>
        </is>
      </c>
      <c r="I30" s="156" t="inlineStr">
        <is>
          <t>Cinturón Wrangler Una Vista Casual para Hombre, Color Beige</t>
        </is>
      </c>
      <c r="J30" s="156" t="inlineStr">
        <is>
          <t>Accesorios</t>
        </is>
      </c>
      <c r="K30" s="156" t="inlineStr">
        <is>
          <t>Cinturones</t>
        </is>
      </c>
      <c r="L30" s="156" t="inlineStr">
        <is>
          <t>Hombre</t>
        </is>
      </c>
      <c r="M30" s="156" t="inlineStr">
        <is>
          <t>Wrangler</t>
        </is>
      </c>
      <c r="N30" s="156" t="inlineStr">
        <is>
          <t>SS26</t>
        </is>
      </c>
      <c r="O30" s="156" t="inlineStr">
        <is>
          <t>Seasonal</t>
        </is>
      </c>
      <c r="P30" s="156" t="inlineStr">
        <is>
          <t>Beige</t>
        </is>
      </c>
      <c r="Q30" s="156" t="n"/>
      <c r="R30" s="156" t="n"/>
      <c r="S30" s="156" t="inlineStr">
        <is>
          <t>100% piel de vacuno</t>
        </is>
      </c>
      <c r="T30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30" s="156" t="inlineStr">
        <is>
          <t>México</t>
        </is>
      </c>
      <c r="V30" s="156" t="inlineStr">
        <is>
          <t>PZS</t>
        </is>
      </c>
      <c r="W30" s="51" t="inlineStr">
        <is>
          <t>53102501</t>
        </is>
      </c>
      <c r="X30" s="156" t="n"/>
      <c r="Y30" s="54" t="n">
        <v>344.48</v>
      </c>
      <c r="Z30" s="54" t="n">
        <v>949</v>
      </c>
      <c r="AA30" s="55">
        <f>IF(AND(A30="", B30="", E30=""), "", IF(AB30="", "Válido", IF((LEN(AB30)-LEN(SUBSTITUTE(AB30,"; ","")))/2+1&gt;(LEN(AB30)-LEN(SUBSTITUTE(AB30,"[Aviso]","")))/7, "Con Incidencias", "Válido")))</f>
        <v/>
      </c>
      <c r="AB30" s="56">
        <f>IF(AND(A30="", B30="", E30=""), "", TEXTJOIN("; ", TRUE, IF(OR(TRIM(A30&amp;"")="", ISNUMBER(SEARCH("FALTA", A30))), "UPC faltante/inválido", ""), IF(AND(A30&lt;&gt;"", IFERROR(_xlfn.XMATCH(A30,$A$2:$A$1063,0,1)&lt;&gt;_xlfn.XMATCH(A30,$A$2:$A$1063,0,-1),FALSE)), "Código de barras duplicado", ""), IF(AND(E30&lt;&gt;"", COUNTIF($E$2:$E$1063, E30)&gt;1), "SKU duplicado", ""), IF(OR(J30="", J30=""), "[Aviso] División no capturada ()", IF(ISNA(MATCH(J30, Criterios!$A$123:$A$126, 0)), "División no válida", "")), IF(OR(K30="", K30=""), "[Aviso] Categoría no capturada ()", IF(ISNA(MATCH(K30, Criterios!$A$81:$A$120, 0)), "Categoría no válida", IF(AND(J30&lt;&gt;"", J30&lt;&gt;"", J30&lt;&gt;VLOOKUP(K30, Criterios!$A$81:$B$120, 2, FALSE)), "División no coincide con Categoría", ""))), IF(OR(L30="", L30=""), "[Aviso] Género no capturado ()", IF(ISNA(MATCH(L30, Criterios!$B$123:$B$127, 0)), "Género no válido", "")), IF(OR(N30="", N30=""), "[Aviso] Temporada no capturada ()", IF(ISNA(MATCH(N30, Criterios!$C$123:$C$128, 0)), "Temporada no válida", "")), IF(OR(O30="", O30=""), "[Aviso] Ciclo de vida no capturado ()", IF(ISNA(MATCH(O30, Criterios!$D$123:$D$124, 0)), "Ciclo de vida no válido", ""))))</f>
        <v/>
      </c>
      <c r="AC30" s="56" t="n"/>
      <c r="AD30" s="51" t="n">
        <v>2</v>
      </c>
      <c r="AE30" s="156" t="inlineStr">
        <is>
          <t>WB OUTLET LERMA (2)</t>
        </is>
      </c>
      <c r="AF30" s="51" t="n">
        <v>2</v>
      </c>
      <c r="AG30" s="156" t="inlineStr">
        <is>
          <t>Catálogo existente</t>
        </is>
      </c>
      <c r="AH30" s="156" t="inlineStr">
        <is>
          <t>Coincidencia por código de barras (ID NetSuite 117915) | ID alternativo de Hoja a Revisar 117915 (UPC coincidente); se conserva ID principal; Auditoría NetSuite 30/09/2026: llenado desde NetSuite [Z]; Vinculado por código de barras al ID NetSuite 117915 (antes en Identificador interno: 'C49732-22-36'); 01/10/2026: mismo SKU registrado también en fila 67738 con código 7503063066790 (ID 30935,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Validación G1522: WB SKU duplicado · Validador NetSuite / Odoo: V4: SKU repetido · Validador Shopify: V4: SKU repetido; WB: precio con IVA no termina en 9</t>
        </is>
      </c>
      <c r="AI30" s="156" t="inlineStr">
        <is>
          <t>No</t>
        </is>
      </c>
      <c r="AJ30" s="156" t="n"/>
      <c r="AK30" s="155" t="inlineStr">
        <is>
          <t>| Hoja a Revisar: fila 196084 (ID 117915, misma clave UPC); G1522_Extraccion_Articulos_NetSuite_2026-09-30.xlsx: fila 64156 [Z] | Shopify WB: producto 10310436552889 / variante 50512591061177</t>
        </is>
      </c>
      <c r="AL30" s="58" t="inlineStr">
        <is>
          <t>344,48</t>
        </is>
      </c>
      <c r="AM30" s="58" t="n"/>
      <c r="AN30" s="155" t="inlineStr">
        <is>
          <t>Shopify Western Brothers</t>
        </is>
      </c>
      <c r="AO30" s="59" t="n"/>
      <c r="AP30" s="59" t="n">
        <v>2</v>
      </c>
      <c r="AQ30" s="59" t="n"/>
      <c r="AR30" s="155" t="inlineStr">
        <is>
          <t>Shopify Western Brothers › Western Brothers Outlet Lerma: 2</t>
        </is>
      </c>
    </row>
    <row r="31">
      <c r="A31" s="50" t="inlineStr">
        <is>
          <t>7506674601060</t>
        </is>
      </c>
      <c r="B31" s="51" t="inlineStr">
        <is>
          <t>117916</t>
        </is>
      </c>
      <c r="C31" s="156" t="inlineStr">
        <is>
          <t>Wrangler</t>
        </is>
      </c>
      <c r="D31" s="156" t="inlineStr">
        <is>
          <t>C49732-22</t>
        </is>
      </c>
      <c r="E31" s="156" t="inlineStr">
        <is>
          <t>C49732-22-38</t>
        </is>
      </c>
      <c r="F31" s="156" t="inlineStr">
        <is>
          <t>38</t>
        </is>
      </c>
      <c r="G31" s="156" t="inlineStr">
        <is>
          <t>38</t>
        </is>
      </c>
      <c r="H31" s="156" t="inlineStr">
        <is>
          <t>Wrangler</t>
        </is>
      </c>
      <c r="I31" s="156" t="inlineStr">
        <is>
          <t>Cinturón Wrangler Una Vista Casual para Hombre, Color Beige</t>
        </is>
      </c>
      <c r="J31" s="156" t="inlineStr">
        <is>
          <t>Accesorios</t>
        </is>
      </c>
      <c r="K31" s="156" t="inlineStr">
        <is>
          <t>Cinturones</t>
        </is>
      </c>
      <c r="L31" s="156" t="inlineStr">
        <is>
          <t>Hombre</t>
        </is>
      </c>
      <c r="M31" s="156" t="inlineStr">
        <is>
          <t>Wrangler</t>
        </is>
      </c>
      <c r="N31" s="156" t="inlineStr">
        <is>
          <t>SS26</t>
        </is>
      </c>
      <c r="O31" s="156" t="inlineStr">
        <is>
          <t>Seasonal</t>
        </is>
      </c>
      <c r="P31" s="156" t="inlineStr">
        <is>
          <t>Beige</t>
        </is>
      </c>
      <c r="Q31" s="156" t="n"/>
      <c r="R31" s="156" t="n"/>
      <c r="S31" s="156" t="inlineStr">
        <is>
          <t>100% piel de vacuno</t>
        </is>
      </c>
      <c r="T31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31" s="156" t="inlineStr">
        <is>
          <t>México</t>
        </is>
      </c>
      <c r="V31" s="156" t="inlineStr">
        <is>
          <t>PZS</t>
        </is>
      </c>
      <c r="W31" s="51" t="inlineStr">
        <is>
          <t>53102501</t>
        </is>
      </c>
      <c r="X31" s="156" t="n"/>
      <c r="Y31" s="54" t="n">
        <v>344.48</v>
      </c>
      <c r="Z31" s="54" t="n">
        <v>949</v>
      </c>
      <c r="AA31" s="55">
        <f>IF(AND(A31="", B31="", E31=""), "", IF(AB31="", "Válido", IF((LEN(AB31)-LEN(SUBSTITUTE(AB31,"; ","")))/2+1&gt;(LEN(AB31)-LEN(SUBSTITUTE(AB31,"[Aviso]","")))/7, "Con Incidencias", "Válido")))</f>
        <v/>
      </c>
      <c r="AB31" s="56">
        <f>IF(AND(A31="", B31="", E31=""), "", TEXTJOIN("; ", TRUE, IF(OR(TRIM(A31&amp;"")="", ISNUMBER(SEARCH("FALTA", A31))), "UPC faltante/inválido", ""), IF(AND(A31&lt;&gt;"", IFERROR(_xlfn.XMATCH(A31,$A$2:$A$1063,0,1)&lt;&gt;_xlfn.XMATCH(A31,$A$2:$A$1063,0,-1),FALSE)), "Código de barras duplicado", ""), IF(AND(E31&lt;&gt;"", COUNTIF($E$2:$E$1063, E31)&gt;1), "SKU duplicado", ""), IF(OR(J31="", J31=""), "[Aviso] División no capturada ()", IF(ISNA(MATCH(J31, Criterios!$A$123:$A$126, 0)), "División no válida", "")), IF(OR(K31="", K31=""), "[Aviso] Categoría no capturada ()", IF(ISNA(MATCH(K31, Criterios!$A$81:$A$120, 0)), "Categoría no válida", IF(AND(J31&lt;&gt;"", J31&lt;&gt;"", J31&lt;&gt;VLOOKUP(K31, Criterios!$A$81:$B$120, 2, FALSE)), "División no coincide con Categoría", ""))), IF(OR(L31="", L31=""), "[Aviso] Género no capturado ()", IF(ISNA(MATCH(L31, Criterios!$B$123:$B$127, 0)), "Género no válido", "")), IF(OR(N31="", N31=""), "[Aviso] Temporada no capturada ()", IF(ISNA(MATCH(N31, Criterios!$C$123:$C$128, 0)), "Temporada no válida", "")), IF(OR(O31="", O31=""), "[Aviso] Ciclo de vida no capturado ()", IF(ISNA(MATCH(O31, Criterios!$D$123:$D$124, 0)), "Ciclo de vida no válido", ""))))</f>
        <v/>
      </c>
      <c r="AC31" s="56" t="n"/>
      <c r="AD31" s="51" t="n">
        <v>3</v>
      </c>
      <c r="AE31" s="156" t="inlineStr">
        <is>
          <t>WB OUTLET LERMA (3)</t>
        </is>
      </c>
      <c r="AF31" s="51" t="n">
        <v>3</v>
      </c>
      <c r="AG31" s="156" t="inlineStr">
        <is>
          <t>Catálogo existente</t>
        </is>
      </c>
      <c r="AH31" s="156" t="inlineStr">
        <is>
          <t>Coincidencia por código de barras (ID NetSuite 117916) | ID alternativo de Hoja a Revisar 117916 (UPC coincidente); se conserva ID principal; Auditoría NetSuite 30/09/2026: llenado desde NetSuite [Z]; Vinculado por código de barras al ID NetSuite 117916 (antes en Identificador interno: 'C49732-22-38'); 01/10/2026: mismo SKU registrado también en fila 67739 con código 7503063066806 (ID 30936,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Validación G1522: WB SKU duplicado · Validador NetSuite / Odoo: V4: SKU repetido · Validador Shopify: V4: SKU repetido; WB: precio con IVA no termina en 9</t>
        </is>
      </c>
      <c r="AI31" s="156" t="inlineStr">
        <is>
          <t>No</t>
        </is>
      </c>
      <c r="AJ31" s="156" t="n"/>
      <c r="AK31" s="155" t="inlineStr">
        <is>
          <t>| Hoja a Revisar: fila 196085 (ID 117916, misma clave UPC); G1522_Extraccion_Articulos_NetSuite_2026-09-30.xlsx: fila 64157 [Z] | Shopify WB: producto 10310436552889 / variante 50512591093945</t>
        </is>
      </c>
      <c r="AL31" s="58" t="inlineStr">
        <is>
          <t>344,48</t>
        </is>
      </c>
      <c r="AM31" s="58" t="n"/>
      <c r="AN31" s="155" t="inlineStr">
        <is>
          <t>Shopify Western Brothers</t>
        </is>
      </c>
      <c r="AO31" s="59" t="n"/>
      <c r="AP31" s="59" t="n">
        <v>3</v>
      </c>
      <c r="AQ31" s="59" t="n"/>
      <c r="AR31" s="155" t="inlineStr">
        <is>
          <t>Shopify Western Brothers › Western Brothers Outlet Lerma: 3</t>
        </is>
      </c>
    </row>
    <row r="32">
      <c r="A32" s="50" t="inlineStr">
        <is>
          <t>7506674601077</t>
        </is>
      </c>
      <c r="B32" s="51" t="inlineStr">
        <is>
          <t>117917</t>
        </is>
      </c>
      <c r="C32" s="156" t="inlineStr">
        <is>
          <t>Wrangler</t>
        </is>
      </c>
      <c r="D32" s="156" t="inlineStr">
        <is>
          <t>C49732-22</t>
        </is>
      </c>
      <c r="E32" s="156" t="inlineStr">
        <is>
          <t>C49732-22-40</t>
        </is>
      </c>
      <c r="F32" s="156" t="inlineStr">
        <is>
          <t>40</t>
        </is>
      </c>
      <c r="G32" s="156" t="inlineStr">
        <is>
          <t>40</t>
        </is>
      </c>
      <c r="H32" s="156" t="inlineStr">
        <is>
          <t>Wrangler</t>
        </is>
      </c>
      <c r="I32" s="156" t="inlineStr">
        <is>
          <t>Cinturón Wrangler Una Vista Casual para Hombre, Color Beige</t>
        </is>
      </c>
      <c r="J32" s="156" t="inlineStr">
        <is>
          <t>Accesorios</t>
        </is>
      </c>
      <c r="K32" s="156" t="inlineStr">
        <is>
          <t>Cinturones</t>
        </is>
      </c>
      <c r="L32" s="156" t="inlineStr">
        <is>
          <t>Hombre</t>
        </is>
      </c>
      <c r="M32" s="156" t="inlineStr">
        <is>
          <t>Wrangler</t>
        </is>
      </c>
      <c r="N32" s="156" t="inlineStr">
        <is>
          <t>SS26</t>
        </is>
      </c>
      <c r="O32" s="156" t="inlineStr">
        <is>
          <t>Seasonal</t>
        </is>
      </c>
      <c r="P32" s="156" t="inlineStr">
        <is>
          <t>Beige</t>
        </is>
      </c>
      <c r="Q32" s="156" t="n"/>
      <c r="R32" s="156" t="n"/>
      <c r="S32" s="156" t="inlineStr">
        <is>
          <t>100% piel de vacuno</t>
        </is>
      </c>
      <c r="T32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32" s="156" t="inlineStr">
        <is>
          <t>México</t>
        </is>
      </c>
      <c r="V32" s="156" t="inlineStr">
        <is>
          <t>PZS</t>
        </is>
      </c>
      <c r="W32" s="51" t="inlineStr">
        <is>
          <t>53102501</t>
        </is>
      </c>
      <c r="X32" s="156" t="n"/>
      <c r="Y32" s="54" t="n">
        <v>344.48</v>
      </c>
      <c r="Z32" s="54" t="n">
        <v>949</v>
      </c>
      <c r="AA32" s="55">
        <f>IF(AND(A32="", B32="", E32=""), "", IF(AB32="", "Válido", IF((LEN(AB32)-LEN(SUBSTITUTE(AB32,"; ","")))/2+1&gt;(LEN(AB32)-LEN(SUBSTITUTE(AB32,"[Aviso]","")))/7, "Con Incidencias", "Válido")))</f>
        <v/>
      </c>
      <c r="AB32" s="56">
        <f>IF(AND(A32="", B32="", E32=""), "", TEXTJOIN("; ", TRUE, IF(OR(TRIM(A32&amp;"")="", ISNUMBER(SEARCH("FALTA", A32))), "UPC faltante/inválido", ""), IF(AND(A32&lt;&gt;"", IFERROR(_xlfn.XMATCH(A32,$A$2:$A$1063,0,1)&lt;&gt;_xlfn.XMATCH(A32,$A$2:$A$1063,0,-1),FALSE)), "Código de barras duplicado", ""), IF(AND(E32&lt;&gt;"", COUNTIF($E$2:$E$1063, E32)&gt;1), "SKU duplicado", ""), IF(OR(J32="", J32=""), "[Aviso] División no capturada ()", IF(ISNA(MATCH(J32, Criterios!$A$123:$A$126, 0)), "División no válida", "")), IF(OR(K32="", K32=""), "[Aviso] Categoría no capturada ()", IF(ISNA(MATCH(K32, Criterios!$A$81:$A$120, 0)), "Categoría no válida", IF(AND(J32&lt;&gt;"", J32&lt;&gt;"", J32&lt;&gt;VLOOKUP(K32, Criterios!$A$81:$B$120, 2, FALSE)), "División no coincide con Categoría", ""))), IF(OR(L32="", L32=""), "[Aviso] Género no capturado ()", IF(ISNA(MATCH(L32, Criterios!$B$123:$B$127, 0)), "Género no válido", "")), IF(OR(N32="", N32=""), "[Aviso] Temporada no capturada ()", IF(ISNA(MATCH(N32, Criterios!$C$123:$C$128, 0)), "Temporada no válida", "")), IF(OR(O32="", O32=""), "[Aviso] Ciclo de vida no capturado ()", IF(ISNA(MATCH(O32, Criterios!$D$123:$D$124, 0)), "Ciclo de vida no válido", ""))))</f>
        <v/>
      </c>
      <c r="AC32" s="56" t="n"/>
      <c r="AD32" s="51" t="n">
        <v>2</v>
      </c>
      <c r="AE32" s="156" t="inlineStr">
        <is>
          <t>WB OUTLET LERMA (2)</t>
        </is>
      </c>
      <c r="AF32" s="51" t="n">
        <v>2</v>
      </c>
      <c r="AG32" s="156" t="inlineStr">
        <is>
          <t>Catálogo existente</t>
        </is>
      </c>
      <c r="AH32" s="156" t="inlineStr">
        <is>
          <t>Coincidencia por código de barras (ID NetSuite 117917) | ID alternativo de Hoja a Revisar 117917 (UPC coincidente); se conserva ID principal; Auditoría NetSuite 30/09/2026: llenado desde NetSuite [Z]; Vinculado por código de barras al ID NetSuite 117917 (antes en Identificador interno: 'C49732-22-40'); 01/10/2026: mismo SKU registrado también en fila 67740 con código 7503063066813 (ID 30937,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Validación G1522: WB SKU duplicado · Validador NetSuite / Odoo: V4: SKU repetido · Validador Shopify: V4: SKU repetido; WB: precio con IVA no termina en 9</t>
        </is>
      </c>
      <c r="AI32" s="156" t="inlineStr">
        <is>
          <t>No</t>
        </is>
      </c>
      <c r="AJ32" s="156" t="n"/>
      <c r="AK32" s="155" t="inlineStr">
        <is>
          <t>| Hoja a Revisar: fila 196086 (ID 117917, misma clave UPC); G1522_Extraccion_Articulos_NetSuite_2026-09-30.xlsx: fila 64158 [Z] | Shopify WB: producto 10310436552889 / variante 50512591126713</t>
        </is>
      </c>
      <c r="AL32" s="58" t="inlineStr">
        <is>
          <t>344,48</t>
        </is>
      </c>
      <c r="AM32" s="58" t="n"/>
      <c r="AN32" s="155" t="inlineStr">
        <is>
          <t>Shopify Western Brothers</t>
        </is>
      </c>
      <c r="AO32" s="59" t="n"/>
      <c r="AP32" s="59" t="n">
        <v>2</v>
      </c>
      <c r="AQ32" s="59" t="n"/>
      <c r="AR32" s="155" t="inlineStr">
        <is>
          <t>Shopify Western Brothers › Western Brothers Outlet Lerma: 2</t>
        </is>
      </c>
    </row>
    <row r="33">
      <c r="A33" s="50" t="inlineStr">
        <is>
          <t>7506674601084</t>
        </is>
      </c>
      <c r="B33" s="51" t="inlineStr">
        <is>
          <t>117918</t>
        </is>
      </c>
      <c r="C33" s="156" t="inlineStr">
        <is>
          <t>Wrangler</t>
        </is>
      </c>
      <c r="D33" s="156" t="inlineStr">
        <is>
          <t>C49732-22</t>
        </is>
      </c>
      <c r="E33" s="156" t="inlineStr">
        <is>
          <t>C49732-22-42</t>
        </is>
      </c>
      <c r="F33" s="156" t="inlineStr">
        <is>
          <t>42</t>
        </is>
      </c>
      <c r="G33" s="156" t="inlineStr">
        <is>
          <t>42</t>
        </is>
      </c>
      <c r="H33" s="156" t="inlineStr">
        <is>
          <t>Wrangler</t>
        </is>
      </c>
      <c r="I33" s="156" t="inlineStr">
        <is>
          <t>Cinturón Wrangler Una Vista Casual para Hombre, Color Beige</t>
        </is>
      </c>
      <c r="J33" s="156" t="inlineStr">
        <is>
          <t>Accesorios</t>
        </is>
      </c>
      <c r="K33" s="156" t="inlineStr">
        <is>
          <t>Cinturones</t>
        </is>
      </c>
      <c r="L33" s="156" t="inlineStr">
        <is>
          <t>Hombre</t>
        </is>
      </c>
      <c r="M33" s="156" t="inlineStr">
        <is>
          <t>Wrangler</t>
        </is>
      </c>
      <c r="N33" s="156" t="inlineStr">
        <is>
          <t>SS26</t>
        </is>
      </c>
      <c r="O33" s="156" t="inlineStr">
        <is>
          <t>Seasonal</t>
        </is>
      </c>
      <c r="P33" s="156" t="inlineStr">
        <is>
          <t>Beige</t>
        </is>
      </c>
      <c r="Q33" s="156" t="n"/>
      <c r="R33" s="156" t="n"/>
      <c r="S33" s="156" t="inlineStr">
        <is>
          <t>100% piel de vacuno</t>
        </is>
      </c>
      <c r="T33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33" s="156" t="inlineStr">
        <is>
          <t>México</t>
        </is>
      </c>
      <c r="V33" s="156" t="inlineStr">
        <is>
          <t>PZS</t>
        </is>
      </c>
      <c r="W33" s="51" t="inlineStr">
        <is>
          <t>53102501</t>
        </is>
      </c>
      <c r="X33" s="156" t="n"/>
      <c r="Y33" s="54" t="n">
        <v>344.48</v>
      </c>
      <c r="Z33" s="54" t="n">
        <v>949</v>
      </c>
      <c r="AA33" s="55">
        <f>IF(AND(A33="", B33="", E33=""), "", IF(AB33="", "Válido", IF((LEN(AB33)-LEN(SUBSTITUTE(AB33,"; ","")))/2+1&gt;(LEN(AB33)-LEN(SUBSTITUTE(AB33,"[Aviso]","")))/7, "Con Incidencias", "Válido")))</f>
        <v/>
      </c>
      <c r="AB33" s="56">
        <f>IF(AND(A33="", B33="", E33=""), "", TEXTJOIN("; ", TRUE, IF(OR(TRIM(A33&amp;"")="", ISNUMBER(SEARCH("FALTA", A33))), "UPC faltante/inválido", ""), IF(AND(A33&lt;&gt;"", IFERROR(_xlfn.XMATCH(A33,$A$2:$A$1063,0,1)&lt;&gt;_xlfn.XMATCH(A33,$A$2:$A$1063,0,-1),FALSE)), "Código de barras duplicado", ""), IF(AND(E33&lt;&gt;"", COUNTIF($E$2:$E$1063, E33)&gt;1), "SKU duplicado", ""), IF(OR(J33="", J33=""), "[Aviso] División no capturada ()", IF(ISNA(MATCH(J33, Criterios!$A$123:$A$126, 0)), "División no válida", "")), IF(OR(K33="", K33=""), "[Aviso] Categoría no capturada ()", IF(ISNA(MATCH(K33, Criterios!$A$81:$A$120, 0)), "Categoría no válida", IF(AND(J33&lt;&gt;"", J33&lt;&gt;"", J33&lt;&gt;VLOOKUP(K33, Criterios!$A$81:$B$120, 2, FALSE)), "División no coincide con Categoría", ""))), IF(OR(L33="", L33=""), "[Aviso] Género no capturado ()", IF(ISNA(MATCH(L33, Criterios!$B$123:$B$127, 0)), "Género no válido", "")), IF(OR(N33="", N33=""), "[Aviso] Temporada no capturada ()", IF(ISNA(MATCH(N33, Criterios!$C$123:$C$128, 0)), "Temporada no válida", "")), IF(OR(O33="", O33=""), "[Aviso] Ciclo de vida no capturado ()", IF(ISNA(MATCH(O33, Criterios!$D$123:$D$124, 0)), "Ciclo de vida no válido", ""))))</f>
        <v/>
      </c>
      <c r="AC33" s="56" t="n"/>
      <c r="AD33" s="51" t="n">
        <v>2</v>
      </c>
      <c r="AE33" s="156" t="inlineStr">
        <is>
          <t>WB OUTLET LERMA (2)</t>
        </is>
      </c>
      <c r="AF33" s="51" t="n">
        <v>2</v>
      </c>
      <c r="AG33" s="156" t="inlineStr">
        <is>
          <t>Catálogo existente</t>
        </is>
      </c>
      <c r="AH33" s="156" t="inlineStr">
        <is>
          <t>Coincidencia por código de barras (ID NetSuite 117918) | ID alternativo de Hoja a Revisar 117918 (UPC coincidente); se conserva ID principal; Auditoría NetSuite 30/09/2026: llenado desde NetSuite [Z]; Vinculado por código de barras al ID NetSuite 117918 (antes en Identificador interno: 'C49732-22-42'); 01/10/2026: mismo SKU registrado también en fila 67741 con código 7503063066820 (ID 30938,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Validación G1522: WB SKU duplicado · Validador NetSuite / Odoo: V4: SKU repetido · Validador Shopify: V4: SKU repetido; WB: precio con IVA no termina en 9</t>
        </is>
      </c>
      <c r="AI33" s="156" t="inlineStr">
        <is>
          <t>No</t>
        </is>
      </c>
      <c r="AJ33" s="156" t="n"/>
      <c r="AK33" s="155" t="inlineStr">
        <is>
          <t>| Hoja a Revisar: fila 196087 (ID 117918, misma clave UPC); G1522_Extraccion_Articulos_NetSuite_2026-09-30.xlsx: fila 64159 [Z] | Shopify WB: producto 10310436552889 / variante 50512591159481</t>
        </is>
      </c>
      <c r="AL33" s="58" t="inlineStr">
        <is>
          <t>344,48</t>
        </is>
      </c>
      <c r="AM33" s="58" t="n"/>
      <c r="AN33" s="155" t="inlineStr">
        <is>
          <t>Shopify Western Brothers</t>
        </is>
      </c>
      <c r="AO33" s="59" t="n"/>
      <c r="AP33" s="59" t="n">
        <v>2</v>
      </c>
      <c r="AQ33" s="59" t="n"/>
      <c r="AR33" s="155" t="inlineStr">
        <is>
          <t>Shopify Western Brothers › Western Brothers Outlet Lerma: 2</t>
        </is>
      </c>
    </row>
    <row r="34">
      <c r="A34" s="50" t="inlineStr">
        <is>
          <t>7506674601091</t>
        </is>
      </c>
      <c r="B34" s="51" t="inlineStr">
        <is>
          <t>117919</t>
        </is>
      </c>
      <c r="C34" s="156" t="inlineStr">
        <is>
          <t>Wrangler</t>
        </is>
      </c>
      <c r="D34" s="156" t="inlineStr">
        <is>
          <t>C49732-22</t>
        </is>
      </c>
      <c r="E34" s="156" t="inlineStr">
        <is>
          <t>C49732-22-44</t>
        </is>
      </c>
      <c r="F34" s="156" t="inlineStr">
        <is>
          <t>44</t>
        </is>
      </c>
      <c r="G34" s="156" t="inlineStr">
        <is>
          <t>44</t>
        </is>
      </c>
      <c r="H34" s="156" t="inlineStr">
        <is>
          <t>Wrangler</t>
        </is>
      </c>
      <c r="I34" s="156" t="inlineStr">
        <is>
          <t>Cinturón Wrangler Una Vista Casual para Hombre, Color Beige</t>
        </is>
      </c>
      <c r="J34" s="156" t="inlineStr">
        <is>
          <t>Accesorios</t>
        </is>
      </c>
      <c r="K34" s="156" t="inlineStr">
        <is>
          <t>Cinturones</t>
        </is>
      </c>
      <c r="L34" s="156" t="inlineStr">
        <is>
          <t>Hombre</t>
        </is>
      </c>
      <c r="M34" s="156" t="inlineStr">
        <is>
          <t>Wrangler</t>
        </is>
      </c>
      <c r="N34" s="156" t="inlineStr">
        <is>
          <t>SS26</t>
        </is>
      </c>
      <c r="O34" s="156" t="inlineStr">
        <is>
          <t>Seasonal</t>
        </is>
      </c>
      <c r="P34" s="156" t="inlineStr">
        <is>
          <t>Beige</t>
        </is>
      </c>
      <c r="Q34" s="156" t="n"/>
      <c r="R34" s="156" t="n"/>
      <c r="S34" s="156" t="inlineStr">
        <is>
          <t>100% piel de vacuno</t>
        </is>
      </c>
      <c r="T34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34" s="156" t="inlineStr">
        <is>
          <t>México</t>
        </is>
      </c>
      <c r="V34" s="156" t="inlineStr">
        <is>
          <t>PZS</t>
        </is>
      </c>
      <c r="W34" s="51" t="inlineStr">
        <is>
          <t>53102501</t>
        </is>
      </c>
      <c r="X34" s="156" t="n"/>
      <c r="Y34" s="54" t="n">
        <v>344.48</v>
      </c>
      <c r="Z34" s="54" t="n">
        <v>949</v>
      </c>
      <c r="AA34" s="55">
        <f>IF(AND(A34="", B34="", E34=""), "", IF(AB34="", "Válido", IF((LEN(AB34)-LEN(SUBSTITUTE(AB34,"; ","")))/2+1&gt;(LEN(AB34)-LEN(SUBSTITUTE(AB34,"[Aviso]","")))/7, "Con Incidencias", "Válido")))</f>
        <v/>
      </c>
      <c r="AB34" s="56">
        <f>IF(AND(A34="", B34="", E34=""), "", TEXTJOIN("; ", TRUE, IF(OR(TRIM(A34&amp;"")="", ISNUMBER(SEARCH("FALTA", A34))), "UPC faltante/inválido", ""), IF(AND(A34&lt;&gt;"", IFERROR(_xlfn.XMATCH(A34,$A$2:$A$1063,0,1)&lt;&gt;_xlfn.XMATCH(A34,$A$2:$A$1063,0,-1),FALSE)), "Código de barras duplicado", ""), IF(AND(E34&lt;&gt;"", COUNTIF($E$2:$E$1063, E34)&gt;1), "SKU duplicado", ""), IF(OR(J34="", J34=""), "[Aviso] División no capturada ()", IF(ISNA(MATCH(J34, Criterios!$A$123:$A$126, 0)), "División no válida", "")), IF(OR(K34="", K34=""), "[Aviso] Categoría no capturada ()", IF(ISNA(MATCH(K34, Criterios!$A$81:$A$120, 0)), "Categoría no válida", IF(AND(J34&lt;&gt;"", J34&lt;&gt;"", J34&lt;&gt;VLOOKUP(K34, Criterios!$A$81:$B$120, 2, FALSE)), "División no coincide con Categoría", ""))), IF(OR(L34="", L34=""), "[Aviso] Género no capturado ()", IF(ISNA(MATCH(L34, Criterios!$B$123:$B$127, 0)), "Género no válido", "")), IF(OR(N34="", N34=""), "[Aviso] Temporada no capturada ()", IF(ISNA(MATCH(N34, Criterios!$C$123:$C$128, 0)), "Temporada no válida", "")), IF(OR(O34="", O34=""), "[Aviso] Ciclo de vida no capturado ()", IF(ISNA(MATCH(O34, Criterios!$D$123:$D$124, 0)), "Ciclo de vida no válido", ""))))</f>
        <v/>
      </c>
      <c r="AC34" s="56" t="n"/>
      <c r="AD34" s="51" t="n">
        <v>1</v>
      </c>
      <c r="AE34" s="156" t="inlineStr">
        <is>
          <t>WB OUTLET LERMA (1)</t>
        </is>
      </c>
      <c r="AF34" s="51" t="n">
        <v>1</v>
      </c>
      <c r="AG34" s="156" t="inlineStr">
        <is>
          <t>Catálogo existente</t>
        </is>
      </c>
      <c r="AH34" s="156" t="inlineStr">
        <is>
          <t>Coincidencia por código de barras (ID NetSuite 117919) | ID alternativo de Hoja a Revisar 117919 (UPC coincidente); se conserva ID principal; Auditoría NetSuite 30/09/2026: llenado desde NetSuite [Z]; Vinculado por código de barras al ID NetSuite 117919 (antes en Identificador interno: 'C49732-22-44'); 01/10/2026: mismo SKU registrado también en fila 67742 con código 7503063066837 (ID 30939,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Validación G1522: WB SKU duplicado · Validador NetSuite / Odoo: V4: SKU repetido · Validador Shopify: V4: SKU repetido; WB: precio con IVA no termina en 9</t>
        </is>
      </c>
      <c r="AI34" s="156" t="inlineStr">
        <is>
          <t>No</t>
        </is>
      </c>
      <c r="AJ34" s="156" t="n"/>
      <c r="AK34" s="155" t="inlineStr">
        <is>
          <t>| Hoja a Revisar: fila 196088 (ID 117919, misma clave UPC); G1522_Extraccion_Articulos_NetSuite_2026-09-30.xlsx: fila 64160 [Z] | Shopify WB: producto 10310436552889 / variante 50512591192249</t>
        </is>
      </c>
      <c r="AL34" s="58" t="inlineStr">
        <is>
          <t>344,48</t>
        </is>
      </c>
      <c r="AM34" s="58" t="n"/>
      <c r="AN34" s="155" t="inlineStr">
        <is>
          <t>Shopify Western Brothers</t>
        </is>
      </c>
      <c r="AO34" s="59" t="n"/>
      <c r="AP34" s="59" t="n">
        <v>1</v>
      </c>
      <c r="AQ34" s="59" t="n"/>
      <c r="AR34" s="155" t="inlineStr">
        <is>
          <t>Shopify Western Brothers › Western Brothers Outlet Lerma: 1</t>
        </is>
      </c>
    </row>
    <row r="35">
      <c r="A35" s="50" t="inlineStr">
        <is>
          <t>7506674600964</t>
        </is>
      </c>
      <c r="B35" s="51" t="inlineStr">
        <is>
          <t>117906</t>
        </is>
      </c>
      <c r="C35" s="156" t="inlineStr">
        <is>
          <t>Wrangler</t>
        </is>
      </c>
      <c r="D35" s="156" t="inlineStr">
        <is>
          <t>C49731-59</t>
        </is>
      </c>
      <c r="E35" s="156" t="inlineStr">
        <is>
          <t>C49731-59-32</t>
        </is>
      </c>
      <c r="F35" s="156" t="inlineStr">
        <is>
          <t>32</t>
        </is>
      </c>
      <c r="G35" s="156" t="inlineStr">
        <is>
          <t>32</t>
        </is>
      </c>
      <c r="H35" s="156" t="inlineStr">
        <is>
          <t>Wrangler</t>
        </is>
      </c>
      <c r="I35" s="156" t="inlineStr">
        <is>
          <t>Cinturón Wrangler Una Vista Casual para Hombre, Color Negro</t>
        </is>
      </c>
      <c r="J35" s="156" t="inlineStr">
        <is>
          <t>Accesorios</t>
        </is>
      </c>
      <c r="K35" s="156" t="inlineStr">
        <is>
          <t>Cinturones</t>
        </is>
      </c>
      <c r="L35" s="156" t="inlineStr">
        <is>
          <t>Hombre</t>
        </is>
      </c>
      <c r="M35" s="156" t="inlineStr">
        <is>
          <t>Wrangler</t>
        </is>
      </c>
      <c r="N35" s="156" t="inlineStr">
        <is>
          <t>SS26</t>
        </is>
      </c>
      <c r="O35" s="156" t="inlineStr">
        <is>
          <t>Seasonal</t>
        </is>
      </c>
      <c r="P35" s="156" t="inlineStr">
        <is>
          <t>Negro</t>
        </is>
      </c>
      <c r="Q35" s="156" t="n"/>
      <c r="R35" s="156" t="n"/>
      <c r="S35" s="156" t="inlineStr">
        <is>
          <t>100% piel de vacuno</t>
        </is>
      </c>
      <c r="T35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35" s="156" t="inlineStr">
        <is>
          <t>México</t>
        </is>
      </c>
      <c r="V35" s="156" t="inlineStr">
        <is>
          <t>PZS</t>
        </is>
      </c>
      <c r="W35" s="51" t="inlineStr">
        <is>
          <t>53102501</t>
        </is>
      </c>
      <c r="X35" s="156" t="n"/>
      <c r="Y35" s="54" t="n">
        <v>344.48</v>
      </c>
      <c r="Z35" s="54" t="n">
        <v>949</v>
      </c>
      <c r="AA35" s="55">
        <f>IF(AND(A35="", B35="", E35=""), "", IF(AB35="", "Válido", IF((LEN(AB35)-LEN(SUBSTITUTE(AB35,"; ","")))/2+1&gt;(LEN(AB35)-LEN(SUBSTITUTE(AB35,"[Aviso]","")))/7, "Con Incidencias", "Válido")))</f>
        <v/>
      </c>
      <c r="AB35" s="56">
        <f>IF(AND(A35="", B35="", E35=""), "", TEXTJOIN("; ", TRUE, IF(OR(TRIM(A35&amp;"")="", ISNUMBER(SEARCH("FALTA", A35))), "UPC faltante/inválido", ""), IF(AND(A35&lt;&gt;"", IFERROR(_xlfn.XMATCH(A35,$A$2:$A$1063,0,1)&lt;&gt;_xlfn.XMATCH(A35,$A$2:$A$1063,0,-1),FALSE)), "Código de barras duplicado", ""), IF(AND(E35&lt;&gt;"", COUNTIF($E$2:$E$1063, E35)&gt;1), "SKU duplicado", ""), IF(OR(J35="", J35=""), "[Aviso] División no capturada ()", IF(ISNA(MATCH(J35, Criterios!$A$123:$A$126, 0)), "División no válida", "")), IF(OR(K35="", K35=""), "[Aviso] Categoría no capturada ()", IF(ISNA(MATCH(K35, Criterios!$A$81:$A$120, 0)), "Categoría no válida", IF(AND(J35&lt;&gt;"", J35&lt;&gt;"", J35&lt;&gt;VLOOKUP(K35, Criterios!$A$81:$B$120, 2, FALSE)), "División no coincide con Categoría", ""))), IF(OR(L35="", L35=""), "[Aviso] Género no capturado ()", IF(ISNA(MATCH(L35, Criterios!$B$123:$B$127, 0)), "Género no válido", "")), IF(OR(N35="", N35=""), "[Aviso] Temporada no capturada ()", IF(ISNA(MATCH(N35, Criterios!$C$123:$C$128, 0)), "Temporada no válida", "")), IF(OR(O35="", O35=""), "[Aviso] Ciclo de vida no capturado ()", IF(ISNA(MATCH(O35, Criterios!$D$123:$D$124, 0)), "Ciclo de vida no válido", ""))))</f>
        <v/>
      </c>
      <c r="AC35" s="56" t="inlineStr">
        <is>
          <t>Homologación G1522: integra 1 registro(s) iguales por mismo WB SKU; códigos de barras alternos: 7503063066707</t>
        </is>
      </c>
      <c r="AD35" s="51" t="n">
        <v>1</v>
      </c>
      <c r="AE35" s="156" t="inlineStr">
        <is>
          <t>WB OUTLET LERMA (1)</t>
        </is>
      </c>
      <c r="AF35" s="51" t="n">
        <v>1</v>
      </c>
      <c r="AG35" s="156" t="inlineStr">
        <is>
          <t>Catálogo existente</t>
        </is>
      </c>
      <c r="AH35" s="156" t="inlineStr">
        <is>
          <t>Coincidencia por código de barras (ID NetSuite 117906) | ID alternativo de Hoja a Revisar 117906 (UPC coincidente); se conserva ID principal; Auditoría NetSuite 30/09/2026: llenado desde NetSuite [Z]; Vinculado por código de barras al ID NetSuite 117906 (antes en Identificador interno: 'C49731-59-32'); 01/10/2026: mismo SKU registrado también en fila 67729 con código 7503063066707 (ID 30980,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«7503063066707» → «7506674600964» (Requiere revisión) · WB Descripcion: «Cinturon de hombre C49731-59 Negro» → «Cinturón Wrangler Una Vista Casual para Hombre, Color Negro» (Conflicto entre duplicados) · WB Temporada: «FW26» → «SS26» (Conflicto entre duplicados) · WB Composición: «70% CUERO VACUNO 30% REGENERADO»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35" s="156" t="inlineStr">
        <is>
          <t>No</t>
        </is>
      </c>
      <c r="AJ35" s="156" t="n"/>
      <c r="AK35" s="155" t="inlineStr">
        <is>
          <t>| Hoja a Revisar: fila 196074 (ID 117906, misma clave UPC); G1522_Extraccion_Articulos_NetSuite_2026-09-30.xlsx: fila 64147 [Z] | Shopify WB: producto 10310436323513 / variante 50512590569657; Hoja3: fila 710 | Odoo: producto 30980 / plantilla 39662</t>
        </is>
      </c>
      <c r="AL35" s="58" t="inlineStr">
        <is>
          <t>344,48</t>
        </is>
      </c>
      <c r="AM35" s="58" t="n"/>
      <c r="AN35" s="155" t="inlineStr">
        <is>
          <t>Shopify Western Brothers; Odoo Universal Unique Brands</t>
        </is>
      </c>
      <c r="AO35" s="59" t="n"/>
      <c r="AP35" s="59" t="n">
        <v>1</v>
      </c>
      <c r="AQ35" s="59" t="n">
        <v>5</v>
      </c>
      <c r="AR35" s="155" t="inlineStr">
        <is>
          <t>Shopify Western Brothers › Western Brothers Outlet Lerma: 1; Odoo Universal Unique Brands › Bodega 25 › Bodega 25/General: 5</t>
        </is>
      </c>
    </row>
    <row r="36">
      <c r="A36" s="50" t="inlineStr">
        <is>
          <t>7506674600971</t>
        </is>
      </c>
      <c r="B36" s="51" t="inlineStr">
        <is>
          <t>117907</t>
        </is>
      </c>
      <c r="C36" s="156" t="inlineStr">
        <is>
          <t>Wrangler</t>
        </is>
      </c>
      <c r="D36" s="156" t="inlineStr">
        <is>
          <t>C49731-59</t>
        </is>
      </c>
      <c r="E36" s="156" t="inlineStr">
        <is>
          <t>C49731-59-34</t>
        </is>
      </c>
      <c r="F36" s="156" t="inlineStr">
        <is>
          <t>34</t>
        </is>
      </c>
      <c r="G36" s="156" t="inlineStr">
        <is>
          <t>34</t>
        </is>
      </c>
      <c r="H36" s="156" t="inlineStr">
        <is>
          <t>Wrangler</t>
        </is>
      </c>
      <c r="I36" s="156" t="inlineStr">
        <is>
          <t>Cinturón Wrangler Una Vista Casual para Hombre, Color Negro</t>
        </is>
      </c>
      <c r="J36" s="156" t="inlineStr">
        <is>
          <t>Accesorios</t>
        </is>
      </c>
      <c r="K36" s="156" t="inlineStr">
        <is>
          <t>Cinturones</t>
        </is>
      </c>
      <c r="L36" s="156" t="inlineStr">
        <is>
          <t>Hombre</t>
        </is>
      </c>
      <c r="M36" s="156" t="inlineStr">
        <is>
          <t>Wrangler</t>
        </is>
      </c>
      <c r="N36" s="156" t="inlineStr">
        <is>
          <t>SS26</t>
        </is>
      </c>
      <c r="O36" s="156" t="inlineStr">
        <is>
          <t>Seasonal</t>
        </is>
      </c>
      <c r="P36" s="156" t="inlineStr">
        <is>
          <t>Negro</t>
        </is>
      </c>
      <c r="Q36" s="156" t="n"/>
      <c r="R36" s="156" t="n"/>
      <c r="S36" s="156" t="inlineStr">
        <is>
          <t>100% piel de vacuno</t>
        </is>
      </c>
      <c r="T36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36" s="156" t="inlineStr">
        <is>
          <t>México</t>
        </is>
      </c>
      <c r="V36" s="156" t="inlineStr">
        <is>
          <t>PZS</t>
        </is>
      </c>
      <c r="W36" s="51" t="inlineStr">
        <is>
          <t>53102501</t>
        </is>
      </c>
      <c r="X36" s="156" t="n"/>
      <c r="Y36" s="54" t="n">
        <v>344.48</v>
      </c>
      <c r="Z36" s="54" t="n">
        <v>949</v>
      </c>
      <c r="AA36" s="55">
        <f>IF(AND(A36="", B36="", E36=""), "", IF(AB36="", "Válido", IF((LEN(AB36)-LEN(SUBSTITUTE(AB36,"; ","")))/2+1&gt;(LEN(AB36)-LEN(SUBSTITUTE(AB36,"[Aviso]","")))/7, "Con Incidencias", "Válido")))</f>
        <v/>
      </c>
      <c r="AB36" s="56">
        <f>IF(AND(A36="", B36="", E36=""), "", TEXTJOIN("; ", TRUE, IF(OR(TRIM(A36&amp;"")="", ISNUMBER(SEARCH("FALTA", A36))), "UPC faltante/inválido", ""), IF(AND(A36&lt;&gt;"", IFERROR(_xlfn.XMATCH(A36,$A$2:$A$1063,0,1)&lt;&gt;_xlfn.XMATCH(A36,$A$2:$A$1063,0,-1),FALSE)), "Código de barras duplicado", ""), IF(AND(E36&lt;&gt;"", COUNTIF($E$2:$E$1063, E36)&gt;1), "SKU duplicado", ""), IF(OR(J36="", J36=""), "[Aviso] División no capturada ()", IF(ISNA(MATCH(J36, Criterios!$A$123:$A$126, 0)), "División no válida", "")), IF(OR(K36="", K36=""), "[Aviso] Categoría no capturada ()", IF(ISNA(MATCH(K36, Criterios!$A$81:$A$120, 0)), "Categoría no válida", IF(AND(J36&lt;&gt;"", J36&lt;&gt;"", J36&lt;&gt;VLOOKUP(K36, Criterios!$A$81:$B$120, 2, FALSE)), "División no coincide con Categoría", ""))), IF(OR(L36="", L36=""), "[Aviso] Género no capturado ()", IF(ISNA(MATCH(L36, Criterios!$B$123:$B$127, 0)), "Género no válido", "")), IF(OR(N36="", N36=""), "[Aviso] Temporada no capturada ()", IF(ISNA(MATCH(N36, Criterios!$C$123:$C$128, 0)), "Temporada no válida", "")), IF(OR(O36="", O36=""), "[Aviso] Ciclo de vida no capturado ()", IF(ISNA(MATCH(O36, Criterios!$D$123:$D$124, 0)), "Ciclo de vida no válido", ""))))</f>
        <v/>
      </c>
      <c r="AC36" s="56" t="inlineStr">
        <is>
          <t>Homologación G1522: integra 1 registro(s) iguales por mismo WB SKU; códigos de barras alternos: 7503063066714</t>
        </is>
      </c>
      <c r="AD36" s="51" t="n">
        <v>2</v>
      </c>
      <c r="AE36" s="156" t="inlineStr">
        <is>
          <t>WB OUTLET LERMA (2)</t>
        </is>
      </c>
      <c r="AF36" s="51" t="n">
        <v>2</v>
      </c>
      <c r="AG36" s="156" t="inlineStr">
        <is>
          <t>Catálogo existente</t>
        </is>
      </c>
      <c r="AH36" s="156" t="inlineStr">
        <is>
          <t>Coincidencia por código de barras (ID NetSuite 117907) | ID alternativo de Hoja a Revisar 117907 (UPC coincidente); se conserva ID principal; Auditoría NetSuite 30/09/2026: llenado desde NetSuite [Z]; Vinculado por código de barras al ID NetSuite 117907 (antes en Identificador interno: 'C49731-59-34'); 01/10/2026: mismo SKU registrado también en fila 67730 con código 7503063066714 (ID 30981,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«7503063066714» → «7506674600971» (Requiere revisión) · WB Descripcion: «Cinturon de hombre C49731-59 Negro» → «Cinturón Wrangler Una Vista Casual para Hombre, Color Negro» (Conflicto entre duplicados) · WB Temporada: «FW26» → «SS26» (Conflicto entre duplicados) · WB Composición: «70% CUERO VACUNO 30% REGENERADO»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36" s="156" t="inlineStr">
        <is>
          <t>No</t>
        </is>
      </c>
      <c r="AJ36" s="156" t="n"/>
      <c r="AK36" s="155" t="inlineStr">
        <is>
          <t>| Hoja a Revisar: fila 196075 (ID 117907, misma clave UPC); G1522_Extraccion_Articulos_NetSuite_2026-09-30.xlsx: fila 64148 [Z] | Shopify WB: producto 10310436323513 / variante 50512590602425; Hoja3: fila 711 | Odoo: producto 30981 / plantilla 39662</t>
        </is>
      </c>
      <c r="AL36" s="58" t="inlineStr">
        <is>
          <t>344,48</t>
        </is>
      </c>
      <c r="AM36" s="58" t="n"/>
      <c r="AN36" s="155" t="inlineStr">
        <is>
          <t>Shopify Western Brothers; Odoo Universal Unique Brands</t>
        </is>
      </c>
      <c r="AO36" s="59" t="n"/>
      <c r="AP36" s="59" t="n">
        <v>2</v>
      </c>
      <c r="AQ36" s="59" t="n">
        <v>10</v>
      </c>
      <c r="AR36" s="155" t="inlineStr">
        <is>
          <t>Shopify Western Brothers › Western Brothers Outlet Lerma: 2; Odoo Universal Unique Brands › Bodega 25 › Bodega 25/General: 10</t>
        </is>
      </c>
    </row>
    <row r="37">
      <c r="A37" s="50" t="inlineStr">
        <is>
          <t>7506674600988</t>
        </is>
      </c>
      <c r="B37" s="51" t="inlineStr">
        <is>
          <t>117908</t>
        </is>
      </c>
      <c r="C37" s="156" t="inlineStr">
        <is>
          <t>Wrangler</t>
        </is>
      </c>
      <c r="D37" s="156" t="inlineStr">
        <is>
          <t>C49731-59</t>
        </is>
      </c>
      <c r="E37" s="156" t="inlineStr">
        <is>
          <t>C49731-59-36</t>
        </is>
      </c>
      <c r="F37" s="156" t="inlineStr">
        <is>
          <t>36</t>
        </is>
      </c>
      <c r="G37" s="156" t="inlineStr">
        <is>
          <t>36</t>
        </is>
      </c>
      <c r="H37" s="156" t="inlineStr">
        <is>
          <t>Wrangler</t>
        </is>
      </c>
      <c r="I37" s="156" t="inlineStr">
        <is>
          <t>Cinturón Wrangler Una Vista Casual para Hombre, Color Negro</t>
        </is>
      </c>
      <c r="J37" s="156" t="inlineStr">
        <is>
          <t>Accesorios</t>
        </is>
      </c>
      <c r="K37" s="156" t="inlineStr">
        <is>
          <t>Cinturones</t>
        </is>
      </c>
      <c r="L37" s="156" t="inlineStr">
        <is>
          <t>Hombre</t>
        </is>
      </c>
      <c r="M37" s="156" t="inlineStr">
        <is>
          <t>Wrangler</t>
        </is>
      </c>
      <c r="N37" s="156" t="inlineStr">
        <is>
          <t>SS26</t>
        </is>
      </c>
      <c r="O37" s="156" t="inlineStr">
        <is>
          <t>Seasonal</t>
        </is>
      </c>
      <c r="P37" s="156" t="inlineStr">
        <is>
          <t>Negro</t>
        </is>
      </c>
      <c r="Q37" s="156" t="n"/>
      <c r="R37" s="156" t="n"/>
      <c r="S37" s="156" t="inlineStr">
        <is>
          <t>100% piel de vacuno</t>
        </is>
      </c>
      <c r="T37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37" s="156" t="inlineStr">
        <is>
          <t>México</t>
        </is>
      </c>
      <c r="V37" s="156" t="inlineStr">
        <is>
          <t>PZS</t>
        </is>
      </c>
      <c r="W37" s="51" t="inlineStr">
        <is>
          <t>53102501</t>
        </is>
      </c>
      <c r="X37" s="156" t="n"/>
      <c r="Y37" s="54" t="n">
        <v>344.48</v>
      </c>
      <c r="Z37" s="54" t="n">
        <v>949</v>
      </c>
      <c r="AA37" s="55">
        <f>IF(AND(A37="", B37="", E37=""), "", IF(AB37="", "Válido", IF((LEN(AB37)-LEN(SUBSTITUTE(AB37,"; ","")))/2+1&gt;(LEN(AB37)-LEN(SUBSTITUTE(AB37,"[Aviso]","")))/7, "Con Incidencias", "Válido")))</f>
        <v/>
      </c>
      <c r="AB37" s="56">
        <f>IF(AND(A37="", B37="", E37=""), "", TEXTJOIN("; ", TRUE, IF(OR(TRIM(A37&amp;"")="", ISNUMBER(SEARCH("FALTA", A37))), "UPC faltante/inválido", ""), IF(AND(A37&lt;&gt;"", IFERROR(_xlfn.XMATCH(A37,$A$2:$A$1063,0,1)&lt;&gt;_xlfn.XMATCH(A37,$A$2:$A$1063,0,-1),FALSE)), "Código de barras duplicado", ""), IF(AND(E37&lt;&gt;"", COUNTIF($E$2:$E$1063, E37)&gt;1), "SKU duplicado", ""), IF(OR(J37="", J37=""), "[Aviso] División no capturada ()", IF(ISNA(MATCH(J37, Criterios!$A$123:$A$126, 0)), "División no válida", "")), IF(OR(K37="", K37=""), "[Aviso] Categoría no capturada ()", IF(ISNA(MATCH(K37, Criterios!$A$81:$A$120, 0)), "Categoría no válida", IF(AND(J37&lt;&gt;"", J37&lt;&gt;"", J37&lt;&gt;VLOOKUP(K37, Criterios!$A$81:$B$120, 2, FALSE)), "División no coincide con Categoría", ""))), IF(OR(L37="", L37=""), "[Aviso] Género no capturado ()", IF(ISNA(MATCH(L37, Criterios!$B$123:$B$127, 0)), "Género no válido", "")), IF(OR(N37="", N37=""), "[Aviso] Temporada no capturada ()", IF(ISNA(MATCH(N37, Criterios!$C$123:$C$128, 0)), "Temporada no válida", "")), IF(OR(O37="", O37=""), "[Aviso] Ciclo de vida no capturado ()", IF(ISNA(MATCH(O37, Criterios!$D$123:$D$124, 0)), "Ciclo de vida no válido", ""))))</f>
        <v/>
      </c>
      <c r="AC37" s="56" t="inlineStr">
        <is>
          <t>Homologación G1522: integra 1 registro(s) iguales por mismo WB SKU; códigos de barras alternos: 7503063066721</t>
        </is>
      </c>
      <c r="AD37" s="51" t="n">
        <v>2</v>
      </c>
      <c r="AE37" s="156" t="inlineStr">
        <is>
          <t>WB OUTLET LERMA (2)</t>
        </is>
      </c>
      <c r="AF37" s="51" t="n">
        <v>2</v>
      </c>
      <c r="AG37" s="156" t="inlineStr">
        <is>
          <t>Catálogo existente</t>
        </is>
      </c>
      <c r="AH37" s="156" t="inlineStr">
        <is>
          <t>Coincidencia por código de barras (ID NetSuite 117908) | ID alternativo de Hoja a Revisar 117908 (UPC coincidente); se conserva ID principal; Auditoría NetSuite 30/09/2026: llenado desde NetSuite [Z]; Vinculado por código de barras al ID NetSuite 117908 (antes en Identificador interno: 'C49731-59-36'); 01/10/2026: mismo SKU registrado también en fila 67731 con código 7503063066721 (ID 30982,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«7503063066721» → «7506674600988» (Requiere revisión) · WB Descripcion: «Cinturon de hombre C49731-59 Negro» → «Cinturón Wrangler Una Vista Casual para Hombre, Color Negro» (Conflicto entre duplicados) · WB Temporada: «FW26» → «SS26» (Conflicto entre duplicados) · WB Composición: «70% CUERO VACUNO 30% REGENERADO»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37" s="156" t="inlineStr">
        <is>
          <t>No</t>
        </is>
      </c>
      <c r="AJ37" s="156" t="n"/>
      <c r="AK37" s="155" t="inlineStr">
        <is>
          <t>| Hoja a Revisar: fila 196076 (ID 117908, misma clave UPC); G1522_Extraccion_Articulos_NetSuite_2026-09-30.xlsx: fila 64149 [Z] | Shopify WB: producto 10310436323513 / variante 50512590635193; Hoja3: fila 712 | Odoo: producto 30982 / plantilla 39662</t>
        </is>
      </c>
      <c r="AL37" s="58" t="inlineStr">
        <is>
          <t>344,48</t>
        </is>
      </c>
      <c r="AM37" s="58" t="n"/>
      <c r="AN37" s="155" t="inlineStr">
        <is>
          <t>Shopify Western Brothers; Odoo Universal Unique Brands</t>
        </is>
      </c>
      <c r="AO37" s="59" t="n"/>
      <c r="AP37" s="59" t="n">
        <v>2</v>
      </c>
      <c r="AQ37" s="59" t="n">
        <v>10</v>
      </c>
      <c r="AR37" s="155" t="inlineStr">
        <is>
          <t>Shopify Western Brothers › Western Brothers Outlet Lerma: 2; Odoo Universal Unique Brands › Bodega 25 › Bodega 25/General: 10</t>
        </is>
      </c>
    </row>
    <row r="38">
      <c r="A38" s="50" t="inlineStr">
        <is>
          <t>7506674600995</t>
        </is>
      </c>
      <c r="B38" s="51" t="inlineStr">
        <is>
          <t>117909</t>
        </is>
      </c>
      <c r="C38" s="156" t="inlineStr">
        <is>
          <t>Wrangler</t>
        </is>
      </c>
      <c r="D38" s="156" t="inlineStr">
        <is>
          <t>C49731-59</t>
        </is>
      </c>
      <c r="E38" s="156" t="inlineStr">
        <is>
          <t>C49731-59-38</t>
        </is>
      </c>
      <c r="F38" s="156" t="inlineStr">
        <is>
          <t>38</t>
        </is>
      </c>
      <c r="G38" s="156" t="inlineStr">
        <is>
          <t>38</t>
        </is>
      </c>
      <c r="H38" s="156" t="inlineStr">
        <is>
          <t>Wrangler</t>
        </is>
      </c>
      <c r="I38" s="156" t="inlineStr">
        <is>
          <t>Cinturón Wrangler Una Vista Casual para Hombre, Color Negro</t>
        </is>
      </c>
      <c r="J38" s="156" t="inlineStr">
        <is>
          <t>Accesorios</t>
        </is>
      </c>
      <c r="K38" s="156" t="inlineStr">
        <is>
          <t>Cinturones</t>
        </is>
      </c>
      <c r="L38" s="156" t="inlineStr">
        <is>
          <t>Hombre</t>
        </is>
      </c>
      <c r="M38" s="156" t="inlineStr">
        <is>
          <t>Wrangler</t>
        </is>
      </c>
      <c r="N38" s="156" t="inlineStr">
        <is>
          <t>SS26</t>
        </is>
      </c>
      <c r="O38" s="156" t="inlineStr">
        <is>
          <t>Seasonal</t>
        </is>
      </c>
      <c r="P38" s="156" t="inlineStr">
        <is>
          <t>Negro</t>
        </is>
      </c>
      <c r="Q38" s="156" t="n"/>
      <c r="R38" s="156" t="n"/>
      <c r="S38" s="156" t="inlineStr">
        <is>
          <t>100% piel de vacuno</t>
        </is>
      </c>
      <c r="T38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38" s="156" t="inlineStr">
        <is>
          <t>México</t>
        </is>
      </c>
      <c r="V38" s="156" t="inlineStr">
        <is>
          <t>PZS</t>
        </is>
      </c>
      <c r="W38" s="51" t="inlineStr">
        <is>
          <t>53102501</t>
        </is>
      </c>
      <c r="X38" s="156" t="n"/>
      <c r="Y38" s="54" t="n">
        <v>344.48</v>
      </c>
      <c r="Z38" s="54" t="n">
        <v>949</v>
      </c>
      <c r="AA38" s="55">
        <f>IF(AND(A38="", B38="", E38=""), "", IF(AB38="", "Válido", IF((LEN(AB38)-LEN(SUBSTITUTE(AB38,"; ","")))/2+1&gt;(LEN(AB38)-LEN(SUBSTITUTE(AB38,"[Aviso]","")))/7, "Con Incidencias", "Válido")))</f>
        <v/>
      </c>
      <c r="AB38" s="56">
        <f>IF(AND(A38="", B38="", E38=""), "", TEXTJOIN("; ", TRUE, IF(OR(TRIM(A38&amp;"")="", ISNUMBER(SEARCH("FALTA", A38))), "UPC faltante/inválido", ""), IF(AND(A38&lt;&gt;"", IFERROR(_xlfn.XMATCH(A38,$A$2:$A$1063,0,1)&lt;&gt;_xlfn.XMATCH(A38,$A$2:$A$1063,0,-1),FALSE)), "Código de barras duplicado", ""), IF(AND(E38&lt;&gt;"", COUNTIF($E$2:$E$1063, E38)&gt;1), "SKU duplicado", ""), IF(OR(J38="", J38=""), "[Aviso] División no capturada ()", IF(ISNA(MATCH(J38, Criterios!$A$123:$A$126, 0)), "División no válida", "")), IF(OR(K38="", K38=""), "[Aviso] Categoría no capturada ()", IF(ISNA(MATCH(K38, Criterios!$A$81:$A$120, 0)), "Categoría no válida", IF(AND(J38&lt;&gt;"", J38&lt;&gt;"", J38&lt;&gt;VLOOKUP(K38, Criterios!$A$81:$B$120, 2, FALSE)), "División no coincide con Categoría", ""))), IF(OR(L38="", L38=""), "[Aviso] Género no capturado ()", IF(ISNA(MATCH(L38, Criterios!$B$123:$B$127, 0)), "Género no válido", "")), IF(OR(N38="", N38=""), "[Aviso] Temporada no capturada ()", IF(ISNA(MATCH(N38, Criterios!$C$123:$C$128, 0)), "Temporada no válida", "")), IF(OR(O38="", O38=""), "[Aviso] Ciclo de vida no capturado ()", IF(ISNA(MATCH(O38, Criterios!$D$123:$D$124, 0)), "Ciclo de vida no válido", ""))))</f>
        <v/>
      </c>
      <c r="AC38" s="56" t="inlineStr">
        <is>
          <t>Homologación G1522: integra 1 registro(s) iguales por mismo WB SKU; códigos de barras alternos: 7503063066738</t>
        </is>
      </c>
      <c r="AD38" s="51" t="n">
        <v>3</v>
      </c>
      <c r="AE38" s="156" t="inlineStr">
        <is>
          <t>WB OUTLET LERMA (3)</t>
        </is>
      </c>
      <c r="AF38" s="51" t="n">
        <v>3</v>
      </c>
      <c r="AG38" s="156" t="inlineStr">
        <is>
          <t>Catálogo existente</t>
        </is>
      </c>
      <c r="AH38" s="156" t="inlineStr">
        <is>
          <t>Coincidencia por código de barras (ID NetSuite 117909) | ID alternativo de Hoja a Revisar 117909 (UPC coincidente); se conserva ID principal; Auditoría NetSuite 30/09/2026: llenado desde NetSuite [Z]; Vinculado por código de barras al ID NetSuite 117909 (antes en Identificador interno: 'C49731-59-38'); 01/10/2026: mismo SKU registrado también en fila 67732 con código 7503063066738 (ID 30983,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«7503063066738» → «7506674600995» (Requiere revisión) · WB Descripcion: «Cinturon de hombre C49731-59 Negro» → «Cinturón Wrangler Una Vista Casual para Hombre, Color Negro» (Conflicto entre duplicados) · WB Temporada: «FW26» → «SS26» (Conflicto entre duplicados) · WB Composición: «70% CUERO VACUNO 30% REGENERADO»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38" s="156" t="inlineStr">
        <is>
          <t>No</t>
        </is>
      </c>
      <c r="AJ38" s="156" t="n"/>
      <c r="AK38" s="155" t="inlineStr">
        <is>
          <t>| Hoja a Revisar: fila 196077 (ID 117909, misma clave UPC); G1522_Extraccion_Articulos_NetSuite_2026-09-30.xlsx: fila 64150 [Z] | Shopify WB: producto 10310436323513 / variante 50512590667961; Hoja3: fila 713 | Odoo: producto 30983 / plantilla 39662</t>
        </is>
      </c>
      <c r="AL38" s="58" t="inlineStr">
        <is>
          <t>344,48</t>
        </is>
      </c>
      <c r="AM38" s="58" t="n"/>
      <c r="AN38" s="155" t="inlineStr">
        <is>
          <t>Shopify Western Brothers; Odoo Universal Unique Brands</t>
        </is>
      </c>
      <c r="AO38" s="59" t="n"/>
      <c r="AP38" s="59" t="n">
        <v>3</v>
      </c>
      <c r="AQ38" s="59" t="n">
        <v>15</v>
      </c>
      <c r="AR38" s="155" t="inlineStr">
        <is>
          <t>Shopify Western Brothers › Western Brothers Outlet Lerma: 3; Odoo Universal Unique Brands › Bodega 25 › Bodega 25/General: 15</t>
        </is>
      </c>
    </row>
    <row r="39">
      <c r="A39" s="50" t="inlineStr">
        <is>
          <t>7506674601008</t>
        </is>
      </c>
      <c r="B39" s="51" t="inlineStr">
        <is>
          <t>117910</t>
        </is>
      </c>
      <c r="C39" s="156" t="inlineStr">
        <is>
          <t>Wrangler</t>
        </is>
      </c>
      <c r="D39" s="156" t="inlineStr">
        <is>
          <t>C49731-59</t>
        </is>
      </c>
      <c r="E39" s="156" t="inlineStr">
        <is>
          <t>C49731-59-40</t>
        </is>
      </c>
      <c r="F39" s="156" t="inlineStr">
        <is>
          <t>40</t>
        </is>
      </c>
      <c r="G39" s="156" t="inlineStr">
        <is>
          <t>40</t>
        </is>
      </c>
      <c r="H39" s="156" t="inlineStr">
        <is>
          <t>Wrangler</t>
        </is>
      </c>
      <c r="I39" s="156" t="inlineStr">
        <is>
          <t>Cinturón Wrangler Una Vista Casual para Hombre, Color Negro</t>
        </is>
      </c>
      <c r="J39" s="156" t="inlineStr">
        <is>
          <t>Accesorios</t>
        </is>
      </c>
      <c r="K39" s="156" t="inlineStr">
        <is>
          <t>Cinturones</t>
        </is>
      </c>
      <c r="L39" s="156" t="inlineStr">
        <is>
          <t>Hombre</t>
        </is>
      </c>
      <c r="M39" s="156" t="inlineStr">
        <is>
          <t>Wrangler</t>
        </is>
      </c>
      <c r="N39" s="156" t="inlineStr">
        <is>
          <t>SS26</t>
        </is>
      </c>
      <c r="O39" s="156" t="inlineStr">
        <is>
          <t>Seasonal</t>
        </is>
      </c>
      <c r="P39" s="156" t="inlineStr">
        <is>
          <t>Negro</t>
        </is>
      </c>
      <c r="Q39" s="156" t="n"/>
      <c r="R39" s="156" t="n"/>
      <c r="S39" s="156" t="inlineStr">
        <is>
          <t>100% piel de vacuno</t>
        </is>
      </c>
      <c r="T39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39" s="156" t="inlineStr">
        <is>
          <t>México</t>
        </is>
      </c>
      <c r="V39" s="156" t="inlineStr">
        <is>
          <t>PZS</t>
        </is>
      </c>
      <c r="W39" s="51" t="inlineStr">
        <is>
          <t>53102501</t>
        </is>
      </c>
      <c r="X39" s="156" t="n"/>
      <c r="Y39" s="54" t="n">
        <v>344.48</v>
      </c>
      <c r="Z39" s="54" t="n">
        <v>949</v>
      </c>
      <c r="AA39" s="55">
        <f>IF(AND(A39="", B39="", E39=""), "", IF(AB39="", "Válido", IF((LEN(AB39)-LEN(SUBSTITUTE(AB39,"; ","")))/2+1&gt;(LEN(AB39)-LEN(SUBSTITUTE(AB39,"[Aviso]","")))/7, "Con Incidencias", "Válido")))</f>
        <v/>
      </c>
      <c r="AB39" s="56">
        <f>IF(AND(A39="", B39="", E39=""), "", TEXTJOIN("; ", TRUE, IF(OR(TRIM(A39&amp;"")="", ISNUMBER(SEARCH("FALTA", A39))), "UPC faltante/inválido", ""), IF(AND(A39&lt;&gt;"", IFERROR(_xlfn.XMATCH(A39,$A$2:$A$1063,0,1)&lt;&gt;_xlfn.XMATCH(A39,$A$2:$A$1063,0,-1),FALSE)), "Código de barras duplicado", ""), IF(AND(E39&lt;&gt;"", COUNTIF($E$2:$E$1063, E39)&gt;1), "SKU duplicado", ""), IF(OR(J39="", J39=""), "[Aviso] División no capturada ()", IF(ISNA(MATCH(J39, Criterios!$A$123:$A$126, 0)), "División no válida", "")), IF(OR(K39="", K39=""), "[Aviso] Categoría no capturada ()", IF(ISNA(MATCH(K39, Criterios!$A$81:$A$120, 0)), "Categoría no válida", IF(AND(J39&lt;&gt;"", J39&lt;&gt;"", J39&lt;&gt;VLOOKUP(K39, Criterios!$A$81:$B$120, 2, FALSE)), "División no coincide con Categoría", ""))), IF(OR(L39="", L39=""), "[Aviso] Género no capturado ()", IF(ISNA(MATCH(L39, Criterios!$B$123:$B$127, 0)), "Género no válido", "")), IF(OR(N39="", N39=""), "[Aviso] Temporada no capturada ()", IF(ISNA(MATCH(N39, Criterios!$C$123:$C$128, 0)), "Temporada no válida", "")), IF(OR(O39="", O39=""), "[Aviso] Ciclo de vida no capturado ()", IF(ISNA(MATCH(O39, Criterios!$D$123:$D$124, 0)), "Ciclo de vida no válido", ""))))</f>
        <v/>
      </c>
      <c r="AC39" s="56" t="inlineStr">
        <is>
          <t>Homologación G1522: integra 1 registro(s) iguales por mismo WB SKU; códigos de barras alternos: 7503063066745</t>
        </is>
      </c>
      <c r="AD39" s="51" t="n">
        <v>2</v>
      </c>
      <c r="AE39" s="156" t="inlineStr">
        <is>
          <t>WB OUTLET LERMA (2)</t>
        </is>
      </c>
      <c r="AF39" s="51" t="n">
        <v>2</v>
      </c>
      <c r="AG39" s="156" t="inlineStr">
        <is>
          <t>Catálogo existente</t>
        </is>
      </c>
      <c r="AH39" s="156" t="inlineStr">
        <is>
          <t>Coincidencia por código de barras (ID NetSuite 117910) | ID alternativo de Hoja a Revisar 117910 (UPC coincidente); se conserva ID principal; Auditoría NetSuite 30/09/2026: llenado desde NetSuite [Z]; Vinculado por código de barras al ID NetSuite 117910 (antes en Identificador interno: 'C49731-59-40'); 01/10/2026: mismo SKU registrado también en fila 67733 con código 7503063066745 (ID 30984,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«7503063066745» → «7506674601008» (Requiere revisión) · WB Descripcion: «Cinturon de hombre C49731-59 Negro» → «Cinturón Wrangler Una Vista Casual para Hombre, Color Negro» (Conflicto entre duplicados) · WB Temporada: «FW26» → «SS26» (Conflicto entre duplicados) · WB Composición: «70% CUERO VACUNO 30% REGENERADO»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39" s="156" t="inlineStr">
        <is>
          <t>No</t>
        </is>
      </c>
      <c r="AJ39" s="156" t="n"/>
      <c r="AK39" s="155" t="inlineStr">
        <is>
          <t>| Hoja a Revisar: fila 196078 (ID 117910, misma clave UPC); G1522_Extraccion_Articulos_NetSuite_2026-09-30.xlsx: fila 64151 [Z] | Shopify WB: producto 10310436323513 / variante 50512590700729; Hoja3: fila 714 | Odoo: producto 30984 / plantilla 39662</t>
        </is>
      </c>
      <c r="AL39" s="58" t="inlineStr">
        <is>
          <t>344,48</t>
        </is>
      </c>
      <c r="AM39" s="58" t="n"/>
      <c r="AN39" s="155" t="inlineStr">
        <is>
          <t>Shopify Western Brothers; Odoo Universal Unique Brands</t>
        </is>
      </c>
      <c r="AO39" s="59" t="n"/>
      <c r="AP39" s="59" t="n">
        <v>2</v>
      </c>
      <c r="AQ39" s="59" t="n">
        <v>22</v>
      </c>
      <c r="AR39" s="155" t="inlineStr">
        <is>
          <t>Shopify Western Brothers › Western Brothers Outlet Lerma: 2; Odoo Universal Unique Brands › Bodega 25 › Bodega 25/General: 22</t>
        </is>
      </c>
    </row>
    <row r="40">
      <c r="A40" s="50" t="inlineStr">
        <is>
          <t>7506674601015</t>
        </is>
      </c>
      <c r="B40" s="51" t="inlineStr">
        <is>
          <t>117911</t>
        </is>
      </c>
      <c r="C40" s="156" t="inlineStr">
        <is>
          <t>Wrangler</t>
        </is>
      </c>
      <c r="D40" s="156" t="inlineStr">
        <is>
          <t>C49731-59</t>
        </is>
      </c>
      <c r="E40" s="156" t="inlineStr">
        <is>
          <t>C49731-59-42</t>
        </is>
      </c>
      <c r="F40" s="156" t="inlineStr">
        <is>
          <t>42</t>
        </is>
      </c>
      <c r="G40" s="156" t="inlineStr">
        <is>
          <t>42</t>
        </is>
      </c>
      <c r="H40" s="156" t="inlineStr">
        <is>
          <t>Wrangler</t>
        </is>
      </c>
      <c r="I40" s="156" t="inlineStr">
        <is>
          <t>Cinturón Wrangler Una Vista Casual para Hombre, Color Negro</t>
        </is>
      </c>
      <c r="J40" s="156" t="inlineStr">
        <is>
          <t>Accesorios</t>
        </is>
      </c>
      <c r="K40" s="156" t="inlineStr">
        <is>
          <t>Cinturones</t>
        </is>
      </c>
      <c r="L40" s="156" t="inlineStr">
        <is>
          <t>Hombre</t>
        </is>
      </c>
      <c r="M40" s="156" t="inlineStr">
        <is>
          <t>Wrangler</t>
        </is>
      </c>
      <c r="N40" s="156" t="inlineStr">
        <is>
          <t>SS26</t>
        </is>
      </c>
      <c r="O40" s="156" t="inlineStr">
        <is>
          <t>Seasonal</t>
        </is>
      </c>
      <c r="P40" s="156" t="inlineStr">
        <is>
          <t>Negro</t>
        </is>
      </c>
      <c r="Q40" s="156" t="n"/>
      <c r="R40" s="156" t="n"/>
      <c r="S40" s="156" t="inlineStr">
        <is>
          <t>100% piel de vacuno</t>
        </is>
      </c>
      <c r="T40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40" s="156" t="inlineStr">
        <is>
          <t>México</t>
        </is>
      </c>
      <c r="V40" s="156" t="inlineStr">
        <is>
          <t>PZS</t>
        </is>
      </c>
      <c r="W40" s="51" t="inlineStr">
        <is>
          <t>53102501</t>
        </is>
      </c>
      <c r="X40" s="156" t="n"/>
      <c r="Y40" s="54" t="n">
        <v>344.48</v>
      </c>
      <c r="Z40" s="54" t="n">
        <v>949</v>
      </c>
      <c r="AA40" s="55">
        <f>IF(AND(A40="", B40="", E40=""), "", IF(AB40="", "Válido", IF((LEN(AB40)-LEN(SUBSTITUTE(AB40,"; ","")))/2+1&gt;(LEN(AB40)-LEN(SUBSTITUTE(AB40,"[Aviso]","")))/7, "Con Incidencias", "Válido")))</f>
        <v/>
      </c>
      <c r="AB40" s="56">
        <f>IF(AND(A40="", B40="", E40=""), "", TEXTJOIN("; ", TRUE, IF(OR(TRIM(A40&amp;"")="", ISNUMBER(SEARCH("FALTA", A40))), "UPC faltante/inválido", ""), IF(AND(A40&lt;&gt;"", IFERROR(_xlfn.XMATCH(A40,$A$2:$A$1063,0,1)&lt;&gt;_xlfn.XMATCH(A40,$A$2:$A$1063,0,-1),FALSE)), "Código de barras duplicado", ""), IF(AND(E40&lt;&gt;"", COUNTIF($E$2:$E$1063, E40)&gt;1), "SKU duplicado", ""), IF(OR(J40="", J40=""), "[Aviso] División no capturada ()", IF(ISNA(MATCH(J40, Criterios!$A$123:$A$126, 0)), "División no válida", "")), IF(OR(K40="", K40=""), "[Aviso] Categoría no capturada ()", IF(ISNA(MATCH(K40, Criterios!$A$81:$A$120, 0)), "Categoría no válida", IF(AND(J40&lt;&gt;"", J40&lt;&gt;"", J40&lt;&gt;VLOOKUP(K40, Criterios!$A$81:$B$120, 2, FALSE)), "División no coincide con Categoría", ""))), IF(OR(L40="", L40=""), "[Aviso] Género no capturado ()", IF(ISNA(MATCH(L40, Criterios!$B$123:$B$127, 0)), "Género no válido", "")), IF(OR(N40="", N40=""), "[Aviso] Temporada no capturada ()", IF(ISNA(MATCH(N40, Criterios!$C$123:$C$128, 0)), "Temporada no válida", "")), IF(OR(O40="", O40=""), "[Aviso] Ciclo de vida no capturado ()", IF(ISNA(MATCH(O40, Criterios!$D$123:$D$124, 0)), "Ciclo de vida no válido", ""))))</f>
        <v/>
      </c>
      <c r="AC40" s="56" t="inlineStr">
        <is>
          <t>Homologación G1522: integra 1 registro(s) iguales por mismo WB SKU; códigos de barras alternos: 7503063066752</t>
        </is>
      </c>
      <c r="AD40" s="51" t="n">
        <v>2</v>
      </c>
      <c r="AE40" s="156" t="inlineStr">
        <is>
          <t>WB OUTLET LERMA (2)</t>
        </is>
      </c>
      <c r="AF40" s="51" t="n">
        <v>2</v>
      </c>
      <c r="AG40" s="156" t="inlineStr">
        <is>
          <t>Catálogo existente</t>
        </is>
      </c>
      <c r="AH40" s="156" t="inlineStr">
        <is>
          <t>Coincidencia por código de barras (ID NetSuite 117911) | ID alternativo de Hoja a Revisar 117911 (UPC coincidente); se conserva ID principal; Auditoría NetSuite 30/09/2026: llenado desde NetSuite [Z]; Vinculado por código de barras al ID NetSuite 117911 (antes en Identificador interno: 'C49731-59-42'); 01/10/2026: mismo SKU registrado también en fila 67734 con código 7503063066752 (ID 30985,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«7503063066752» → «7506674601015» (Requiere revisión) · WB Descripcion: «Cinturon de hombre C49731-59 Negro» → «Cinturón Wrangler Una Vista Casual para Hombre, Color Negro» (Conflicto entre duplicados) · WB Temporada: «FW26» → «SS26» (Conflicto entre duplicados) · WB Composición: «70% CUERO VACUNO 30% REGENERADO»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40" s="156" t="inlineStr">
        <is>
          <t>No</t>
        </is>
      </c>
      <c r="AJ40" s="156" t="n"/>
      <c r="AK40" s="155" t="inlineStr">
        <is>
          <t>| Hoja a Revisar: fila 196079 (ID 117911, misma clave UPC); G1522_Extraccion_Articulos_NetSuite_2026-09-30.xlsx: fila 64152 [Z] | Shopify WB: producto 10310436323513 / variante 50512590733497; Hoja3: fila 715 | Odoo: producto 30985 / plantilla 39662</t>
        </is>
      </c>
      <c r="AL40" s="58" t="inlineStr">
        <is>
          <t>344,48</t>
        </is>
      </c>
      <c r="AM40" s="58" t="n"/>
      <c r="AN40" s="155" t="inlineStr">
        <is>
          <t>Shopify Western Brothers; Odoo Universal Unique Brands</t>
        </is>
      </c>
      <c r="AO40" s="59" t="n"/>
      <c r="AP40" s="59" t="n">
        <v>2</v>
      </c>
      <c r="AQ40" s="59" t="n">
        <v>22</v>
      </c>
      <c r="AR40" s="155" t="inlineStr">
        <is>
          <t>Shopify Western Brothers › Western Brothers Outlet Lerma: 2; Odoo Universal Unique Brands › Bodega 25 › Bodega 25/General: 22</t>
        </is>
      </c>
    </row>
    <row r="41">
      <c r="A41" s="50" t="inlineStr">
        <is>
          <t>7506674601022</t>
        </is>
      </c>
      <c r="B41" s="51" t="inlineStr">
        <is>
          <t>117912</t>
        </is>
      </c>
      <c r="C41" s="156" t="inlineStr">
        <is>
          <t>Wrangler</t>
        </is>
      </c>
      <c r="D41" s="156" t="inlineStr">
        <is>
          <t>C49731-59</t>
        </is>
      </c>
      <c r="E41" s="156" t="inlineStr">
        <is>
          <t>C49731-59-44</t>
        </is>
      </c>
      <c r="F41" s="156" t="inlineStr">
        <is>
          <t>44</t>
        </is>
      </c>
      <c r="G41" s="156" t="inlineStr">
        <is>
          <t>44</t>
        </is>
      </c>
      <c r="H41" s="156" t="inlineStr">
        <is>
          <t>Wrangler</t>
        </is>
      </c>
      <c r="I41" s="156" t="inlineStr">
        <is>
          <t>Cinturón Wrangler Una Vista Casual para Hombre, Color Negro</t>
        </is>
      </c>
      <c r="J41" s="156" t="inlineStr">
        <is>
          <t>Accesorios</t>
        </is>
      </c>
      <c r="K41" s="156" t="inlineStr">
        <is>
          <t>Cinturones</t>
        </is>
      </c>
      <c r="L41" s="156" t="inlineStr">
        <is>
          <t>Hombre</t>
        </is>
      </c>
      <c r="M41" s="156" t="inlineStr">
        <is>
          <t>Wrangler</t>
        </is>
      </c>
      <c r="N41" s="156" t="inlineStr">
        <is>
          <t>SS26</t>
        </is>
      </c>
      <c r="O41" s="156" t="inlineStr">
        <is>
          <t>Seasonal</t>
        </is>
      </c>
      <c r="P41" s="156" t="inlineStr">
        <is>
          <t>Negro</t>
        </is>
      </c>
      <c r="Q41" s="156" t="n"/>
      <c r="R41" s="156" t="n"/>
      <c r="S41" s="156" t="inlineStr">
        <is>
          <t>100% piel de vacuno</t>
        </is>
      </c>
      <c r="T41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41" s="156" t="inlineStr">
        <is>
          <t>México</t>
        </is>
      </c>
      <c r="V41" s="156" t="inlineStr">
        <is>
          <t>PZS</t>
        </is>
      </c>
      <c r="W41" s="51" t="inlineStr">
        <is>
          <t>53102501</t>
        </is>
      </c>
      <c r="X41" s="156" t="n"/>
      <c r="Y41" s="54" t="n">
        <v>344.48</v>
      </c>
      <c r="Z41" s="54" t="n">
        <v>949</v>
      </c>
      <c r="AA41" s="55">
        <f>IF(AND(A41="", B41="", E41=""), "", IF(AB41="", "Válido", IF((LEN(AB41)-LEN(SUBSTITUTE(AB41,"; ","")))/2+1&gt;(LEN(AB41)-LEN(SUBSTITUTE(AB41,"[Aviso]","")))/7, "Con Incidencias", "Válido")))</f>
        <v/>
      </c>
      <c r="AB41" s="56">
        <f>IF(AND(A41="", B41="", E41=""), "", TEXTJOIN("; ", TRUE, IF(OR(TRIM(A41&amp;"")="", ISNUMBER(SEARCH("FALTA", A41))), "UPC faltante/inválido", ""), IF(AND(A41&lt;&gt;"", IFERROR(_xlfn.XMATCH(A41,$A$2:$A$1063,0,1)&lt;&gt;_xlfn.XMATCH(A41,$A$2:$A$1063,0,-1),FALSE)), "Código de barras duplicado", ""), IF(AND(E41&lt;&gt;"", COUNTIF($E$2:$E$1063, E41)&gt;1), "SKU duplicado", ""), IF(OR(J41="", J41=""), "[Aviso] División no capturada ()", IF(ISNA(MATCH(J41, Criterios!$A$123:$A$126, 0)), "División no válida", "")), IF(OR(K41="", K41=""), "[Aviso] Categoría no capturada ()", IF(ISNA(MATCH(K41, Criterios!$A$81:$A$120, 0)), "Categoría no válida", IF(AND(J41&lt;&gt;"", J41&lt;&gt;"", J41&lt;&gt;VLOOKUP(K41, Criterios!$A$81:$B$120, 2, FALSE)), "División no coincide con Categoría", ""))), IF(OR(L41="", L41=""), "[Aviso] Género no capturado ()", IF(ISNA(MATCH(L41, Criterios!$B$123:$B$127, 0)), "Género no válido", "")), IF(OR(N41="", N41=""), "[Aviso] Temporada no capturada ()", IF(ISNA(MATCH(N41, Criterios!$C$123:$C$128, 0)), "Temporada no válida", "")), IF(OR(O41="", O41=""), "[Aviso] Ciclo de vida no capturado ()", IF(ISNA(MATCH(O41, Criterios!$D$123:$D$124, 0)), "Ciclo de vida no válido", ""))))</f>
        <v/>
      </c>
      <c r="AC41" s="56" t="inlineStr">
        <is>
          <t>Homologación G1522: integra 1 registro(s) iguales por mismo WB SKU; códigos de barras alternos: 7503063066769</t>
        </is>
      </c>
      <c r="AD41" s="51" t="n">
        <v>1</v>
      </c>
      <c r="AE41" s="156" t="inlineStr">
        <is>
          <t>WB OUTLET LERMA (1)</t>
        </is>
      </c>
      <c r="AF41" s="51" t="n">
        <v>1</v>
      </c>
      <c r="AG41" s="156" t="inlineStr">
        <is>
          <t>Catálogo existente</t>
        </is>
      </c>
      <c r="AH41" s="156" t="inlineStr">
        <is>
          <t>Coincidencia por código de barras (ID NetSuite 117912) | ID alternativo de Hoja a Revisar 117912 (UPC coincidente); se conserva ID principal; Auditoría NetSuite 30/09/2026: llenado desde NetSuite [Z]; Vinculado por código de barras al ID NetSuite 117912 (antes en Identificador interno: 'C49731-59-44'); 01/10/2026: mismo SKU registrado también en fila 67735 con código 7503063066769 (ID 30986,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«7503063066769» → «7506674601022» (Requiere revisión) · WB Descripcion: «Cinturon de hombre C49731-59 Negro» → «Cinturón Wrangler Una Vista Casual para Hombre, Color Negro» (Conflicto entre duplicados) · WB Temporada: «FW26» → «SS26» (Conflicto entre duplicados) · WB Composición: «70% CUERO VACUNO 30% REGENERADO»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41" s="156" t="inlineStr">
        <is>
          <t>No</t>
        </is>
      </c>
      <c r="AJ41" s="156" t="n"/>
      <c r="AK41" s="155" t="inlineStr">
        <is>
          <t>| Hoja a Revisar: fila 196080 (ID 117912, misma clave UPC); G1522_Extraccion_Articulos_NetSuite_2026-09-30.xlsx: fila 64153 [Z] | Shopify WB: producto 10310436323513 / variante 50512590766265; Hoja3: fila 716 | Odoo: producto 30986 / plantilla 39662</t>
        </is>
      </c>
      <c r="AL41" s="58" t="inlineStr">
        <is>
          <t>344,48</t>
        </is>
      </c>
      <c r="AM41" s="58" t="n"/>
      <c r="AN41" s="155" t="inlineStr">
        <is>
          <t>Shopify Western Brothers; Odoo Universal Unique Brands</t>
        </is>
      </c>
      <c r="AO41" s="59" t="n"/>
      <c r="AP41" s="59" t="n">
        <v>1</v>
      </c>
      <c r="AQ41" s="59" t="n">
        <v>17</v>
      </c>
      <c r="AR41" s="155" t="inlineStr">
        <is>
          <t>Shopify Western Brothers › Western Brothers Outlet Lerma: 1; Odoo Universal Unique Brands › Bodega 25 › Bodega 25/General: 17</t>
        </is>
      </c>
    </row>
    <row r="42">
      <c r="A42" s="50" t="inlineStr">
        <is>
          <t>7506674600896</t>
        </is>
      </c>
      <c r="B42" s="51" t="inlineStr">
        <is>
          <t>117899</t>
        </is>
      </c>
      <c r="C42" s="156" t="inlineStr">
        <is>
          <t>Wrangler</t>
        </is>
      </c>
      <c r="D42" s="156" t="inlineStr">
        <is>
          <t>C49730-59</t>
        </is>
      </c>
      <c r="E42" s="156" t="inlineStr">
        <is>
          <t>C49730-59-32</t>
        </is>
      </c>
      <c r="F42" s="156" t="inlineStr">
        <is>
          <t>32</t>
        </is>
      </c>
      <c r="G42" s="156" t="inlineStr">
        <is>
          <t>32</t>
        </is>
      </c>
      <c r="H42" s="156" t="inlineStr">
        <is>
          <t>Wrangler</t>
        </is>
      </c>
      <c r="I42" s="156" t="inlineStr">
        <is>
          <t>Cinturón Wrangler Una Vista Casual para Hombre, Color Negro</t>
        </is>
      </c>
      <c r="J42" s="156" t="inlineStr">
        <is>
          <t>Accesorios</t>
        </is>
      </c>
      <c r="K42" s="156" t="inlineStr">
        <is>
          <t>Cinturones</t>
        </is>
      </c>
      <c r="L42" s="156" t="inlineStr">
        <is>
          <t>Hombre</t>
        </is>
      </c>
      <c r="M42" s="156" t="inlineStr">
        <is>
          <t>Wrangler</t>
        </is>
      </c>
      <c r="N42" s="156" t="inlineStr">
        <is>
          <t>SS26</t>
        </is>
      </c>
      <c r="O42" s="156" t="inlineStr">
        <is>
          <t>Seasonal</t>
        </is>
      </c>
      <c r="P42" s="156" t="inlineStr">
        <is>
          <t>Negro</t>
        </is>
      </c>
      <c r="Q42" s="156" t="n"/>
      <c r="R42" s="156" t="n"/>
      <c r="S42" s="156" t="inlineStr">
        <is>
          <t>100% piel de vacuno</t>
        </is>
      </c>
      <c r="T42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42" s="156" t="inlineStr">
        <is>
          <t>México</t>
        </is>
      </c>
      <c r="V42" s="156" t="inlineStr">
        <is>
          <t>PZS</t>
        </is>
      </c>
      <c r="W42" s="51" t="inlineStr">
        <is>
          <t>53102501</t>
        </is>
      </c>
      <c r="X42" s="156" t="n"/>
      <c r="Y42" s="54" t="n">
        <v>344.48</v>
      </c>
      <c r="Z42" s="54" t="n">
        <v>949</v>
      </c>
      <c r="AA42" s="55">
        <f>IF(AND(A42="", B42="", E42=""), "", IF(AB42="", "Válido", IF((LEN(AB42)-LEN(SUBSTITUTE(AB42,"; ","")))/2+1&gt;(LEN(AB42)-LEN(SUBSTITUTE(AB42,"[Aviso]","")))/7, "Con Incidencias", "Válido")))</f>
        <v/>
      </c>
      <c r="AB42" s="56">
        <f>IF(AND(A42="", B42="", E42=""), "", TEXTJOIN("; ", TRUE, IF(OR(TRIM(A42&amp;"")="", ISNUMBER(SEARCH("FALTA", A42))), "UPC faltante/inválido", ""), IF(AND(A42&lt;&gt;"", IFERROR(_xlfn.XMATCH(A42,$A$2:$A$1063,0,1)&lt;&gt;_xlfn.XMATCH(A42,$A$2:$A$1063,0,-1),FALSE)), "Código de barras duplicado", ""), IF(AND(E42&lt;&gt;"", COUNTIF($E$2:$E$1063, E42)&gt;1), "SKU duplicado", ""), IF(OR(J42="", J42=""), "[Aviso] División no capturada ()", IF(ISNA(MATCH(J42, Criterios!$A$123:$A$126, 0)), "División no válida", "")), IF(OR(K42="", K42=""), "[Aviso] Categoría no capturada ()", IF(ISNA(MATCH(K42, Criterios!$A$81:$A$120, 0)), "Categoría no válida", IF(AND(J42&lt;&gt;"", J42&lt;&gt;"", J42&lt;&gt;VLOOKUP(K42, Criterios!$A$81:$B$120, 2, FALSE)), "División no coincide con Categoría", ""))), IF(OR(L42="", L42=""), "[Aviso] Género no capturado ()", IF(ISNA(MATCH(L42, Criterios!$B$123:$B$127, 0)), "Género no válido", "")), IF(OR(N42="", N42=""), "[Aviso] Temporada no capturada ()", IF(ISNA(MATCH(N42, Criterios!$C$123:$C$128, 0)), "Temporada no válida", "")), IF(OR(O42="", O42=""), "[Aviso] Ciclo de vida no capturado ()", IF(ISNA(MATCH(O42, Criterios!$D$123:$D$124, 0)), "Ciclo de vida no válido", ""))))</f>
        <v/>
      </c>
      <c r="AC42" s="56" t="inlineStr">
        <is>
          <t>Homologación G1522: integra 1 registro(s) iguales por mismo WB SKU; códigos de barras alternos: 7503063066608</t>
        </is>
      </c>
      <c r="AD42" s="51" t="n">
        <v>1</v>
      </c>
      <c r="AE42" s="156" t="inlineStr">
        <is>
          <t>WB OUTLET LERMA (1)</t>
        </is>
      </c>
      <c r="AF42" s="51" t="n">
        <v>1</v>
      </c>
      <c r="AG42" s="156" t="inlineStr">
        <is>
          <t>Catálogo existente</t>
        </is>
      </c>
      <c r="AH42" s="156" t="inlineStr">
        <is>
          <t>Coincidencia por código de barras (ID NetSuite 117899) | ID alternativo de Hoja a Revisar 117899 (UPC coincidente); se conserva ID principal; Auditoría NetSuite 30/09/2026: llenado desde NetSuite [Z]; Vinculado por código de barras al ID NetSuite 117899 (antes en Identificador interno: 'C49730-59-32'); 01/10/2026: mismo SKU registrado también en fila 67722 con código 7503063066608 (ID 30965,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«7503063066608» → «7506674600896» (Requiere revisión) · WB Descripcion: «Cinturon de hombre C49730-59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42" s="156" t="inlineStr">
        <is>
          <t>No</t>
        </is>
      </c>
      <c r="AJ42" s="156" t="n"/>
      <c r="AK42" s="155" t="inlineStr">
        <is>
          <t>| Hoja a Revisar: fila 196066 (ID 117899, misma clave UPC); G1522_Extraccion_Articulos_NetSuite_2026-09-30.xlsx: fila 64140 [Z] | Shopify WB: producto 10310436290745 / variante 50512590340281; Hoja3: fila 703 | Odoo: producto 30965 / plantilla 39661</t>
        </is>
      </c>
      <c r="AL42" s="58" t="inlineStr">
        <is>
          <t>344,48</t>
        </is>
      </c>
      <c r="AM42" s="58" t="n"/>
      <c r="AN42" s="155" t="inlineStr">
        <is>
          <t>Shopify Western Brothers; Odoo Universal Unique Brands</t>
        </is>
      </c>
      <c r="AO42" s="59" t="n"/>
      <c r="AP42" s="59" t="n">
        <v>1</v>
      </c>
      <c r="AQ42" s="59" t="n">
        <v>5</v>
      </c>
      <c r="AR42" s="155" t="inlineStr">
        <is>
          <t>Shopify Western Brothers › Western Brothers Outlet Lerma: 1; Odoo Universal Unique Brands › Bodega 25 › Bodega 25/General: 5</t>
        </is>
      </c>
    </row>
    <row r="43">
      <c r="A43" s="50" t="inlineStr">
        <is>
          <t>7506674600902</t>
        </is>
      </c>
      <c r="B43" s="51" t="inlineStr">
        <is>
          <t>117900</t>
        </is>
      </c>
      <c r="C43" s="156" t="inlineStr">
        <is>
          <t>Wrangler</t>
        </is>
      </c>
      <c r="D43" s="156" t="inlineStr">
        <is>
          <t>C49730-59</t>
        </is>
      </c>
      <c r="E43" s="156" t="inlineStr">
        <is>
          <t>C49730-59-34</t>
        </is>
      </c>
      <c r="F43" s="156" t="inlineStr">
        <is>
          <t>34</t>
        </is>
      </c>
      <c r="G43" s="156" t="inlineStr">
        <is>
          <t>34</t>
        </is>
      </c>
      <c r="H43" s="156" t="inlineStr">
        <is>
          <t>Wrangler</t>
        </is>
      </c>
      <c r="I43" s="156" t="inlineStr">
        <is>
          <t>Cinturón Wrangler Una Vista Casual para Hombre, Color Negro</t>
        </is>
      </c>
      <c r="J43" s="156" t="inlineStr">
        <is>
          <t>Accesorios</t>
        </is>
      </c>
      <c r="K43" s="156" t="inlineStr">
        <is>
          <t>Cinturones</t>
        </is>
      </c>
      <c r="L43" s="156" t="inlineStr">
        <is>
          <t>Hombre</t>
        </is>
      </c>
      <c r="M43" s="156" t="inlineStr">
        <is>
          <t>Wrangler</t>
        </is>
      </c>
      <c r="N43" s="156" t="inlineStr">
        <is>
          <t>SS26</t>
        </is>
      </c>
      <c r="O43" s="156" t="inlineStr">
        <is>
          <t>Seasonal</t>
        </is>
      </c>
      <c r="P43" s="156" t="inlineStr">
        <is>
          <t>Negro</t>
        </is>
      </c>
      <c r="Q43" s="156" t="n"/>
      <c r="R43" s="156" t="n"/>
      <c r="S43" s="156" t="inlineStr">
        <is>
          <t>100% piel de vacuno</t>
        </is>
      </c>
      <c r="T43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43" s="156" t="inlineStr">
        <is>
          <t>México</t>
        </is>
      </c>
      <c r="V43" s="156" t="inlineStr">
        <is>
          <t>PZS</t>
        </is>
      </c>
      <c r="W43" s="51" t="inlineStr">
        <is>
          <t>53102501</t>
        </is>
      </c>
      <c r="X43" s="156" t="n"/>
      <c r="Y43" s="54" t="n">
        <v>344.48</v>
      </c>
      <c r="Z43" s="54" t="n">
        <v>949</v>
      </c>
      <c r="AA43" s="55">
        <f>IF(AND(A43="", B43="", E43=""), "", IF(AB43="", "Válido", IF((LEN(AB43)-LEN(SUBSTITUTE(AB43,"; ","")))/2+1&gt;(LEN(AB43)-LEN(SUBSTITUTE(AB43,"[Aviso]","")))/7, "Con Incidencias", "Válido")))</f>
        <v/>
      </c>
      <c r="AB43" s="56">
        <f>IF(AND(A43="", B43="", E43=""), "", TEXTJOIN("; ", TRUE, IF(OR(TRIM(A43&amp;"")="", ISNUMBER(SEARCH("FALTA", A43))), "UPC faltante/inválido", ""), IF(AND(A43&lt;&gt;"", IFERROR(_xlfn.XMATCH(A43,$A$2:$A$1063,0,1)&lt;&gt;_xlfn.XMATCH(A43,$A$2:$A$1063,0,-1),FALSE)), "Código de barras duplicado", ""), IF(AND(E43&lt;&gt;"", COUNTIF($E$2:$E$1063, E43)&gt;1), "SKU duplicado", ""), IF(OR(J43="", J43=""), "[Aviso] División no capturada ()", IF(ISNA(MATCH(J43, Criterios!$A$123:$A$126, 0)), "División no válida", "")), IF(OR(K43="", K43=""), "[Aviso] Categoría no capturada ()", IF(ISNA(MATCH(K43, Criterios!$A$81:$A$120, 0)), "Categoría no válida", IF(AND(J43&lt;&gt;"", J43&lt;&gt;"", J43&lt;&gt;VLOOKUP(K43, Criterios!$A$81:$B$120, 2, FALSE)), "División no coincide con Categoría", ""))), IF(OR(L43="", L43=""), "[Aviso] Género no capturado ()", IF(ISNA(MATCH(L43, Criterios!$B$123:$B$127, 0)), "Género no válido", "")), IF(OR(N43="", N43=""), "[Aviso] Temporada no capturada ()", IF(ISNA(MATCH(N43, Criterios!$C$123:$C$128, 0)), "Temporada no válida", "")), IF(OR(O43="", O43=""), "[Aviso] Ciclo de vida no capturado ()", IF(ISNA(MATCH(O43, Criterios!$D$123:$D$124, 0)), "Ciclo de vida no válido", ""))))</f>
        <v/>
      </c>
      <c r="AC43" s="56" t="inlineStr">
        <is>
          <t>Homologación G1522: integra 1 registro(s) iguales por mismo WB SKU; códigos de barras alternos: 7503063066615</t>
        </is>
      </c>
      <c r="AD43" s="51" t="n">
        <v>2</v>
      </c>
      <c r="AE43" s="156" t="inlineStr">
        <is>
          <t>WB OUTLET LERMA (2)</t>
        </is>
      </c>
      <c r="AF43" s="51" t="n">
        <v>2</v>
      </c>
      <c r="AG43" s="156" t="inlineStr">
        <is>
          <t>Catálogo existente</t>
        </is>
      </c>
      <c r="AH43" s="156" t="inlineStr">
        <is>
          <t>Coincidencia por código de barras (ID NetSuite 117900) | ID alternativo de Hoja a Revisar 117900 (UPC coincidente); se conserva ID principal; Auditoría NetSuite 30/09/2026: llenado desde NetSuite [Z]; Vinculado por código de barras al ID NetSuite 117900 (antes en Identificador interno: 'C49730-59-34'); 01/10/2026: mismo SKU registrado también en fila 67723 con código 7503063066615 (ID 30966,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«7503063066615» → «7506674600902» (Requiere revisión) · WB Descripcion: «Cinturon de hombre C49730-59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43" s="156" t="inlineStr">
        <is>
          <t>No</t>
        </is>
      </c>
      <c r="AJ43" s="156" t="n"/>
      <c r="AK43" s="155" t="inlineStr">
        <is>
          <t>| Hoja a Revisar: fila 196067 (ID 117900, misma clave UPC); G1522_Extraccion_Articulos_NetSuite_2026-09-30.xlsx: fila 64141 [Z] | Shopify WB: producto 10310436290745 / variante 50512590373049; Hoja3: fila 704 | Odoo: producto 30966 / plantilla 39661</t>
        </is>
      </c>
      <c r="AL43" s="58" t="inlineStr">
        <is>
          <t>344,48</t>
        </is>
      </c>
      <c r="AM43" s="58" t="n"/>
      <c r="AN43" s="155" t="inlineStr">
        <is>
          <t>Shopify Western Brothers; Odoo Universal Unique Brands</t>
        </is>
      </c>
      <c r="AO43" s="59" t="n"/>
      <c r="AP43" s="59" t="n">
        <v>2</v>
      </c>
      <c r="AQ43" s="59" t="n">
        <v>10</v>
      </c>
      <c r="AR43" s="155" t="inlineStr">
        <is>
          <t>Shopify Western Brothers › Western Brothers Outlet Lerma: 2; Odoo Universal Unique Brands › Bodega 25 › Bodega 25/General: 10</t>
        </is>
      </c>
    </row>
    <row r="44">
      <c r="A44" s="50" t="inlineStr">
        <is>
          <t>7506674600919</t>
        </is>
      </c>
      <c r="B44" s="51" t="inlineStr">
        <is>
          <t>117901</t>
        </is>
      </c>
      <c r="C44" s="156" t="inlineStr">
        <is>
          <t>Wrangler</t>
        </is>
      </c>
      <c r="D44" s="156" t="inlineStr">
        <is>
          <t>C49730-59</t>
        </is>
      </c>
      <c r="E44" s="156" t="inlineStr">
        <is>
          <t>C49730-59-36</t>
        </is>
      </c>
      <c r="F44" s="156" t="inlineStr">
        <is>
          <t>36</t>
        </is>
      </c>
      <c r="G44" s="156" t="inlineStr">
        <is>
          <t>36</t>
        </is>
      </c>
      <c r="H44" s="156" t="inlineStr">
        <is>
          <t>Wrangler</t>
        </is>
      </c>
      <c r="I44" s="156" t="inlineStr">
        <is>
          <t>Cinturón Wrangler Una Vista Casual para Hombre, Color Negro</t>
        </is>
      </c>
      <c r="J44" s="156" t="inlineStr">
        <is>
          <t>Accesorios</t>
        </is>
      </c>
      <c r="K44" s="156" t="inlineStr">
        <is>
          <t>Cinturones</t>
        </is>
      </c>
      <c r="L44" s="156" t="inlineStr">
        <is>
          <t>Hombre</t>
        </is>
      </c>
      <c r="M44" s="156" t="inlineStr">
        <is>
          <t>Wrangler</t>
        </is>
      </c>
      <c r="N44" s="156" t="inlineStr">
        <is>
          <t>SS26</t>
        </is>
      </c>
      <c r="O44" s="156" t="inlineStr">
        <is>
          <t>Seasonal</t>
        </is>
      </c>
      <c r="P44" s="156" t="inlineStr">
        <is>
          <t>Negro</t>
        </is>
      </c>
      <c r="Q44" s="156" t="n"/>
      <c r="R44" s="156" t="n"/>
      <c r="S44" s="156" t="inlineStr">
        <is>
          <t>100% piel de vacuno</t>
        </is>
      </c>
      <c r="T44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44" s="156" t="inlineStr">
        <is>
          <t>México</t>
        </is>
      </c>
      <c r="V44" s="156" t="inlineStr">
        <is>
          <t>PZS</t>
        </is>
      </c>
      <c r="W44" s="51" t="inlineStr">
        <is>
          <t>53102501</t>
        </is>
      </c>
      <c r="X44" s="156" t="n"/>
      <c r="Y44" s="54" t="n">
        <v>344.48</v>
      </c>
      <c r="Z44" s="54" t="n">
        <v>949</v>
      </c>
      <c r="AA44" s="55">
        <f>IF(AND(A44="", B44="", E44=""), "", IF(AB44="", "Válido", IF((LEN(AB44)-LEN(SUBSTITUTE(AB44,"; ","")))/2+1&gt;(LEN(AB44)-LEN(SUBSTITUTE(AB44,"[Aviso]","")))/7, "Con Incidencias", "Válido")))</f>
        <v/>
      </c>
      <c r="AB44" s="56">
        <f>IF(AND(A44="", B44="", E44=""), "", TEXTJOIN("; ", TRUE, IF(OR(TRIM(A44&amp;"")="", ISNUMBER(SEARCH("FALTA", A44))), "UPC faltante/inválido", ""), IF(AND(A44&lt;&gt;"", IFERROR(_xlfn.XMATCH(A44,$A$2:$A$1063,0,1)&lt;&gt;_xlfn.XMATCH(A44,$A$2:$A$1063,0,-1),FALSE)), "Código de barras duplicado", ""), IF(AND(E44&lt;&gt;"", COUNTIF($E$2:$E$1063, E44)&gt;1), "SKU duplicado", ""), IF(OR(J44="", J44=""), "[Aviso] División no capturada ()", IF(ISNA(MATCH(J44, Criterios!$A$123:$A$126, 0)), "División no válida", "")), IF(OR(K44="", K44=""), "[Aviso] Categoría no capturada ()", IF(ISNA(MATCH(K44, Criterios!$A$81:$A$120, 0)), "Categoría no válida", IF(AND(J44&lt;&gt;"", J44&lt;&gt;"", J44&lt;&gt;VLOOKUP(K44, Criterios!$A$81:$B$120, 2, FALSE)), "División no coincide con Categoría", ""))), IF(OR(L44="", L44=""), "[Aviso] Género no capturado ()", IF(ISNA(MATCH(L44, Criterios!$B$123:$B$127, 0)), "Género no válido", "")), IF(OR(N44="", N44=""), "[Aviso] Temporada no capturada ()", IF(ISNA(MATCH(N44, Criterios!$C$123:$C$128, 0)), "Temporada no válida", "")), IF(OR(O44="", O44=""), "[Aviso] Ciclo de vida no capturado ()", IF(ISNA(MATCH(O44, Criterios!$D$123:$D$124, 0)), "Ciclo de vida no válido", ""))))</f>
        <v/>
      </c>
      <c r="AC44" s="56" t="inlineStr">
        <is>
          <t>Homologación G1522: integra 1 registro(s) iguales por mismo WB SKU; códigos de barras alternos: 7503063066622</t>
        </is>
      </c>
      <c r="AD44" s="51" t="n">
        <v>2</v>
      </c>
      <c r="AE44" s="156" t="inlineStr">
        <is>
          <t>WB OUTLET LERMA (2)</t>
        </is>
      </c>
      <c r="AF44" s="51" t="n">
        <v>2</v>
      </c>
      <c r="AG44" s="156" t="inlineStr">
        <is>
          <t>Catálogo existente</t>
        </is>
      </c>
      <c r="AH44" s="156" t="inlineStr">
        <is>
          <t>Coincidencia por código de barras (ID NetSuite 117901) | ID alternativo de Hoja a Revisar 117901 (UPC coincidente); se conserva ID principal; Auditoría NetSuite 30/09/2026: llenado desde NetSuite [Z]; Vinculado por código de barras al ID NetSuite 117901 (antes en Identificador interno: 'C49730-59-36'); 01/10/2026: mismo SKU registrado también en fila 67724 con código 7503063066622 (ID 30967,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«7503063066622» → «7506674600919» (Requiere revisión) · WB Descripcion: «Cinturon de hombre C49730-59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44" s="156" t="inlineStr">
        <is>
          <t>No</t>
        </is>
      </c>
      <c r="AJ44" s="156" t="n"/>
      <c r="AK44" s="155" t="inlineStr">
        <is>
          <t>| Hoja a Revisar: fila 196068 (ID 117901, misma clave UPC); G1522_Extraccion_Articulos_NetSuite_2026-09-30.xlsx: fila 64142 [Z] | Shopify WB: producto 10310436290745 / variante 50512590405817; Hoja3: fila 705 | Odoo: producto 30967 / plantilla 39661</t>
        </is>
      </c>
      <c r="AL44" s="58" t="inlineStr">
        <is>
          <t>344,48</t>
        </is>
      </c>
      <c r="AM44" s="58" t="n"/>
      <c r="AN44" s="155" t="inlineStr">
        <is>
          <t>Shopify Western Brothers; Odoo Universal Unique Brands</t>
        </is>
      </c>
      <c r="AO44" s="59" t="n"/>
      <c r="AP44" s="59" t="n">
        <v>2</v>
      </c>
      <c r="AQ44" s="59" t="n">
        <v>10</v>
      </c>
      <c r="AR44" s="155" t="inlineStr">
        <is>
          <t>Shopify Western Brothers › Western Brothers Outlet Lerma: 2; Odoo Universal Unique Brands › Bodega 25 › Bodega 25/General: 10</t>
        </is>
      </c>
    </row>
    <row r="45">
      <c r="A45" s="50" t="inlineStr">
        <is>
          <t>7506674600926</t>
        </is>
      </c>
      <c r="B45" s="51" t="inlineStr">
        <is>
          <t>117902</t>
        </is>
      </c>
      <c r="C45" s="156" t="inlineStr">
        <is>
          <t>Wrangler</t>
        </is>
      </c>
      <c r="D45" s="156" t="inlineStr">
        <is>
          <t>C49730-59</t>
        </is>
      </c>
      <c r="E45" s="156" t="inlineStr">
        <is>
          <t>C49730-59-38</t>
        </is>
      </c>
      <c r="F45" s="156" t="inlineStr">
        <is>
          <t>38</t>
        </is>
      </c>
      <c r="G45" s="156" t="inlineStr">
        <is>
          <t>38</t>
        </is>
      </c>
      <c r="H45" s="156" t="inlineStr">
        <is>
          <t>Wrangler</t>
        </is>
      </c>
      <c r="I45" s="156" t="inlineStr">
        <is>
          <t>Cinturón Wrangler Una Vista Casual para Hombre, Color Negro</t>
        </is>
      </c>
      <c r="J45" s="156" t="inlineStr">
        <is>
          <t>Accesorios</t>
        </is>
      </c>
      <c r="K45" s="156" t="inlineStr">
        <is>
          <t>Cinturones</t>
        </is>
      </c>
      <c r="L45" s="156" t="inlineStr">
        <is>
          <t>Hombre</t>
        </is>
      </c>
      <c r="M45" s="156" t="inlineStr">
        <is>
          <t>Wrangler</t>
        </is>
      </c>
      <c r="N45" s="156" t="inlineStr">
        <is>
          <t>SS26</t>
        </is>
      </c>
      <c r="O45" s="156" t="inlineStr">
        <is>
          <t>Seasonal</t>
        </is>
      </c>
      <c r="P45" s="156" t="inlineStr">
        <is>
          <t>Negro</t>
        </is>
      </c>
      <c r="Q45" s="156" t="n"/>
      <c r="R45" s="156" t="n"/>
      <c r="S45" s="156" t="inlineStr">
        <is>
          <t>100% piel de vacuno</t>
        </is>
      </c>
      <c r="T45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45" s="156" t="inlineStr">
        <is>
          <t>México</t>
        </is>
      </c>
      <c r="V45" s="156" t="inlineStr">
        <is>
          <t>PZS</t>
        </is>
      </c>
      <c r="W45" s="51" t="inlineStr">
        <is>
          <t>53102501</t>
        </is>
      </c>
      <c r="X45" s="156" t="n"/>
      <c r="Y45" s="54" t="n">
        <v>344.48</v>
      </c>
      <c r="Z45" s="54" t="n">
        <v>949</v>
      </c>
      <c r="AA45" s="55">
        <f>IF(AND(A45="", B45="", E45=""), "", IF(AB45="", "Válido", IF((LEN(AB45)-LEN(SUBSTITUTE(AB45,"; ","")))/2+1&gt;(LEN(AB45)-LEN(SUBSTITUTE(AB45,"[Aviso]","")))/7, "Con Incidencias", "Válido")))</f>
        <v/>
      </c>
      <c r="AB45" s="56">
        <f>IF(AND(A45="", B45="", E45=""), "", TEXTJOIN("; ", TRUE, IF(OR(TRIM(A45&amp;"")="", ISNUMBER(SEARCH("FALTA", A45))), "UPC faltante/inválido", ""), IF(AND(A45&lt;&gt;"", IFERROR(_xlfn.XMATCH(A45,$A$2:$A$1063,0,1)&lt;&gt;_xlfn.XMATCH(A45,$A$2:$A$1063,0,-1),FALSE)), "Código de barras duplicado", ""), IF(AND(E45&lt;&gt;"", COUNTIF($E$2:$E$1063, E45)&gt;1), "SKU duplicado", ""), IF(OR(J45="", J45=""), "[Aviso] División no capturada ()", IF(ISNA(MATCH(J45, Criterios!$A$123:$A$126, 0)), "División no válida", "")), IF(OR(K45="", K45=""), "[Aviso] Categoría no capturada ()", IF(ISNA(MATCH(K45, Criterios!$A$81:$A$120, 0)), "Categoría no válida", IF(AND(J45&lt;&gt;"", J45&lt;&gt;"", J45&lt;&gt;VLOOKUP(K45, Criterios!$A$81:$B$120, 2, FALSE)), "División no coincide con Categoría", ""))), IF(OR(L45="", L45=""), "[Aviso] Género no capturado ()", IF(ISNA(MATCH(L45, Criterios!$B$123:$B$127, 0)), "Género no válido", "")), IF(OR(N45="", N45=""), "[Aviso] Temporada no capturada ()", IF(ISNA(MATCH(N45, Criterios!$C$123:$C$128, 0)), "Temporada no válida", "")), IF(OR(O45="", O45=""), "[Aviso] Ciclo de vida no capturado ()", IF(ISNA(MATCH(O45, Criterios!$D$123:$D$124, 0)), "Ciclo de vida no válido", ""))))</f>
        <v/>
      </c>
      <c r="AC45" s="56" t="inlineStr">
        <is>
          <t>Homologación G1522: integra 1 registro(s) iguales por mismo WB SKU; códigos de barras alternos: 7503063066639</t>
        </is>
      </c>
      <c r="AD45" s="51" t="n">
        <v>3</v>
      </c>
      <c r="AE45" s="156" t="inlineStr">
        <is>
          <t>WB OUTLET LERMA (3)</t>
        </is>
      </c>
      <c r="AF45" s="51" t="n">
        <v>3</v>
      </c>
      <c r="AG45" s="156" t="inlineStr">
        <is>
          <t>Catálogo existente</t>
        </is>
      </c>
      <c r="AH45" s="156" t="inlineStr">
        <is>
          <t>Coincidencia por código de barras (ID NetSuite 117902) | ID alternativo de Hoja a Revisar 117902 (UPC coincidente); se conserva ID principal; Auditoría NetSuite 30/09/2026: llenado desde NetSuite [Z]; Vinculado por código de barras al ID NetSuite 117902 (antes en Identificador interno: 'C49730-59-38'); 01/10/2026: mismo SKU registrado también en fila 67725 con código 7503063066639 (ID 30968,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«7503063066639» → «7506674600926» (Requiere revisión) · WB Descripcion: «Cinturon de hombre C49730-59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45" s="156" t="inlineStr">
        <is>
          <t>No</t>
        </is>
      </c>
      <c r="AJ45" s="156" t="n"/>
      <c r="AK45" s="155" t="inlineStr">
        <is>
          <t>| Hoja a Revisar: fila 196069 (ID 117902, misma clave UPC); G1522_Extraccion_Articulos_NetSuite_2026-09-30.xlsx: fila 64143 [Z] | Shopify WB: producto 10310436290745 / variante 50512590438585; Hoja3: fila 706 | Odoo: producto 30968 / plantilla 39661</t>
        </is>
      </c>
      <c r="AL45" s="58" t="inlineStr">
        <is>
          <t>344,48</t>
        </is>
      </c>
      <c r="AM45" s="58" t="n"/>
      <c r="AN45" s="155" t="inlineStr">
        <is>
          <t>Shopify Western Brothers; Odoo Universal Unique Brands</t>
        </is>
      </c>
      <c r="AO45" s="59" t="n"/>
      <c r="AP45" s="59" t="n">
        <v>3</v>
      </c>
      <c r="AQ45" s="59" t="n">
        <v>15</v>
      </c>
      <c r="AR45" s="155" t="inlineStr">
        <is>
          <t>Shopify Western Brothers › Western Brothers Outlet Lerma: 3; Odoo Universal Unique Brands › Bodega 25 › Bodega 25/General: 15</t>
        </is>
      </c>
    </row>
    <row r="46">
      <c r="A46" s="50" t="inlineStr">
        <is>
          <t>7506674600933</t>
        </is>
      </c>
      <c r="B46" s="51" t="inlineStr">
        <is>
          <t>117903</t>
        </is>
      </c>
      <c r="C46" s="156" t="inlineStr">
        <is>
          <t>Wrangler</t>
        </is>
      </c>
      <c r="D46" s="156" t="inlineStr">
        <is>
          <t>C49730-59</t>
        </is>
      </c>
      <c r="E46" s="156" t="inlineStr">
        <is>
          <t>C49730-59-40</t>
        </is>
      </c>
      <c r="F46" s="156" t="inlineStr">
        <is>
          <t>40</t>
        </is>
      </c>
      <c r="G46" s="156" t="inlineStr">
        <is>
          <t>40</t>
        </is>
      </c>
      <c r="H46" s="156" t="inlineStr">
        <is>
          <t>Wrangler</t>
        </is>
      </c>
      <c r="I46" s="156" t="inlineStr">
        <is>
          <t>Cinturón Wrangler Una Vista Casual para Hombre, Color Negro</t>
        </is>
      </c>
      <c r="J46" s="156" t="inlineStr">
        <is>
          <t>Accesorios</t>
        </is>
      </c>
      <c r="K46" s="156" t="inlineStr">
        <is>
          <t>Cinturones</t>
        </is>
      </c>
      <c r="L46" s="156" t="inlineStr">
        <is>
          <t>Hombre</t>
        </is>
      </c>
      <c r="M46" s="156" t="inlineStr">
        <is>
          <t>Wrangler</t>
        </is>
      </c>
      <c r="N46" s="156" t="inlineStr">
        <is>
          <t>SS26</t>
        </is>
      </c>
      <c r="O46" s="156" t="inlineStr">
        <is>
          <t>Seasonal</t>
        </is>
      </c>
      <c r="P46" s="156" t="inlineStr">
        <is>
          <t>Negro</t>
        </is>
      </c>
      <c r="Q46" s="156" t="n"/>
      <c r="R46" s="156" t="n"/>
      <c r="S46" s="156" t="inlineStr">
        <is>
          <t>100% piel de vacuno</t>
        </is>
      </c>
      <c r="T46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46" s="156" t="inlineStr">
        <is>
          <t>México</t>
        </is>
      </c>
      <c r="V46" s="156" t="inlineStr">
        <is>
          <t>PZS</t>
        </is>
      </c>
      <c r="W46" s="51" t="inlineStr">
        <is>
          <t>53102501</t>
        </is>
      </c>
      <c r="X46" s="156" t="n"/>
      <c r="Y46" s="54" t="n">
        <v>344.48</v>
      </c>
      <c r="Z46" s="54" t="n">
        <v>949</v>
      </c>
      <c r="AA46" s="55">
        <f>IF(AND(A46="", B46="", E46=""), "", IF(AB46="", "Válido", IF((LEN(AB46)-LEN(SUBSTITUTE(AB46,"; ","")))/2+1&gt;(LEN(AB46)-LEN(SUBSTITUTE(AB46,"[Aviso]","")))/7, "Con Incidencias", "Válido")))</f>
        <v/>
      </c>
      <c r="AB46" s="56">
        <f>IF(AND(A46="", B46="", E46=""), "", TEXTJOIN("; ", TRUE, IF(OR(TRIM(A46&amp;"")="", ISNUMBER(SEARCH("FALTA", A46))), "UPC faltante/inválido", ""), IF(AND(A46&lt;&gt;"", IFERROR(_xlfn.XMATCH(A46,$A$2:$A$1063,0,1)&lt;&gt;_xlfn.XMATCH(A46,$A$2:$A$1063,0,-1),FALSE)), "Código de barras duplicado", ""), IF(AND(E46&lt;&gt;"", COUNTIF($E$2:$E$1063, E46)&gt;1), "SKU duplicado", ""), IF(OR(J46="", J46=""), "[Aviso] División no capturada ()", IF(ISNA(MATCH(J46, Criterios!$A$123:$A$126, 0)), "División no válida", "")), IF(OR(K46="", K46=""), "[Aviso] Categoría no capturada ()", IF(ISNA(MATCH(K46, Criterios!$A$81:$A$120, 0)), "Categoría no válida", IF(AND(J46&lt;&gt;"", J46&lt;&gt;"", J46&lt;&gt;VLOOKUP(K46, Criterios!$A$81:$B$120, 2, FALSE)), "División no coincide con Categoría", ""))), IF(OR(L46="", L46=""), "[Aviso] Género no capturado ()", IF(ISNA(MATCH(L46, Criterios!$B$123:$B$127, 0)), "Género no válido", "")), IF(OR(N46="", N46=""), "[Aviso] Temporada no capturada ()", IF(ISNA(MATCH(N46, Criterios!$C$123:$C$128, 0)), "Temporada no válida", "")), IF(OR(O46="", O46=""), "[Aviso] Ciclo de vida no capturado ()", IF(ISNA(MATCH(O46, Criterios!$D$123:$D$124, 0)), "Ciclo de vida no válido", ""))))</f>
        <v/>
      </c>
      <c r="AC46" s="56" t="inlineStr">
        <is>
          <t>Homologación G1522: integra 1 registro(s) iguales por mismo WB SKU; códigos de barras alternos: 7503063066646</t>
        </is>
      </c>
      <c r="AD46" s="51" t="n">
        <v>2</v>
      </c>
      <c r="AE46" s="156" t="inlineStr">
        <is>
          <t>WB OUTLET LERMA (2)</t>
        </is>
      </c>
      <c r="AF46" s="51" t="n">
        <v>2</v>
      </c>
      <c r="AG46" s="156" t="inlineStr">
        <is>
          <t>Catálogo existente</t>
        </is>
      </c>
      <c r="AH46" s="156" t="inlineStr">
        <is>
          <t>Coincidencia por código de barras (ID NetSuite 117903) | ID alternativo de Hoja a Revisar 117903 (UPC coincidente); se conserva ID principal; Auditoría NetSuite 30/09/2026: llenado desde NetSuite [Z]; Vinculado por código de barras al ID NetSuite 117903 (antes en Identificador interno: 'C49730-59-40'); 01/10/2026: mismo SKU registrado también en fila 67726 con código 7503063066646 (ID 30969,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«7503063066646» → «7506674600933» (Requiere revisión) · WB Descripcion: «Cinturon de hombre C49730-59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46" s="156" t="inlineStr">
        <is>
          <t>No</t>
        </is>
      </c>
      <c r="AJ46" s="156" t="n"/>
      <c r="AK46" s="155" t="inlineStr">
        <is>
          <t>| Hoja a Revisar: fila 196070 (ID 117903, misma clave UPC); G1522_Extraccion_Articulos_NetSuite_2026-09-30.xlsx: fila 64144 [Z] | Shopify WB: producto 10310436290745 / variante 50512590471353; Hoja3: fila 707 | Odoo: producto 30969 / plantilla 39661</t>
        </is>
      </c>
      <c r="AL46" s="58" t="inlineStr">
        <is>
          <t>344,48</t>
        </is>
      </c>
      <c r="AM46" s="58" t="n"/>
      <c r="AN46" s="155" t="inlineStr">
        <is>
          <t>Shopify Western Brothers; Odoo Universal Unique Brands</t>
        </is>
      </c>
      <c r="AO46" s="59" t="n"/>
      <c r="AP46" s="59" t="n">
        <v>2</v>
      </c>
      <c r="AQ46" s="59" t="n">
        <v>22</v>
      </c>
      <c r="AR46" s="155" t="inlineStr">
        <is>
          <t>Shopify Western Brothers › Western Brothers Outlet Lerma: 2; Odoo Universal Unique Brands › Bodega 25 › Bodega 25/General: 22</t>
        </is>
      </c>
    </row>
    <row r="47">
      <c r="A47" s="50" t="inlineStr">
        <is>
          <t>7506674600940</t>
        </is>
      </c>
      <c r="B47" s="51" t="inlineStr">
        <is>
          <t>117904</t>
        </is>
      </c>
      <c r="C47" s="156" t="inlineStr">
        <is>
          <t>Wrangler</t>
        </is>
      </c>
      <c r="D47" s="156" t="inlineStr">
        <is>
          <t>C49730-59</t>
        </is>
      </c>
      <c r="E47" s="156" t="inlineStr">
        <is>
          <t>C49730-59-42</t>
        </is>
      </c>
      <c r="F47" s="156" t="inlineStr">
        <is>
          <t>42</t>
        </is>
      </c>
      <c r="G47" s="156" t="inlineStr">
        <is>
          <t>42</t>
        </is>
      </c>
      <c r="H47" s="156" t="inlineStr">
        <is>
          <t>Wrangler</t>
        </is>
      </c>
      <c r="I47" s="156" t="inlineStr">
        <is>
          <t>Cinturón Wrangler Una Vista Casual para Hombre, Color Negro</t>
        </is>
      </c>
      <c r="J47" s="156" t="inlineStr">
        <is>
          <t>Accesorios</t>
        </is>
      </c>
      <c r="K47" s="156" t="inlineStr">
        <is>
          <t>Cinturones</t>
        </is>
      </c>
      <c r="L47" s="156" t="inlineStr">
        <is>
          <t>Hombre</t>
        </is>
      </c>
      <c r="M47" s="156" t="inlineStr">
        <is>
          <t>Wrangler</t>
        </is>
      </c>
      <c r="N47" s="156" t="inlineStr">
        <is>
          <t>SS26</t>
        </is>
      </c>
      <c r="O47" s="156" t="inlineStr">
        <is>
          <t>Seasonal</t>
        </is>
      </c>
      <c r="P47" s="156" t="inlineStr">
        <is>
          <t>Negro</t>
        </is>
      </c>
      <c r="Q47" s="156" t="n"/>
      <c r="R47" s="156" t="n"/>
      <c r="S47" s="156" t="inlineStr">
        <is>
          <t>100% piel de vacuno</t>
        </is>
      </c>
      <c r="T47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47" s="156" t="inlineStr">
        <is>
          <t>México</t>
        </is>
      </c>
      <c r="V47" s="156" t="inlineStr">
        <is>
          <t>PZS</t>
        </is>
      </c>
      <c r="W47" s="51" t="inlineStr">
        <is>
          <t>53102501</t>
        </is>
      </c>
      <c r="X47" s="156" t="n"/>
      <c r="Y47" s="54" t="n">
        <v>344.48</v>
      </c>
      <c r="Z47" s="54" t="n">
        <v>949</v>
      </c>
      <c r="AA47" s="55">
        <f>IF(AND(A47="", B47="", E47=""), "", IF(AB47="", "Válido", IF((LEN(AB47)-LEN(SUBSTITUTE(AB47,"; ","")))/2+1&gt;(LEN(AB47)-LEN(SUBSTITUTE(AB47,"[Aviso]","")))/7, "Con Incidencias", "Válido")))</f>
        <v/>
      </c>
      <c r="AB47" s="56">
        <f>IF(AND(A47="", B47="", E47=""), "", TEXTJOIN("; ", TRUE, IF(OR(TRIM(A47&amp;"")="", ISNUMBER(SEARCH("FALTA", A47))), "UPC faltante/inválido", ""), IF(AND(A47&lt;&gt;"", IFERROR(_xlfn.XMATCH(A47,$A$2:$A$1063,0,1)&lt;&gt;_xlfn.XMATCH(A47,$A$2:$A$1063,0,-1),FALSE)), "Código de barras duplicado", ""), IF(AND(E47&lt;&gt;"", COUNTIF($E$2:$E$1063, E47)&gt;1), "SKU duplicado", ""), IF(OR(J47="", J47=""), "[Aviso] División no capturada ()", IF(ISNA(MATCH(J47, Criterios!$A$123:$A$126, 0)), "División no válida", "")), IF(OR(K47="", K47=""), "[Aviso] Categoría no capturada ()", IF(ISNA(MATCH(K47, Criterios!$A$81:$A$120, 0)), "Categoría no válida", IF(AND(J47&lt;&gt;"", J47&lt;&gt;"", J47&lt;&gt;VLOOKUP(K47, Criterios!$A$81:$B$120, 2, FALSE)), "División no coincide con Categoría", ""))), IF(OR(L47="", L47=""), "[Aviso] Género no capturado ()", IF(ISNA(MATCH(L47, Criterios!$B$123:$B$127, 0)), "Género no válido", "")), IF(OR(N47="", N47=""), "[Aviso] Temporada no capturada ()", IF(ISNA(MATCH(N47, Criterios!$C$123:$C$128, 0)), "Temporada no válida", "")), IF(OR(O47="", O47=""), "[Aviso] Ciclo de vida no capturado ()", IF(ISNA(MATCH(O47, Criterios!$D$123:$D$124, 0)), "Ciclo de vida no válido", ""))))</f>
        <v/>
      </c>
      <c r="AC47" s="56" t="inlineStr">
        <is>
          <t>Homologación G1522: integra 1 registro(s) iguales por mismo WB SKU; códigos de barras alternos: 7503063066653</t>
        </is>
      </c>
      <c r="AD47" s="51" t="n">
        <v>2</v>
      </c>
      <c r="AE47" s="156" t="inlineStr">
        <is>
          <t>WB OUTLET LERMA (2)</t>
        </is>
      </c>
      <c r="AF47" s="51" t="n">
        <v>2</v>
      </c>
      <c r="AG47" s="156" t="inlineStr">
        <is>
          <t>Catálogo existente</t>
        </is>
      </c>
      <c r="AH47" s="156" t="inlineStr">
        <is>
          <t>Coincidencia por código de barras (ID NetSuite 117904) | ID alternativo de Hoja a Revisar 117904 (UPC coincidente); se conserva ID principal; Auditoría NetSuite 30/09/2026: llenado desde NetSuite [Z]; Vinculado por código de barras al ID NetSuite 117904 (antes en Identificador interno: 'C49730-59-42'); 01/10/2026: mismo SKU registrado también en fila 67727 con código 7503063066653 (ID 30970,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«7503063066653» → «7506674600940» (Requiere revisión) · WB Descripcion: «Cinturon de hombre C49730-59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47" s="156" t="inlineStr">
        <is>
          <t>No</t>
        </is>
      </c>
      <c r="AJ47" s="156" t="n"/>
      <c r="AK47" s="155" t="inlineStr">
        <is>
          <t>| Hoja a Revisar: fila 196071 (ID 117904, misma clave UPC); G1522_Extraccion_Articulos_NetSuite_2026-09-30.xlsx: fila 64145 [Z] | Shopify WB: producto 10310436290745 / variante 50512590504121; Hoja3: fila 708 | Odoo: producto 30970 / plantilla 39661</t>
        </is>
      </c>
      <c r="AL47" s="58" t="inlineStr">
        <is>
          <t>344,48</t>
        </is>
      </c>
      <c r="AM47" s="58" t="n"/>
      <c r="AN47" s="155" t="inlineStr">
        <is>
          <t>Shopify Western Brothers; Odoo Universal Unique Brands</t>
        </is>
      </c>
      <c r="AO47" s="59" t="n"/>
      <c r="AP47" s="59" t="n">
        <v>2</v>
      </c>
      <c r="AQ47" s="59" t="n">
        <v>22</v>
      </c>
      <c r="AR47" s="155" t="inlineStr">
        <is>
          <t>Shopify Western Brothers › Western Brothers Outlet Lerma: 2; Odoo Universal Unique Brands › Bodega 25 › Bodega 25/General: 22</t>
        </is>
      </c>
    </row>
    <row r="48">
      <c r="A48" s="50" t="inlineStr">
        <is>
          <t>7506674600957</t>
        </is>
      </c>
      <c r="B48" s="51" t="inlineStr">
        <is>
          <t>117905</t>
        </is>
      </c>
      <c r="C48" s="156" t="inlineStr">
        <is>
          <t>Wrangler</t>
        </is>
      </c>
      <c r="D48" s="156" t="inlineStr">
        <is>
          <t>C49730-59</t>
        </is>
      </c>
      <c r="E48" s="156" t="inlineStr">
        <is>
          <t>C49730-59-44</t>
        </is>
      </c>
      <c r="F48" s="156" t="inlineStr">
        <is>
          <t>44</t>
        </is>
      </c>
      <c r="G48" s="156" t="inlineStr">
        <is>
          <t>44</t>
        </is>
      </c>
      <c r="H48" s="156" t="inlineStr">
        <is>
          <t>Wrangler</t>
        </is>
      </c>
      <c r="I48" s="156" t="inlineStr">
        <is>
          <t>Cinturón Wrangler Una Vista Casual para Hombre, Color Negro</t>
        </is>
      </c>
      <c r="J48" s="156" t="inlineStr">
        <is>
          <t>Accesorios</t>
        </is>
      </c>
      <c r="K48" s="156" t="inlineStr">
        <is>
          <t>Cinturones</t>
        </is>
      </c>
      <c r="L48" s="156" t="inlineStr">
        <is>
          <t>Hombre</t>
        </is>
      </c>
      <c r="M48" s="156" t="inlineStr">
        <is>
          <t>Wrangler</t>
        </is>
      </c>
      <c r="N48" s="156" t="inlineStr">
        <is>
          <t>SS26</t>
        </is>
      </c>
      <c r="O48" s="156" t="inlineStr">
        <is>
          <t>Seasonal</t>
        </is>
      </c>
      <c r="P48" s="156" t="inlineStr">
        <is>
          <t>Negro</t>
        </is>
      </c>
      <c r="Q48" s="156" t="n"/>
      <c r="R48" s="156" t="n"/>
      <c r="S48" s="156" t="inlineStr">
        <is>
          <t>100% piel de vacuno</t>
        </is>
      </c>
      <c r="T48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48" s="156" t="inlineStr">
        <is>
          <t>México</t>
        </is>
      </c>
      <c r="V48" s="156" t="inlineStr">
        <is>
          <t>PZS</t>
        </is>
      </c>
      <c r="W48" s="51" t="inlineStr">
        <is>
          <t>53102501</t>
        </is>
      </c>
      <c r="X48" s="156" t="n"/>
      <c r="Y48" s="54" t="n">
        <v>344.48</v>
      </c>
      <c r="Z48" s="54" t="n">
        <v>949</v>
      </c>
      <c r="AA48" s="55">
        <f>IF(AND(A48="", B48="", E48=""), "", IF(AB48="", "Válido", IF((LEN(AB48)-LEN(SUBSTITUTE(AB48,"; ","")))/2+1&gt;(LEN(AB48)-LEN(SUBSTITUTE(AB48,"[Aviso]","")))/7, "Con Incidencias", "Válido")))</f>
        <v/>
      </c>
      <c r="AB48" s="56">
        <f>IF(AND(A48="", B48="", E48=""), "", TEXTJOIN("; ", TRUE, IF(OR(TRIM(A48&amp;"")="", ISNUMBER(SEARCH("FALTA", A48))), "UPC faltante/inválido", ""), IF(AND(A48&lt;&gt;"", IFERROR(_xlfn.XMATCH(A48,$A$2:$A$1063,0,1)&lt;&gt;_xlfn.XMATCH(A48,$A$2:$A$1063,0,-1),FALSE)), "Código de barras duplicado", ""), IF(AND(E48&lt;&gt;"", COUNTIF($E$2:$E$1063, E48)&gt;1), "SKU duplicado", ""), IF(OR(J48="", J48=""), "[Aviso] División no capturada ()", IF(ISNA(MATCH(J48, Criterios!$A$123:$A$126, 0)), "División no válida", "")), IF(OR(K48="", K48=""), "[Aviso] Categoría no capturada ()", IF(ISNA(MATCH(K48, Criterios!$A$81:$A$120, 0)), "Categoría no válida", IF(AND(J48&lt;&gt;"", J48&lt;&gt;"", J48&lt;&gt;VLOOKUP(K48, Criterios!$A$81:$B$120, 2, FALSE)), "División no coincide con Categoría", ""))), IF(OR(L48="", L48=""), "[Aviso] Género no capturado ()", IF(ISNA(MATCH(L48, Criterios!$B$123:$B$127, 0)), "Género no válido", "")), IF(OR(N48="", N48=""), "[Aviso] Temporada no capturada ()", IF(ISNA(MATCH(N48, Criterios!$C$123:$C$128, 0)), "Temporada no válida", "")), IF(OR(O48="", O48=""), "[Aviso] Ciclo de vida no capturado ()", IF(ISNA(MATCH(O48, Criterios!$D$123:$D$124, 0)), "Ciclo de vida no válido", ""))))</f>
        <v/>
      </c>
      <c r="AC48" s="56" t="inlineStr">
        <is>
          <t>Homologación G1522: integra 1 registro(s) iguales por mismo WB SKU; códigos de barras alternos: 7503063066660</t>
        </is>
      </c>
      <c r="AD48" s="51" t="n">
        <v>1</v>
      </c>
      <c r="AE48" s="156" t="inlineStr">
        <is>
          <t>WB OUTLET LERMA (1)</t>
        </is>
      </c>
      <c r="AF48" s="51" t="n">
        <v>1</v>
      </c>
      <c r="AG48" s="156" t="inlineStr">
        <is>
          <t>Catálogo existente</t>
        </is>
      </c>
      <c r="AH48" s="156" t="inlineStr">
        <is>
          <t>Coincidencia por código de barras (ID NetSuite 117905) | ID alternativo de Hoja a Revisar 117905 (UPC coincidente); se conserva ID principal; Auditoría NetSuite 30/09/2026: llenado desde NetSuite [Z]; Vinculado por código de barras al ID NetSuite 117905 (antes en Identificador interno: 'C49730-59-44'); 01/10/2026: mismo SKU registrado también en fila 67728 con código 7503063066660 (ID 30971,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«7503063066660» → «7506674600957» (Requiere revisión) · WB Descripcion: «Cinturon de hombre C49730-59 Negro» → «Cinturón Wrangler Una Vista Casual para Hombre, Color Negro»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48" s="156" t="inlineStr">
        <is>
          <t>No</t>
        </is>
      </c>
      <c r="AJ48" s="156" t="n"/>
      <c r="AK48" s="155" t="inlineStr">
        <is>
          <t>| Hoja a Revisar: fila 196072 (ID 117905, misma clave UPC); G1522_Extraccion_Articulos_NetSuite_2026-09-30.xlsx: fila 64146 [Z] | Shopify WB: producto 10310436290745 / variante 50512590536889; Hoja3: fila 709 | Odoo: producto 30971 / plantilla 39661</t>
        </is>
      </c>
      <c r="AL48" s="58" t="inlineStr">
        <is>
          <t>344,48</t>
        </is>
      </c>
      <c r="AM48" s="58" t="n"/>
      <c r="AN48" s="155" t="inlineStr">
        <is>
          <t>Shopify Western Brothers; Odoo Universal Unique Brands</t>
        </is>
      </c>
      <c r="AO48" s="59" t="n"/>
      <c r="AP48" s="59" t="n">
        <v>1</v>
      </c>
      <c r="AQ48" s="59" t="n">
        <v>17</v>
      </c>
      <c r="AR48" s="155" t="inlineStr">
        <is>
          <t>Shopify Western Brothers › Western Brothers Outlet Lerma: 1; Odoo Universal Unique Brands › Bodega 25 › Bodega 25/General: 17</t>
        </is>
      </c>
    </row>
    <row r="49">
      <c r="A49" s="50" t="inlineStr">
        <is>
          <t>7506674600827</t>
        </is>
      </c>
      <c r="B49" s="51" t="inlineStr">
        <is>
          <t>117892</t>
        </is>
      </c>
      <c r="C49" s="156" t="inlineStr">
        <is>
          <t>Wrangler</t>
        </is>
      </c>
      <c r="D49" s="156" t="inlineStr">
        <is>
          <t>C49730-27</t>
        </is>
      </c>
      <c r="E49" s="156" t="inlineStr">
        <is>
          <t>C49730-27-32</t>
        </is>
      </c>
      <c r="F49" s="156" t="inlineStr">
        <is>
          <t>32</t>
        </is>
      </c>
      <c r="G49" s="156" t="inlineStr">
        <is>
          <t>32</t>
        </is>
      </c>
      <c r="H49" s="156" t="inlineStr">
        <is>
          <t>Wrangler</t>
        </is>
      </c>
      <c r="I49" s="156" t="inlineStr">
        <is>
          <t>Cinturón Wrangler Una Vista Casual para Hombre, Color Cafe</t>
        </is>
      </c>
      <c r="J49" s="156" t="inlineStr">
        <is>
          <t>Accesorios</t>
        </is>
      </c>
      <c r="K49" s="156" t="inlineStr">
        <is>
          <t>Cinturones</t>
        </is>
      </c>
      <c r="L49" s="156" t="inlineStr">
        <is>
          <t>Hombre</t>
        </is>
      </c>
      <c r="M49" s="156" t="inlineStr">
        <is>
          <t>Wrangler</t>
        </is>
      </c>
      <c r="N49" s="156" t="inlineStr">
        <is>
          <t>SS26</t>
        </is>
      </c>
      <c r="O49" s="156" t="inlineStr">
        <is>
          <t>Seasonal</t>
        </is>
      </c>
      <c r="P49" s="156" t="inlineStr">
        <is>
          <t>Cafe</t>
        </is>
      </c>
      <c r="Q49" s="156" t="n"/>
      <c r="R49" s="156" t="n"/>
      <c r="S49" s="156" t="inlineStr">
        <is>
          <t>100% piel de vacuno</t>
        </is>
      </c>
      <c r="T49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49" s="156" t="inlineStr">
        <is>
          <t>México</t>
        </is>
      </c>
      <c r="V49" s="156" t="inlineStr">
        <is>
          <t>PZS</t>
        </is>
      </c>
      <c r="W49" s="51" t="inlineStr">
        <is>
          <t>53102501</t>
        </is>
      </c>
      <c r="X49" s="156" t="n"/>
      <c r="Y49" s="54" t="n">
        <v>344.48</v>
      </c>
      <c r="Z49" s="54" t="n">
        <v>949</v>
      </c>
      <c r="AA49" s="55">
        <f>IF(AND(A49="", B49="", E49=""), "", IF(AB49="", "Válido", IF((LEN(AB49)-LEN(SUBSTITUTE(AB49,"; ","")))/2+1&gt;(LEN(AB49)-LEN(SUBSTITUTE(AB49,"[Aviso]","")))/7, "Con Incidencias", "Válido")))</f>
        <v/>
      </c>
      <c r="AB49" s="56">
        <f>IF(AND(A49="", B49="", E49=""), "", TEXTJOIN("; ", TRUE, IF(OR(TRIM(A49&amp;"")="", ISNUMBER(SEARCH("FALTA", A49))), "UPC faltante/inválido", ""), IF(AND(A49&lt;&gt;"", IFERROR(_xlfn.XMATCH(A49,$A$2:$A$1063,0,1)&lt;&gt;_xlfn.XMATCH(A49,$A$2:$A$1063,0,-1),FALSE)), "Código de barras duplicado", ""), IF(AND(E49&lt;&gt;"", COUNTIF($E$2:$E$1063, E49)&gt;1), "SKU duplicado", ""), IF(OR(J49="", J49=""), "[Aviso] División no capturada ()", IF(ISNA(MATCH(J49, Criterios!$A$123:$A$126, 0)), "División no válida", "")), IF(OR(K49="", K49=""), "[Aviso] Categoría no capturada ()", IF(ISNA(MATCH(K49, Criterios!$A$81:$A$120, 0)), "Categoría no válida", IF(AND(J49&lt;&gt;"", J49&lt;&gt;"", J49&lt;&gt;VLOOKUP(K49, Criterios!$A$81:$B$120, 2, FALSE)), "División no coincide con Categoría", ""))), IF(OR(L49="", L49=""), "[Aviso] Género no capturado ()", IF(ISNA(MATCH(L49, Criterios!$B$123:$B$127, 0)), "Género no válido", "")), IF(OR(N49="", N49=""), "[Aviso] Temporada no capturada ()", IF(ISNA(MATCH(N49, Criterios!$C$123:$C$128, 0)), "Temporada no válida", "")), IF(OR(O49="", O49=""), "[Aviso] Ciclo de vida no capturado ()", IF(ISNA(MATCH(O49, Criterios!$D$123:$D$124, 0)), "Ciclo de vida no válido", ""))))</f>
        <v/>
      </c>
      <c r="AC49" s="56" t="inlineStr">
        <is>
          <t>Homologación G1522: integra 1 registro(s) iguales por mismo WB SKU; códigos de barras alternos: 7506204961060</t>
        </is>
      </c>
      <c r="AD49" s="51" t="n">
        <v>1</v>
      </c>
      <c r="AE49" s="156" t="inlineStr">
        <is>
          <t>WB OUTLET LERMA (1)</t>
        </is>
      </c>
      <c r="AF49" s="51" t="n">
        <v>1</v>
      </c>
      <c r="AG49" s="156" t="inlineStr">
        <is>
          <t>Catálogo existente</t>
        </is>
      </c>
      <c r="AH49" s="156" t="inlineStr">
        <is>
          <t>Coincidencia por código de barras (ID NetSuite 117892) | ID alternativo de Hoja a Revisar 117892 (UPC coincidente); se conserva ID principal; Auditoría NetSuite 30/09/2026: llenado desde NetSuite [Z]; Vinculado por código de barras al ID NetSuite 117892 (antes en Identificador interno: 'C49730-27-32'); 01/10/2026: mismo SKU registrado también en fila 67715 con código 7506204961060 (ID 30957,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«7506204961060» → «7506674600827» (Requiere revisión) · WB Descripcion: «Cinturon de hombre C49730-27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49" s="156" t="inlineStr">
        <is>
          <t>No</t>
        </is>
      </c>
      <c r="AJ49" s="156" t="n"/>
      <c r="AK49" s="155" t="inlineStr">
        <is>
          <t>| Hoja a Revisar: fila 196058 (ID 117892, misma clave UPC); G1522_Extraccion_Articulos_NetSuite_2026-09-30.xlsx: fila 64133 [Z] | Shopify WB: producto 10310436225209 / variante 50512590078137; Hoja3: fila 696 | Odoo: producto 30957 / plantilla 39660</t>
        </is>
      </c>
      <c r="AL49" s="58" t="inlineStr">
        <is>
          <t>344,48</t>
        </is>
      </c>
      <c r="AM49" s="58" t="n"/>
      <c r="AN49" s="155" t="inlineStr">
        <is>
          <t>Shopify Western Brothers; Odoo Universal Unique Brands</t>
        </is>
      </c>
      <c r="AO49" s="59" t="n"/>
      <c r="AP49" s="59" t="n">
        <v>1</v>
      </c>
      <c r="AQ49" s="59" t="n">
        <v>5</v>
      </c>
      <c r="AR49" s="155" t="inlineStr">
        <is>
          <t>Shopify Western Brothers › Western Brothers Outlet Lerma: 1; Odoo Universal Unique Brands › Bodega 25 › Bodega 25/General: 5</t>
        </is>
      </c>
    </row>
    <row r="50">
      <c r="A50" s="50" t="inlineStr">
        <is>
          <t>7506674600834</t>
        </is>
      </c>
      <c r="B50" s="51" t="inlineStr">
        <is>
          <t>117893</t>
        </is>
      </c>
      <c r="C50" s="156" t="inlineStr">
        <is>
          <t>Wrangler</t>
        </is>
      </c>
      <c r="D50" s="156" t="inlineStr">
        <is>
          <t>C49730-27</t>
        </is>
      </c>
      <c r="E50" s="156" t="inlineStr">
        <is>
          <t>C49730-27-34</t>
        </is>
      </c>
      <c r="F50" s="156" t="inlineStr">
        <is>
          <t>34</t>
        </is>
      </c>
      <c r="G50" s="156" t="inlineStr">
        <is>
          <t>34</t>
        </is>
      </c>
      <c r="H50" s="156" t="inlineStr">
        <is>
          <t>Wrangler</t>
        </is>
      </c>
      <c r="I50" s="156" t="inlineStr">
        <is>
          <t>Cinturón Wrangler Una Vista Casual para Hombre, Color Cafe</t>
        </is>
      </c>
      <c r="J50" s="156" t="inlineStr">
        <is>
          <t>Accesorios</t>
        </is>
      </c>
      <c r="K50" s="156" t="inlineStr">
        <is>
          <t>Cinturones</t>
        </is>
      </c>
      <c r="L50" s="156" t="inlineStr">
        <is>
          <t>Hombre</t>
        </is>
      </c>
      <c r="M50" s="156" t="inlineStr">
        <is>
          <t>Wrangler</t>
        </is>
      </c>
      <c r="N50" s="156" t="inlineStr">
        <is>
          <t>SS26</t>
        </is>
      </c>
      <c r="O50" s="156" t="inlineStr">
        <is>
          <t>Seasonal</t>
        </is>
      </c>
      <c r="P50" s="156" t="inlineStr">
        <is>
          <t>Cafe</t>
        </is>
      </c>
      <c r="Q50" s="156" t="n"/>
      <c r="R50" s="156" t="n"/>
      <c r="S50" s="156" t="inlineStr">
        <is>
          <t>100% piel de vacuno</t>
        </is>
      </c>
      <c r="T50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50" s="156" t="inlineStr">
        <is>
          <t>México</t>
        </is>
      </c>
      <c r="V50" s="156" t="inlineStr">
        <is>
          <t>PZS</t>
        </is>
      </c>
      <c r="W50" s="51" t="inlineStr">
        <is>
          <t>53102501</t>
        </is>
      </c>
      <c r="X50" s="156" t="n"/>
      <c r="Y50" s="54" t="n">
        <v>344.48</v>
      </c>
      <c r="Z50" s="54" t="n">
        <v>949</v>
      </c>
      <c r="AA50" s="55">
        <f>IF(AND(A50="", B50="", E50=""), "", IF(AB50="", "Válido", IF((LEN(AB50)-LEN(SUBSTITUTE(AB50,"; ","")))/2+1&gt;(LEN(AB50)-LEN(SUBSTITUTE(AB50,"[Aviso]","")))/7, "Con Incidencias", "Válido")))</f>
        <v/>
      </c>
      <c r="AB50" s="56">
        <f>IF(AND(A50="", B50="", E50=""), "", TEXTJOIN("; ", TRUE, IF(OR(TRIM(A50&amp;"")="", ISNUMBER(SEARCH("FALTA", A50))), "UPC faltante/inválido", ""), IF(AND(A50&lt;&gt;"", IFERROR(_xlfn.XMATCH(A50,$A$2:$A$1063,0,1)&lt;&gt;_xlfn.XMATCH(A50,$A$2:$A$1063,0,-1),FALSE)), "Código de barras duplicado", ""), IF(AND(E50&lt;&gt;"", COUNTIF($E$2:$E$1063, E50)&gt;1), "SKU duplicado", ""), IF(OR(J50="", J50=""), "[Aviso] División no capturada ()", IF(ISNA(MATCH(J50, Criterios!$A$123:$A$126, 0)), "División no válida", "")), IF(OR(K50="", K50=""), "[Aviso] Categoría no capturada ()", IF(ISNA(MATCH(K50, Criterios!$A$81:$A$120, 0)), "Categoría no válida", IF(AND(J50&lt;&gt;"", J50&lt;&gt;"", J50&lt;&gt;VLOOKUP(K50, Criterios!$A$81:$B$120, 2, FALSE)), "División no coincide con Categoría", ""))), IF(OR(L50="", L50=""), "[Aviso] Género no capturado ()", IF(ISNA(MATCH(L50, Criterios!$B$123:$B$127, 0)), "Género no válido", "")), IF(OR(N50="", N50=""), "[Aviso] Temporada no capturada ()", IF(ISNA(MATCH(N50, Criterios!$C$123:$C$128, 0)), "Temporada no válida", "")), IF(OR(O50="", O50=""), "[Aviso] Ciclo de vida no capturado ()", IF(ISNA(MATCH(O50, Criterios!$D$123:$D$124, 0)), "Ciclo de vida no válido", ""))))</f>
        <v/>
      </c>
      <c r="AC50" s="56" t="inlineStr">
        <is>
          <t>Homologación G1522: integra 1 registro(s) iguales por mismo WB SKU; códigos de barras alternos: 7506204961077</t>
        </is>
      </c>
      <c r="AD50" s="51" t="n">
        <v>2</v>
      </c>
      <c r="AE50" s="156" t="inlineStr">
        <is>
          <t>WB OUTLET LERMA (2)</t>
        </is>
      </c>
      <c r="AF50" s="51" t="n">
        <v>2</v>
      </c>
      <c r="AG50" s="156" t="inlineStr">
        <is>
          <t>Catálogo existente</t>
        </is>
      </c>
      <c r="AH50" s="156" t="inlineStr">
        <is>
          <t>Coincidencia por código de barras (ID NetSuite 117893) | ID alternativo de Hoja a Revisar 117893 (UPC coincidente); se conserva ID principal; Auditoría NetSuite 30/09/2026: llenado desde NetSuite [Z]; Vinculado por código de barras al ID NetSuite 117893 (antes en Identificador interno: 'C49730-27-34'); 01/10/2026: mismo SKU registrado también en fila 67716 con código 7506204961077 (ID 30958,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«7506204961077» → «7506674600834» (Requiere revisión) · WB Descripcion: «Cinturon de hombre C49730-27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50" s="156" t="inlineStr">
        <is>
          <t>No</t>
        </is>
      </c>
      <c r="AJ50" s="156" t="n"/>
      <c r="AK50" s="155" t="inlineStr">
        <is>
          <t>| Hoja a Revisar: fila 196059 (ID 117893, misma clave UPC); G1522_Extraccion_Articulos_NetSuite_2026-09-30.xlsx: fila 64134 [Z] | Shopify WB: producto 10310436225209 / variante 50512590110905; Hoja3: fila 697 | Odoo: producto 30958 / plantilla 39660</t>
        </is>
      </c>
      <c r="AL50" s="58" t="inlineStr">
        <is>
          <t>344,48</t>
        </is>
      </c>
      <c r="AM50" s="58" t="n"/>
      <c r="AN50" s="155" t="inlineStr">
        <is>
          <t>Shopify Western Brothers; Odoo Universal Unique Brands</t>
        </is>
      </c>
      <c r="AO50" s="59" t="n"/>
      <c r="AP50" s="59" t="n">
        <v>2</v>
      </c>
      <c r="AQ50" s="59" t="n">
        <v>10</v>
      </c>
      <c r="AR50" s="155" t="inlineStr">
        <is>
          <t>Shopify Western Brothers › Western Brothers Outlet Lerma: 2; Odoo Universal Unique Brands › Bodega 25 › Bodega 25/General: 10</t>
        </is>
      </c>
    </row>
    <row r="51">
      <c r="A51" s="50" t="inlineStr">
        <is>
          <t>7506674600841</t>
        </is>
      </c>
      <c r="B51" s="51" t="inlineStr">
        <is>
          <t>117894</t>
        </is>
      </c>
      <c r="C51" s="156" t="inlineStr">
        <is>
          <t>Wrangler</t>
        </is>
      </c>
      <c r="D51" s="156" t="inlineStr">
        <is>
          <t>C49730-27</t>
        </is>
      </c>
      <c r="E51" s="156" t="inlineStr">
        <is>
          <t>C49730-27-36</t>
        </is>
      </c>
      <c r="F51" s="156" t="inlineStr">
        <is>
          <t>36</t>
        </is>
      </c>
      <c r="G51" s="156" t="inlineStr">
        <is>
          <t>36</t>
        </is>
      </c>
      <c r="H51" s="156" t="inlineStr">
        <is>
          <t>Wrangler</t>
        </is>
      </c>
      <c r="I51" s="156" t="inlineStr">
        <is>
          <t>Cinturón Wrangler Una Vista Casual para Hombre, Color Cafe</t>
        </is>
      </c>
      <c r="J51" s="156" t="inlineStr">
        <is>
          <t>Accesorios</t>
        </is>
      </c>
      <c r="K51" s="156" t="inlineStr">
        <is>
          <t>Cinturones</t>
        </is>
      </c>
      <c r="L51" s="156" t="inlineStr">
        <is>
          <t>Hombre</t>
        </is>
      </c>
      <c r="M51" s="156" t="inlineStr">
        <is>
          <t>Wrangler</t>
        </is>
      </c>
      <c r="N51" s="156" t="inlineStr">
        <is>
          <t>SS26</t>
        </is>
      </c>
      <c r="O51" s="156" t="inlineStr">
        <is>
          <t>Seasonal</t>
        </is>
      </c>
      <c r="P51" s="156" t="inlineStr">
        <is>
          <t>Cafe</t>
        </is>
      </c>
      <c r="Q51" s="156" t="n"/>
      <c r="R51" s="156" t="n"/>
      <c r="S51" s="156" t="inlineStr">
        <is>
          <t>100% piel de vacuno</t>
        </is>
      </c>
      <c r="T51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51" s="156" t="inlineStr">
        <is>
          <t>México</t>
        </is>
      </c>
      <c r="V51" s="156" t="inlineStr">
        <is>
          <t>PZS</t>
        </is>
      </c>
      <c r="W51" s="51" t="inlineStr">
        <is>
          <t>53102501</t>
        </is>
      </c>
      <c r="X51" s="156" t="n"/>
      <c r="Y51" s="54" t="n">
        <v>344.48</v>
      </c>
      <c r="Z51" s="54" t="n">
        <v>949</v>
      </c>
      <c r="AA51" s="55">
        <f>IF(AND(A51="", B51="", E51=""), "", IF(AB51="", "Válido", IF((LEN(AB51)-LEN(SUBSTITUTE(AB51,"; ","")))/2+1&gt;(LEN(AB51)-LEN(SUBSTITUTE(AB51,"[Aviso]","")))/7, "Con Incidencias", "Válido")))</f>
        <v/>
      </c>
      <c r="AB51" s="56">
        <f>IF(AND(A51="", B51="", E51=""), "", TEXTJOIN("; ", TRUE, IF(OR(TRIM(A51&amp;"")="", ISNUMBER(SEARCH("FALTA", A51))), "UPC faltante/inválido", ""), IF(AND(A51&lt;&gt;"", IFERROR(_xlfn.XMATCH(A51,$A$2:$A$1063,0,1)&lt;&gt;_xlfn.XMATCH(A51,$A$2:$A$1063,0,-1),FALSE)), "Código de barras duplicado", ""), IF(AND(E51&lt;&gt;"", COUNTIF($E$2:$E$1063, E51)&gt;1), "SKU duplicado", ""), IF(OR(J51="", J51=""), "[Aviso] División no capturada ()", IF(ISNA(MATCH(J51, Criterios!$A$123:$A$126, 0)), "División no válida", "")), IF(OR(K51="", K51=""), "[Aviso] Categoría no capturada ()", IF(ISNA(MATCH(K51, Criterios!$A$81:$A$120, 0)), "Categoría no válida", IF(AND(J51&lt;&gt;"", J51&lt;&gt;"", J51&lt;&gt;VLOOKUP(K51, Criterios!$A$81:$B$120, 2, FALSE)), "División no coincide con Categoría", ""))), IF(OR(L51="", L51=""), "[Aviso] Género no capturado ()", IF(ISNA(MATCH(L51, Criterios!$B$123:$B$127, 0)), "Género no válido", "")), IF(OR(N51="", N51=""), "[Aviso] Temporada no capturada ()", IF(ISNA(MATCH(N51, Criterios!$C$123:$C$128, 0)), "Temporada no válida", "")), IF(OR(O51="", O51=""), "[Aviso] Ciclo de vida no capturado ()", IF(ISNA(MATCH(O51, Criterios!$D$123:$D$124, 0)), "Ciclo de vida no válido", ""))))</f>
        <v/>
      </c>
      <c r="AC51" s="56" t="inlineStr">
        <is>
          <t>Homologación G1522: integra 1 registro(s) iguales por mismo WB SKU; códigos de barras alternos: 7506204961084</t>
        </is>
      </c>
      <c r="AD51" s="51" t="n">
        <v>2</v>
      </c>
      <c r="AE51" s="156" t="inlineStr">
        <is>
          <t>WB OUTLET LERMA (2)</t>
        </is>
      </c>
      <c r="AF51" s="51" t="n">
        <v>2</v>
      </c>
      <c r="AG51" s="156" t="inlineStr">
        <is>
          <t>Catálogo existente</t>
        </is>
      </c>
      <c r="AH51" s="156" t="inlineStr">
        <is>
          <t>Coincidencia por código de barras (ID NetSuite 117894) | ID alternativo de Hoja a Revisar 117894 (UPC coincidente); se conserva ID principal; Auditoría NetSuite 30/09/2026: llenado desde NetSuite [Z]; Vinculado por código de barras al ID NetSuite 117894 (antes en Identificador interno: 'C49730-27-36'); 01/10/2026: mismo SKU registrado también en fila 67717 con código 7506204961084 (ID 30959,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«7506204961084» → «7506674600841» (Requiere revisión) · WB Descripcion: «Cinturon de hombre C49730-27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51" s="156" t="inlineStr">
        <is>
          <t>No</t>
        </is>
      </c>
      <c r="AJ51" s="156" t="n"/>
      <c r="AK51" s="155" t="inlineStr">
        <is>
          <t>| Hoja a Revisar: fila 196060 (ID 117894, misma clave UPC); G1522_Extraccion_Articulos_NetSuite_2026-09-30.xlsx: fila 64135 [Z] | Shopify WB: producto 10310436225209 / variante 50512590143673; Hoja3: fila 698 | Odoo: producto 30959 / plantilla 39660</t>
        </is>
      </c>
      <c r="AL51" s="58" t="inlineStr">
        <is>
          <t>344,48</t>
        </is>
      </c>
      <c r="AM51" s="58" t="n"/>
      <c r="AN51" s="155" t="inlineStr">
        <is>
          <t>Shopify Western Brothers; Odoo Universal Unique Brands</t>
        </is>
      </c>
      <c r="AO51" s="59" t="n"/>
      <c r="AP51" s="59" t="n">
        <v>2</v>
      </c>
      <c r="AQ51" s="59" t="n">
        <v>10</v>
      </c>
      <c r="AR51" s="155" t="inlineStr">
        <is>
          <t>Shopify Western Brothers › Western Brothers Outlet Lerma: 2; Odoo Universal Unique Brands › Bodega 25 › Bodega 25/General: 10</t>
        </is>
      </c>
    </row>
    <row r="52">
      <c r="A52" s="50" t="inlineStr">
        <is>
          <t>7506674600858</t>
        </is>
      </c>
      <c r="B52" s="51" t="inlineStr">
        <is>
          <t>117895</t>
        </is>
      </c>
      <c r="C52" s="156" t="inlineStr">
        <is>
          <t>Wrangler</t>
        </is>
      </c>
      <c r="D52" s="156" t="inlineStr">
        <is>
          <t>C49730-27</t>
        </is>
      </c>
      <c r="E52" s="156" t="inlineStr">
        <is>
          <t>C49730-27-38</t>
        </is>
      </c>
      <c r="F52" s="156" t="inlineStr">
        <is>
          <t>38</t>
        </is>
      </c>
      <c r="G52" s="156" t="inlineStr">
        <is>
          <t>38</t>
        </is>
      </c>
      <c r="H52" s="156" t="inlineStr">
        <is>
          <t>Wrangler</t>
        </is>
      </c>
      <c r="I52" s="156" t="inlineStr">
        <is>
          <t>Cinturón Wrangler Una Vista Casual para Hombre, Color Cafe</t>
        </is>
      </c>
      <c r="J52" s="156" t="inlineStr">
        <is>
          <t>Accesorios</t>
        </is>
      </c>
      <c r="K52" s="156" t="inlineStr">
        <is>
          <t>Cinturones</t>
        </is>
      </c>
      <c r="L52" s="156" t="inlineStr">
        <is>
          <t>Hombre</t>
        </is>
      </c>
      <c r="M52" s="156" t="inlineStr">
        <is>
          <t>Wrangler</t>
        </is>
      </c>
      <c r="N52" s="156" t="inlineStr">
        <is>
          <t>SS26</t>
        </is>
      </c>
      <c r="O52" s="156" t="inlineStr">
        <is>
          <t>Seasonal</t>
        </is>
      </c>
      <c r="P52" s="156" t="inlineStr">
        <is>
          <t>Cafe</t>
        </is>
      </c>
      <c r="Q52" s="156" t="n"/>
      <c r="R52" s="156" t="n"/>
      <c r="S52" s="156" t="inlineStr">
        <is>
          <t>100% piel de vacuno</t>
        </is>
      </c>
      <c r="T52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52" s="156" t="inlineStr">
        <is>
          <t>México</t>
        </is>
      </c>
      <c r="V52" s="156" t="inlineStr">
        <is>
          <t>PZS</t>
        </is>
      </c>
      <c r="W52" s="51" t="inlineStr">
        <is>
          <t>53102501</t>
        </is>
      </c>
      <c r="X52" s="156" t="n"/>
      <c r="Y52" s="54" t="n">
        <v>344.48</v>
      </c>
      <c r="Z52" s="54" t="n">
        <v>949</v>
      </c>
      <c r="AA52" s="55">
        <f>IF(AND(A52="", B52="", E52=""), "", IF(AB52="", "Válido", IF((LEN(AB52)-LEN(SUBSTITUTE(AB52,"; ","")))/2+1&gt;(LEN(AB52)-LEN(SUBSTITUTE(AB52,"[Aviso]","")))/7, "Con Incidencias", "Válido")))</f>
        <v/>
      </c>
      <c r="AB52" s="56">
        <f>IF(AND(A52="", B52="", E52=""), "", TEXTJOIN("; ", TRUE, IF(OR(TRIM(A52&amp;"")="", ISNUMBER(SEARCH("FALTA", A52))), "UPC faltante/inválido", ""), IF(AND(A52&lt;&gt;"", IFERROR(_xlfn.XMATCH(A52,$A$2:$A$1063,0,1)&lt;&gt;_xlfn.XMATCH(A52,$A$2:$A$1063,0,-1),FALSE)), "Código de barras duplicado", ""), IF(AND(E52&lt;&gt;"", COUNTIF($E$2:$E$1063, E52)&gt;1), "SKU duplicado", ""), IF(OR(J52="", J52=""), "[Aviso] División no capturada ()", IF(ISNA(MATCH(J52, Criterios!$A$123:$A$126, 0)), "División no válida", "")), IF(OR(K52="", K52=""), "[Aviso] Categoría no capturada ()", IF(ISNA(MATCH(K52, Criterios!$A$81:$A$120, 0)), "Categoría no válida", IF(AND(J52&lt;&gt;"", J52&lt;&gt;"", J52&lt;&gt;VLOOKUP(K52, Criterios!$A$81:$B$120, 2, FALSE)), "División no coincide con Categoría", ""))), IF(OR(L52="", L52=""), "[Aviso] Género no capturado ()", IF(ISNA(MATCH(L52, Criterios!$B$123:$B$127, 0)), "Género no válido", "")), IF(OR(N52="", N52=""), "[Aviso] Temporada no capturada ()", IF(ISNA(MATCH(N52, Criterios!$C$123:$C$128, 0)), "Temporada no válida", "")), IF(OR(O52="", O52=""), "[Aviso] Ciclo de vida no capturado ()", IF(ISNA(MATCH(O52, Criterios!$D$123:$D$124, 0)), "Ciclo de vida no válido", ""))))</f>
        <v/>
      </c>
      <c r="AC52" s="56" t="inlineStr">
        <is>
          <t>Homologación G1522: integra 1 registro(s) iguales por mismo WB SKU; códigos de barras alternos: 7506204961091</t>
        </is>
      </c>
      <c r="AD52" s="51" t="n">
        <v>3</v>
      </c>
      <c r="AE52" s="156" t="inlineStr">
        <is>
          <t>WB OUTLET LERMA (3)</t>
        </is>
      </c>
      <c r="AF52" s="51" t="n">
        <v>3</v>
      </c>
      <c r="AG52" s="156" t="inlineStr">
        <is>
          <t>Catálogo existente</t>
        </is>
      </c>
      <c r="AH52" s="156" t="inlineStr">
        <is>
          <t>Coincidencia por código de barras (ID NetSuite 117895) | ID alternativo de Hoja a Revisar 117895 (UPC coincidente); se conserva ID principal; Auditoría NetSuite 30/09/2026: llenado desde NetSuite [Z]; Vinculado por código de barras al ID NetSuite 117895 (antes en Identificador interno: 'C49730-27-38'); 01/10/2026: mismo SKU registrado también en fila 67718 con código 7506204961091 (ID 30960,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«7506204961091» → «7506674600858» (Requiere revisión) · WB Descripcion: «Cinturon de hombre C49730-27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52" s="156" t="inlineStr">
        <is>
          <t>No</t>
        </is>
      </c>
      <c r="AJ52" s="156" t="n"/>
      <c r="AK52" s="155" t="inlineStr">
        <is>
          <t>| Hoja a Revisar: fila 196061 (ID 117895, misma clave UPC); G1522_Extraccion_Articulos_NetSuite_2026-09-30.xlsx: fila 64136 [Z] | Shopify WB: producto 10310436225209 / variante 50512590176441; Hoja3: fila 699 | Odoo: producto 30960 / plantilla 39660</t>
        </is>
      </c>
      <c r="AL52" s="58" t="inlineStr">
        <is>
          <t>344,48</t>
        </is>
      </c>
      <c r="AM52" s="58" t="n"/>
      <c r="AN52" s="155" t="inlineStr">
        <is>
          <t>Shopify Western Brothers; Odoo Universal Unique Brands</t>
        </is>
      </c>
      <c r="AO52" s="59" t="n"/>
      <c r="AP52" s="59" t="n">
        <v>3</v>
      </c>
      <c r="AQ52" s="59" t="n">
        <v>15</v>
      </c>
      <c r="AR52" s="155" t="inlineStr">
        <is>
          <t>Shopify Western Brothers › Western Brothers Outlet Lerma: 3; Odoo Universal Unique Brands › Bodega 25 › Bodega 25/General: 15</t>
        </is>
      </c>
    </row>
    <row r="53">
      <c r="A53" s="50" t="inlineStr">
        <is>
          <t>7506674600865</t>
        </is>
      </c>
      <c r="B53" s="51" t="inlineStr">
        <is>
          <t>117896</t>
        </is>
      </c>
      <c r="C53" s="156" t="inlineStr">
        <is>
          <t>Wrangler</t>
        </is>
      </c>
      <c r="D53" s="156" t="inlineStr">
        <is>
          <t>C49730-27</t>
        </is>
      </c>
      <c r="E53" s="156" t="inlineStr">
        <is>
          <t>C49730-27-40</t>
        </is>
      </c>
      <c r="F53" s="156" t="inlineStr">
        <is>
          <t>40</t>
        </is>
      </c>
      <c r="G53" s="156" t="inlineStr">
        <is>
          <t>40</t>
        </is>
      </c>
      <c r="H53" s="156" t="inlineStr">
        <is>
          <t>Wrangler</t>
        </is>
      </c>
      <c r="I53" s="156" t="inlineStr">
        <is>
          <t>Cinturón Wrangler Una Vista Casual para Hombre, Color Cafe</t>
        </is>
      </c>
      <c r="J53" s="156" t="inlineStr">
        <is>
          <t>Accesorios</t>
        </is>
      </c>
      <c r="K53" s="156" t="inlineStr">
        <is>
          <t>Cinturones</t>
        </is>
      </c>
      <c r="L53" s="156" t="inlineStr">
        <is>
          <t>Hombre</t>
        </is>
      </c>
      <c r="M53" s="156" t="inlineStr">
        <is>
          <t>Wrangler</t>
        </is>
      </c>
      <c r="N53" s="156" t="inlineStr">
        <is>
          <t>SS26</t>
        </is>
      </c>
      <c r="O53" s="156" t="inlineStr">
        <is>
          <t>Seasonal</t>
        </is>
      </c>
      <c r="P53" s="156" t="inlineStr">
        <is>
          <t>Cafe</t>
        </is>
      </c>
      <c r="Q53" s="156" t="n"/>
      <c r="R53" s="156" t="n"/>
      <c r="S53" s="156" t="inlineStr">
        <is>
          <t>100% piel de vacuno</t>
        </is>
      </c>
      <c r="T53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53" s="156" t="inlineStr">
        <is>
          <t>México</t>
        </is>
      </c>
      <c r="V53" s="156" t="inlineStr">
        <is>
          <t>PZS</t>
        </is>
      </c>
      <c r="W53" s="51" t="inlineStr">
        <is>
          <t>53102501</t>
        </is>
      </c>
      <c r="X53" s="156" t="n"/>
      <c r="Y53" s="54" t="n">
        <v>344.48</v>
      </c>
      <c r="Z53" s="54" t="n">
        <v>949</v>
      </c>
      <c r="AA53" s="55">
        <f>IF(AND(A53="", B53="", E53=""), "", IF(AB53="", "Válido", IF((LEN(AB53)-LEN(SUBSTITUTE(AB53,"; ","")))/2+1&gt;(LEN(AB53)-LEN(SUBSTITUTE(AB53,"[Aviso]","")))/7, "Con Incidencias", "Válido")))</f>
        <v/>
      </c>
      <c r="AB53" s="56">
        <f>IF(AND(A53="", B53="", E53=""), "", TEXTJOIN("; ", TRUE, IF(OR(TRIM(A53&amp;"")="", ISNUMBER(SEARCH("FALTA", A53))), "UPC faltante/inválido", ""), IF(AND(A53&lt;&gt;"", IFERROR(_xlfn.XMATCH(A53,$A$2:$A$1063,0,1)&lt;&gt;_xlfn.XMATCH(A53,$A$2:$A$1063,0,-1),FALSE)), "Código de barras duplicado", ""), IF(AND(E53&lt;&gt;"", COUNTIF($E$2:$E$1063, E53)&gt;1), "SKU duplicado", ""), IF(OR(J53="", J53=""), "[Aviso] División no capturada ()", IF(ISNA(MATCH(J53, Criterios!$A$123:$A$126, 0)), "División no válida", "")), IF(OR(K53="", K53=""), "[Aviso] Categoría no capturada ()", IF(ISNA(MATCH(K53, Criterios!$A$81:$A$120, 0)), "Categoría no válida", IF(AND(J53&lt;&gt;"", J53&lt;&gt;"", J53&lt;&gt;VLOOKUP(K53, Criterios!$A$81:$B$120, 2, FALSE)), "División no coincide con Categoría", ""))), IF(OR(L53="", L53=""), "[Aviso] Género no capturado ()", IF(ISNA(MATCH(L53, Criterios!$B$123:$B$127, 0)), "Género no válido", "")), IF(OR(N53="", N53=""), "[Aviso] Temporada no capturada ()", IF(ISNA(MATCH(N53, Criterios!$C$123:$C$128, 0)), "Temporada no válida", "")), IF(OR(O53="", O53=""), "[Aviso] Ciclo de vida no capturado ()", IF(ISNA(MATCH(O53, Criterios!$D$123:$D$124, 0)), "Ciclo de vida no válido", ""))))</f>
        <v/>
      </c>
      <c r="AC53" s="56" t="inlineStr">
        <is>
          <t>Homologación G1522: integra 1 registro(s) iguales por mismo WB SKU; códigos de barras alternos: 7503063066677</t>
        </is>
      </c>
      <c r="AD53" s="51" t="n">
        <v>2</v>
      </c>
      <c r="AE53" s="156" t="inlineStr">
        <is>
          <t>WB OUTLET LERMA (2)</t>
        </is>
      </c>
      <c r="AF53" s="51" t="n">
        <v>2</v>
      </c>
      <c r="AG53" s="156" t="inlineStr">
        <is>
          <t>Catálogo existente</t>
        </is>
      </c>
      <c r="AH53" s="156" t="inlineStr">
        <is>
          <t>Coincidencia por código de barras (ID NetSuite 117896) | ID alternativo de Hoja a Revisar 117896 (UPC coincidente); se conserva ID principal; Auditoría NetSuite 30/09/2026: llenado desde NetSuite [Z]; Vinculado por código de barras al ID NetSuite 117896 (antes en Identificador interno: 'C49730-27-40'); 01/10/2026: mismo SKU registrado también en fila 67719 con código 7503063066677 (ID 30961,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«7503063066677» → «7506674600865» (Requiere revisión) · WB Descripcion: «Cinturon de hombre C49730-27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53" s="156" t="inlineStr">
        <is>
          <t>No</t>
        </is>
      </c>
      <c r="AJ53" s="156" t="n"/>
      <c r="AK53" s="155" t="inlineStr">
        <is>
          <t>| Hoja a Revisar: fila 196062 (ID 117896, misma clave UPC); G1522_Extraccion_Articulos_NetSuite_2026-09-30.xlsx: fila 64137 [Z] | Shopify WB: producto 10310436225209 / variante 50512590209209; Hoja3: fila 700 | Odoo: producto 30961 / plantilla 39660</t>
        </is>
      </c>
      <c r="AL53" s="58" t="inlineStr">
        <is>
          <t>344,48</t>
        </is>
      </c>
      <c r="AM53" s="58" t="n"/>
      <c r="AN53" s="155" t="inlineStr">
        <is>
          <t>Shopify Western Brothers; Odoo Universal Unique Brands</t>
        </is>
      </c>
      <c r="AO53" s="59" t="n"/>
      <c r="AP53" s="59" t="n">
        <v>2</v>
      </c>
      <c r="AQ53" s="59" t="n">
        <v>22</v>
      </c>
      <c r="AR53" s="155" t="inlineStr">
        <is>
          <t>Shopify Western Brothers › Western Brothers Outlet Lerma: 2; Odoo Universal Unique Brands › Bodega 25 › Bodega 25/General: 22</t>
        </is>
      </c>
    </row>
    <row r="54">
      <c r="A54" s="50" t="inlineStr">
        <is>
          <t>7506674600872</t>
        </is>
      </c>
      <c r="B54" s="51" t="inlineStr">
        <is>
          <t>117897</t>
        </is>
      </c>
      <c r="C54" s="156" t="inlineStr">
        <is>
          <t>Wrangler</t>
        </is>
      </c>
      <c r="D54" s="156" t="inlineStr">
        <is>
          <t>C49730-27</t>
        </is>
      </c>
      <c r="E54" s="156" t="inlineStr">
        <is>
          <t>C49730-27-42</t>
        </is>
      </c>
      <c r="F54" s="156" t="inlineStr">
        <is>
          <t>42</t>
        </is>
      </c>
      <c r="G54" s="156" t="inlineStr">
        <is>
          <t>42</t>
        </is>
      </c>
      <c r="H54" s="156" t="inlineStr">
        <is>
          <t>Wrangler</t>
        </is>
      </c>
      <c r="I54" s="156" t="inlineStr">
        <is>
          <t>Cinturón Wrangler Una Vista Casual para Hombre, Color Cafe</t>
        </is>
      </c>
      <c r="J54" s="156" t="inlineStr">
        <is>
          <t>Accesorios</t>
        </is>
      </c>
      <c r="K54" s="156" t="inlineStr">
        <is>
          <t>Cinturones</t>
        </is>
      </c>
      <c r="L54" s="156" t="inlineStr">
        <is>
          <t>Hombre</t>
        </is>
      </c>
      <c r="M54" s="156" t="inlineStr">
        <is>
          <t>Wrangler</t>
        </is>
      </c>
      <c r="N54" s="156" t="inlineStr">
        <is>
          <t>SS26</t>
        </is>
      </c>
      <c r="O54" s="156" t="inlineStr">
        <is>
          <t>Seasonal</t>
        </is>
      </c>
      <c r="P54" s="156" t="inlineStr">
        <is>
          <t>Cafe</t>
        </is>
      </c>
      <c r="Q54" s="156" t="n"/>
      <c r="R54" s="156" t="n"/>
      <c r="S54" s="156" t="inlineStr">
        <is>
          <t>100% piel de vacuno</t>
        </is>
      </c>
      <c r="T54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54" s="156" t="inlineStr">
        <is>
          <t>México</t>
        </is>
      </c>
      <c r="V54" s="156" t="inlineStr">
        <is>
          <t>PZS</t>
        </is>
      </c>
      <c r="W54" s="51" t="inlineStr">
        <is>
          <t>53102501</t>
        </is>
      </c>
      <c r="X54" s="156" t="n"/>
      <c r="Y54" s="54" t="n">
        <v>344.48</v>
      </c>
      <c r="Z54" s="54" t="n">
        <v>949</v>
      </c>
      <c r="AA54" s="55">
        <f>IF(AND(A54="", B54="", E54=""), "", IF(AB54="", "Válido", IF((LEN(AB54)-LEN(SUBSTITUTE(AB54,"; ","")))/2+1&gt;(LEN(AB54)-LEN(SUBSTITUTE(AB54,"[Aviso]","")))/7, "Con Incidencias", "Válido")))</f>
        <v/>
      </c>
      <c r="AB54" s="56">
        <f>IF(AND(A54="", B54="", E54=""), "", TEXTJOIN("; ", TRUE, IF(OR(TRIM(A54&amp;"")="", ISNUMBER(SEARCH("FALTA", A54))), "UPC faltante/inválido", ""), IF(AND(A54&lt;&gt;"", IFERROR(_xlfn.XMATCH(A54,$A$2:$A$1063,0,1)&lt;&gt;_xlfn.XMATCH(A54,$A$2:$A$1063,0,-1),FALSE)), "Código de barras duplicado", ""), IF(AND(E54&lt;&gt;"", COUNTIF($E$2:$E$1063, E54)&gt;1), "SKU duplicado", ""), IF(OR(J54="", J54=""), "[Aviso] División no capturada ()", IF(ISNA(MATCH(J54, Criterios!$A$123:$A$126, 0)), "División no válida", "")), IF(OR(K54="", K54=""), "[Aviso] Categoría no capturada ()", IF(ISNA(MATCH(K54, Criterios!$A$81:$A$120, 0)), "Categoría no válida", IF(AND(J54&lt;&gt;"", J54&lt;&gt;"", J54&lt;&gt;VLOOKUP(K54, Criterios!$A$81:$B$120, 2, FALSE)), "División no coincide con Categoría", ""))), IF(OR(L54="", L54=""), "[Aviso] Género no capturado ()", IF(ISNA(MATCH(L54, Criterios!$B$123:$B$127, 0)), "Género no válido", "")), IF(OR(N54="", N54=""), "[Aviso] Temporada no capturada ()", IF(ISNA(MATCH(N54, Criterios!$C$123:$C$128, 0)), "Temporada no válida", "")), IF(OR(O54="", O54=""), "[Aviso] Ciclo de vida no capturado ()", IF(ISNA(MATCH(O54, Criterios!$D$123:$D$124, 0)), "Ciclo de vida no válido", ""))))</f>
        <v/>
      </c>
      <c r="AC54" s="56" t="inlineStr">
        <is>
          <t>Homologación G1522: integra 1 registro(s) iguales por mismo WB SKU; códigos de barras alternos: 7503063066684</t>
        </is>
      </c>
      <c r="AD54" s="51" t="n">
        <v>2</v>
      </c>
      <c r="AE54" s="156" t="inlineStr">
        <is>
          <t>WB OUTLET LERMA (2)</t>
        </is>
      </c>
      <c r="AF54" s="51" t="n">
        <v>2</v>
      </c>
      <c r="AG54" s="156" t="inlineStr">
        <is>
          <t>Catálogo existente</t>
        </is>
      </c>
      <c r="AH54" s="156" t="inlineStr">
        <is>
          <t>Coincidencia por código de barras (ID NetSuite 117897) | ID alternativo de Hoja a Revisar 117897 (UPC coincidente); se conserva ID principal; Auditoría NetSuite 30/09/2026: llenado desde NetSuite [Z]; Vinculado por código de barras al ID NetSuite 117897 (antes en Identificador interno: 'C49730-27-42'); 01/10/2026: mismo SKU registrado también en fila 67720 con código 7503063066684 (ID 30962,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«7503063066684» → «7506674600872» (Requiere revisión) · WB Descripcion: «Cinturon de hombre C49730-27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54" s="156" t="inlineStr">
        <is>
          <t>No</t>
        </is>
      </c>
      <c r="AJ54" s="156" t="n"/>
      <c r="AK54" s="155" t="inlineStr">
        <is>
          <t>| Hoja a Revisar: fila 196063 (ID 117897, misma clave UPC); G1522_Extraccion_Articulos_NetSuite_2026-09-30.xlsx: fila 64138 [Z] | Shopify WB: producto 10310436225209 / variante 50512590241977; Hoja3: fila 701 | Odoo: producto 30962 / plantilla 39660</t>
        </is>
      </c>
      <c r="AL54" s="58" t="inlineStr">
        <is>
          <t>344,48</t>
        </is>
      </c>
      <c r="AM54" s="58" t="n"/>
      <c r="AN54" s="155" t="inlineStr">
        <is>
          <t>Shopify Western Brothers; Odoo Universal Unique Brands</t>
        </is>
      </c>
      <c r="AO54" s="59" t="n"/>
      <c r="AP54" s="59" t="n">
        <v>2</v>
      </c>
      <c r="AQ54" s="59" t="n">
        <v>22</v>
      </c>
      <c r="AR54" s="155" t="inlineStr">
        <is>
          <t>Shopify Western Brothers › Western Brothers Outlet Lerma: 2; Odoo Universal Unique Brands › Bodega 25 › Bodega 25/General: 22</t>
        </is>
      </c>
    </row>
    <row r="55">
      <c r="A55" s="50" t="inlineStr">
        <is>
          <t>7506674600889</t>
        </is>
      </c>
      <c r="B55" s="51" t="inlineStr">
        <is>
          <t>117898</t>
        </is>
      </c>
      <c r="C55" s="156" t="inlineStr">
        <is>
          <t>Wrangler</t>
        </is>
      </c>
      <c r="D55" s="156" t="inlineStr">
        <is>
          <t>C49730-27</t>
        </is>
      </c>
      <c r="E55" s="156" t="inlineStr">
        <is>
          <t>C49730-27-44</t>
        </is>
      </c>
      <c r="F55" s="156" t="inlineStr">
        <is>
          <t>44</t>
        </is>
      </c>
      <c r="G55" s="156" t="inlineStr">
        <is>
          <t>44</t>
        </is>
      </c>
      <c r="H55" s="156" t="inlineStr">
        <is>
          <t>Wrangler</t>
        </is>
      </c>
      <c r="I55" s="156" t="inlineStr">
        <is>
          <t>Cinturón Wrangler Una Vista Casual para Hombre, Color Cafe</t>
        </is>
      </c>
      <c r="J55" s="156" t="inlineStr">
        <is>
          <t>Accesorios</t>
        </is>
      </c>
      <c r="K55" s="156" t="inlineStr">
        <is>
          <t>Cinturones</t>
        </is>
      </c>
      <c r="L55" s="156" t="inlineStr">
        <is>
          <t>Hombre</t>
        </is>
      </c>
      <c r="M55" s="156" t="inlineStr">
        <is>
          <t>Wrangler</t>
        </is>
      </c>
      <c r="N55" s="156" t="inlineStr">
        <is>
          <t>SS26</t>
        </is>
      </c>
      <c r="O55" s="156" t="inlineStr">
        <is>
          <t>Seasonal</t>
        </is>
      </c>
      <c r="P55" s="156" t="inlineStr">
        <is>
          <t>Cafe</t>
        </is>
      </c>
      <c r="Q55" s="156" t="n"/>
      <c r="R55" s="156" t="n"/>
      <c r="S55" s="156" t="inlineStr">
        <is>
          <t>100% piel de vacuno</t>
        </is>
      </c>
      <c r="T55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55" s="156" t="inlineStr">
        <is>
          <t>México</t>
        </is>
      </c>
      <c r="V55" s="156" t="inlineStr">
        <is>
          <t>PZS</t>
        </is>
      </c>
      <c r="W55" s="51" t="inlineStr">
        <is>
          <t>53102501</t>
        </is>
      </c>
      <c r="X55" s="156" t="n"/>
      <c r="Y55" s="54" t="n">
        <v>344.48</v>
      </c>
      <c r="Z55" s="54" t="n">
        <v>949</v>
      </c>
      <c r="AA55" s="55">
        <f>IF(AND(A55="", B55="", E55=""), "", IF(AB55="", "Válido", IF((LEN(AB55)-LEN(SUBSTITUTE(AB55,"; ","")))/2+1&gt;(LEN(AB55)-LEN(SUBSTITUTE(AB55,"[Aviso]","")))/7, "Con Incidencias", "Válido")))</f>
        <v/>
      </c>
      <c r="AB55" s="56">
        <f>IF(AND(A55="", B55="", E55=""), "", TEXTJOIN("; ", TRUE, IF(OR(TRIM(A55&amp;"")="", ISNUMBER(SEARCH("FALTA", A55))), "UPC faltante/inválido", ""), IF(AND(A55&lt;&gt;"", IFERROR(_xlfn.XMATCH(A55,$A$2:$A$1063,0,1)&lt;&gt;_xlfn.XMATCH(A55,$A$2:$A$1063,0,-1),FALSE)), "Código de barras duplicado", ""), IF(AND(E55&lt;&gt;"", COUNTIF($E$2:$E$1063, E55)&gt;1), "SKU duplicado", ""), IF(OR(J55="", J55=""), "[Aviso] División no capturada ()", IF(ISNA(MATCH(J55, Criterios!$A$123:$A$126, 0)), "División no válida", "")), IF(OR(K55="", K55=""), "[Aviso] Categoría no capturada ()", IF(ISNA(MATCH(K55, Criterios!$A$81:$A$120, 0)), "Categoría no válida", IF(AND(J55&lt;&gt;"", J55&lt;&gt;"", J55&lt;&gt;VLOOKUP(K55, Criterios!$A$81:$B$120, 2, FALSE)), "División no coincide con Categoría", ""))), IF(OR(L55="", L55=""), "[Aviso] Género no capturado ()", IF(ISNA(MATCH(L55, Criterios!$B$123:$B$127, 0)), "Género no válido", "")), IF(OR(N55="", N55=""), "[Aviso] Temporada no capturada ()", IF(ISNA(MATCH(N55, Criterios!$C$123:$C$128, 0)), "Temporada no válida", "")), IF(OR(O55="", O55=""), "[Aviso] Ciclo de vida no capturado ()", IF(ISNA(MATCH(O55, Criterios!$D$123:$D$124, 0)), "Ciclo de vida no válido", ""))))</f>
        <v/>
      </c>
      <c r="AC55" s="56" t="inlineStr">
        <is>
          <t>Homologación G1522: integra 1 registro(s) iguales por mismo WB SKU; códigos de barras alternos: 7503063066691</t>
        </is>
      </c>
      <c r="AD55" s="51" t="n">
        <v>1</v>
      </c>
      <c r="AE55" s="156" t="inlineStr">
        <is>
          <t>WB OUTLET LERMA (1)</t>
        </is>
      </c>
      <c r="AF55" s="51" t="n">
        <v>1</v>
      </c>
      <c r="AG55" s="156" t="inlineStr">
        <is>
          <t>Catálogo existente</t>
        </is>
      </c>
      <c r="AH55" s="156" t="inlineStr">
        <is>
          <t>Coincidencia por código de barras (ID NetSuite 117898) | ID alternativo de Hoja a Revisar 117898 (UPC coincidente); se conserva ID principal; Auditoría NetSuite 30/09/2026: llenado desde NetSuite [Z]; Vinculado por código de barras al ID NetSuite 117898 (antes en Identificador interno: 'C49730-27-44'); 01/10/2026: mismo SKU registrado también en fila 67721 con código 7503063066691 (ID 30963,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«7503063066691» → «7506674600889» (Requiere revisión) · WB Descripcion: «Cinturon de hombre C49730-27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55" s="156" t="inlineStr">
        <is>
          <t>No</t>
        </is>
      </c>
      <c r="AJ55" s="156" t="n"/>
      <c r="AK55" s="155" t="inlineStr">
        <is>
          <t>| Hoja a Revisar: fila 196064 (ID 117898, misma clave UPC); G1522_Extraccion_Articulos_NetSuite_2026-09-30.xlsx: fila 64139 [Z] | Shopify WB: producto 10310436225209 / variante 50512590274745; Hoja3: fila 702 | Odoo: producto 30963 / plantilla 39660</t>
        </is>
      </c>
      <c r="AL55" s="58" t="inlineStr">
        <is>
          <t>344,48</t>
        </is>
      </c>
      <c r="AM55" s="58" t="n"/>
      <c r="AN55" s="155" t="inlineStr">
        <is>
          <t>Shopify Western Brothers; Odoo Universal Unique Brands</t>
        </is>
      </c>
      <c r="AO55" s="59" t="n"/>
      <c r="AP55" s="59" t="n">
        <v>1</v>
      </c>
      <c r="AQ55" s="59" t="n">
        <v>17</v>
      </c>
      <c r="AR55" s="155" t="inlineStr">
        <is>
          <t>Shopify Western Brothers › Western Brothers Outlet Lerma: 1; Odoo Universal Unique Brands › Bodega 25 › Bodega 25/General: 17</t>
        </is>
      </c>
    </row>
    <row r="56">
      <c r="A56" s="50" t="inlineStr">
        <is>
          <t>7506674600759</t>
        </is>
      </c>
      <c r="B56" s="51" t="inlineStr">
        <is>
          <t>117885</t>
        </is>
      </c>
      <c r="C56" s="156" t="inlineStr">
        <is>
          <t>Wrangler</t>
        </is>
      </c>
      <c r="D56" s="156" t="inlineStr">
        <is>
          <t>C49729-27</t>
        </is>
      </c>
      <c r="E56" s="156" t="inlineStr">
        <is>
          <t>C49729-27-32</t>
        </is>
      </c>
      <c r="F56" s="156" t="inlineStr">
        <is>
          <t>32</t>
        </is>
      </c>
      <c r="G56" s="156" t="inlineStr">
        <is>
          <t>32</t>
        </is>
      </c>
      <c r="H56" s="156" t="inlineStr">
        <is>
          <t>Wrangler</t>
        </is>
      </c>
      <c r="I56" s="156" t="inlineStr">
        <is>
          <t>Cinturón Wrangler Una Vista Casual para Hombre, Color Cafe</t>
        </is>
      </c>
      <c r="J56" s="156" t="inlineStr">
        <is>
          <t>Accesorios</t>
        </is>
      </c>
      <c r="K56" s="156" t="inlineStr">
        <is>
          <t>Cinturones</t>
        </is>
      </c>
      <c r="L56" s="156" t="inlineStr">
        <is>
          <t>Hombre</t>
        </is>
      </c>
      <c r="M56" s="156" t="inlineStr">
        <is>
          <t>Wrangler</t>
        </is>
      </c>
      <c r="N56" s="156" t="inlineStr">
        <is>
          <t>SS26</t>
        </is>
      </c>
      <c r="O56" s="156" t="inlineStr">
        <is>
          <t>Seasonal</t>
        </is>
      </c>
      <c r="P56" s="156" t="inlineStr">
        <is>
          <t>Cafe</t>
        </is>
      </c>
      <c r="Q56" s="156" t="n"/>
      <c r="R56" s="156" t="n"/>
      <c r="S56" s="156" t="inlineStr">
        <is>
          <t>100% piel de vacuno</t>
        </is>
      </c>
      <c r="T56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56" s="156" t="inlineStr">
        <is>
          <t>México</t>
        </is>
      </c>
      <c r="V56" s="156" t="inlineStr">
        <is>
          <t>PZS</t>
        </is>
      </c>
      <c r="W56" s="51" t="inlineStr">
        <is>
          <t>53102501</t>
        </is>
      </c>
      <c r="X56" s="156" t="n"/>
      <c r="Y56" s="54" t="n">
        <v>344.48</v>
      </c>
      <c r="Z56" s="54" t="n">
        <v>949</v>
      </c>
      <c r="AA56" s="55">
        <f>IF(AND(A56="", B56="", E56=""), "", IF(AB56="", "Válido", IF((LEN(AB56)-LEN(SUBSTITUTE(AB56,"; ","")))/2+1&gt;(LEN(AB56)-LEN(SUBSTITUTE(AB56,"[Aviso]","")))/7, "Con Incidencias", "Válido")))</f>
        <v/>
      </c>
      <c r="AB56" s="56">
        <f>IF(AND(A56="", B56="", E56=""), "", TEXTJOIN("; ", TRUE, IF(OR(TRIM(A56&amp;"")="", ISNUMBER(SEARCH("FALTA", A56))), "UPC faltante/inválido", ""), IF(AND(A56&lt;&gt;"", IFERROR(_xlfn.XMATCH(A56,$A$2:$A$1063,0,1)&lt;&gt;_xlfn.XMATCH(A56,$A$2:$A$1063,0,-1),FALSE)), "Código de barras duplicado", ""), IF(AND(E56&lt;&gt;"", COUNTIF($E$2:$E$1063, E56)&gt;1), "SKU duplicado", ""), IF(OR(J56="", J56=""), "[Aviso] División no capturada ()", IF(ISNA(MATCH(J56, Criterios!$A$123:$A$126, 0)), "División no válida", "")), IF(OR(K56="", K56=""), "[Aviso] Categoría no capturada ()", IF(ISNA(MATCH(K56, Criterios!$A$81:$A$120, 0)), "Categoría no válida", IF(AND(J56&lt;&gt;"", J56&lt;&gt;"", J56&lt;&gt;VLOOKUP(K56, Criterios!$A$81:$B$120, 2, FALSE)), "División no coincide con Categoría", ""))), IF(OR(L56="", L56=""), "[Aviso] Género no capturado ()", IF(ISNA(MATCH(L56, Criterios!$B$123:$B$127, 0)), "Género no válido", "")), IF(OR(N56="", N56=""), "[Aviso] Temporada no capturada ()", IF(ISNA(MATCH(N56, Criterios!$C$123:$C$128, 0)), "Temporada no válida", "")), IF(OR(O56="", O56=""), "[Aviso] Ciclo de vida no capturado ()", IF(ISNA(MATCH(O56, Criterios!$D$123:$D$124, 0)), "Ciclo de vida no válido", ""))))</f>
        <v/>
      </c>
      <c r="AC56" s="56" t="inlineStr">
        <is>
          <t>Homologación G1522: integra 1 registro(s) iguales por mismo WB SKU; códigos de barras alternos: 7506674602944</t>
        </is>
      </c>
      <c r="AD56" s="51" t="n">
        <v>1</v>
      </c>
      <c r="AE56" s="156" t="inlineStr">
        <is>
          <t>WB OUTLET LERMA (1)</t>
        </is>
      </c>
      <c r="AF56" s="51" t="n">
        <v>1</v>
      </c>
      <c r="AG56" s="156" t="inlineStr">
        <is>
          <t>Catálogo existente</t>
        </is>
      </c>
      <c r="AH56" s="156" t="inlineStr">
        <is>
          <t>Coincidencia por código de barras (ID NetSuite 117885) | ID alternativo de Hoja a Revisar 117885 (UPC coincidente); se conserva ID principal; Auditoría NetSuite 30/09/2026: llenado desde NetSuite [Z]; Vinculado por código de barras al ID NetSuite 117885 (antes en Identificador interno: 'C49729-27-32'); 01/10/2026: mismo SKU registrado también en fila 67708 con código 7506674602944 (ID 30949,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«7506674602944» → «7506674600759» (Requiere revisión) · WB Descripcion: «Cinturon de hombre C49729-27 Café» → «Cinturón Wrangler Una Vista Casual para Hombre, Color Cafe» (Conflicto entre duplicados) · WB Temporada: «FW26» → «SS26» (Conflicto entre duplicados) · WB Composición: «100% CUERO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56" s="156" t="inlineStr">
        <is>
          <t>No</t>
        </is>
      </c>
      <c r="AJ56" s="156" t="n"/>
      <c r="AK56" s="155" t="inlineStr">
        <is>
          <t>| Hoja a Revisar: fila 196050 (ID 117885, misma clave UPC); G1522_Extraccion_Articulos_NetSuite_2026-09-30.xlsx: fila 64126 [Z] | Shopify WB: producto 10310436192441 / variante 50512589848761; Hoja3: fila 689 | Odoo: producto 30949 / plantilla 39659</t>
        </is>
      </c>
      <c r="AL56" s="58" t="inlineStr">
        <is>
          <t>344,48</t>
        </is>
      </c>
      <c r="AM56" s="58" t="n"/>
      <c r="AN56" s="155" t="inlineStr">
        <is>
          <t>Shopify Western Brothers; Odoo Universal Unique Brands</t>
        </is>
      </c>
      <c r="AO56" s="59" t="n"/>
      <c r="AP56" s="59" t="n">
        <v>1</v>
      </c>
      <c r="AQ56" s="59" t="n">
        <v>3</v>
      </c>
      <c r="AR56" s="155" t="inlineStr">
        <is>
          <t>Shopify Western Brothers › Western Brothers Outlet Lerma: 1; Odoo Universal Unique Brands › Bodega 25 › Bodega 25/General: 3</t>
        </is>
      </c>
    </row>
    <row r="57">
      <c r="A57" s="50" t="inlineStr">
        <is>
          <t>7506674600766</t>
        </is>
      </c>
      <c r="B57" s="51" t="inlineStr">
        <is>
          <t>117886</t>
        </is>
      </c>
      <c r="C57" s="156" t="inlineStr">
        <is>
          <t>Wrangler</t>
        </is>
      </c>
      <c r="D57" s="156" t="inlineStr">
        <is>
          <t>C49729-27</t>
        </is>
      </c>
      <c r="E57" s="156" t="inlineStr">
        <is>
          <t>C49729-27-34</t>
        </is>
      </c>
      <c r="F57" s="156" t="inlineStr">
        <is>
          <t>34</t>
        </is>
      </c>
      <c r="G57" s="156" t="inlineStr">
        <is>
          <t>34</t>
        </is>
      </c>
      <c r="H57" s="156" t="inlineStr">
        <is>
          <t>Wrangler</t>
        </is>
      </c>
      <c r="I57" s="156" t="inlineStr">
        <is>
          <t>Cinturón Wrangler Una Vista Casual para Hombre, Color Cafe</t>
        </is>
      </c>
      <c r="J57" s="156" t="inlineStr">
        <is>
          <t>Accesorios</t>
        </is>
      </c>
      <c r="K57" s="156" t="inlineStr">
        <is>
          <t>Cinturones</t>
        </is>
      </c>
      <c r="L57" s="156" t="inlineStr">
        <is>
          <t>Hombre</t>
        </is>
      </c>
      <c r="M57" s="156" t="inlineStr">
        <is>
          <t>Wrangler</t>
        </is>
      </c>
      <c r="N57" s="156" t="inlineStr">
        <is>
          <t>SS26</t>
        </is>
      </c>
      <c r="O57" s="156" t="inlineStr">
        <is>
          <t>Seasonal</t>
        </is>
      </c>
      <c r="P57" s="156" t="inlineStr">
        <is>
          <t>Cafe</t>
        </is>
      </c>
      <c r="Q57" s="156" t="n"/>
      <c r="R57" s="156" t="n"/>
      <c r="S57" s="156" t="inlineStr">
        <is>
          <t>100% piel de vacuno</t>
        </is>
      </c>
      <c r="T57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57" s="156" t="inlineStr">
        <is>
          <t>México</t>
        </is>
      </c>
      <c r="V57" s="156" t="inlineStr">
        <is>
          <t>PZS</t>
        </is>
      </c>
      <c r="W57" s="51" t="inlineStr">
        <is>
          <t>53102501</t>
        </is>
      </c>
      <c r="X57" s="156" t="n"/>
      <c r="Y57" s="54" t="n">
        <v>344.48</v>
      </c>
      <c r="Z57" s="54" t="n">
        <v>949</v>
      </c>
      <c r="AA57" s="55">
        <f>IF(AND(A57="", B57="", E57=""), "", IF(AB57="", "Válido", IF((LEN(AB57)-LEN(SUBSTITUTE(AB57,"; ","")))/2+1&gt;(LEN(AB57)-LEN(SUBSTITUTE(AB57,"[Aviso]","")))/7, "Con Incidencias", "Válido")))</f>
        <v/>
      </c>
      <c r="AB57" s="56">
        <f>IF(AND(A57="", B57="", E57=""), "", TEXTJOIN("; ", TRUE, IF(OR(TRIM(A57&amp;"")="", ISNUMBER(SEARCH("FALTA", A57))), "UPC faltante/inválido", ""), IF(AND(A57&lt;&gt;"", IFERROR(_xlfn.XMATCH(A57,$A$2:$A$1063,0,1)&lt;&gt;_xlfn.XMATCH(A57,$A$2:$A$1063,0,-1),FALSE)), "Código de barras duplicado", ""), IF(AND(E57&lt;&gt;"", COUNTIF($E$2:$E$1063, E57)&gt;1), "SKU duplicado", ""), IF(OR(J57="", J57=""), "[Aviso] División no capturada ()", IF(ISNA(MATCH(J57, Criterios!$A$123:$A$126, 0)), "División no válida", "")), IF(OR(K57="", K57=""), "[Aviso] Categoría no capturada ()", IF(ISNA(MATCH(K57, Criterios!$A$81:$A$120, 0)), "Categoría no válida", IF(AND(J57&lt;&gt;"", J57&lt;&gt;"", J57&lt;&gt;VLOOKUP(K57, Criterios!$A$81:$B$120, 2, FALSE)), "División no coincide con Categoría", ""))), IF(OR(L57="", L57=""), "[Aviso] Género no capturado ()", IF(ISNA(MATCH(L57, Criterios!$B$123:$B$127, 0)), "Género no válido", "")), IF(OR(N57="", N57=""), "[Aviso] Temporada no capturada ()", IF(ISNA(MATCH(N57, Criterios!$C$123:$C$128, 0)), "Temporada no válida", "")), IF(OR(O57="", O57=""), "[Aviso] Ciclo de vida no capturado ()", IF(ISNA(MATCH(O57, Criterios!$D$123:$D$124, 0)), "Ciclo de vida no válido", ""))))</f>
        <v/>
      </c>
      <c r="AC57" s="56" t="inlineStr">
        <is>
          <t>Homologación G1522: integra 1 registro(s) iguales por mismo WB SKU; códigos de barras alternos: 7506674602951</t>
        </is>
      </c>
      <c r="AD57" s="51" t="n">
        <v>2</v>
      </c>
      <c r="AE57" s="156" t="inlineStr">
        <is>
          <t>WB OUTLET LERMA (2)</t>
        </is>
      </c>
      <c r="AF57" s="51" t="n">
        <v>2</v>
      </c>
      <c r="AG57" s="156" t="inlineStr">
        <is>
          <t>Catálogo existente</t>
        </is>
      </c>
      <c r="AH57" s="156" t="inlineStr">
        <is>
          <t>Coincidencia por código de barras (ID NetSuite 117886) | ID alternativo de Hoja a Revisar 117886 (UPC coincidente); se conserva ID principal; Auditoría NetSuite 30/09/2026: llenado desde NetSuite [Z]; Vinculado por código de barras al ID NetSuite 117886 (antes en Identificador interno: 'C49729-27-34'); 01/10/2026: mismo SKU registrado también en fila 67709 con código 7506674602951 (ID 30950,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«7506674602951» → «7506674600766» (Requiere revisión) · WB Descripcion: «Cinturon de hombre C49729-27 Café» → «Cinturón Wrangler Una Vista Casual para Hombre, Color Cafe» (Conflicto entre duplicados) · WB Temporada: «FW26» → «SS26» (Conflicto entre duplicados) · WB Composición: «100% CUERO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57" s="156" t="inlineStr">
        <is>
          <t>No</t>
        </is>
      </c>
      <c r="AJ57" s="156" t="n"/>
      <c r="AK57" s="155" t="inlineStr">
        <is>
          <t>| Hoja a Revisar: fila 196051 (ID 117886, misma clave UPC); G1522_Extraccion_Articulos_NetSuite_2026-09-30.xlsx: fila 64127 [Z] | Shopify WB: producto 10310436192441 / variante 50512589881529; Hoja3: fila 690 | Odoo: producto 30950 / plantilla 39659</t>
        </is>
      </c>
      <c r="AL57" s="58" t="inlineStr">
        <is>
          <t>344,48</t>
        </is>
      </c>
      <c r="AM57" s="58" t="n"/>
      <c r="AN57" s="155" t="inlineStr">
        <is>
          <t>Shopify Western Brothers; Odoo Universal Unique Brands</t>
        </is>
      </c>
      <c r="AO57" s="59" t="n"/>
      <c r="AP57" s="59" t="n">
        <v>2</v>
      </c>
      <c r="AQ57" s="59" t="n">
        <v>10</v>
      </c>
      <c r="AR57" s="155" t="inlineStr">
        <is>
          <t>Shopify Western Brothers › Western Brothers Outlet Lerma: 2; Odoo Universal Unique Brands › Bodega 25 › Bodega 25/General: 10</t>
        </is>
      </c>
    </row>
    <row r="58">
      <c r="A58" s="50" t="inlineStr">
        <is>
          <t>7506674600773</t>
        </is>
      </c>
      <c r="B58" s="51" t="inlineStr">
        <is>
          <t>117887</t>
        </is>
      </c>
      <c r="C58" s="156" t="inlineStr">
        <is>
          <t>Wrangler</t>
        </is>
      </c>
      <c r="D58" s="156" t="inlineStr">
        <is>
          <t>C49729-27</t>
        </is>
      </c>
      <c r="E58" s="156" t="inlineStr">
        <is>
          <t>C49729-27-36</t>
        </is>
      </c>
      <c r="F58" s="156" t="inlineStr">
        <is>
          <t>36</t>
        </is>
      </c>
      <c r="G58" s="156" t="inlineStr">
        <is>
          <t>36</t>
        </is>
      </c>
      <c r="H58" s="156" t="inlineStr">
        <is>
          <t>Wrangler</t>
        </is>
      </c>
      <c r="I58" s="156" t="inlineStr">
        <is>
          <t>Cinturón Wrangler Una Vista Casual para Hombre, Color Cafe</t>
        </is>
      </c>
      <c r="J58" s="156" t="inlineStr">
        <is>
          <t>Accesorios</t>
        </is>
      </c>
      <c r="K58" s="156" t="inlineStr">
        <is>
          <t>Cinturones</t>
        </is>
      </c>
      <c r="L58" s="156" t="inlineStr">
        <is>
          <t>Hombre</t>
        </is>
      </c>
      <c r="M58" s="156" t="inlineStr">
        <is>
          <t>Wrangler</t>
        </is>
      </c>
      <c r="N58" s="156" t="inlineStr">
        <is>
          <t>SS26</t>
        </is>
      </c>
      <c r="O58" s="156" t="inlineStr">
        <is>
          <t>Seasonal</t>
        </is>
      </c>
      <c r="P58" s="156" t="inlineStr">
        <is>
          <t>Cafe</t>
        </is>
      </c>
      <c r="Q58" s="156" t="n"/>
      <c r="R58" s="156" t="n"/>
      <c r="S58" s="156" t="inlineStr">
        <is>
          <t>100% piel de vacuno</t>
        </is>
      </c>
      <c r="T58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58" s="156" t="inlineStr">
        <is>
          <t>México</t>
        </is>
      </c>
      <c r="V58" s="156" t="inlineStr">
        <is>
          <t>PZS</t>
        </is>
      </c>
      <c r="W58" s="51" t="inlineStr">
        <is>
          <t>53102501</t>
        </is>
      </c>
      <c r="X58" s="156" t="n"/>
      <c r="Y58" s="54" t="n">
        <v>344.48</v>
      </c>
      <c r="Z58" s="54" t="n">
        <v>949</v>
      </c>
      <c r="AA58" s="55">
        <f>IF(AND(A58="", B58="", E58=""), "", IF(AB58="", "Válido", IF((LEN(AB58)-LEN(SUBSTITUTE(AB58,"; ","")))/2+1&gt;(LEN(AB58)-LEN(SUBSTITUTE(AB58,"[Aviso]","")))/7, "Con Incidencias", "Válido")))</f>
        <v/>
      </c>
      <c r="AB58" s="56">
        <f>IF(AND(A58="", B58="", E58=""), "", TEXTJOIN("; ", TRUE, IF(OR(TRIM(A58&amp;"")="", ISNUMBER(SEARCH("FALTA", A58))), "UPC faltante/inválido", ""), IF(AND(A58&lt;&gt;"", IFERROR(_xlfn.XMATCH(A58,$A$2:$A$1063,0,1)&lt;&gt;_xlfn.XMATCH(A58,$A$2:$A$1063,0,-1),FALSE)), "Código de barras duplicado", ""), IF(AND(E58&lt;&gt;"", COUNTIF($E$2:$E$1063, E58)&gt;1), "SKU duplicado", ""), IF(OR(J58="", J58=""), "[Aviso] División no capturada ()", IF(ISNA(MATCH(J58, Criterios!$A$123:$A$126, 0)), "División no válida", "")), IF(OR(K58="", K58=""), "[Aviso] Categoría no capturada ()", IF(ISNA(MATCH(K58, Criterios!$A$81:$A$120, 0)), "Categoría no válida", IF(AND(J58&lt;&gt;"", J58&lt;&gt;"", J58&lt;&gt;VLOOKUP(K58, Criterios!$A$81:$B$120, 2, FALSE)), "División no coincide con Categoría", ""))), IF(OR(L58="", L58=""), "[Aviso] Género no capturado ()", IF(ISNA(MATCH(L58, Criterios!$B$123:$B$127, 0)), "Género no válido", "")), IF(OR(N58="", N58=""), "[Aviso] Temporada no capturada ()", IF(ISNA(MATCH(N58, Criterios!$C$123:$C$128, 0)), "Temporada no válida", "")), IF(OR(O58="", O58=""), "[Aviso] Ciclo de vida no capturado ()", IF(ISNA(MATCH(O58, Criterios!$D$123:$D$124, 0)), "Ciclo de vida no válido", ""))))</f>
        <v/>
      </c>
      <c r="AC58" s="56" t="inlineStr">
        <is>
          <t>Homologación G1522: integra 1 registro(s) iguales por mismo WB SKU; códigos de barras alternos: 7506674602968</t>
        </is>
      </c>
      <c r="AD58" s="51" t="n">
        <v>2</v>
      </c>
      <c r="AE58" s="156" t="inlineStr">
        <is>
          <t>WB OUTLET LERMA (2)</t>
        </is>
      </c>
      <c r="AF58" s="51" t="n">
        <v>2</v>
      </c>
      <c r="AG58" s="156" t="inlineStr">
        <is>
          <t>Catálogo existente</t>
        </is>
      </c>
      <c r="AH58" s="156" t="inlineStr">
        <is>
          <t>Coincidencia por código de barras (ID NetSuite 117887) | ID alternativo de Hoja a Revisar 117887 (UPC coincidente); se conserva ID principal; Auditoría NetSuite 30/09/2026: llenado desde NetSuite [Z]; Vinculado por código de barras al ID NetSuite 117887 (antes en Identificador interno: 'C49729-27-36'); 01/10/2026: mismo SKU registrado también en fila 67710 con código 7506674602968 (ID 30951,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«7506674602968» → «7506674600773» (Requiere revisión) · WB Descripcion: «Cinturon de hombre C49729-27 Café» → «Cinturón Wrangler Una Vista Casual para Hombre, Color Cafe» (Conflicto entre duplicados) · WB Temporada: «FW26» → «SS26» (Conflicto entre duplicados) · WB Composición: «100% CUERO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58" s="156" t="inlineStr">
        <is>
          <t>No</t>
        </is>
      </c>
      <c r="AJ58" s="156" t="n"/>
      <c r="AK58" s="155" t="inlineStr">
        <is>
          <t>| Hoja a Revisar: fila 196052 (ID 117887, misma clave UPC); G1522_Extraccion_Articulos_NetSuite_2026-09-30.xlsx: fila 64128 [Z] | Shopify WB: producto 10310436192441 / variante 50512589914297; Hoja3: fila 691 | Odoo: producto 30951 / plantilla 39659</t>
        </is>
      </c>
      <c r="AL58" s="58" t="inlineStr">
        <is>
          <t>344,48</t>
        </is>
      </c>
      <c r="AM58" s="58" t="n"/>
      <c r="AN58" s="155" t="inlineStr">
        <is>
          <t>Shopify Western Brothers; Odoo Universal Unique Brands</t>
        </is>
      </c>
      <c r="AO58" s="59" t="n"/>
      <c r="AP58" s="59" t="n">
        <v>2</v>
      </c>
      <c r="AQ58" s="59" t="n">
        <v>9</v>
      </c>
      <c r="AR58" s="155" t="inlineStr">
        <is>
          <t>Shopify Western Brothers › Western Brothers Outlet Lerma: 2; Odoo Universal Unique Brands › Bodega 25 › Bodega 25/General: 9</t>
        </is>
      </c>
    </row>
    <row r="59">
      <c r="A59" s="50" t="inlineStr">
        <is>
          <t>7506674600780</t>
        </is>
      </c>
      <c r="B59" s="51" t="inlineStr">
        <is>
          <t>117888</t>
        </is>
      </c>
      <c r="C59" s="156" t="inlineStr">
        <is>
          <t>Wrangler</t>
        </is>
      </c>
      <c r="D59" s="156" t="inlineStr">
        <is>
          <t>C49729-27</t>
        </is>
      </c>
      <c r="E59" s="156" t="inlineStr">
        <is>
          <t>C49729-27-38</t>
        </is>
      </c>
      <c r="F59" s="156" t="inlineStr">
        <is>
          <t>38</t>
        </is>
      </c>
      <c r="G59" s="156" t="inlineStr">
        <is>
          <t>38</t>
        </is>
      </c>
      <c r="H59" s="156" t="inlineStr">
        <is>
          <t>Wrangler</t>
        </is>
      </c>
      <c r="I59" s="156" t="inlineStr">
        <is>
          <t>Cinturón Wrangler Una Vista Casual para Hombre, Color Cafe</t>
        </is>
      </c>
      <c r="J59" s="156" t="inlineStr">
        <is>
          <t>Accesorios</t>
        </is>
      </c>
      <c r="K59" s="156" t="inlineStr">
        <is>
          <t>Cinturones</t>
        </is>
      </c>
      <c r="L59" s="156" t="inlineStr">
        <is>
          <t>Hombre</t>
        </is>
      </c>
      <c r="M59" s="156" t="inlineStr">
        <is>
          <t>Wrangler</t>
        </is>
      </c>
      <c r="N59" s="156" t="inlineStr">
        <is>
          <t>SS26</t>
        </is>
      </c>
      <c r="O59" s="156" t="inlineStr">
        <is>
          <t>Seasonal</t>
        </is>
      </c>
      <c r="P59" s="156" t="inlineStr">
        <is>
          <t>Cafe</t>
        </is>
      </c>
      <c r="Q59" s="156" t="n"/>
      <c r="R59" s="156" t="n"/>
      <c r="S59" s="156" t="inlineStr">
        <is>
          <t>100% piel de vacuno</t>
        </is>
      </c>
      <c r="T59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59" s="156" t="inlineStr">
        <is>
          <t>México</t>
        </is>
      </c>
      <c r="V59" s="156" t="inlineStr">
        <is>
          <t>PZS</t>
        </is>
      </c>
      <c r="W59" s="51" t="inlineStr">
        <is>
          <t>53102501</t>
        </is>
      </c>
      <c r="X59" s="156" t="n"/>
      <c r="Y59" s="54" t="n">
        <v>344.48</v>
      </c>
      <c r="Z59" s="54" t="n">
        <v>949</v>
      </c>
      <c r="AA59" s="55">
        <f>IF(AND(A59="", B59="", E59=""), "", IF(AB59="", "Válido", IF((LEN(AB59)-LEN(SUBSTITUTE(AB59,"; ","")))/2+1&gt;(LEN(AB59)-LEN(SUBSTITUTE(AB59,"[Aviso]","")))/7, "Con Incidencias", "Válido")))</f>
        <v/>
      </c>
      <c r="AB59" s="56">
        <f>IF(AND(A59="", B59="", E59=""), "", TEXTJOIN("; ", TRUE, IF(OR(TRIM(A59&amp;"")="", ISNUMBER(SEARCH("FALTA", A59))), "UPC faltante/inválido", ""), IF(AND(A59&lt;&gt;"", IFERROR(_xlfn.XMATCH(A59,$A$2:$A$1063,0,1)&lt;&gt;_xlfn.XMATCH(A59,$A$2:$A$1063,0,-1),FALSE)), "Código de barras duplicado", ""), IF(AND(E59&lt;&gt;"", COUNTIF($E$2:$E$1063, E59)&gt;1), "SKU duplicado", ""), IF(OR(J59="", J59=""), "[Aviso] División no capturada ()", IF(ISNA(MATCH(J59, Criterios!$A$123:$A$126, 0)), "División no válida", "")), IF(OR(K59="", K59=""), "[Aviso] Categoría no capturada ()", IF(ISNA(MATCH(K59, Criterios!$A$81:$A$120, 0)), "Categoría no válida", IF(AND(J59&lt;&gt;"", J59&lt;&gt;"", J59&lt;&gt;VLOOKUP(K59, Criterios!$A$81:$B$120, 2, FALSE)), "División no coincide con Categoría", ""))), IF(OR(L59="", L59=""), "[Aviso] Género no capturado ()", IF(ISNA(MATCH(L59, Criterios!$B$123:$B$127, 0)), "Género no válido", "")), IF(OR(N59="", N59=""), "[Aviso] Temporada no capturada ()", IF(ISNA(MATCH(N59, Criterios!$C$123:$C$128, 0)), "Temporada no válida", "")), IF(OR(O59="", O59=""), "[Aviso] Ciclo de vida no capturado ()", IF(ISNA(MATCH(O59, Criterios!$D$123:$D$124, 0)), "Ciclo de vida no válido", ""))))</f>
        <v/>
      </c>
      <c r="AC59" s="56" t="inlineStr">
        <is>
          <t>Homologación G1522: integra 1 registro(s) iguales por mismo WB SKU; códigos de barras alternos: 7506674602975</t>
        </is>
      </c>
      <c r="AD59" s="51" t="n">
        <v>3</v>
      </c>
      <c r="AE59" s="156" t="inlineStr">
        <is>
          <t>WB OUTLET LERMA (3)</t>
        </is>
      </c>
      <c r="AF59" s="51" t="n">
        <v>3</v>
      </c>
      <c r="AG59" s="156" t="inlineStr">
        <is>
          <t>Catálogo existente</t>
        </is>
      </c>
      <c r="AH59" s="156" t="inlineStr">
        <is>
          <t>Coincidencia por código de barras (ID NetSuite 117888) | ID alternativo de Hoja a Revisar 117888 (UPC coincidente); se conserva ID principal; Auditoría NetSuite 30/09/2026: llenado desde NetSuite [Z]; Vinculado por código de barras al ID NetSuite 117888 (antes en Identificador interno: 'C49729-27-38'); 01/10/2026: mismo SKU registrado también en fila 67711 con código 7506674602975 (ID 30952,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«7506674602975» → «7506674600780» (Requiere revisión) · WB Descripcion: «Cinturon de hombre C49729-27 Café» → «Cinturón Wrangler Una Vista Casual para Hombre, Color Cafe» (Conflicto entre duplicados) · WB Temporada: «FW26» → «SS26» (Conflicto entre duplicados) · WB Composición: «100% CUERO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59" s="156" t="inlineStr">
        <is>
          <t>No</t>
        </is>
      </c>
      <c r="AJ59" s="156" t="n"/>
      <c r="AK59" s="155" t="inlineStr">
        <is>
          <t>| Hoja a Revisar: fila 196053 (ID 117888, misma clave UPC); G1522_Extraccion_Articulos_NetSuite_2026-09-30.xlsx: fila 64129 [Z] | Shopify WB: producto 10310436192441 / variante 50512589947065; Hoja3: fila 692 | Odoo: producto 30952 / plantilla 39659</t>
        </is>
      </c>
      <c r="AL59" s="58" t="inlineStr">
        <is>
          <t>344,48</t>
        </is>
      </c>
      <c r="AM59" s="58" t="n"/>
      <c r="AN59" s="155" t="inlineStr">
        <is>
          <t>Shopify Western Brothers; Odoo Universal Unique Brands</t>
        </is>
      </c>
      <c r="AO59" s="59" t="n"/>
      <c r="AP59" s="59" t="n">
        <v>3</v>
      </c>
      <c r="AQ59" s="59" t="n">
        <v>14</v>
      </c>
      <c r="AR59" s="155" t="inlineStr">
        <is>
          <t>Shopify Western Brothers › Western Brothers Outlet Lerma: 3; Odoo Universal Unique Brands › Bodega 25 › Bodega 25/General: 14</t>
        </is>
      </c>
    </row>
    <row r="60">
      <c r="A60" s="50" t="inlineStr">
        <is>
          <t>7506674600797</t>
        </is>
      </c>
      <c r="B60" s="51" t="inlineStr">
        <is>
          <t>117889</t>
        </is>
      </c>
      <c r="C60" s="156" t="inlineStr">
        <is>
          <t>Wrangler</t>
        </is>
      </c>
      <c r="D60" s="156" t="inlineStr">
        <is>
          <t>C49729-27</t>
        </is>
      </c>
      <c r="E60" s="156" t="inlineStr">
        <is>
          <t>C49729-27-40</t>
        </is>
      </c>
      <c r="F60" s="156" t="inlineStr">
        <is>
          <t>40</t>
        </is>
      </c>
      <c r="G60" s="156" t="inlineStr">
        <is>
          <t>40</t>
        </is>
      </c>
      <c r="H60" s="156" t="inlineStr">
        <is>
          <t>Wrangler</t>
        </is>
      </c>
      <c r="I60" s="156" t="inlineStr">
        <is>
          <t>Cinturón Wrangler Una Vista Casual para Hombre, Color Cafe</t>
        </is>
      </c>
      <c r="J60" s="156" t="inlineStr">
        <is>
          <t>Accesorios</t>
        </is>
      </c>
      <c r="K60" s="156" t="inlineStr">
        <is>
          <t>Cinturones</t>
        </is>
      </c>
      <c r="L60" s="156" t="inlineStr">
        <is>
          <t>Hombre</t>
        </is>
      </c>
      <c r="M60" s="156" t="inlineStr">
        <is>
          <t>Wrangler</t>
        </is>
      </c>
      <c r="N60" s="156" t="inlineStr">
        <is>
          <t>SS26</t>
        </is>
      </c>
      <c r="O60" s="156" t="inlineStr">
        <is>
          <t>Seasonal</t>
        </is>
      </c>
      <c r="P60" s="156" t="inlineStr">
        <is>
          <t>Cafe</t>
        </is>
      </c>
      <c r="Q60" s="156" t="n"/>
      <c r="R60" s="156" t="n"/>
      <c r="S60" s="156" t="inlineStr">
        <is>
          <t>100% piel de vacuno</t>
        </is>
      </c>
      <c r="T60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60" s="156" t="inlineStr">
        <is>
          <t>México</t>
        </is>
      </c>
      <c r="V60" s="156" t="inlineStr">
        <is>
          <t>PZS</t>
        </is>
      </c>
      <c r="W60" s="51" t="inlineStr">
        <is>
          <t>53102501</t>
        </is>
      </c>
      <c r="X60" s="156" t="n"/>
      <c r="Y60" s="54" t="n">
        <v>344.48</v>
      </c>
      <c r="Z60" s="54" t="n">
        <v>949</v>
      </c>
      <c r="AA60" s="55">
        <f>IF(AND(A60="", B60="", E60=""), "", IF(AB60="", "Válido", IF((LEN(AB60)-LEN(SUBSTITUTE(AB60,"; ","")))/2+1&gt;(LEN(AB60)-LEN(SUBSTITUTE(AB60,"[Aviso]","")))/7, "Con Incidencias", "Válido")))</f>
        <v/>
      </c>
      <c r="AB60" s="56">
        <f>IF(AND(A60="", B60="", E60=""), "", TEXTJOIN("; ", TRUE, IF(OR(TRIM(A60&amp;"")="", ISNUMBER(SEARCH("FALTA", A60))), "UPC faltante/inválido", ""), IF(AND(A60&lt;&gt;"", IFERROR(_xlfn.XMATCH(A60,$A$2:$A$1063,0,1)&lt;&gt;_xlfn.XMATCH(A60,$A$2:$A$1063,0,-1),FALSE)), "Código de barras duplicado", ""), IF(AND(E60&lt;&gt;"", COUNTIF($E$2:$E$1063, E60)&gt;1), "SKU duplicado", ""), IF(OR(J60="", J60=""), "[Aviso] División no capturada ()", IF(ISNA(MATCH(J60, Criterios!$A$123:$A$126, 0)), "División no válida", "")), IF(OR(K60="", K60=""), "[Aviso] Categoría no capturada ()", IF(ISNA(MATCH(K60, Criterios!$A$81:$A$120, 0)), "Categoría no válida", IF(AND(J60&lt;&gt;"", J60&lt;&gt;"", J60&lt;&gt;VLOOKUP(K60, Criterios!$A$81:$B$120, 2, FALSE)), "División no coincide con Categoría", ""))), IF(OR(L60="", L60=""), "[Aviso] Género no capturado ()", IF(ISNA(MATCH(L60, Criterios!$B$123:$B$127, 0)), "Género no válido", "")), IF(OR(N60="", N60=""), "[Aviso] Temporada no capturada ()", IF(ISNA(MATCH(N60, Criterios!$C$123:$C$128, 0)), "Temporada no válida", "")), IF(OR(O60="", O60=""), "[Aviso] Ciclo de vida no capturado ()", IF(ISNA(MATCH(O60, Criterios!$D$123:$D$124, 0)), "Ciclo de vida no válido", ""))))</f>
        <v/>
      </c>
      <c r="AC60" s="56" t="inlineStr">
        <is>
          <t>Homologación G1522: integra 1 registro(s) iguales por mismo WB SKU; códigos de barras alternos: 7506674602982</t>
        </is>
      </c>
      <c r="AD60" s="51" t="n">
        <v>1</v>
      </c>
      <c r="AE60" s="156" t="inlineStr">
        <is>
          <t>WB OUTLET LERMA (1)</t>
        </is>
      </c>
      <c r="AF60" s="51" t="n">
        <v>1</v>
      </c>
      <c r="AG60" s="156" t="inlineStr">
        <is>
          <t>Catálogo existente</t>
        </is>
      </c>
      <c r="AH60" s="156" t="inlineStr">
        <is>
          <t>Coincidencia por código de barras (ID NetSuite 117889) | ID alternativo de Hoja a Revisar 117889 (UPC coincidente); se conserva ID principal; Auditoría NetSuite 30/09/2026: llenado desde NetSuite [Z]; Vinculado por código de barras al ID NetSuite 117889 (antes en Identificador interno: 'C49729-27-40'); 01/10/2026: mismo SKU registrado también en fila 67712 con código 7506674602982 (ID 30953,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«7506674602982» → «7506674600797» (Requiere revisión) · WB Descripcion: «Cinturon de hombre C49729-27 Café» → «Cinturón Wrangler Una Vista Casual para Hombre, Color Cafe» (Conflicto entre duplicados) · WB Temporada: «FW26» → «SS26» (Conflicto entre duplicados) · WB Composición: «100% CUERO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60" s="156" t="inlineStr">
        <is>
          <t>No</t>
        </is>
      </c>
      <c r="AJ60" s="156" t="n"/>
      <c r="AK60" s="155" t="inlineStr">
        <is>
          <t>| Hoja a Revisar: fila 196054 (ID 117889, misma clave UPC); G1522_Extraccion_Articulos_NetSuite_2026-09-30.xlsx: fila 64130 [Z] | Shopify WB: producto 10310436192441 / variante 50512589979833; Hoja3: fila 693 | Odoo: producto 30953 / plantilla 39659</t>
        </is>
      </c>
      <c r="AL60" s="58" t="inlineStr">
        <is>
          <t>344,48</t>
        </is>
      </c>
      <c r="AM60" s="58" t="n"/>
      <c r="AN60" s="155" t="inlineStr">
        <is>
          <t>Shopify Western Brothers; Odoo Universal Unique Brands</t>
        </is>
      </c>
      <c r="AO60" s="59" t="n"/>
      <c r="AP60" s="59" t="n">
        <v>1</v>
      </c>
      <c r="AQ60" s="59" t="n">
        <v>22</v>
      </c>
      <c r="AR60" s="155" t="inlineStr">
        <is>
          <t>Shopify Western Brothers › Western Brothers Outlet Lerma: 1; Odoo Universal Unique Brands › Bodega 25 › Bodega 25/General: 22</t>
        </is>
      </c>
    </row>
    <row r="61">
      <c r="A61" s="50" t="inlineStr">
        <is>
          <t>7506674600803</t>
        </is>
      </c>
      <c r="B61" s="51" t="inlineStr">
        <is>
          <t>117890</t>
        </is>
      </c>
      <c r="C61" s="156" t="inlineStr">
        <is>
          <t>Wrangler</t>
        </is>
      </c>
      <c r="D61" s="156" t="inlineStr">
        <is>
          <t>C49729-27</t>
        </is>
      </c>
      <c r="E61" s="156" t="inlineStr">
        <is>
          <t>C49729-27-42</t>
        </is>
      </c>
      <c r="F61" s="156" t="inlineStr">
        <is>
          <t>42</t>
        </is>
      </c>
      <c r="G61" s="156" t="inlineStr">
        <is>
          <t>42</t>
        </is>
      </c>
      <c r="H61" s="156" t="inlineStr">
        <is>
          <t>Wrangler</t>
        </is>
      </c>
      <c r="I61" s="156" t="inlineStr">
        <is>
          <t>Cinturón Wrangler Una Vista Casual para Hombre, Color Cafe</t>
        </is>
      </c>
      <c r="J61" s="156" t="inlineStr">
        <is>
          <t>Accesorios</t>
        </is>
      </c>
      <c r="K61" s="156" t="inlineStr">
        <is>
          <t>Cinturones</t>
        </is>
      </c>
      <c r="L61" s="156" t="inlineStr">
        <is>
          <t>Hombre</t>
        </is>
      </c>
      <c r="M61" s="156" t="inlineStr">
        <is>
          <t>Wrangler</t>
        </is>
      </c>
      <c r="N61" s="156" t="inlineStr">
        <is>
          <t>SS26</t>
        </is>
      </c>
      <c r="O61" s="156" t="inlineStr">
        <is>
          <t>Seasonal</t>
        </is>
      </c>
      <c r="P61" s="156" t="inlineStr">
        <is>
          <t>Cafe</t>
        </is>
      </c>
      <c r="Q61" s="156" t="n"/>
      <c r="R61" s="156" t="n"/>
      <c r="S61" s="156" t="inlineStr">
        <is>
          <t>100% piel de vacuno</t>
        </is>
      </c>
      <c r="T61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61" s="156" t="inlineStr">
        <is>
          <t>México</t>
        </is>
      </c>
      <c r="V61" s="156" t="inlineStr">
        <is>
          <t>PZS</t>
        </is>
      </c>
      <c r="W61" s="51" t="inlineStr">
        <is>
          <t>53102501</t>
        </is>
      </c>
      <c r="X61" s="156" t="n"/>
      <c r="Y61" s="54" t="n">
        <v>344.48</v>
      </c>
      <c r="Z61" s="54" t="n">
        <v>949</v>
      </c>
      <c r="AA61" s="55">
        <f>IF(AND(A61="", B61="", E61=""), "", IF(AB61="", "Válido", IF((LEN(AB61)-LEN(SUBSTITUTE(AB61,"; ","")))/2+1&gt;(LEN(AB61)-LEN(SUBSTITUTE(AB61,"[Aviso]","")))/7, "Con Incidencias", "Válido")))</f>
        <v/>
      </c>
      <c r="AB61" s="56">
        <f>IF(AND(A61="", B61="", E61=""), "", TEXTJOIN("; ", TRUE, IF(OR(TRIM(A61&amp;"")="", ISNUMBER(SEARCH("FALTA", A61))), "UPC faltante/inválido", ""), IF(AND(A61&lt;&gt;"", IFERROR(_xlfn.XMATCH(A61,$A$2:$A$1063,0,1)&lt;&gt;_xlfn.XMATCH(A61,$A$2:$A$1063,0,-1),FALSE)), "Código de barras duplicado", ""), IF(AND(E61&lt;&gt;"", COUNTIF($E$2:$E$1063, E61)&gt;1), "SKU duplicado", ""), IF(OR(J61="", J61=""), "[Aviso] División no capturada ()", IF(ISNA(MATCH(J61, Criterios!$A$123:$A$126, 0)), "División no válida", "")), IF(OR(K61="", K61=""), "[Aviso] Categoría no capturada ()", IF(ISNA(MATCH(K61, Criterios!$A$81:$A$120, 0)), "Categoría no válida", IF(AND(J61&lt;&gt;"", J61&lt;&gt;"", J61&lt;&gt;VLOOKUP(K61, Criterios!$A$81:$B$120, 2, FALSE)), "División no coincide con Categoría", ""))), IF(OR(L61="", L61=""), "[Aviso] Género no capturado ()", IF(ISNA(MATCH(L61, Criterios!$B$123:$B$127, 0)), "Género no válido", "")), IF(OR(N61="", N61=""), "[Aviso] Temporada no capturada ()", IF(ISNA(MATCH(N61, Criterios!$C$123:$C$128, 0)), "Temporada no válida", "")), IF(OR(O61="", O61=""), "[Aviso] Ciclo de vida no capturado ()", IF(ISNA(MATCH(O61, Criterios!$D$123:$D$124, 0)), "Ciclo de vida no válido", ""))))</f>
        <v/>
      </c>
      <c r="AC61" s="56" t="inlineStr">
        <is>
          <t>Homologación G1522: integra 1 registro(s) iguales por mismo WB SKU; códigos de barras alternos: 7506674602999</t>
        </is>
      </c>
      <c r="AD61" s="51" t="n">
        <v>2</v>
      </c>
      <c r="AE61" s="156" t="inlineStr">
        <is>
          <t>WB OUTLET LERMA (2)</t>
        </is>
      </c>
      <c r="AF61" s="51" t="n">
        <v>2</v>
      </c>
      <c r="AG61" s="156" t="inlineStr">
        <is>
          <t>Catálogo existente</t>
        </is>
      </c>
      <c r="AH61" s="156" t="inlineStr">
        <is>
          <t>Coincidencia por código de barras (ID NetSuite 117890) | ID alternativo de Hoja a Revisar 117890 (UPC coincidente); se conserva ID principal; Auditoría NetSuite 30/09/2026: llenado desde NetSuite [Z]; Vinculado por código de barras al ID NetSuite 117890 (antes en Identificador interno: 'C49729-27-42'); 01/10/2026: mismo SKU registrado también en fila 67713 con código 7506674602999 (ID 30954,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«7506674602999» → «7506674600803» (Requiere revisión) · WB Descripcion: «Cinturon de hombre C49729-27 Café» → «Cinturón Wrangler Una Vista Casual para Hombre, Color Cafe» (Conflicto entre duplicados) · WB Temporada: «FW26» → «SS26» (Conflicto entre duplicados) · WB Composición: «100% CUERO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61" s="156" t="inlineStr">
        <is>
          <t>No</t>
        </is>
      </c>
      <c r="AJ61" s="156" t="n"/>
      <c r="AK61" s="155" t="inlineStr">
        <is>
          <t>| Hoja a Revisar: fila 196055 (ID 117890, misma clave UPC); G1522_Extraccion_Articulos_NetSuite_2026-09-30.xlsx: fila 64131 [Z] | Shopify WB: producto 10310436192441 / variante 50512590012601; Hoja3: fila 694 | Odoo: producto 30954 / plantilla 39659</t>
        </is>
      </c>
      <c r="AL61" s="58" t="inlineStr">
        <is>
          <t>344,48</t>
        </is>
      </c>
      <c r="AM61" s="58" t="n"/>
      <c r="AN61" s="155" t="inlineStr">
        <is>
          <t>Shopify Western Brothers; Odoo Universal Unique Brands</t>
        </is>
      </c>
      <c r="AO61" s="59" t="n"/>
      <c r="AP61" s="59" t="n">
        <v>2</v>
      </c>
      <c r="AQ61" s="59" t="n">
        <v>22</v>
      </c>
      <c r="AR61" s="155" t="inlineStr">
        <is>
          <t>Shopify Western Brothers › Western Brothers Outlet Lerma: 2; Odoo Universal Unique Brands › Bodega 25 › Bodega 25/General: 22</t>
        </is>
      </c>
    </row>
    <row r="62">
      <c r="A62" s="50" t="inlineStr">
        <is>
          <t>7506674600810</t>
        </is>
      </c>
      <c r="B62" s="51" t="inlineStr">
        <is>
          <t>117891</t>
        </is>
      </c>
      <c r="C62" s="156" t="inlineStr">
        <is>
          <t>Wrangler</t>
        </is>
      </c>
      <c r="D62" s="156" t="inlineStr">
        <is>
          <t>C49729-27</t>
        </is>
      </c>
      <c r="E62" s="156" t="inlineStr">
        <is>
          <t>C49729-27-44</t>
        </is>
      </c>
      <c r="F62" s="156" t="inlineStr">
        <is>
          <t>44</t>
        </is>
      </c>
      <c r="G62" s="156" t="inlineStr">
        <is>
          <t>44</t>
        </is>
      </c>
      <c r="H62" s="156" t="inlineStr">
        <is>
          <t>Wrangler</t>
        </is>
      </c>
      <c r="I62" s="156" t="inlineStr">
        <is>
          <t>Cinturón Wrangler Una Vista Casual para Hombre, Color Cafe</t>
        </is>
      </c>
      <c r="J62" s="156" t="inlineStr">
        <is>
          <t>Accesorios</t>
        </is>
      </c>
      <c r="K62" s="156" t="inlineStr">
        <is>
          <t>Cinturones</t>
        </is>
      </c>
      <c r="L62" s="156" t="inlineStr">
        <is>
          <t>Hombre</t>
        </is>
      </c>
      <c r="M62" s="156" t="inlineStr">
        <is>
          <t>Wrangler</t>
        </is>
      </c>
      <c r="N62" s="156" t="inlineStr">
        <is>
          <t>SS26</t>
        </is>
      </c>
      <c r="O62" s="156" t="inlineStr">
        <is>
          <t>Seasonal</t>
        </is>
      </c>
      <c r="P62" s="156" t="inlineStr">
        <is>
          <t>Cafe</t>
        </is>
      </c>
      <c r="Q62" s="156" t="n"/>
      <c r="R62" s="156" t="n"/>
      <c r="S62" s="156" t="inlineStr">
        <is>
          <t>100% piel de vacuno</t>
        </is>
      </c>
      <c r="T62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62" s="156" t="inlineStr">
        <is>
          <t>México</t>
        </is>
      </c>
      <c r="V62" s="156" t="inlineStr">
        <is>
          <t>PZS</t>
        </is>
      </c>
      <c r="W62" s="51" t="inlineStr">
        <is>
          <t>53102501</t>
        </is>
      </c>
      <c r="X62" s="156" t="n"/>
      <c r="Y62" s="54" t="n">
        <v>344.48</v>
      </c>
      <c r="Z62" s="54" t="n">
        <v>949</v>
      </c>
      <c r="AA62" s="55">
        <f>IF(AND(A62="", B62="", E62=""), "", IF(AB62="", "Válido", IF((LEN(AB62)-LEN(SUBSTITUTE(AB62,"; ","")))/2+1&gt;(LEN(AB62)-LEN(SUBSTITUTE(AB62,"[Aviso]","")))/7, "Con Incidencias", "Válido")))</f>
        <v/>
      </c>
      <c r="AB62" s="56">
        <f>IF(AND(A62="", B62="", E62=""), "", TEXTJOIN("; ", TRUE, IF(OR(TRIM(A62&amp;"")="", ISNUMBER(SEARCH("FALTA", A62))), "UPC faltante/inválido", ""), IF(AND(A62&lt;&gt;"", IFERROR(_xlfn.XMATCH(A62,$A$2:$A$1063,0,1)&lt;&gt;_xlfn.XMATCH(A62,$A$2:$A$1063,0,-1),FALSE)), "Código de barras duplicado", ""), IF(AND(E62&lt;&gt;"", COUNTIF($E$2:$E$1063, E62)&gt;1), "SKU duplicado", ""), IF(OR(J62="", J62=""), "[Aviso] División no capturada ()", IF(ISNA(MATCH(J62, Criterios!$A$123:$A$126, 0)), "División no válida", "")), IF(OR(K62="", K62=""), "[Aviso] Categoría no capturada ()", IF(ISNA(MATCH(K62, Criterios!$A$81:$A$120, 0)), "Categoría no válida", IF(AND(J62&lt;&gt;"", J62&lt;&gt;"", J62&lt;&gt;VLOOKUP(K62, Criterios!$A$81:$B$120, 2, FALSE)), "División no coincide con Categoría", ""))), IF(OR(L62="", L62=""), "[Aviso] Género no capturado ()", IF(ISNA(MATCH(L62, Criterios!$B$123:$B$127, 0)), "Género no válido", "")), IF(OR(N62="", N62=""), "[Aviso] Temporada no capturada ()", IF(ISNA(MATCH(N62, Criterios!$C$123:$C$128, 0)), "Temporada no válida", "")), IF(OR(O62="", O62=""), "[Aviso] Ciclo de vida no capturado ()", IF(ISNA(MATCH(O62, Criterios!$D$123:$D$124, 0)), "Ciclo de vida no válido", ""))))</f>
        <v/>
      </c>
      <c r="AC62" s="56" t="inlineStr">
        <is>
          <t>Homologación G1522: integra 1 registro(s) iguales por mismo WB SKU; códigos de barras alternos: 7506674603002</t>
        </is>
      </c>
      <c r="AD62" s="51" t="n">
        <v>1</v>
      </c>
      <c r="AE62" s="156" t="inlineStr">
        <is>
          <t>WB OUTLET LERMA (1)</t>
        </is>
      </c>
      <c r="AF62" s="51" t="n">
        <v>1</v>
      </c>
      <c r="AG62" s="156" t="inlineStr">
        <is>
          <t>Catálogo existente</t>
        </is>
      </c>
      <c r="AH62" s="156" t="inlineStr">
        <is>
          <t>Coincidencia por código de barras (ID NetSuite 117891) | ID alternativo de Hoja a Revisar 117891 (UPC coincidente); se conserva ID principal; Auditoría NetSuite 30/09/2026: llenado desde NetSuite [Z]; Vinculado por código de barras al ID NetSuite 117891 (antes en Identificador interno: 'C49729-27-44'); 01/10/2026: mismo SKU registrado también en fila 67714 con código 7506674603002 (ID 30955, desde Hoja3); revisar cuál es el vigente | 01/10/2026: complementado desde Shopify Western Brothers (match por código de barras): WB Fit, WB Silueta | Homologación G1522 06/10/2026: Precio de compra: «344,48» → «344.48» (Corrección aplicada) · WB País de origen: «MX» → «México» (Corrección aplicada) · WB País de origen: «Mexico» → «México» (Corrección aplicada) · Código de barras: «7506674603002» → «7506674600810» (Requiere revisión) · WB Descripcion: «Cinturon de hombre C49729-27 Café» → «Cinturón Wrangler Una Vista Casual para Hombre, Color Cafe» (Conflicto entre duplicados) · WB Temporada: «FW26» → «SS26» (Conflicto entre duplicados) · WB Composición: «100% CUERO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«949» (Conflicto entre duplicados) · Validador Shopify: WB: precio con IVA no termina en 9</t>
        </is>
      </c>
      <c r="AI62" s="156" t="inlineStr">
        <is>
          <t>No</t>
        </is>
      </c>
      <c r="AJ62" s="156" t="n"/>
      <c r="AK62" s="155" t="inlineStr">
        <is>
          <t>| Hoja a Revisar: fila 196056 (ID 117891, misma clave UPC); G1522_Extraccion_Articulos_NetSuite_2026-09-30.xlsx: fila 64132 [Z] | Shopify WB: producto 10310436192441 / variante 50512590045369; Hoja3: fila 695 | Odoo: producto 30955 / plantilla 39659</t>
        </is>
      </c>
      <c r="AL62" s="58" t="inlineStr">
        <is>
          <t>344,48</t>
        </is>
      </c>
      <c r="AM62" s="58" t="n"/>
      <c r="AN62" s="155" t="inlineStr">
        <is>
          <t>Shopify Western Brothers; Odoo Universal Unique Brands</t>
        </is>
      </c>
      <c r="AO62" s="59" t="n"/>
      <c r="AP62" s="59" t="n">
        <v>1</v>
      </c>
      <c r="AQ62" s="59" t="n">
        <v>17</v>
      </c>
      <c r="AR62" s="155" t="inlineStr">
        <is>
          <t>Shopify Western Brothers › Western Brothers Outlet Lerma: 1; Odoo Universal Unique Brands › Bodega 25 › Bodega 25/General: 17</t>
        </is>
      </c>
    </row>
    <row r="63">
      <c r="A63" s="50" t="inlineStr">
        <is>
          <t>7506674600179</t>
        </is>
      </c>
      <c r="B63" s="51" t="inlineStr">
        <is>
          <t>117864</t>
        </is>
      </c>
      <c r="C63" s="156" t="inlineStr">
        <is>
          <t>Wrangler</t>
        </is>
      </c>
      <c r="D63" s="156" t="inlineStr">
        <is>
          <t>C47572-27</t>
        </is>
      </c>
      <c r="E63" s="156" t="inlineStr">
        <is>
          <t>C47572-27-32</t>
        </is>
      </c>
      <c r="F63" s="156" t="inlineStr">
        <is>
          <t>32</t>
        </is>
      </c>
      <c r="G63" s="156" t="inlineStr">
        <is>
          <t>32</t>
        </is>
      </c>
      <c r="H63" s="156" t="inlineStr">
        <is>
          <t>Wrangler</t>
        </is>
      </c>
      <c r="I63" s="156" t="inlineStr">
        <is>
          <t>Cinturón Wrangler Una Vista Casual para Hombre, Color Cafe</t>
        </is>
      </c>
      <c r="J63" s="156" t="inlineStr">
        <is>
          <t>Accesorios</t>
        </is>
      </c>
      <c r="K63" s="156" t="inlineStr">
        <is>
          <t>Cinturones</t>
        </is>
      </c>
      <c r="L63" s="156" t="inlineStr">
        <is>
          <t>Hombre</t>
        </is>
      </c>
      <c r="M63" s="156" t="inlineStr">
        <is>
          <t>Wrangler</t>
        </is>
      </c>
      <c r="N63" s="156" t="inlineStr">
        <is>
          <t>SS26</t>
        </is>
      </c>
      <c r="O63" s="156" t="inlineStr">
        <is>
          <t>Seasonal</t>
        </is>
      </c>
      <c r="P63" s="156" t="inlineStr">
        <is>
          <t>Cafe</t>
        </is>
      </c>
      <c r="Q63" s="156" t="n"/>
      <c r="R63" s="156" t="n"/>
      <c r="S63" s="156" t="inlineStr">
        <is>
          <t>100% piel de vacuno</t>
        </is>
      </c>
      <c r="T63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63" s="156" t="inlineStr">
        <is>
          <t>México</t>
        </is>
      </c>
      <c r="V63" s="156" t="inlineStr">
        <is>
          <t>PZS</t>
        </is>
      </c>
      <c r="W63" s="51" t="inlineStr">
        <is>
          <t>53102501</t>
        </is>
      </c>
      <c r="X63" s="156" t="n"/>
      <c r="Y63" s="54" t="n">
        <v>292.76</v>
      </c>
      <c r="Z63" s="54" t="n">
        <v>849</v>
      </c>
      <c r="AA63" s="55">
        <f>IF(AND(A63="", B63="", E63=""), "", IF(AB63="", "Válido", IF((LEN(AB63)-LEN(SUBSTITUTE(AB63,"; ","")))/2+1&gt;(LEN(AB63)-LEN(SUBSTITUTE(AB63,"[Aviso]","")))/7, "Con Incidencias", "Válido")))</f>
        <v/>
      </c>
      <c r="AB63" s="56">
        <f>IF(AND(A63="", B63="", E63=""), "", TEXTJOIN("; ", TRUE, IF(OR(TRIM(A63&amp;"")="", ISNUMBER(SEARCH("FALTA", A63))), "UPC faltante/inválido", ""), IF(AND(A63&lt;&gt;"", IFERROR(_xlfn.XMATCH(A63,$A$2:$A$1063,0,1)&lt;&gt;_xlfn.XMATCH(A63,$A$2:$A$1063,0,-1),FALSE)), "Código de barras duplicado", ""), IF(AND(E63&lt;&gt;"", COUNTIF($E$2:$E$1063, E63)&gt;1), "SKU duplicado", ""), IF(OR(J63="", J63=""), "[Aviso] División no capturada ()", IF(ISNA(MATCH(J63, Criterios!$A$123:$A$126, 0)), "División no válida", "")), IF(OR(K63="", K63=""), "[Aviso] Categoría no capturada ()", IF(ISNA(MATCH(K63, Criterios!$A$81:$A$120, 0)), "Categoría no válida", IF(AND(J63&lt;&gt;"", J63&lt;&gt;"", J63&lt;&gt;VLOOKUP(K63, Criterios!$A$81:$B$120, 2, FALSE)), "División no coincide con Categoría", ""))), IF(OR(L63="", L63=""), "[Aviso] Género no capturado ()", IF(ISNA(MATCH(L63, Criterios!$B$123:$B$127, 0)), "Género no válido", "")), IF(OR(N63="", N63=""), "[Aviso] Temporada no capturada ()", IF(ISNA(MATCH(N63, Criterios!$C$123:$C$128, 0)), "Temporada no válida", "")), IF(OR(O63="", O63=""), "[Aviso] Ciclo de vida no capturado ()", IF(ISNA(MATCH(O63, Criterios!$D$123:$D$124, 0)), "Ciclo de vida no válido", ""))))</f>
        <v/>
      </c>
      <c r="AC63" s="56" t="inlineStr">
        <is>
          <t>Homologación G1522: integra 1 registro(s) iguales por mismo WB SKU; códigos de barras alternos: 7506674602739</t>
        </is>
      </c>
      <c r="AD63" s="51" t="n">
        <v>1</v>
      </c>
      <c r="AE63" s="156" t="inlineStr">
        <is>
          <t>WB OUTLET LERMA (1)</t>
        </is>
      </c>
      <c r="AF63" s="51" t="n">
        <v>1</v>
      </c>
      <c r="AG63" s="156" t="inlineStr">
        <is>
          <t>Catálogo existente</t>
        </is>
      </c>
      <c r="AH63" s="156" t="inlineStr">
        <is>
          <t>Coincidencia por código de barras (ID NetSuite 117864) | ID alternativo de Hoja a Revisar 117864 (UPC coincidente); se conserva ID principal; Auditoría NetSuite 30/09/2026: Vinculado por código de barras al ID NetSuite 117864 (antes en Identificador interno: 'C47572-27-32'); 01/10/2026: mismo SKU registrado también en fila 67680 con código 7506674602739 (ID 30895, desde Hoja3); revisar cuál es el vigente | 01/10/2026: complementado desde Shopify Western Brothers (match por código de barras): WB Fit, WB Silueta | Homologación G1522 06/10/2026: Precio de compra: «292,76» → «292.76» (Corrección aplicada) · WB País de origen: «MX» → «México» (Corrección aplicada) · WB País de origen: «Mexico» → «México» (Corrección aplicada) · Código de barras: «7506674602739» → «7506674600179» (Requiere revisión) · WB Descripcion: «Cinturon de hombre C47572-27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«849» (Conflicto entre duplicados) · Validador Shopify: WB: precio con IVA no termina en 9</t>
        </is>
      </c>
      <c r="AI63" s="156" t="inlineStr">
        <is>
          <t>No</t>
        </is>
      </c>
      <c r="AJ63" s="156" t="n"/>
      <c r="AK63" s="155" t="inlineStr">
        <is>
          <t>| Hoja a Revisar: fila 196008 (ID 117864, misma clave UPC) | Shopify WB: producto 10310436159673 / variante 50512589619385; Hoja3: fila 653 | Odoo: producto 30895 / plantilla 39651</t>
        </is>
      </c>
      <c r="AL63" s="58" t="inlineStr">
        <is>
          <t>292,76</t>
        </is>
      </c>
      <c r="AM63" s="58" t="n">
        <v>849</v>
      </c>
      <c r="AN63" s="155" t="inlineStr">
        <is>
          <t>Shopify Western Brothers; Odoo Universal Unique Brands</t>
        </is>
      </c>
      <c r="AO63" s="59" t="n"/>
      <c r="AP63" s="59" t="n">
        <v>0</v>
      </c>
      <c r="AQ63" s="59" t="n">
        <v>5</v>
      </c>
      <c r="AR63" s="155" t="inlineStr">
        <is>
          <t>Odoo Universal Unique Brands › Bodega 25 › Bodega 25/General: 5</t>
        </is>
      </c>
    </row>
    <row r="64">
      <c r="A64" s="50" t="inlineStr">
        <is>
          <t>7506674600186</t>
        </is>
      </c>
      <c r="B64" s="51" t="inlineStr">
        <is>
          <t>117865</t>
        </is>
      </c>
      <c r="C64" s="156" t="inlineStr">
        <is>
          <t>Wrangler</t>
        </is>
      </c>
      <c r="D64" s="156" t="inlineStr">
        <is>
          <t>C47572-27</t>
        </is>
      </c>
      <c r="E64" s="156" t="inlineStr">
        <is>
          <t>C47572-27-34</t>
        </is>
      </c>
      <c r="F64" s="156" t="inlineStr">
        <is>
          <t>34</t>
        </is>
      </c>
      <c r="G64" s="156" t="inlineStr">
        <is>
          <t>34</t>
        </is>
      </c>
      <c r="H64" s="156" t="inlineStr">
        <is>
          <t>Wrangler</t>
        </is>
      </c>
      <c r="I64" s="156" t="inlineStr">
        <is>
          <t>Cinturón Wrangler Una Vista Casual para Hombre, Color Cafe</t>
        </is>
      </c>
      <c r="J64" s="156" t="inlineStr">
        <is>
          <t>Accesorios</t>
        </is>
      </c>
      <c r="K64" s="156" t="inlineStr">
        <is>
          <t>Cinturones</t>
        </is>
      </c>
      <c r="L64" s="156" t="inlineStr">
        <is>
          <t>Hombre</t>
        </is>
      </c>
      <c r="M64" s="156" t="inlineStr">
        <is>
          <t>Wrangler</t>
        </is>
      </c>
      <c r="N64" s="156" t="inlineStr">
        <is>
          <t>SS26</t>
        </is>
      </c>
      <c r="O64" s="156" t="inlineStr">
        <is>
          <t>Seasonal</t>
        </is>
      </c>
      <c r="P64" s="156" t="inlineStr">
        <is>
          <t>Cafe</t>
        </is>
      </c>
      <c r="Q64" s="156" t="n"/>
      <c r="R64" s="156" t="n"/>
      <c r="S64" s="156" t="inlineStr">
        <is>
          <t>100% piel de vacuno</t>
        </is>
      </c>
      <c r="T64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64" s="156" t="inlineStr">
        <is>
          <t>México</t>
        </is>
      </c>
      <c r="V64" s="156" t="inlineStr">
        <is>
          <t>PZS</t>
        </is>
      </c>
      <c r="W64" s="51" t="inlineStr">
        <is>
          <t>53102501</t>
        </is>
      </c>
      <c r="X64" s="156" t="n"/>
      <c r="Y64" s="54" t="n">
        <v>292.76</v>
      </c>
      <c r="Z64" s="54" t="n">
        <v>849</v>
      </c>
      <c r="AA64" s="55">
        <f>IF(AND(A64="", B64="", E64=""), "", IF(AB64="", "Válido", IF((LEN(AB64)-LEN(SUBSTITUTE(AB64,"; ","")))/2+1&gt;(LEN(AB64)-LEN(SUBSTITUTE(AB64,"[Aviso]","")))/7, "Con Incidencias", "Válido")))</f>
        <v/>
      </c>
      <c r="AB64" s="56">
        <f>IF(AND(A64="", B64="", E64=""), "", TEXTJOIN("; ", TRUE, IF(OR(TRIM(A64&amp;"")="", ISNUMBER(SEARCH("FALTA", A64))), "UPC faltante/inválido", ""), IF(AND(A64&lt;&gt;"", IFERROR(_xlfn.XMATCH(A64,$A$2:$A$1063,0,1)&lt;&gt;_xlfn.XMATCH(A64,$A$2:$A$1063,0,-1),FALSE)), "Código de barras duplicado", ""), IF(AND(E64&lt;&gt;"", COUNTIF($E$2:$E$1063, E64)&gt;1), "SKU duplicado", ""), IF(OR(J64="", J64=""), "[Aviso] División no capturada ()", IF(ISNA(MATCH(J64, Criterios!$A$123:$A$126, 0)), "División no válida", "")), IF(OR(K64="", K64=""), "[Aviso] Categoría no capturada ()", IF(ISNA(MATCH(K64, Criterios!$A$81:$A$120, 0)), "Categoría no válida", IF(AND(J64&lt;&gt;"", J64&lt;&gt;"", J64&lt;&gt;VLOOKUP(K64, Criterios!$A$81:$B$120, 2, FALSE)), "División no coincide con Categoría", ""))), IF(OR(L64="", L64=""), "[Aviso] Género no capturado ()", IF(ISNA(MATCH(L64, Criterios!$B$123:$B$127, 0)), "Género no válido", "")), IF(OR(N64="", N64=""), "[Aviso] Temporada no capturada ()", IF(ISNA(MATCH(N64, Criterios!$C$123:$C$128, 0)), "Temporada no válida", "")), IF(OR(O64="", O64=""), "[Aviso] Ciclo de vida no capturado ()", IF(ISNA(MATCH(O64, Criterios!$D$123:$D$124, 0)), "Ciclo de vida no válido", ""))))</f>
        <v/>
      </c>
      <c r="AC64" s="56" t="inlineStr">
        <is>
          <t>Homologación G1522: integra 1 registro(s) iguales por mismo WB SKU; códigos de barras alternos: 7506674602746</t>
        </is>
      </c>
      <c r="AD64" s="51" t="n">
        <v>2</v>
      </c>
      <c r="AE64" s="156" t="inlineStr">
        <is>
          <t>WB OUTLET LERMA (2)</t>
        </is>
      </c>
      <c r="AF64" s="51" t="n">
        <v>2</v>
      </c>
      <c r="AG64" s="156" t="inlineStr">
        <is>
          <t>Catálogo existente</t>
        </is>
      </c>
      <c r="AH64" s="156" t="inlineStr">
        <is>
          <t>Coincidencia por código de barras (ID NetSuite 117865) | ID alternativo de Hoja a Revisar 117865 (UPC coincidente); se conserva ID principal; Auditoría NetSuite 30/09/2026: Vinculado por código de barras al ID NetSuite 117865 (antes en Identificador interno: 'C47572-27-34'); 01/10/2026: mismo SKU registrado también en fila 67681 con código 7506674602746 (ID 30896, desde Hoja3); revisar cuál es el vigente | 01/10/2026: complementado desde Shopify Western Brothers (match por código de barras): WB Fit, WB Silueta | Homologación G1522 06/10/2026: Precio de compra: «292,76» → «292.76» (Corrección aplicada) · WB País de origen: «MX» → «México» (Corrección aplicada) · WB País de origen: «Mexico» → «México» (Corrección aplicada) · Código de barras: «7506674602746» → «7506674600186» (Requiere revisión) · WB Descripcion: «Cinturon de hombre C47572-27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«849» (Conflicto entre duplicados) · Validador Shopify: WB: precio con IVA no termina en 9</t>
        </is>
      </c>
      <c r="AI64" s="156" t="inlineStr">
        <is>
          <t>No</t>
        </is>
      </c>
      <c r="AJ64" s="156" t="n"/>
      <c r="AK64" s="155" t="inlineStr">
        <is>
          <t>| Hoja a Revisar: fila 196009 (ID 117865, misma clave UPC) | Shopify WB: producto 10310436159673 / variante 50512589652153; Hoja3: fila 654 | Odoo: producto 30896 / plantilla 39651</t>
        </is>
      </c>
      <c r="AL64" s="58" t="inlineStr">
        <is>
          <t>292,76</t>
        </is>
      </c>
      <c r="AM64" s="58" t="n">
        <v>849</v>
      </c>
      <c r="AN64" s="155" t="inlineStr">
        <is>
          <t>Shopify Western Brothers; Odoo Universal Unique Brands</t>
        </is>
      </c>
      <c r="AO64" s="59" t="n"/>
      <c r="AP64" s="59" t="n">
        <v>2</v>
      </c>
      <c r="AQ64" s="59" t="n">
        <v>9</v>
      </c>
      <c r="AR64" s="155" t="inlineStr">
        <is>
          <t>Shopify Western Brothers › Western Brothers Outlet Lerma: 2; Odoo Universal Unique Brands › Bodega 25 › Bodega 25/General: 9</t>
        </is>
      </c>
    </row>
    <row r="65">
      <c r="A65" s="50" t="inlineStr">
        <is>
          <t>7506674600193</t>
        </is>
      </c>
      <c r="B65" s="51" t="inlineStr">
        <is>
          <t>117866</t>
        </is>
      </c>
      <c r="C65" s="156" t="inlineStr">
        <is>
          <t>Wrangler</t>
        </is>
      </c>
      <c r="D65" s="156" t="inlineStr">
        <is>
          <t>C47572-27</t>
        </is>
      </c>
      <c r="E65" s="156" t="inlineStr">
        <is>
          <t>C47572-27-36</t>
        </is>
      </c>
      <c r="F65" s="156" t="inlineStr">
        <is>
          <t>36</t>
        </is>
      </c>
      <c r="G65" s="156" t="inlineStr">
        <is>
          <t>36</t>
        </is>
      </c>
      <c r="H65" s="156" t="inlineStr">
        <is>
          <t>Wrangler</t>
        </is>
      </c>
      <c r="I65" s="156" t="inlineStr">
        <is>
          <t>Cinturón Wrangler Una Vista Casual para Hombre, Color Cafe</t>
        </is>
      </c>
      <c r="J65" s="156" t="inlineStr">
        <is>
          <t>Accesorios</t>
        </is>
      </c>
      <c r="K65" s="156" t="inlineStr">
        <is>
          <t>Cinturones</t>
        </is>
      </c>
      <c r="L65" s="156" t="inlineStr">
        <is>
          <t>Hombre</t>
        </is>
      </c>
      <c r="M65" s="156" t="inlineStr">
        <is>
          <t>Wrangler</t>
        </is>
      </c>
      <c r="N65" s="156" t="inlineStr">
        <is>
          <t>SS26</t>
        </is>
      </c>
      <c r="O65" s="156" t="inlineStr">
        <is>
          <t>Seasonal</t>
        </is>
      </c>
      <c r="P65" s="156" t="inlineStr">
        <is>
          <t>Cafe</t>
        </is>
      </c>
      <c r="Q65" s="156" t="n"/>
      <c r="R65" s="156" t="n"/>
      <c r="S65" s="156" t="inlineStr">
        <is>
          <t>100% piel de vacuno</t>
        </is>
      </c>
      <c r="T65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65" s="156" t="inlineStr">
        <is>
          <t>México</t>
        </is>
      </c>
      <c r="V65" s="156" t="inlineStr">
        <is>
          <t>PZS</t>
        </is>
      </c>
      <c r="W65" s="51" t="inlineStr">
        <is>
          <t>53102501</t>
        </is>
      </c>
      <c r="X65" s="156" t="n"/>
      <c r="Y65" s="54" t="n">
        <v>292.76</v>
      </c>
      <c r="Z65" s="54" t="n">
        <v>849</v>
      </c>
      <c r="AA65" s="55">
        <f>IF(AND(A65="", B65="", E65=""), "", IF(AB65="", "Válido", IF((LEN(AB65)-LEN(SUBSTITUTE(AB65,"; ","")))/2+1&gt;(LEN(AB65)-LEN(SUBSTITUTE(AB65,"[Aviso]","")))/7, "Con Incidencias", "Válido")))</f>
        <v/>
      </c>
      <c r="AB65" s="56">
        <f>IF(AND(A65="", B65="", E65=""), "", TEXTJOIN("; ", TRUE, IF(OR(TRIM(A65&amp;"")="", ISNUMBER(SEARCH("FALTA", A65))), "UPC faltante/inválido", ""), IF(AND(A65&lt;&gt;"", IFERROR(_xlfn.XMATCH(A65,$A$2:$A$1063,0,1)&lt;&gt;_xlfn.XMATCH(A65,$A$2:$A$1063,0,-1),FALSE)), "Código de barras duplicado", ""), IF(AND(E65&lt;&gt;"", COUNTIF($E$2:$E$1063, E65)&gt;1), "SKU duplicado", ""), IF(OR(J65="", J65=""), "[Aviso] División no capturada ()", IF(ISNA(MATCH(J65, Criterios!$A$123:$A$126, 0)), "División no válida", "")), IF(OR(K65="", K65=""), "[Aviso] Categoría no capturada ()", IF(ISNA(MATCH(K65, Criterios!$A$81:$A$120, 0)), "Categoría no válida", IF(AND(J65&lt;&gt;"", J65&lt;&gt;"", J65&lt;&gt;VLOOKUP(K65, Criterios!$A$81:$B$120, 2, FALSE)), "División no coincide con Categoría", ""))), IF(OR(L65="", L65=""), "[Aviso] Género no capturado ()", IF(ISNA(MATCH(L65, Criterios!$B$123:$B$127, 0)), "Género no válido", "")), IF(OR(N65="", N65=""), "[Aviso] Temporada no capturada ()", IF(ISNA(MATCH(N65, Criterios!$C$123:$C$128, 0)), "Temporada no válida", "")), IF(OR(O65="", O65=""), "[Aviso] Ciclo de vida no capturado ()", IF(ISNA(MATCH(O65, Criterios!$D$123:$D$124, 0)), "Ciclo de vida no válido", ""))))</f>
        <v/>
      </c>
      <c r="AC65" s="56" t="inlineStr">
        <is>
          <t>Homologación G1522: integra 1 registro(s) iguales por mismo WB SKU; códigos de barras alternos: 7506674602753</t>
        </is>
      </c>
      <c r="AD65" s="51" t="n">
        <v>2</v>
      </c>
      <c r="AE65" s="156" t="inlineStr">
        <is>
          <t>WB OUTLET LERMA (2)</t>
        </is>
      </c>
      <c r="AF65" s="51" t="n">
        <v>2</v>
      </c>
      <c r="AG65" s="156" t="inlineStr">
        <is>
          <t>Catálogo existente</t>
        </is>
      </c>
      <c r="AH65" s="156" t="inlineStr">
        <is>
          <t>Coincidencia por código de barras (ID NetSuite 117866) | ID alternativo de Hoja a Revisar 117866 (UPC coincidente); se conserva ID principal; Auditoría NetSuite 30/09/2026: Vinculado por código de barras al ID NetSuite 117866 (antes en Identificador interno: 'C47572-27-36'); 01/10/2026: mismo SKU registrado también en fila 67682 con código 7506674602753 (ID 30897, desde Hoja3); revisar cuál es el vigente | 01/10/2026: complementado desde Shopify Western Brothers (match por código de barras): WB Fit, WB Silueta | Homologación G1522 06/10/2026: Precio de compra: «292,76» → «292.76» (Corrección aplicada) · WB País de origen: «MX» → «México» (Corrección aplicada) · WB País de origen: «Mexico» → «México» (Corrección aplicada) · Código de barras: «7506674602753» → «7506674600193» (Requiere revisión) · WB Descripcion: «Cinturon de hombre C47572-27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«849» (Conflicto entre duplicados) · Validador Shopify: WB: precio con IVA no termina en 9</t>
        </is>
      </c>
      <c r="AI65" s="156" t="inlineStr">
        <is>
          <t>No</t>
        </is>
      </c>
      <c r="AJ65" s="156" t="n"/>
      <c r="AK65" s="155" t="inlineStr">
        <is>
          <t>| Hoja a Revisar: fila 196010 (ID 117866, misma clave UPC) | Shopify WB: producto 10310436159673 / variante 50512589684921; Hoja3: fila 655 | Odoo: producto 30897 / plantilla 39651</t>
        </is>
      </c>
      <c r="AL65" s="58" t="inlineStr">
        <is>
          <t>292,76</t>
        </is>
      </c>
      <c r="AM65" s="58" t="n">
        <v>849</v>
      </c>
      <c r="AN65" s="155" t="inlineStr">
        <is>
          <t>Shopify Western Brothers; Odoo Universal Unique Brands</t>
        </is>
      </c>
      <c r="AO65" s="59" t="n"/>
      <c r="AP65" s="59" t="n">
        <v>2</v>
      </c>
      <c r="AQ65" s="59" t="n">
        <v>9</v>
      </c>
      <c r="AR65" s="155" t="inlineStr">
        <is>
          <t>Shopify Western Brothers › Western Brothers Outlet Lerma: 2; Odoo Universal Unique Brands › Bodega 25 › Bodega 25/General: 9</t>
        </is>
      </c>
    </row>
    <row r="66">
      <c r="A66" s="50" t="inlineStr">
        <is>
          <t>7506674600209</t>
        </is>
      </c>
      <c r="B66" s="51" t="inlineStr">
        <is>
          <t>117867</t>
        </is>
      </c>
      <c r="C66" s="156" t="inlineStr">
        <is>
          <t>Wrangler</t>
        </is>
      </c>
      <c r="D66" s="156" t="inlineStr">
        <is>
          <t>C47572-27</t>
        </is>
      </c>
      <c r="E66" s="156" t="inlineStr">
        <is>
          <t>C47572-27-38</t>
        </is>
      </c>
      <c r="F66" s="156" t="inlineStr">
        <is>
          <t>38</t>
        </is>
      </c>
      <c r="G66" s="156" t="inlineStr">
        <is>
          <t>38</t>
        </is>
      </c>
      <c r="H66" s="156" t="inlineStr">
        <is>
          <t>Wrangler</t>
        </is>
      </c>
      <c r="I66" s="156" t="inlineStr">
        <is>
          <t>Cinturón Wrangler Una Vista Casual para Hombre, Color Cafe</t>
        </is>
      </c>
      <c r="J66" s="156" t="inlineStr">
        <is>
          <t>Accesorios</t>
        </is>
      </c>
      <c r="K66" s="156" t="inlineStr">
        <is>
          <t>Cinturones</t>
        </is>
      </c>
      <c r="L66" s="156" t="inlineStr">
        <is>
          <t>Hombre</t>
        </is>
      </c>
      <c r="M66" s="156" t="inlineStr">
        <is>
          <t>Wrangler</t>
        </is>
      </c>
      <c r="N66" s="156" t="inlineStr">
        <is>
          <t>SS26</t>
        </is>
      </c>
      <c r="O66" s="156" t="inlineStr">
        <is>
          <t>Seasonal</t>
        </is>
      </c>
      <c r="P66" s="156" t="inlineStr">
        <is>
          <t>Cafe</t>
        </is>
      </c>
      <c r="Q66" s="156" t="n"/>
      <c r="R66" s="156" t="n"/>
      <c r="S66" s="156" t="inlineStr">
        <is>
          <t>100% piel de vacuno</t>
        </is>
      </c>
      <c r="T66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66" s="156" t="inlineStr">
        <is>
          <t>México</t>
        </is>
      </c>
      <c r="V66" s="156" t="inlineStr">
        <is>
          <t>PZS</t>
        </is>
      </c>
      <c r="W66" s="51" t="inlineStr">
        <is>
          <t>53102501</t>
        </is>
      </c>
      <c r="X66" s="156" t="n"/>
      <c r="Y66" s="54" t="n">
        <v>292.76</v>
      </c>
      <c r="Z66" s="54" t="n">
        <v>849</v>
      </c>
      <c r="AA66" s="55">
        <f>IF(AND(A66="", B66="", E66=""), "", IF(AB66="", "Válido", IF((LEN(AB66)-LEN(SUBSTITUTE(AB66,"; ","")))/2+1&gt;(LEN(AB66)-LEN(SUBSTITUTE(AB66,"[Aviso]","")))/7, "Con Incidencias", "Válido")))</f>
        <v/>
      </c>
      <c r="AB66" s="56">
        <f>IF(AND(A66="", B66="", E66=""), "", TEXTJOIN("; ", TRUE, IF(OR(TRIM(A66&amp;"")="", ISNUMBER(SEARCH("FALTA", A66))), "UPC faltante/inválido", ""), IF(AND(A66&lt;&gt;"", IFERROR(_xlfn.XMATCH(A66,$A$2:$A$1063,0,1)&lt;&gt;_xlfn.XMATCH(A66,$A$2:$A$1063,0,-1),FALSE)), "Código de barras duplicado", ""), IF(AND(E66&lt;&gt;"", COUNTIF($E$2:$E$1063, E66)&gt;1), "SKU duplicado", ""), IF(OR(J66="", J66=""), "[Aviso] División no capturada ()", IF(ISNA(MATCH(J66, Criterios!$A$123:$A$126, 0)), "División no válida", "")), IF(OR(K66="", K66=""), "[Aviso] Categoría no capturada ()", IF(ISNA(MATCH(K66, Criterios!$A$81:$A$120, 0)), "Categoría no válida", IF(AND(J66&lt;&gt;"", J66&lt;&gt;"", J66&lt;&gt;VLOOKUP(K66, Criterios!$A$81:$B$120, 2, FALSE)), "División no coincide con Categoría", ""))), IF(OR(L66="", L66=""), "[Aviso] Género no capturado ()", IF(ISNA(MATCH(L66, Criterios!$B$123:$B$127, 0)), "Género no válido", "")), IF(OR(N66="", N66=""), "[Aviso] Temporada no capturada ()", IF(ISNA(MATCH(N66, Criterios!$C$123:$C$128, 0)), "Temporada no válida", "")), IF(OR(O66="", O66=""), "[Aviso] Ciclo de vida no capturado ()", IF(ISNA(MATCH(O66, Criterios!$D$123:$D$124, 0)), "Ciclo de vida no válido", ""))))</f>
        <v/>
      </c>
      <c r="AC66" s="56" t="inlineStr">
        <is>
          <t>Homologación G1522: integra 1 registro(s) iguales por mismo WB SKU; códigos de barras alternos: 7506674602760</t>
        </is>
      </c>
      <c r="AD66" s="51" t="n">
        <v>3</v>
      </c>
      <c r="AE66" s="156" t="inlineStr">
        <is>
          <t>WB OUTLET LERMA (3)</t>
        </is>
      </c>
      <c r="AF66" s="51" t="n">
        <v>3</v>
      </c>
      <c r="AG66" s="156" t="inlineStr">
        <is>
          <t>Catálogo existente</t>
        </is>
      </c>
      <c r="AH66" s="156" t="inlineStr">
        <is>
          <t>Coincidencia por código de barras (ID NetSuite 117867) | ID alternativo de Hoja a Revisar 117867 (UPC coincidente); se conserva ID principal; Auditoría NetSuite 30/09/2026: Vinculado por código de barras al ID NetSuite 117867 (antes en Identificador interno: 'C47572-27-38'); 01/10/2026: mismo SKU registrado también en fila 67683 con código 7506674602760 (ID 30898, desde Hoja3); revisar cuál es el vigente | 01/10/2026: complementado desde Shopify Western Brothers (match por código de barras): WB Fit, WB Silueta | Homologación G1522 06/10/2026: Precio de compra: «292,76» → «292.76» (Corrección aplicada) · WB País de origen: «MX» → «México» (Corrección aplicada) · WB País de origen: «Mexico» → «México» (Corrección aplicada) · Código de barras: «7506674602760» → «7506674600209» (Requiere revisión) · WB Descripcion: «Cinturon de hombre C47572-27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«849» (Conflicto entre duplicados) · Validador Shopify: WB: precio con IVA no termina en 9</t>
        </is>
      </c>
      <c r="AI66" s="156" t="inlineStr">
        <is>
          <t>No</t>
        </is>
      </c>
      <c r="AJ66" s="156" t="n"/>
      <c r="AK66" s="155" t="inlineStr">
        <is>
          <t>| Hoja a Revisar: fila 196011 (ID 117867, misma clave UPC) | Shopify WB: producto 10310436159673 / variante 50512589717689; Hoja3: fila 656 | Odoo: producto 30898 / plantilla 39651</t>
        </is>
      </c>
      <c r="AL66" s="58" t="inlineStr">
        <is>
          <t>292,76</t>
        </is>
      </c>
      <c r="AM66" s="58" t="n">
        <v>849</v>
      </c>
      <c r="AN66" s="155" t="inlineStr">
        <is>
          <t>Shopify Western Brothers; Odoo Universal Unique Brands</t>
        </is>
      </c>
      <c r="AO66" s="59" t="n"/>
      <c r="AP66" s="59" t="n">
        <v>3</v>
      </c>
      <c r="AQ66" s="59" t="n">
        <v>13</v>
      </c>
      <c r="AR66" s="155" t="inlineStr">
        <is>
          <t>Shopify Western Brothers › Western Brothers Outlet Lerma: 3; Odoo Universal Unique Brands › Bodega 25 › Bodega 25/General: 13</t>
        </is>
      </c>
    </row>
    <row r="67">
      <c r="A67" s="50" t="inlineStr">
        <is>
          <t>7506674600216</t>
        </is>
      </c>
      <c r="B67" s="51" t="inlineStr">
        <is>
          <t>117868</t>
        </is>
      </c>
      <c r="C67" s="156" t="inlineStr">
        <is>
          <t>Wrangler</t>
        </is>
      </c>
      <c r="D67" s="156" t="inlineStr">
        <is>
          <t>C47572-27</t>
        </is>
      </c>
      <c r="E67" s="156" t="inlineStr">
        <is>
          <t>C47572-27-40</t>
        </is>
      </c>
      <c r="F67" s="156" t="inlineStr">
        <is>
          <t>40</t>
        </is>
      </c>
      <c r="G67" s="156" t="inlineStr">
        <is>
          <t>40</t>
        </is>
      </c>
      <c r="H67" s="156" t="inlineStr">
        <is>
          <t>Wrangler</t>
        </is>
      </c>
      <c r="I67" s="156" t="inlineStr">
        <is>
          <t>Cinturón Wrangler Una Vista Casual para Hombre, Color Cafe</t>
        </is>
      </c>
      <c r="J67" s="156" t="inlineStr">
        <is>
          <t>Accesorios</t>
        </is>
      </c>
      <c r="K67" s="156" t="inlineStr">
        <is>
          <t>Cinturones</t>
        </is>
      </c>
      <c r="L67" s="156" t="inlineStr">
        <is>
          <t>Hombre</t>
        </is>
      </c>
      <c r="M67" s="156" t="inlineStr">
        <is>
          <t>Wrangler</t>
        </is>
      </c>
      <c r="N67" s="156" t="inlineStr">
        <is>
          <t>SS26</t>
        </is>
      </c>
      <c r="O67" s="156" t="inlineStr">
        <is>
          <t>Seasonal</t>
        </is>
      </c>
      <c r="P67" s="156" t="inlineStr">
        <is>
          <t>Cafe</t>
        </is>
      </c>
      <c r="Q67" s="156" t="n"/>
      <c r="R67" s="156" t="n"/>
      <c r="S67" s="156" t="inlineStr">
        <is>
          <t>100% piel de vacuno</t>
        </is>
      </c>
      <c r="T67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67" s="156" t="inlineStr">
        <is>
          <t>México</t>
        </is>
      </c>
      <c r="V67" s="156" t="inlineStr">
        <is>
          <t>PZS</t>
        </is>
      </c>
      <c r="W67" s="51" t="inlineStr">
        <is>
          <t>53102501</t>
        </is>
      </c>
      <c r="X67" s="156" t="n"/>
      <c r="Y67" s="54" t="n">
        <v>292.76</v>
      </c>
      <c r="Z67" s="54" t="n">
        <v>849</v>
      </c>
      <c r="AA67" s="55">
        <f>IF(AND(A67="", B67="", E67=""), "", IF(AB67="", "Válido", IF((LEN(AB67)-LEN(SUBSTITUTE(AB67,"; ","")))/2+1&gt;(LEN(AB67)-LEN(SUBSTITUTE(AB67,"[Aviso]","")))/7, "Con Incidencias", "Válido")))</f>
        <v/>
      </c>
      <c r="AB67" s="56">
        <f>IF(AND(A67="", B67="", E67=""), "", TEXTJOIN("; ", TRUE, IF(OR(TRIM(A67&amp;"")="", ISNUMBER(SEARCH("FALTA", A67))), "UPC faltante/inválido", ""), IF(AND(A67&lt;&gt;"", IFERROR(_xlfn.XMATCH(A67,$A$2:$A$1063,0,1)&lt;&gt;_xlfn.XMATCH(A67,$A$2:$A$1063,0,-1),FALSE)), "Código de barras duplicado", ""), IF(AND(E67&lt;&gt;"", COUNTIF($E$2:$E$1063, E67)&gt;1), "SKU duplicado", ""), IF(OR(J67="", J67=""), "[Aviso] División no capturada ()", IF(ISNA(MATCH(J67, Criterios!$A$123:$A$126, 0)), "División no válida", "")), IF(OR(K67="", K67=""), "[Aviso] Categoría no capturada ()", IF(ISNA(MATCH(K67, Criterios!$A$81:$A$120, 0)), "Categoría no válida", IF(AND(J67&lt;&gt;"", J67&lt;&gt;"", J67&lt;&gt;VLOOKUP(K67, Criterios!$A$81:$B$120, 2, FALSE)), "División no coincide con Categoría", ""))), IF(OR(L67="", L67=""), "[Aviso] Género no capturado ()", IF(ISNA(MATCH(L67, Criterios!$B$123:$B$127, 0)), "Género no válido", "")), IF(OR(N67="", N67=""), "[Aviso] Temporada no capturada ()", IF(ISNA(MATCH(N67, Criterios!$C$123:$C$128, 0)), "Temporada no válida", "")), IF(OR(O67="", O67=""), "[Aviso] Ciclo de vida no capturado ()", IF(ISNA(MATCH(O67, Criterios!$D$123:$D$124, 0)), "Ciclo de vida no válido", ""))))</f>
        <v/>
      </c>
      <c r="AC67" s="56" t="inlineStr">
        <is>
          <t>Homologación G1522: integra 1 registro(s) iguales por mismo WB SKU; códigos de barras alternos: 7506674602777</t>
        </is>
      </c>
      <c r="AD67" s="51" t="n">
        <v>2</v>
      </c>
      <c r="AE67" s="156" t="inlineStr">
        <is>
          <t>WB OUTLET LERMA (2)</t>
        </is>
      </c>
      <c r="AF67" s="51" t="n">
        <v>2</v>
      </c>
      <c r="AG67" s="156" t="inlineStr">
        <is>
          <t>Catálogo existente</t>
        </is>
      </c>
      <c r="AH67" s="156" t="inlineStr">
        <is>
          <t>Coincidencia por código de barras (ID NetSuite 117868) | ID alternativo de Hoja a Revisar 117868 (UPC coincidente); se conserva ID principal; Auditoría NetSuite 30/09/2026: Vinculado por código de barras al ID NetSuite 117868 (antes en Identificador interno: 'C47572-27-40'); 01/10/2026: mismo SKU registrado también en fila 67684 con código 7506674602777 (ID 30899, desde Hoja3); revisar cuál es el vigente | 01/10/2026: complementado desde Shopify Western Brothers (match por código de barras): WB Fit, WB Silueta | Homologación G1522 06/10/2026: Precio de compra: «292,76» → «292.76» (Corrección aplicada) · WB País de origen: «MX» → «México» (Corrección aplicada) · WB País de origen: «Mexico» → «México» (Corrección aplicada) · Código de barras: «7506674602777» → «7506674600216» (Requiere revisión) · WB Descripcion: «Cinturon de hombre C47572-27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«849» (Conflicto entre duplicados) · Validador Shopify: WB: precio con IVA no termina en 9</t>
        </is>
      </c>
      <c r="AI67" s="156" t="inlineStr">
        <is>
          <t>No</t>
        </is>
      </c>
      <c r="AJ67" s="156" t="n"/>
      <c r="AK67" s="155" t="inlineStr">
        <is>
          <t>| Hoja a Revisar: fila 196012 (ID 117868, misma clave UPC) | Shopify WB: producto 10310436159673 / variante 50512589750457; Hoja3: fila 657 | Odoo: producto 30899 / plantilla 39651</t>
        </is>
      </c>
      <c r="AL67" s="58" t="inlineStr">
        <is>
          <t>292,76</t>
        </is>
      </c>
      <c r="AM67" s="58" t="n">
        <v>849</v>
      </c>
      <c r="AN67" s="155" t="inlineStr">
        <is>
          <t>Shopify Western Brothers; Odoo Universal Unique Brands</t>
        </is>
      </c>
      <c r="AO67" s="59" t="n"/>
      <c r="AP67" s="59" t="n">
        <v>2</v>
      </c>
      <c r="AQ67" s="59" t="n">
        <v>19</v>
      </c>
      <c r="AR67" s="155" t="inlineStr">
        <is>
          <t>Shopify Western Brothers › Western Brothers Outlet Lerma: 2; Odoo Universal Unique Brands › Bodega 25 › Bodega 25/General: 19</t>
        </is>
      </c>
    </row>
    <row r="68">
      <c r="A68" s="50" t="inlineStr">
        <is>
          <t>7506674600223</t>
        </is>
      </c>
      <c r="B68" s="51" t="inlineStr">
        <is>
          <t>117869</t>
        </is>
      </c>
      <c r="C68" s="156" t="inlineStr">
        <is>
          <t>Wrangler</t>
        </is>
      </c>
      <c r="D68" s="156" t="inlineStr">
        <is>
          <t>C47572-27</t>
        </is>
      </c>
      <c r="E68" s="156" t="inlineStr">
        <is>
          <t>C47572-27-42</t>
        </is>
      </c>
      <c r="F68" s="156" t="inlineStr">
        <is>
          <t>42</t>
        </is>
      </c>
      <c r="G68" s="156" t="inlineStr">
        <is>
          <t>42</t>
        </is>
      </c>
      <c r="H68" s="156" t="inlineStr">
        <is>
          <t>Wrangler</t>
        </is>
      </c>
      <c r="I68" s="156" t="inlineStr">
        <is>
          <t>Cinturón Wrangler Una Vista Casual para Hombre, Color Cafe</t>
        </is>
      </c>
      <c r="J68" s="156" t="inlineStr">
        <is>
          <t>Accesorios</t>
        </is>
      </c>
      <c r="K68" s="156" t="inlineStr">
        <is>
          <t>Cinturones</t>
        </is>
      </c>
      <c r="L68" s="156" t="inlineStr">
        <is>
          <t>Hombre</t>
        </is>
      </c>
      <c r="M68" s="156" t="inlineStr">
        <is>
          <t>Wrangler</t>
        </is>
      </c>
      <c r="N68" s="156" t="inlineStr">
        <is>
          <t>SS26</t>
        </is>
      </c>
      <c r="O68" s="156" t="inlineStr">
        <is>
          <t>Seasonal</t>
        </is>
      </c>
      <c r="P68" s="156" t="inlineStr">
        <is>
          <t>Cafe</t>
        </is>
      </c>
      <c r="Q68" s="156" t="n"/>
      <c r="R68" s="156" t="n"/>
      <c r="S68" s="156" t="inlineStr">
        <is>
          <t>100% piel de vacuno</t>
        </is>
      </c>
      <c r="T68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68" s="156" t="inlineStr">
        <is>
          <t>México</t>
        </is>
      </c>
      <c r="V68" s="156" t="inlineStr">
        <is>
          <t>PZS</t>
        </is>
      </c>
      <c r="W68" s="51" t="inlineStr">
        <is>
          <t>53102501</t>
        </is>
      </c>
      <c r="X68" s="156" t="n"/>
      <c r="Y68" s="54" t="n">
        <v>292.76</v>
      </c>
      <c r="Z68" s="54" t="n">
        <v>849</v>
      </c>
      <c r="AA68" s="55">
        <f>IF(AND(A68="", B68="", E68=""), "", IF(AB68="", "Válido", IF((LEN(AB68)-LEN(SUBSTITUTE(AB68,"; ","")))/2+1&gt;(LEN(AB68)-LEN(SUBSTITUTE(AB68,"[Aviso]","")))/7, "Con Incidencias", "Válido")))</f>
        <v/>
      </c>
      <c r="AB68" s="56">
        <f>IF(AND(A68="", B68="", E68=""), "", TEXTJOIN("; ", TRUE, IF(OR(TRIM(A68&amp;"")="", ISNUMBER(SEARCH("FALTA", A68))), "UPC faltante/inválido", ""), IF(AND(A68&lt;&gt;"", IFERROR(_xlfn.XMATCH(A68,$A$2:$A$1063,0,1)&lt;&gt;_xlfn.XMATCH(A68,$A$2:$A$1063,0,-1),FALSE)), "Código de barras duplicado", ""), IF(AND(E68&lt;&gt;"", COUNTIF($E$2:$E$1063, E68)&gt;1), "SKU duplicado", ""), IF(OR(J68="", J68=""), "[Aviso] División no capturada ()", IF(ISNA(MATCH(J68, Criterios!$A$123:$A$126, 0)), "División no válida", "")), IF(OR(K68="", K68=""), "[Aviso] Categoría no capturada ()", IF(ISNA(MATCH(K68, Criterios!$A$81:$A$120, 0)), "Categoría no válida", IF(AND(J68&lt;&gt;"", J68&lt;&gt;"", J68&lt;&gt;VLOOKUP(K68, Criterios!$A$81:$B$120, 2, FALSE)), "División no coincide con Categoría", ""))), IF(OR(L68="", L68=""), "[Aviso] Género no capturado ()", IF(ISNA(MATCH(L68, Criterios!$B$123:$B$127, 0)), "Género no válido", "")), IF(OR(N68="", N68=""), "[Aviso] Temporada no capturada ()", IF(ISNA(MATCH(N68, Criterios!$C$123:$C$128, 0)), "Temporada no válida", "")), IF(OR(O68="", O68=""), "[Aviso] Ciclo de vida no capturado ()", IF(ISNA(MATCH(O68, Criterios!$D$123:$D$124, 0)), "Ciclo de vida no válido", ""))))</f>
        <v/>
      </c>
      <c r="AC68" s="56" t="inlineStr">
        <is>
          <t>Homologación G1522: integra 1 registro(s) iguales por mismo WB SKU; códigos de barras alternos: 7506674602784</t>
        </is>
      </c>
      <c r="AD68" s="51" t="n">
        <v>2</v>
      </c>
      <c r="AE68" s="156" t="inlineStr">
        <is>
          <t>WB OUTLET LERMA (2)</t>
        </is>
      </c>
      <c r="AF68" s="51" t="n">
        <v>2</v>
      </c>
      <c r="AG68" s="156" t="inlineStr">
        <is>
          <t>Catálogo existente</t>
        </is>
      </c>
      <c r="AH68" s="156" t="inlineStr">
        <is>
          <t>Coincidencia por código de barras (ID NetSuite 117869) | ID alternativo de Hoja a Revisar 117869 (UPC coincidente); se conserva ID principal; Auditoría NetSuite 30/09/2026: Vinculado por código de barras al ID NetSuite 117869 (antes en Identificador interno: 'C47572-27-42'); 01/10/2026: mismo SKU registrado también en fila 67685 con código 7506674602784 (ID 30900, desde Hoja3); revisar cuál es el vigente | 01/10/2026: complementado desde Shopify Western Brothers (match por código de barras): WB Fit, WB Silueta | Homologación G1522 06/10/2026: Precio de compra: «292,76» → «292.76» (Corrección aplicada) · WB País de origen: «MX» → «México» (Corrección aplicada) · WB País de origen: «Mexico» → «México» (Corrección aplicada) · Código de barras: «7506674602784» → «7506674600223» (Requiere revisión) · WB Descripcion: «Cinturon de hombre C47572-27 Café» → «Cinturón Wrangler Una Vista Casual para Hombre, Color Cafe» (Conflicto entre duplicados) · WB Temporada: «FW26» → «SS26» (Conflicto entre duplicados) · WB Composición: «100% PIEL VACUNO» → «100% piel de vacuno» (Conflicto entre duplicados) · WB Descripción larga: «Cinturón para Caballero de Piel» →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(Conflicto entre duplicados) · Precio de venta: «430.603448» → «849» (Conflicto entre duplicados) · Validador Shopify: WB: precio con IVA no termina en 9</t>
        </is>
      </c>
      <c r="AI68" s="156" t="inlineStr">
        <is>
          <t>No</t>
        </is>
      </c>
      <c r="AJ68" s="156" t="n"/>
      <c r="AK68" s="155" t="inlineStr">
        <is>
          <t>| Hoja a Revisar: fila 196013 (ID 117869, misma clave UPC) | Shopify WB: producto 10310436159673 / variante 50512589783225; Hoja3: fila 658 | Odoo: producto 30900 / plantilla 39651</t>
        </is>
      </c>
      <c r="AL68" s="58" t="inlineStr">
        <is>
          <t>292,76</t>
        </is>
      </c>
      <c r="AM68" s="58" t="n">
        <v>849</v>
      </c>
      <c r="AN68" s="155" t="inlineStr">
        <is>
          <t>Shopify Western Brothers; Odoo Universal Unique Brands</t>
        </is>
      </c>
      <c r="AO68" s="59" t="n"/>
      <c r="AP68" s="59" t="n">
        <v>2</v>
      </c>
      <c r="AQ68" s="59" t="n">
        <v>17</v>
      </c>
      <c r="AR68" s="155" t="inlineStr">
        <is>
          <t>Shopify Western Brothers › Western Brothers Outlet Lerma: 2; Odoo Universal Unique Brands › Bodega 25 › Bodega 25/General: 17</t>
        </is>
      </c>
    </row>
    <row r="69">
      <c r="A69" s="50" t="inlineStr">
        <is>
          <t>7506674600230</t>
        </is>
      </c>
      <c r="B69" s="51" t="inlineStr">
        <is>
          <t>117870</t>
        </is>
      </c>
      <c r="C69" s="156" t="inlineStr">
        <is>
          <t>Wrangler</t>
        </is>
      </c>
      <c r="D69" s="156" t="inlineStr">
        <is>
          <t>C47572-27</t>
        </is>
      </c>
      <c r="E69" s="156" t="inlineStr">
        <is>
          <t>C47572-27-44</t>
        </is>
      </c>
      <c r="F69" s="156" t="inlineStr">
        <is>
          <t>44</t>
        </is>
      </c>
      <c r="G69" s="156" t="inlineStr">
        <is>
          <t>44</t>
        </is>
      </c>
      <c r="H69" s="156" t="inlineStr">
        <is>
          <t>Wrangler</t>
        </is>
      </c>
      <c r="I69" s="156" t="inlineStr">
        <is>
          <t>Cinturón Wrangler Una Vista Casual para Hombre, Color Cafe</t>
        </is>
      </c>
      <c r="J69" s="156" t="inlineStr">
        <is>
          <t>Accesorios</t>
        </is>
      </c>
      <c r="K69" s="156" t="inlineStr">
        <is>
          <t>Cinturones</t>
        </is>
      </c>
      <c r="L69" s="156" t="inlineStr">
        <is>
          <t>Unisex</t>
        </is>
      </c>
      <c r="M69" s="156" t="inlineStr">
        <is>
          <t>Stetson</t>
        </is>
      </c>
      <c r="N69" s="156" t="inlineStr">
        <is>
          <t>SS26</t>
        </is>
      </c>
      <c r="O69" s="156" t="inlineStr">
        <is>
          <t>Seasonal</t>
        </is>
      </c>
      <c r="P69" s="156" t="inlineStr">
        <is>
          <t>Gris</t>
        </is>
      </c>
      <c r="Q69" s="156" t="n"/>
      <c r="R69" s="156" t="n"/>
      <c r="S69" s="156" t="inlineStr">
        <is>
          <t>100% piel de vacuno</t>
        </is>
      </c>
      <c r="T69" s="156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U69" s="156" t="inlineStr">
        <is>
          <t>México</t>
        </is>
      </c>
      <c r="V69" s="156" t="inlineStr">
        <is>
          <t>PZS</t>
        </is>
      </c>
      <c r="W69" s="51" t="inlineStr">
        <is>
          <t>53102501</t>
        </is>
      </c>
      <c r="X69" s="156" t="n"/>
      <c r="Y69" s="54" t="n">
        <v>292.76</v>
      </c>
      <c r="Z69" s="54" t="n">
        <v>849</v>
      </c>
      <c r="AA69" s="55">
        <f>IF(AND(A69="", B69="", E69=""), "", IF(AB69="", "Válido", IF((LEN(AB69)-LEN(SUBSTITUTE(AB69,"; ","")))/2+1&gt;(LEN(AB69)-LEN(SUBSTITUTE(AB69,"[Aviso]","")))/7, "Con Incidencias", "Válido")))</f>
        <v/>
      </c>
      <c r="AB69" s="56">
        <f>IF(AND(A69="", B69="", E69=""), "", TEXTJOIN("; ", TRUE, IF(OR(TRIM(A69&amp;"")="", ISNUMBER(SEARCH("FALTA", A69))), "UPC faltante/inválido", ""), IF(AND(A69&lt;&gt;"", IFERROR(_xlfn.XMATCH(A69,$A$2:$A$1063,0,1)&lt;&gt;_xlfn.XMATCH(A69,$A$2:$A$1063,0,-1),FALSE)), "Código de barras duplicado", ""), IF(AND(E69&lt;&gt;"", COUNTIF($E$2:$E$1063, E69)&gt;1), "SKU duplicado", ""), IF(OR(J69="", J69=""), "[Aviso] División no capturada ()", IF(ISNA(MATCH(J69, Criterios!$A$123:$A$126, 0)), "División no válida", "")), IF(OR(K69="", K69=""), "[Aviso] Categoría no capturada ()", IF(ISNA(MATCH(K69, Criterios!$A$81:$A$120, 0)), "Categoría no válida", IF(AND(J69&lt;&gt;"", J69&lt;&gt;"", J69&lt;&gt;VLOOKUP(K69, Criterios!$A$81:$B$120, 2, FALSE)), "División no coincide con Categoría", ""))), IF(OR(L69="", L69=""), "[Aviso] Género no capturado ()", IF(ISNA(MATCH(L69, Criterios!$B$123:$B$127, 0)), "Género no válido", "")), IF(OR(N69="", N69=""), "[Aviso] Temporada no capturada ()", IF(ISNA(MATCH(N69, Criterios!$C$123:$C$128, 0)), "Temporada no válida", "")), IF(OR(O69="", O69=""), "[Aviso] Ciclo de vida no capturado ()", IF(ISNA(MATCH(O69, Criterios!$D$123:$D$124, 0)), "Ciclo de vida no válido", ""))))</f>
        <v/>
      </c>
      <c r="AC69" s="56" t="n"/>
      <c r="AD69" s="51" t="n">
        <v>1</v>
      </c>
      <c r="AE69" s="156" t="inlineStr">
        <is>
          <t>WB OUTLET LERMA (1)</t>
        </is>
      </c>
      <c r="AF69" s="51" t="n">
        <v>1</v>
      </c>
      <c r="AG69" s="156" t="inlineStr">
        <is>
          <t>Catálogo existente</t>
        </is>
      </c>
      <c r="AH69" s="156" t="inlineStr">
        <is>
          <t>Coincidencia por código de barras (ID NetSuite 117870) | ID alternativo de Hoja a Revisar 117870 (UPC coincidente); se conserva ID principal; Auditoría NetSuite 30/09/2026: Vinculado por código de barras al ID NetSuite 117870 (antes en Identificador interno: 'C47572-27-44'); 01/10/2026: mismo SKU registrado también en fila 67686 con código 7506674602791 (ID 30901, desde Hoja3); revisar cuál es el vigente | 01/10/2026: complementado desde Shopify Western Brothers (match por código de barras): WB Fit, WB Silueta | 01/10/2026: Shopify Western Brothers trae Género «Hombre», Color «Cafe» — se conservó el valor de Productos | Homologación G1522 06/10/2026: Precio de compra: «292,76» → «292.76» (Corrección aplicada) · WB País de origen: «MX» → «México» (Corrección aplicada) · Validación G1522: WB SKU duplicado · Validador NetSuite / Odoo: V4: SKU repetido · Validador Shopify: V4: SKU repetido; WB: precio con IVA no termina en 9</t>
        </is>
      </c>
      <c r="AI69" s="156" t="inlineStr">
        <is>
          <t>No</t>
        </is>
      </c>
      <c r="AJ69" s="156" t="n"/>
      <c r="AK69" s="155" t="inlineStr">
        <is>
          <t>| Hoja a Revisar: fila 196014 (ID 117870, misma clave UPC) | Shopify WB: producto 10310436159673 / variante 50512589815993</t>
        </is>
      </c>
      <c r="AL69" s="58" t="inlineStr">
        <is>
          <t>292,76</t>
        </is>
      </c>
      <c r="AM69" s="58" t="n">
        <v>849</v>
      </c>
      <c r="AN69" s="155" t="inlineStr">
        <is>
          <t>Shopify Western Brothers</t>
        </is>
      </c>
      <c r="AO69" s="59" t="n"/>
      <c r="AP69" s="59" t="n">
        <v>1</v>
      </c>
      <c r="AQ69" s="59" t="n"/>
      <c r="AR69" s="155" t="inlineStr">
        <is>
          <t>Shopify Western Brothers › Western Brothers Outlet Lerma: 1</t>
        </is>
      </c>
    </row>
    <row r="70">
      <c r="A70" s="50" t="inlineStr">
        <is>
          <t>1261108510004</t>
        </is>
      </c>
      <c r="B70" s="51" t="inlineStr">
        <is>
          <t>117824</t>
        </is>
      </c>
      <c r="C70" s="156" t="inlineStr">
        <is>
          <t>Wrangler</t>
        </is>
      </c>
      <c r="D70" s="156" t="inlineStr">
        <is>
          <t>W-IR-U-001-UNT</t>
        </is>
      </c>
      <c r="E70" s="156" t="inlineStr">
        <is>
          <t>1261-1085-10004</t>
        </is>
      </c>
      <c r="F70" s="156" t="inlineStr">
        <is>
          <t>Talla única</t>
        </is>
      </c>
      <c r="G70" s="156" t="inlineStr">
        <is>
          <t>One Size</t>
        </is>
      </c>
      <c r="H70" s="156" t="inlineStr">
        <is>
          <t>Wrangler</t>
        </is>
      </c>
      <c r="I70" s="156" t="inlineStr">
        <is>
          <t>Gorra IRON RODEO UNTAMED</t>
        </is>
      </c>
      <c r="J70" s="156" t="inlineStr">
        <is>
          <t>Accesorios</t>
        </is>
      </c>
      <c r="K70" s="156" t="inlineStr">
        <is>
          <t>Gorras</t>
        </is>
      </c>
      <c r="L70" s="156" t="inlineStr">
        <is>
          <t>Unisex</t>
        </is>
      </c>
      <c r="M70" s="156" t="inlineStr">
        <is>
          <t>Wrangler</t>
        </is>
      </c>
      <c r="N70" s="156" t="inlineStr">
        <is>
          <t>SS26</t>
        </is>
      </c>
      <c r="O70" s="156" t="inlineStr">
        <is>
          <t>Seasonal</t>
        </is>
      </c>
      <c r="P70" s="156" t="inlineStr">
        <is>
          <t>Azul</t>
        </is>
      </c>
      <c r="Q70" s="156" t="n"/>
      <c r="R70" s="156" t="n"/>
      <c r="S70" s="156" t="inlineStr">
        <is>
          <t>Cuerpo: 100% Algodón / Malla: 100% Poliéster</t>
        </is>
      </c>
      <c r="T70" s="156" t="inlineStr">
        <is>
          <t>Lleva el auténtico estilo western con la Gorra Wrangler de la línea IRON RODEO UNTAMED. Diseñada en una clásica silueta de 6 paneles, esta pieza en color Azul está confeccionada con cuerpo: 100% algodón / malla: 100% poliéster para ofrecerte máxima comodidad, transpirabilidad y durabilidad. Ideal para complementar tu look diario y destacar con la calidad inconfundible de Wrangler.</t>
        </is>
      </c>
      <c r="U70" s="156" t="inlineStr">
        <is>
          <t>China</t>
        </is>
      </c>
      <c r="V70" s="156" t="inlineStr">
        <is>
          <t>PZS</t>
        </is>
      </c>
      <c r="W70" s="51" t="inlineStr">
        <is>
          <t>53102500</t>
        </is>
      </c>
      <c r="X70" s="156" t="inlineStr">
        <is>
          <t>https://m-universal-unique-brands.odoo.com/web/image/product.product/30077/image_1920</t>
        </is>
      </c>
      <c r="Y70" s="54" t="n">
        <v>5.5</v>
      </c>
      <c r="Z70" s="54" t="n">
        <v>699</v>
      </c>
      <c r="AA70" s="55">
        <f>IF(AND(A70="", B70="", E70=""), "", IF(AB70="", "Válido", IF((LEN(AB70)-LEN(SUBSTITUTE(AB70,"; ","")))/2+1&gt;(LEN(AB70)-LEN(SUBSTITUTE(AB70,"[Aviso]","")))/7, "Con Incidencias", "Válido")))</f>
        <v/>
      </c>
      <c r="AB70" s="56">
        <f>IF(AND(A70="", B70="", E70=""), "", TEXTJOIN("; ", TRUE, IF(OR(TRIM(A70&amp;"")="", ISNUMBER(SEARCH("FALTA", A70))), "UPC faltante/inválido", ""), IF(AND(A70&lt;&gt;"", IFERROR(_xlfn.XMATCH(A70,$A$2:$A$1063,0,1)&lt;&gt;_xlfn.XMATCH(A70,$A$2:$A$1063,0,-1),FALSE)), "Código de barras duplicado", ""), IF(AND(E70&lt;&gt;"", COUNTIF($E$2:$E$1063, E70)&gt;1), "SKU duplicado", ""), IF(OR(J70="", J70=""), "[Aviso] División no capturada ()", IF(ISNA(MATCH(J70, Criterios!$A$123:$A$126, 0)), "División no válida", "")), IF(OR(K70="", K70=""), "[Aviso] Categoría no capturada ()", IF(ISNA(MATCH(K70, Criterios!$A$81:$A$120, 0)), "Categoría no válida", IF(AND(J70&lt;&gt;"", J70&lt;&gt;"", J70&lt;&gt;VLOOKUP(K70, Criterios!$A$81:$B$120, 2, FALSE)), "División no coincide con Categoría", ""))), IF(OR(L70="", L70=""), "[Aviso] Género no capturado ()", IF(ISNA(MATCH(L70, Criterios!$B$123:$B$127, 0)), "Género no válido", "")), IF(OR(N70="", N70=""), "[Aviso] Temporada no capturada ()", IF(ISNA(MATCH(N70, Criterios!$C$123:$C$128, 0)), "Temporada no válida", "")), IF(OR(O70="", O70=""), "[Aviso] Ciclo de vida no capturado ()", IF(ISNA(MATCH(O70, Criterios!$D$123:$D$124, 0)), "Ciclo de vida no válido", ""))))</f>
        <v/>
      </c>
      <c r="AC70" s="56" t="n"/>
      <c r="AD70" s="51" t="n">
        <v>-1</v>
      </c>
      <c r="AE70" s="156" t="n"/>
      <c r="AF70" s="51" t="n">
        <v>0</v>
      </c>
      <c r="AG70" s="156" t="inlineStr">
        <is>
          <t>Catálogo existente</t>
        </is>
      </c>
      <c r="AH70" s="156" t="inlineStr">
        <is>
          <t>Coincidencia por código de barras (ID NetSuite 117824); Stock negativo en sistema: revisar en conteo | ID alternativo de Hoja a Revisar 117824 (UPC coincidente); se conserva ID principal; Auditoría NetSuite 30/09/2026: llenado desde NetSuite [Z]; Vinculado por código de barras al ID NetSuite 117824 (antes en Identificador interno: 'W-IR-U-001-UNT-OS') | 01/10/2026: complementado desde Shopify Western Brothers (match por código de barras): WB Fit, WB Silueta (antes «6 Paneles», no válido en Criterios) | 01/10/2026: complementado desde Odoo Universal Unique Brands (match por código de barras): Enlace de imagen | Homologación G1522 06/10/2026: Precio de compra: «5,5» → «5.5» (Corrección aplicada) · Validación G1522: Dígito de control del código de barras inválido; [Aviso] Precio de compra posiblemente en USD · Validador Shopify: WB: precio con IVA no termina en 9</t>
        </is>
      </c>
      <c r="AI70" s="156" t="inlineStr">
        <is>
          <t>Sí</t>
        </is>
      </c>
      <c r="AJ70" s="156" t="inlineStr">
        <is>
          <t>WB OUTLET LERMA (-1)</t>
        </is>
      </c>
      <c r="AK70" s="155" t="inlineStr">
        <is>
          <t>| Hoja a Revisar: fila 917476 (ID 117824, misma clave UPC); G1522_Extraccion_Articulos_NetSuite_2026-09-30.xlsx: fila 64065 [Z] | Shopify WB: producto 10310434324665 / variante 50512587555001 | Odoo: producto 30077 / plantilla 38833</t>
        </is>
      </c>
      <c r="AL70" s="58" t="inlineStr">
        <is>
          <t>5,5</t>
        </is>
      </c>
      <c r="AM70" s="58" t="n"/>
      <c r="AN70" s="155" t="inlineStr">
        <is>
          <t>Shopify Western Brothers | Odoo Universal Unique Brands</t>
        </is>
      </c>
      <c r="AO70" s="59" t="n"/>
      <c r="AP70" s="59" t="n">
        <v>8</v>
      </c>
      <c r="AQ70" s="59" t="n">
        <v>146</v>
      </c>
      <c r="AR70" s="155" t="inlineStr">
        <is>
          <t>Shopify Western Brothers › Western Brothers Outlet Lerma: 8 | Odoo Universal Unique Brands › Bodega 25 › Bodega 25/General: 146</t>
        </is>
      </c>
    </row>
    <row r="71">
      <c r="A71" s="50" t="inlineStr">
        <is>
          <t>1261108510005</t>
        </is>
      </c>
      <c r="B71" s="51" t="inlineStr">
        <is>
          <t>117825</t>
        </is>
      </c>
      <c r="C71" s="156" t="inlineStr">
        <is>
          <t>Wrangler</t>
        </is>
      </c>
      <c r="D71" s="156" t="inlineStr">
        <is>
          <t>W-IR-U-002-UNT</t>
        </is>
      </c>
      <c r="E71" s="156" t="inlineStr">
        <is>
          <t>1261-1085-10005</t>
        </is>
      </c>
      <c r="F71" s="156" t="inlineStr">
        <is>
          <t>Talla única</t>
        </is>
      </c>
      <c r="G71" s="156" t="inlineStr">
        <is>
          <t>One Size</t>
        </is>
      </c>
      <c r="H71" s="156" t="inlineStr">
        <is>
          <t>Wrangler</t>
        </is>
      </c>
      <c r="I71" s="156" t="inlineStr">
        <is>
          <t>Gorra IRON RODEO UNTAMED</t>
        </is>
      </c>
      <c r="J71" s="156" t="inlineStr">
        <is>
          <t>Accesorios</t>
        </is>
      </c>
      <c r="K71" s="156" t="inlineStr">
        <is>
          <t>Gorras</t>
        </is>
      </c>
      <c r="L71" s="156" t="inlineStr">
        <is>
          <t>Unisex</t>
        </is>
      </c>
      <c r="M71" s="156" t="inlineStr">
        <is>
          <t>Wrangler</t>
        </is>
      </c>
      <c r="N71" s="156" t="inlineStr">
        <is>
          <t>SS26</t>
        </is>
      </c>
      <c r="O71" s="156" t="inlineStr">
        <is>
          <t>Seasonal</t>
        </is>
      </c>
      <c r="P71" s="156" t="inlineStr">
        <is>
          <t>Cafe</t>
        </is>
      </c>
      <c r="Q71" s="156" t="n"/>
      <c r="R71" s="156" t="n"/>
      <c r="S71" s="156" t="inlineStr">
        <is>
          <t>Cuerpo: 100% Algodón / Malla: 100% Poliéster</t>
        </is>
      </c>
      <c r="T71" s="156" t="inlineStr">
        <is>
          <t>Lleva el auténtico estilo western con la Gorra Wrangler de la línea IRON RODEO UNTAMED. Diseñada en una clásica silueta de 6 paneles, esta pieza en color cafe está confeccionada con cuerpo: 100% algodón / malla: 100% poliéster para ofrecerte máxima comodidad, transpirabilidad y durabilidad. Ideal para complementar tu look diario y destacar con la calidad inconfundible de Wrangler.</t>
        </is>
      </c>
      <c r="U71" s="156" t="inlineStr">
        <is>
          <t>China</t>
        </is>
      </c>
      <c r="V71" s="156" t="inlineStr">
        <is>
          <t>PZS</t>
        </is>
      </c>
      <c r="W71" s="51" t="inlineStr">
        <is>
          <t>53102500</t>
        </is>
      </c>
      <c r="X71" s="156" t="inlineStr">
        <is>
          <t>https://m-universal-unique-brands.odoo.com/web/image/product.product/30078/image_1920</t>
        </is>
      </c>
      <c r="Y71" s="54" t="n">
        <v>5.5</v>
      </c>
      <c r="Z71" s="54" t="n">
        <v>699</v>
      </c>
      <c r="AA71" s="55">
        <f>IF(AND(A71="", B71="", E71=""), "", IF(AB71="", "Válido", IF((LEN(AB71)-LEN(SUBSTITUTE(AB71,"; ","")))/2+1&gt;(LEN(AB71)-LEN(SUBSTITUTE(AB71,"[Aviso]","")))/7, "Con Incidencias", "Válido")))</f>
        <v/>
      </c>
      <c r="AB71" s="56">
        <f>IF(AND(A71="", B71="", E71=""), "", TEXTJOIN("; ", TRUE, IF(OR(TRIM(A71&amp;"")="", ISNUMBER(SEARCH("FALTA", A71))), "UPC faltante/inválido", ""), IF(AND(A71&lt;&gt;"", IFERROR(_xlfn.XMATCH(A71,$A$2:$A$1063,0,1)&lt;&gt;_xlfn.XMATCH(A71,$A$2:$A$1063,0,-1),FALSE)), "Código de barras duplicado", ""), IF(AND(E71&lt;&gt;"", COUNTIF($E$2:$E$1063, E71)&gt;1), "SKU duplicado", ""), IF(OR(J71="", J71=""), "[Aviso] División no capturada ()", IF(ISNA(MATCH(J71, Criterios!$A$123:$A$126, 0)), "División no válida", "")), IF(OR(K71="", K71=""), "[Aviso] Categoría no capturada ()", IF(ISNA(MATCH(K71, Criterios!$A$81:$A$120, 0)), "Categoría no válida", IF(AND(J71&lt;&gt;"", J71&lt;&gt;"", J71&lt;&gt;VLOOKUP(K71, Criterios!$A$81:$B$120, 2, FALSE)), "División no coincide con Categoría", ""))), IF(OR(L71="", L71=""), "[Aviso] Género no capturado ()", IF(ISNA(MATCH(L71, Criterios!$B$123:$B$127, 0)), "Género no válido", "")), IF(OR(N71="", N71=""), "[Aviso] Temporada no capturada ()", IF(ISNA(MATCH(N71, Criterios!$C$123:$C$128, 0)), "Temporada no válida", "")), IF(OR(O71="", O71=""), "[Aviso] Ciclo de vida no capturado ()", IF(ISNA(MATCH(O71, Criterios!$D$123:$D$124, 0)), "Ciclo de vida no válido", ""))))</f>
        <v/>
      </c>
      <c r="AC71" s="56" t="n"/>
      <c r="AD71" s="51" t="n">
        <v>0</v>
      </c>
      <c r="AE71" s="156" t="n"/>
      <c r="AF71" s="51" t="n">
        <v>0</v>
      </c>
      <c r="AG71" s="156" t="inlineStr">
        <is>
          <t>Catálogo existente</t>
        </is>
      </c>
      <c r="AH71" s="156" t="inlineStr">
        <is>
          <t>Coincidencia por código de barras (ID NetSuite 117825) | ID alternativo de Hoja a Revisar 117825 (UPC coincidente); se conserva ID principal; Auditoría NetSuite 30/09/2026: llenado desde NetSuite [Z]; Vinculado por código de barras al ID NetSuite 117825 (antes en Identificador interno: 'W-IR-U-002-UNT-OS') | 01/10/2026: complementado desde Shopify Western Brothers (match por código de barras): WB Fit, WB Silueta (antes «6 Paneles», no válido en Criterios) | 01/10/2026: complementado desde Odoo Universal Unique Brands (match por código de barras): Enlace de imagen | Homologación G1522 06/10/2026: Precio de compra: «5,5» → «5.5» (Corrección aplicada) · Validación G1522: Dígito de control del código de barras inválido; [Aviso] Precio de compra posiblemente en USD · Validador Shopify: WB: precio con IVA no termina en 9</t>
        </is>
      </c>
      <c r="AI71" s="156" t="inlineStr">
        <is>
          <t>No</t>
        </is>
      </c>
      <c r="AJ71" s="156" t="n"/>
      <c r="AK71" s="155" t="inlineStr">
        <is>
          <t>| Hoja a Revisar: fila 917478 (ID 117825, misma clave UPC); G1522_Extraccion_Articulos_NetSuite_2026-09-30.xlsx: fila 64066 [Z] | Shopify WB: producto 10310434488505 / variante 50512587718841 | Odoo: producto 30078 / plantilla 38834</t>
        </is>
      </c>
      <c r="AL71" s="58" t="inlineStr">
        <is>
          <t>5,5</t>
        </is>
      </c>
      <c r="AM71" s="58" t="n"/>
      <c r="AN71" s="155" t="inlineStr">
        <is>
          <t>Shopify Western Brothers | Odoo Universal Unique Brands</t>
        </is>
      </c>
      <c r="AO71" s="59" t="n"/>
      <c r="AP71" s="59" t="n">
        <v>6</v>
      </c>
      <c r="AQ71" s="59" t="n">
        <v>64</v>
      </c>
      <c r="AR71" s="155" t="inlineStr">
        <is>
          <t>Shopify Western Brothers › Western Brothers Outlet Lerma: 6 | Odoo Universal Unique Brands › Bodega 25 › Bodega 25/General: 64</t>
        </is>
      </c>
    </row>
    <row r="72">
      <c r="A72" s="50" t="inlineStr">
        <is>
          <t>1261108510006</t>
        </is>
      </c>
      <c r="B72" s="51" t="inlineStr">
        <is>
          <t>117826</t>
        </is>
      </c>
      <c r="C72" s="156" t="inlineStr">
        <is>
          <t>Wrangler</t>
        </is>
      </c>
      <c r="D72" s="156" t="inlineStr">
        <is>
          <t>W-IR-U-003-UNT</t>
        </is>
      </c>
      <c r="E72" s="156" t="inlineStr">
        <is>
          <t>1261-1085-10006</t>
        </is>
      </c>
      <c r="F72" s="156" t="inlineStr">
        <is>
          <t>Talla única</t>
        </is>
      </c>
      <c r="G72" s="156" t="inlineStr">
        <is>
          <t>One Size</t>
        </is>
      </c>
      <c r="H72" s="156" t="inlineStr">
        <is>
          <t>Wrangler</t>
        </is>
      </c>
      <c r="I72" s="156" t="inlineStr">
        <is>
          <t>Gorra IRON RODEO UNTAMED</t>
        </is>
      </c>
      <c r="J72" s="156" t="inlineStr">
        <is>
          <t>Accesorios</t>
        </is>
      </c>
      <c r="K72" s="156" t="inlineStr">
        <is>
          <t>Gorras</t>
        </is>
      </c>
      <c r="L72" s="156" t="inlineStr">
        <is>
          <t>Unisex</t>
        </is>
      </c>
      <c r="M72" s="156" t="inlineStr">
        <is>
          <t>Wrangler</t>
        </is>
      </c>
      <c r="N72" s="156" t="inlineStr">
        <is>
          <t>SS26</t>
        </is>
      </c>
      <c r="O72" s="156" t="inlineStr">
        <is>
          <t>Seasonal</t>
        </is>
      </c>
      <c r="P72" s="156" t="inlineStr">
        <is>
          <t>Azul</t>
        </is>
      </c>
      <c r="Q72" s="156" t="n"/>
      <c r="R72" s="156" t="n"/>
      <c r="S72" s="156" t="inlineStr">
        <is>
          <t>Cuerpo: 100% Algodón / Malla: 100% Poliéster</t>
        </is>
      </c>
      <c r="T72" s="156" t="inlineStr">
        <is>
          <t>Lleva el auténtico estilo western con la Gorra Wrangler de la línea IRON RODEO UNTAMED. Diseñada en una clásica silueta de 6 paneles, esta pieza en color azul está confeccionada con cuerpo: 100% algodón / malla: 100% poliéster para ofrecerte máxima comodidad, transpirabilidad y durabilidad. Ideal para complementar tu look diario y destacar con la calidad inconfundible de Wrangler.</t>
        </is>
      </c>
      <c r="U72" s="156" t="inlineStr">
        <is>
          <t>China</t>
        </is>
      </c>
      <c r="V72" s="156" t="inlineStr">
        <is>
          <t>PZS</t>
        </is>
      </c>
      <c r="W72" s="51" t="inlineStr">
        <is>
          <t>53102500</t>
        </is>
      </c>
      <c r="X72" s="156" t="inlineStr">
        <is>
          <t>https://m-universal-unique-brands.odoo.com/web/image/product.product/30079/image_1920</t>
        </is>
      </c>
      <c r="Y72" s="54" t="n">
        <v>5.5</v>
      </c>
      <c r="Z72" s="54" t="n">
        <v>699</v>
      </c>
      <c r="AA72" s="55">
        <f>IF(AND(A72="", B72="", E72=""), "", IF(AB72="", "Válido", IF((LEN(AB72)-LEN(SUBSTITUTE(AB72,"; ","")))/2+1&gt;(LEN(AB72)-LEN(SUBSTITUTE(AB72,"[Aviso]","")))/7, "Con Incidencias", "Válido")))</f>
        <v/>
      </c>
      <c r="AB72" s="56">
        <f>IF(AND(A72="", B72="", E72=""), "", TEXTJOIN("; ", TRUE, IF(OR(TRIM(A72&amp;"")="", ISNUMBER(SEARCH("FALTA", A72))), "UPC faltante/inválido", ""), IF(AND(A72&lt;&gt;"", IFERROR(_xlfn.XMATCH(A72,$A$2:$A$1063,0,1)&lt;&gt;_xlfn.XMATCH(A72,$A$2:$A$1063,0,-1),FALSE)), "Código de barras duplicado", ""), IF(AND(E72&lt;&gt;"", COUNTIF($E$2:$E$1063, E72)&gt;1), "SKU duplicado", ""), IF(OR(J72="", J72=""), "[Aviso] División no capturada ()", IF(ISNA(MATCH(J72, Criterios!$A$123:$A$126, 0)), "División no válida", "")), IF(OR(K72="", K72=""), "[Aviso] Categoría no capturada ()", IF(ISNA(MATCH(K72, Criterios!$A$81:$A$120, 0)), "Categoría no válida", IF(AND(J72&lt;&gt;"", J72&lt;&gt;"", J72&lt;&gt;VLOOKUP(K72, Criterios!$A$81:$B$120, 2, FALSE)), "División no coincide con Categoría", ""))), IF(OR(L72="", L72=""), "[Aviso] Género no capturado ()", IF(ISNA(MATCH(L72, Criterios!$B$123:$B$127, 0)), "Género no válido", "")), IF(OR(N72="", N72=""), "[Aviso] Temporada no capturada ()", IF(ISNA(MATCH(N72, Criterios!$C$123:$C$128, 0)), "Temporada no válida", "")), IF(OR(O72="", O72=""), "[Aviso] Ciclo de vida no capturado ()", IF(ISNA(MATCH(O72, Criterios!$D$123:$D$124, 0)), "Ciclo de vida no válido", ""))))</f>
        <v/>
      </c>
      <c r="AC72" s="56" t="n"/>
      <c r="AD72" s="51" t="n">
        <v>0</v>
      </c>
      <c r="AE72" s="156" t="n"/>
      <c r="AF72" s="51" t="n">
        <v>0</v>
      </c>
      <c r="AG72" s="156" t="inlineStr">
        <is>
          <t>Catálogo existente</t>
        </is>
      </c>
      <c r="AH72" s="156" t="inlineStr">
        <is>
          <t>Coincidencia por código de barras (ID NetSuite 117826) | ID alternativo de Hoja a Revisar 117826 (UPC coincidente); se conserva ID principal; Auditoría NetSuite 30/09/2026: llenado desde NetSuite [Z]; Vinculado por código de barras al ID NetSuite 117826 (antes en Identificador interno: 'W-IR-U-003-UNT-OS') | 01/10/2026: complementado desde Shopify Western Brothers (match por código de barras): WB Fit, WB Silueta (antes «6 Paneles», no válido en Criterios) | 01/10/2026: complementado desde Odoo Universal Unique Brands (match por código de barras): Enlace de imagen | Homologación G1522 06/10/2026: Precio de compra: «5,5» → «5.5» (Corrección aplicada) · Validación G1522: Dígito de control del código de barras inválido; [Aviso] Precio de compra posiblemente en USD · Validador Shopify: WB: precio con IVA no termina en 9</t>
        </is>
      </c>
      <c r="AI72" s="156" t="inlineStr">
        <is>
          <t>No</t>
        </is>
      </c>
      <c r="AJ72" s="156" t="n"/>
      <c r="AK72" s="155" t="inlineStr">
        <is>
          <t>| Hoja a Revisar: fila 917480 (ID 117826, misma clave UPC); G1522_Extraccion_Articulos_NetSuite_2026-09-30.xlsx: fila 64067 [Z] | Shopify WB: producto 10310434619577 / variante 50512587849913 | Odoo: producto 30079 / plantilla 38835</t>
        </is>
      </c>
      <c r="AL72" s="58" t="inlineStr">
        <is>
          <t>5,5</t>
        </is>
      </c>
      <c r="AM72" s="58" t="n"/>
      <c r="AN72" s="155" t="inlineStr">
        <is>
          <t>Shopify Western Brothers | Odoo Universal Unique Brands</t>
        </is>
      </c>
      <c r="AO72" s="59" t="n"/>
      <c r="AP72" s="59" t="n">
        <v>6</v>
      </c>
      <c r="AQ72" s="59" t="n">
        <v>79</v>
      </c>
      <c r="AR72" s="155" t="inlineStr">
        <is>
          <t>Shopify Western Brothers › Western Brothers Outlet Lerma: 6 | Odoo Universal Unique Brands › Bodega 25 › Bodega 25/General: 79</t>
        </is>
      </c>
    </row>
    <row r="73">
      <c r="A73" s="50" t="inlineStr">
        <is>
          <t>1261108510007</t>
        </is>
      </c>
      <c r="B73" s="51" t="inlineStr">
        <is>
          <t>117827</t>
        </is>
      </c>
      <c r="C73" s="156" t="inlineStr">
        <is>
          <t>Wrangler</t>
        </is>
      </c>
      <c r="D73" s="156" t="inlineStr">
        <is>
          <t>W-IR-U-004-UNT</t>
        </is>
      </c>
      <c r="E73" s="156" t="inlineStr">
        <is>
          <t>1261-1085-10007</t>
        </is>
      </c>
      <c r="F73" s="156" t="inlineStr">
        <is>
          <t>Talla única</t>
        </is>
      </c>
      <c r="G73" s="156" t="inlineStr">
        <is>
          <t>One Size</t>
        </is>
      </c>
      <c r="H73" s="156" t="inlineStr">
        <is>
          <t>Wrangler</t>
        </is>
      </c>
      <c r="I73" s="156" t="inlineStr">
        <is>
          <t>Gorra IRON RODEO UNTAMED</t>
        </is>
      </c>
      <c r="J73" s="156" t="inlineStr">
        <is>
          <t>Accesorios</t>
        </is>
      </c>
      <c r="K73" s="156" t="inlineStr">
        <is>
          <t>Gorras</t>
        </is>
      </c>
      <c r="L73" s="156" t="inlineStr">
        <is>
          <t>Unisex</t>
        </is>
      </c>
      <c r="M73" s="156" t="inlineStr">
        <is>
          <t>Wrangler</t>
        </is>
      </c>
      <c r="N73" s="156" t="inlineStr">
        <is>
          <t>SS26</t>
        </is>
      </c>
      <c r="O73" s="156" t="inlineStr">
        <is>
          <t>Seasonal</t>
        </is>
      </c>
      <c r="P73" s="156" t="inlineStr">
        <is>
          <t>Blanco</t>
        </is>
      </c>
      <c r="Q73" s="156" t="n"/>
      <c r="R73" s="156" t="n"/>
      <c r="S73" s="156" t="inlineStr">
        <is>
          <t>Cuerpo: 100% Algodón / Malla: 100% Poliéster</t>
        </is>
      </c>
      <c r="T73" s="156" t="inlineStr">
        <is>
          <t>Lleva el auténtico estilo western con la Gorra Wrangler de la línea IRON RODEO UNTAMED. Diseñada en una clásica silueta de 6 paneles, esta pieza en color blanco está confeccionada con cuerpo: 100% algodón / malla: 100% poliéster para ofrecerte máxima comodidad, transpirabilidad y durabilidad. Ideal para complementar tu look diario y destacar con la calidad inconfundible de Wrangler.</t>
        </is>
      </c>
      <c r="U73" s="156" t="inlineStr">
        <is>
          <t>China</t>
        </is>
      </c>
      <c r="V73" s="156" t="inlineStr">
        <is>
          <t>PZS</t>
        </is>
      </c>
      <c r="W73" s="51" t="inlineStr">
        <is>
          <t>53102500</t>
        </is>
      </c>
      <c r="X73" s="156" t="inlineStr">
        <is>
          <t>https://m-universal-unique-brands.odoo.com/web/image/product.product/30080/image_1920</t>
        </is>
      </c>
      <c r="Y73" s="54" t="n">
        <v>5.5</v>
      </c>
      <c r="Z73" s="54" t="n">
        <v>699</v>
      </c>
      <c r="AA73" s="55">
        <f>IF(AND(A73="", B73="", E73=""), "", IF(AB73="", "Válido", IF((LEN(AB73)-LEN(SUBSTITUTE(AB73,"; ","")))/2+1&gt;(LEN(AB73)-LEN(SUBSTITUTE(AB73,"[Aviso]","")))/7, "Con Incidencias", "Válido")))</f>
        <v/>
      </c>
      <c r="AB73" s="56">
        <f>IF(AND(A73="", B73="", E73=""), "", TEXTJOIN("; ", TRUE, IF(OR(TRIM(A73&amp;"")="", ISNUMBER(SEARCH("FALTA", A73))), "UPC faltante/inválido", ""), IF(AND(A73&lt;&gt;"", IFERROR(_xlfn.XMATCH(A73,$A$2:$A$1063,0,1)&lt;&gt;_xlfn.XMATCH(A73,$A$2:$A$1063,0,-1),FALSE)), "Código de barras duplicado", ""), IF(AND(E73&lt;&gt;"", COUNTIF($E$2:$E$1063, E73)&gt;1), "SKU duplicado", ""), IF(OR(J73="", J73=""), "[Aviso] División no capturada ()", IF(ISNA(MATCH(J73, Criterios!$A$123:$A$126, 0)), "División no válida", "")), IF(OR(K73="", K73=""), "[Aviso] Categoría no capturada ()", IF(ISNA(MATCH(K73, Criterios!$A$81:$A$120, 0)), "Categoría no válida", IF(AND(J73&lt;&gt;"", J73&lt;&gt;"", J73&lt;&gt;VLOOKUP(K73, Criterios!$A$81:$B$120, 2, FALSE)), "División no coincide con Categoría", ""))), IF(OR(L73="", L73=""), "[Aviso] Género no capturado ()", IF(ISNA(MATCH(L73, Criterios!$B$123:$B$127, 0)), "Género no válido", "")), IF(OR(N73="", N73=""), "[Aviso] Temporada no capturada ()", IF(ISNA(MATCH(N73, Criterios!$C$123:$C$128, 0)), "Temporada no válida", "")), IF(OR(O73="", O73=""), "[Aviso] Ciclo de vida no capturado ()", IF(ISNA(MATCH(O73, Criterios!$D$123:$D$124, 0)), "Ciclo de vida no válido", ""))))</f>
        <v/>
      </c>
      <c r="AC73" s="56" t="n"/>
      <c r="AD73" s="51" t="n">
        <v>0</v>
      </c>
      <c r="AE73" s="156" t="n"/>
      <c r="AF73" s="51" t="n">
        <v>0</v>
      </c>
      <c r="AG73" s="156" t="inlineStr">
        <is>
          <t>Catálogo existente</t>
        </is>
      </c>
      <c r="AH73" s="156" t="inlineStr">
        <is>
          <t>Coincidencia por código de barras (ID NetSuite 117827) | ID alternativo de Hoja a Revisar 117827 (UPC coincidente); se conserva ID principal; Auditoría NetSuite 30/09/2026: llenado desde NetSuite [Z]; Vinculado por código de barras al ID NetSuite 117827 (antes en Identificador interno: 'W-IR-U-004-UNT-OS') | 01/10/2026: complementado desde Shopify Western Brothers (match por código de barras): WB Fit, WB Silueta (antes «6 Paneles», no válido en Criterios) | 01/10/2026: complementado desde Odoo Universal Unique Brands (match por código de barras): Enlace de imagen | Homologación G1522 06/10/2026: Precio de compra: «5,5» → «5.5» (Corrección aplicada) · Validación G1522: Dígito de control del código de barras inválido; [Aviso] Precio de compra posiblemente en USD · Validador Shopify: WB: precio con IVA no termina en 9</t>
        </is>
      </c>
      <c r="AI73" s="156" t="inlineStr">
        <is>
          <t>No</t>
        </is>
      </c>
      <c r="AJ73" s="156" t="n"/>
      <c r="AK73" s="155" t="inlineStr">
        <is>
          <t>| Hoja a Revisar: fila 917482 (ID 117827, misma clave UPC); G1522_Extraccion_Articulos_NetSuite_2026-09-30.xlsx: fila 64068 [Z] | Shopify WB: producto 10310434717881 / variante 50512587948217 | Odoo: producto 30080 / plantilla 38836</t>
        </is>
      </c>
      <c r="AL73" s="58" t="inlineStr">
        <is>
          <t>5,5</t>
        </is>
      </c>
      <c r="AM73" s="58" t="n"/>
      <c r="AN73" s="155" t="inlineStr">
        <is>
          <t>Shopify Western Brothers | Odoo Universal Unique Brands</t>
        </is>
      </c>
      <c r="AO73" s="59" t="n"/>
      <c r="AP73" s="59" t="n">
        <v>6</v>
      </c>
      <c r="AQ73" s="59" t="n">
        <v>176</v>
      </c>
      <c r="AR73" s="155" t="inlineStr">
        <is>
          <t>Shopify Western Brothers › Western Brothers Outlet Lerma: 6 | Odoo Universal Unique Brands › Bodega 25 › Bodega 25/General: 176</t>
        </is>
      </c>
    </row>
    <row r="74">
      <c r="A74" s="50" t="inlineStr">
        <is>
          <t>1261108510008</t>
        </is>
      </c>
      <c r="B74" s="51" t="inlineStr">
        <is>
          <t>118082</t>
        </is>
      </c>
      <c r="C74" s="156" t="inlineStr">
        <is>
          <t>Wrangler</t>
        </is>
      </c>
      <c r="D74" s="156" t="inlineStr">
        <is>
          <t>W-IR-U-001-IR</t>
        </is>
      </c>
      <c r="E74" s="156" t="inlineStr">
        <is>
          <t>1261-1085-10008</t>
        </is>
      </c>
      <c r="F74" s="156" t="inlineStr">
        <is>
          <t>Talla única</t>
        </is>
      </c>
      <c r="G74" s="156" t="inlineStr">
        <is>
          <t>One Size</t>
        </is>
      </c>
      <c r="H74" s="156" t="inlineStr">
        <is>
          <t>Wrangler</t>
        </is>
      </c>
      <c r="I74" s="156" t="inlineStr">
        <is>
          <t>Gorra IRON RODEO IRON HORNS</t>
        </is>
      </c>
      <c r="J74" s="156" t="inlineStr">
        <is>
          <t>Accesorios</t>
        </is>
      </c>
      <c r="K74" s="156" t="inlineStr">
        <is>
          <t>Gorras</t>
        </is>
      </c>
      <c r="L74" s="156" t="inlineStr">
        <is>
          <t>Unisex</t>
        </is>
      </c>
      <c r="M74" s="156" t="inlineStr">
        <is>
          <t>Wrangler</t>
        </is>
      </c>
      <c r="N74" s="156" t="inlineStr">
        <is>
          <t>SS26</t>
        </is>
      </c>
      <c r="O74" s="156" t="inlineStr">
        <is>
          <t>Seasonal</t>
        </is>
      </c>
      <c r="P74" s="156" t="inlineStr">
        <is>
          <t>Rosa</t>
        </is>
      </c>
      <c r="Q74" s="156" t="n"/>
      <c r="R74" s="156" t="n"/>
      <c r="S74" s="156" t="inlineStr">
        <is>
          <t>Cuerpo: 100% Algodón / Malla: 100% Poliéster</t>
        </is>
      </c>
      <c r="T74" s="156" t="inlineStr">
        <is>
          <t>Lleva el auténtico estilo western con la Gorra Wrangler de la línea IRON RODEO IRON HORNS. Diseñada en una clásica silueta de 6 paneles, esta pieza en color rosa está confeccionada con cuerpo: 100% algodón / malla: 100% poliéster para ofrecerte máxima comodidad, transpirabilidad y durabilidad. Ideal para complementar tu look diario y destacar con la calidad inconfundible de Wrangler.</t>
        </is>
      </c>
      <c r="U74" s="156" t="inlineStr">
        <is>
          <t>China</t>
        </is>
      </c>
      <c r="V74" s="156" t="inlineStr">
        <is>
          <t>PZS</t>
        </is>
      </c>
      <c r="W74" s="51" t="inlineStr">
        <is>
          <t>53102500</t>
        </is>
      </c>
      <c r="X74" s="156" t="inlineStr">
        <is>
          <t>https://m-universal-unique-brands.odoo.com/web/image/product.product/30081/image_1920</t>
        </is>
      </c>
      <c r="Y74" s="54" t="n">
        <v>5.4</v>
      </c>
      <c r="Z74" s="54" t="n">
        <v>699</v>
      </c>
      <c r="AA74" s="55">
        <f>IF(AND(A74="", B74="", E74=""), "", IF(AB74="", "Válido", IF((LEN(AB74)-LEN(SUBSTITUTE(AB74,"; ","")))/2+1&gt;(LEN(AB74)-LEN(SUBSTITUTE(AB74,"[Aviso]","")))/7, "Con Incidencias", "Válido")))</f>
        <v/>
      </c>
      <c r="AB74" s="56">
        <f>IF(AND(A74="", B74="", E74=""), "", TEXTJOIN("; ", TRUE, IF(OR(TRIM(A74&amp;"")="", ISNUMBER(SEARCH("FALTA", A74))), "UPC faltante/inválido", ""), IF(AND(A74&lt;&gt;"", IFERROR(_xlfn.XMATCH(A74,$A$2:$A$1063,0,1)&lt;&gt;_xlfn.XMATCH(A74,$A$2:$A$1063,0,-1),FALSE)), "Código de barras duplicado", ""), IF(AND(E74&lt;&gt;"", COUNTIF($E$2:$E$1063, E74)&gt;1), "SKU duplicado", ""), IF(OR(J74="", J74=""), "[Aviso] División no capturada ()", IF(ISNA(MATCH(J74, Criterios!$A$123:$A$126, 0)), "División no válida", "")), IF(OR(K74="", K74=""), "[Aviso] Categoría no capturada ()", IF(ISNA(MATCH(K74, Criterios!$A$81:$A$120, 0)), "Categoría no válida", IF(AND(J74&lt;&gt;"", J74&lt;&gt;"", J74&lt;&gt;VLOOKUP(K74, Criterios!$A$81:$B$120, 2, FALSE)), "División no coincide con Categoría", ""))), IF(OR(L74="", L74=""), "[Aviso] Género no capturado ()", IF(ISNA(MATCH(L74, Criterios!$B$123:$B$127, 0)), "Género no válido", "")), IF(OR(N74="", N74=""), "[Aviso] Temporada no capturada ()", IF(ISNA(MATCH(N74, Criterios!$C$123:$C$128, 0)), "Temporada no válida", "")), IF(OR(O74="", O74=""), "[Aviso] Ciclo de vida no capturado ()", IF(ISNA(MATCH(O74, Criterios!$D$123:$D$124, 0)), "Ciclo de vida no válido", ""))))</f>
        <v/>
      </c>
      <c r="AC74" s="56" t="n"/>
      <c r="AD74" s="51" t="n">
        <v>0</v>
      </c>
      <c r="AE74" s="156" t="n"/>
      <c r="AF74" s="51" t="n">
        <v>0</v>
      </c>
      <c r="AG74" s="156" t="inlineStr">
        <is>
          <t>Catálogo existente</t>
        </is>
      </c>
      <c r="AH74" s="156" t="inlineStr">
        <is>
          <t>No se encontró en Hoja a Revisar por ID interno ni por código de barras; Auditoría NetSuite 30/09/2026: llenado desde NetSuite [Z]; Vinculado por código de barras al ID NetSuite 118082 (antes en Identificador interno: 'W-IR-U-001-IR-OS') | 01/10/2026: complementado desde Odoo Universal Unique Brands (match por código de barras): WB Fit, WB Silueta (antes «6 Paneles», no válido en Criterios), Enlace de imagen | Homologación G1522 06/10/2026: Precio de compra: «5,4» → «5.4» (Corrección aplicada) · Validación G1522: Dígito de control del código de barras inválido; [Aviso] Precio de compra posiblemente en USD · Validador Shopify: WB: precio con IVA no termina en 9</t>
        </is>
      </c>
      <c r="AI74" s="156" t="inlineStr">
        <is>
          <t>No</t>
        </is>
      </c>
      <c r="AJ74" s="156" t="n"/>
      <c r="AK74" s="155" t="inlineStr">
        <is>
          <t>G1522_Extraccion_Articulos_NetSuite_2026-09-30.xlsx: fila 64223 [Z] | Odoo: producto 30081 / plantilla 38837</t>
        </is>
      </c>
      <c r="AL74" s="58" t="inlineStr">
        <is>
          <t>5,4</t>
        </is>
      </c>
      <c r="AM74" s="58" t="n"/>
      <c r="AN74" s="155" t="inlineStr">
        <is>
          <t>Odoo Universal Unique Brands</t>
        </is>
      </c>
      <c r="AO74" s="59" t="n"/>
      <c r="AP74" s="59" t="n"/>
      <c r="AQ74" s="59" t="n">
        <v>91</v>
      </c>
      <c r="AR74" s="155" t="inlineStr">
        <is>
          <t>Odoo Universal Unique Brands › Bodega 25 › Bodega 25/General: 91</t>
        </is>
      </c>
    </row>
    <row r="75">
      <c r="A75" s="50" t="inlineStr">
        <is>
          <t>1261108510009</t>
        </is>
      </c>
      <c r="B75" s="51" t="inlineStr">
        <is>
          <t>117828</t>
        </is>
      </c>
      <c r="C75" s="156" t="inlineStr">
        <is>
          <t>Wrangler</t>
        </is>
      </c>
      <c r="D75" s="156" t="inlineStr">
        <is>
          <t>W-IR-U-002-IR</t>
        </is>
      </c>
      <c r="E75" s="156" t="inlineStr">
        <is>
          <t>1261-1085-10009</t>
        </is>
      </c>
      <c r="F75" s="156" t="inlineStr">
        <is>
          <t>Talla única</t>
        </is>
      </c>
      <c r="G75" s="156" t="inlineStr">
        <is>
          <t>One Size</t>
        </is>
      </c>
      <c r="H75" s="156" t="inlineStr">
        <is>
          <t>Wrangler</t>
        </is>
      </c>
      <c r="I75" s="156" t="inlineStr">
        <is>
          <t>Gorra IRON RODEO IRON HORNS</t>
        </is>
      </c>
      <c r="J75" s="156" t="inlineStr">
        <is>
          <t>Accesorios</t>
        </is>
      </c>
      <c r="K75" s="156" t="inlineStr">
        <is>
          <t>Gorras</t>
        </is>
      </c>
      <c r="L75" s="156" t="inlineStr">
        <is>
          <t>Unisex</t>
        </is>
      </c>
      <c r="M75" s="156" t="inlineStr">
        <is>
          <t>Wrangler</t>
        </is>
      </c>
      <c r="N75" s="156" t="inlineStr">
        <is>
          <t>SS26</t>
        </is>
      </c>
      <c r="O75" s="156" t="inlineStr">
        <is>
          <t>Seasonal</t>
        </is>
      </c>
      <c r="P75" s="156" t="inlineStr">
        <is>
          <t>Cafe</t>
        </is>
      </c>
      <c r="Q75" s="156" t="n"/>
      <c r="R75" s="156" t="n"/>
      <c r="S75" s="156" t="inlineStr">
        <is>
          <t>Cuerpo: 100% Algodón / Malla: 100% Poliéster</t>
        </is>
      </c>
      <c r="T75" s="156" t="inlineStr">
        <is>
          <t>Lleva el auténtico estilo western con la Gorra Wrangler de la línea IRON RODEO IRON HORNS. Diseñada en una clásica silueta de 6 paneles, esta pieza en color cafe está confeccionada con cuerpo: 100% algodón / malla: 100% poliéster para ofrecerte máxima comodidad, transpirabilidad y durabilidad. Ideal para complementar tu look diario y destacar con la calidad inconfundible de Wrangler.</t>
        </is>
      </c>
      <c r="U75" s="156" t="inlineStr">
        <is>
          <t>China</t>
        </is>
      </c>
      <c r="V75" s="156" t="inlineStr">
        <is>
          <t>PZS</t>
        </is>
      </c>
      <c r="W75" s="51" t="inlineStr">
        <is>
          <t>53102500</t>
        </is>
      </c>
      <c r="X75" s="156" t="inlineStr">
        <is>
          <t>https://m-universal-unique-brands.odoo.com/web/image/product.product/30082/image_1920</t>
        </is>
      </c>
      <c r="Y75" s="54" t="n">
        <v>5.4</v>
      </c>
      <c r="Z75" s="54" t="n">
        <v>699</v>
      </c>
      <c r="AA75" s="55">
        <f>IF(AND(A75="", B75="", E75=""), "", IF(AB75="", "Válido", IF((LEN(AB75)-LEN(SUBSTITUTE(AB75,"; ","")))/2+1&gt;(LEN(AB75)-LEN(SUBSTITUTE(AB75,"[Aviso]","")))/7, "Con Incidencias", "Válido")))</f>
        <v/>
      </c>
      <c r="AB75" s="56">
        <f>IF(AND(A75="", B75="", E75=""), "", TEXTJOIN("; ", TRUE, IF(OR(TRIM(A75&amp;"")="", ISNUMBER(SEARCH("FALTA", A75))), "UPC faltante/inválido", ""), IF(AND(A75&lt;&gt;"", IFERROR(_xlfn.XMATCH(A75,$A$2:$A$1063,0,1)&lt;&gt;_xlfn.XMATCH(A75,$A$2:$A$1063,0,-1),FALSE)), "Código de barras duplicado", ""), IF(AND(E75&lt;&gt;"", COUNTIF($E$2:$E$1063, E75)&gt;1), "SKU duplicado", ""), IF(OR(J75="", J75=""), "[Aviso] División no capturada ()", IF(ISNA(MATCH(J75, Criterios!$A$123:$A$126, 0)), "División no válida", "")), IF(OR(K75="", K75=""), "[Aviso] Categoría no capturada ()", IF(ISNA(MATCH(K75, Criterios!$A$81:$A$120, 0)), "Categoría no válida", IF(AND(J75&lt;&gt;"", J75&lt;&gt;"", J75&lt;&gt;VLOOKUP(K75, Criterios!$A$81:$B$120, 2, FALSE)), "División no coincide con Categoría", ""))), IF(OR(L75="", L75=""), "[Aviso] Género no capturado ()", IF(ISNA(MATCH(L75, Criterios!$B$123:$B$127, 0)), "Género no válido", "")), IF(OR(N75="", N75=""), "[Aviso] Temporada no capturada ()", IF(ISNA(MATCH(N75, Criterios!$C$123:$C$128, 0)), "Temporada no válida", "")), IF(OR(O75="", O75=""), "[Aviso] Ciclo de vida no capturado ()", IF(ISNA(MATCH(O75, Criterios!$D$123:$D$124, 0)), "Ciclo de vida no válido", ""))))</f>
        <v/>
      </c>
      <c r="AC75" s="56" t="n"/>
      <c r="AD75" s="51" t="n">
        <v>-1</v>
      </c>
      <c r="AE75" s="156" t="n"/>
      <c r="AF75" s="51" t="n">
        <v>0</v>
      </c>
      <c r="AG75" s="156" t="inlineStr">
        <is>
          <t>Catálogo existente</t>
        </is>
      </c>
      <c r="AH75" s="156" t="inlineStr">
        <is>
          <t>Coincidencia por código de barras (ID NetSuite 117828); Stock negativo en sistema: revisar en conteo | ID alternativo de Hoja a Revisar 117828 (UPC coincidente); se conserva ID principal; Auditoría NetSuite 30/09/2026: llenado desde NetSuite [Z]; Vinculado por código de barras al ID NetSuite 117828 (antes en Identificador interno: 'W-IR-U-002-IR-OS') | 01/10/2026: complementado desde Shopify Western Brothers (match por código de barras): WB Fit, WB Silueta (antes «6 Paneles», no válido en Criterios) | 01/10/2026: Shopify Western Brothers trae Color «Rojo» — se conservó el valor de Productos | 01/10/2026: complementado desde Odoo Universal Unique Brands (match por código de barras): Enlace de imagen | 01/10/2026: Odoo Universal Unique Brands trae Color «Rojo» — se conservó el valor de Productos | Homologación G1522 06/10/2026: Precio de compra: «5,4» → «5.4» (Corrección aplicada) · Validación G1522: [Aviso] Precio de compra posiblemente en USD · Validador Shopify: WB: precio con IVA no termina en 9</t>
        </is>
      </c>
      <c r="AI75" s="156" t="inlineStr">
        <is>
          <t>Sí</t>
        </is>
      </c>
      <c r="AJ75" s="156" t="inlineStr">
        <is>
          <t>WB OUTLET LERMA (-1)</t>
        </is>
      </c>
      <c r="AK75" s="155" t="inlineStr">
        <is>
          <t>| Hoja a Revisar: fila 917484 (ID 117828, misma clave UPC); G1522_Extraccion_Articulos_NetSuite_2026-09-30.xlsx: fila 64069 [Z] | Shopify WB: producto 10310434750649 / variante 50512587980985 | Odoo: producto 30082 / plantilla 38838</t>
        </is>
      </c>
      <c r="AL75" s="58" t="inlineStr">
        <is>
          <t>5,4</t>
        </is>
      </c>
      <c r="AM75" s="58" t="n"/>
      <c r="AN75" s="155" t="inlineStr">
        <is>
          <t>Shopify Western Brothers | Odoo Universal Unique Brands</t>
        </is>
      </c>
      <c r="AO75" s="59" t="n"/>
      <c r="AP75" s="59" t="n">
        <v>5</v>
      </c>
      <c r="AQ75" s="59" t="n">
        <v>66</v>
      </c>
      <c r="AR75" s="155" t="inlineStr">
        <is>
          <t>Shopify Western Brothers › Western Brothers Outlet Lerma: 5 | Odoo Universal Unique Brands › Bodega 25 › Bodega 25/General: 66</t>
        </is>
      </c>
    </row>
    <row r="76">
      <c r="A76" s="50" t="inlineStr">
        <is>
          <t>1261108510010</t>
        </is>
      </c>
      <c r="B76" s="51" t="inlineStr">
        <is>
          <t>117829</t>
        </is>
      </c>
      <c r="C76" s="156" t="inlineStr">
        <is>
          <t>Wrangler</t>
        </is>
      </c>
      <c r="D76" s="156" t="inlineStr">
        <is>
          <t>W-IR-U-003-IR</t>
        </is>
      </c>
      <c r="E76" s="156" t="inlineStr">
        <is>
          <t>1261-1085-10010</t>
        </is>
      </c>
      <c r="F76" s="156" t="inlineStr">
        <is>
          <t>Talla única</t>
        </is>
      </c>
      <c r="G76" s="156" t="inlineStr">
        <is>
          <t>One Size</t>
        </is>
      </c>
      <c r="H76" s="156" t="inlineStr">
        <is>
          <t>Wrangler</t>
        </is>
      </c>
      <c r="I76" s="156" t="inlineStr">
        <is>
          <t>Gorra IRON RODEO IRON HORNS</t>
        </is>
      </c>
      <c r="J76" s="156" t="inlineStr">
        <is>
          <t>Accesorios</t>
        </is>
      </c>
      <c r="K76" s="156" t="inlineStr">
        <is>
          <t>Gorras</t>
        </is>
      </c>
      <c r="L76" s="156" t="inlineStr">
        <is>
          <t>Unisex</t>
        </is>
      </c>
      <c r="M76" s="156" t="inlineStr">
        <is>
          <t>Wrangler</t>
        </is>
      </c>
      <c r="N76" s="156" t="inlineStr">
        <is>
          <t>SS26</t>
        </is>
      </c>
      <c r="O76" s="156" t="inlineStr">
        <is>
          <t>Seasonal</t>
        </is>
      </c>
      <c r="P76" s="156" t="inlineStr">
        <is>
          <t>Blanco</t>
        </is>
      </c>
      <c r="Q76" s="156" t="n"/>
      <c r="R76" s="156" t="n"/>
      <c r="S76" s="156" t="inlineStr">
        <is>
          <t>Cuerpo: 100% Algodón / Malla: 100% Poliéster</t>
        </is>
      </c>
      <c r="T76" s="156" t="inlineStr">
        <is>
          <t>Lleva el auténtico estilo western con la Gorra Wrangler de la línea IRON RODEO IRON HORNS. Diseñada en una clásica silueta de 6 paneles, esta pieza en color blanco está confeccionada con cuerpo: 100% algodón / malla: 100% poliéster para ofrecerte máxima comodidad, transpirabilidad y durabilidad. Ideal para complementar tu look diario y destacar con la calidad inconfundible de Wrangler.</t>
        </is>
      </c>
      <c r="U76" s="156" t="inlineStr">
        <is>
          <t>China</t>
        </is>
      </c>
      <c r="V76" s="156" t="inlineStr">
        <is>
          <t>PZS</t>
        </is>
      </c>
      <c r="W76" s="51" t="inlineStr">
        <is>
          <t>53102500</t>
        </is>
      </c>
      <c r="X76" s="156" t="inlineStr">
        <is>
          <t>https://m-universal-unique-brands.odoo.com/web/image/product.product/30083/image_1920</t>
        </is>
      </c>
      <c r="Y76" s="54" t="n">
        <v>5.4</v>
      </c>
      <c r="Z76" s="54" t="n">
        <v>699</v>
      </c>
      <c r="AA76" s="55">
        <f>IF(AND(A76="", B76="", E76=""), "", IF(AB76="", "Válido", IF((LEN(AB76)-LEN(SUBSTITUTE(AB76,"; ","")))/2+1&gt;(LEN(AB76)-LEN(SUBSTITUTE(AB76,"[Aviso]","")))/7, "Con Incidencias", "Válido")))</f>
        <v/>
      </c>
      <c r="AB76" s="56">
        <f>IF(AND(A76="", B76="", E76=""), "", TEXTJOIN("; ", TRUE, IF(OR(TRIM(A76&amp;"")="", ISNUMBER(SEARCH("FALTA", A76))), "UPC faltante/inválido", ""), IF(AND(A76&lt;&gt;"", IFERROR(_xlfn.XMATCH(A76,$A$2:$A$1063,0,1)&lt;&gt;_xlfn.XMATCH(A76,$A$2:$A$1063,0,-1),FALSE)), "Código de barras duplicado", ""), IF(AND(E76&lt;&gt;"", COUNTIF($E$2:$E$1063, E76)&gt;1), "SKU duplicado", ""), IF(OR(J76="", J76=""), "[Aviso] División no capturada ()", IF(ISNA(MATCH(J76, Criterios!$A$123:$A$126, 0)), "División no válida", "")), IF(OR(K76="", K76=""), "[Aviso] Categoría no capturada ()", IF(ISNA(MATCH(K76, Criterios!$A$81:$A$120, 0)), "Categoría no válida", IF(AND(J76&lt;&gt;"", J76&lt;&gt;"", J76&lt;&gt;VLOOKUP(K76, Criterios!$A$81:$B$120, 2, FALSE)), "División no coincide con Categoría", ""))), IF(OR(L76="", L76=""), "[Aviso] Género no capturado ()", IF(ISNA(MATCH(L76, Criterios!$B$123:$B$127, 0)), "Género no válido", "")), IF(OR(N76="", N76=""), "[Aviso] Temporada no capturada ()", IF(ISNA(MATCH(N76, Criterios!$C$123:$C$128, 0)), "Temporada no válida", "")), IF(OR(O76="", O76=""), "[Aviso] Ciclo de vida no capturado ()", IF(ISNA(MATCH(O76, Criterios!$D$123:$D$124, 0)), "Ciclo de vida no válido", ""))))</f>
        <v/>
      </c>
      <c r="AC76" s="56" t="n"/>
      <c r="AD76" s="51" t="n">
        <v>-1</v>
      </c>
      <c r="AE76" s="156" t="n"/>
      <c r="AF76" s="51" t="n">
        <v>0</v>
      </c>
      <c r="AG76" s="156" t="inlineStr">
        <is>
          <t>Catálogo existente</t>
        </is>
      </c>
      <c r="AH76" s="156" t="inlineStr">
        <is>
          <t>Coincidencia por código de barras (ID NetSuite 117829) | ID alternativo de Hoja a Revisar 117829 (UPC coincidente); se conserva ID principal; Auditoría NetSuite 30/09/2026: llenado desde NetSuite [Z]; Vinculado por código de barras al ID NetSuite 117829 (antes en Identificador interno: 'W-IR-U-003-IR-OS') | 01/10/2026: complementado desde Shopify Western Brothers (match por código de barras): WB Fit, WB Silueta (antes «6 Paneles», no válido en Criterios) | 01/10/2026: Shopify Western Brothers trae Color «Azul» — se conservó el valor de Productos | 01/10/2026: complementado desde Odoo Universal Unique Brands (match por código de barras): Enlace de imagen | 01/10/2026: Odoo Universal Unique Brands trae Color «Azul» — se conservó el valor de Productos | Homologación G1522 06/10/2026: Precio de compra: «5,4» → «5.4» (Corrección aplicada) · Validación G1522: Dígito de control del código de barras inválido; [Aviso] Precio de compra posiblemente en USD · Validador Shopify: WB: precio con IVA no termina en 9</t>
        </is>
      </c>
      <c r="AI76" s="156" t="inlineStr">
        <is>
          <t>Sí</t>
        </is>
      </c>
      <c r="AJ76" s="156" t="inlineStr">
        <is>
          <t>WB OUTLET LERMA (-1)</t>
        </is>
      </c>
      <c r="AK76" s="155" t="inlineStr">
        <is>
          <t>| Hoja a Revisar: fila 917486 (ID 117829, misma clave UPC); G1522_Extraccion_Articulos_NetSuite_2026-09-30.xlsx: fila 64070 [Z] | Shopify WB: producto 10310434783417 / variante 50512588013753 | Odoo: producto 30083 / plantilla 38839</t>
        </is>
      </c>
      <c r="AL76" s="58" t="inlineStr">
        <is>
          <t>5,4</t>
        </is>
      </c>
      <c r="AM76" s="58" t="n"/>
      <c r="AN76" s="155" t="inlineStr">
        <is>
          <t>Shopify Western Brothers | Odoo Universal Unique Brands</t>
        </is>
      </c>
      <c r="AO76" s="59" t="n"/>
      <c r="AP76" s="59" t="n">
        <v>5</v>
      </c>
      <c r="AQ76" s="59" t="n">
        <v>87</v>
      </c>
      <c r="AR76" s="155" t="inlineStr">
        <is>
          <t>Shopify Western Brothers › Western Brothers Outlet Lerma: 5 | Odoo Universal Unique Brands › Bodega 25 › Bodega 25/General: 87</t>
        </is>
      </c>
    </row>
    <row r="77">
      <c r="A77" s="50" t="inlineStr">
        <is>
          <t>1261108510011</t>
        </is>
      </c>
      <c r="B77" s="51" t="inlineStr">
        <is>
          <t>118083</t>
        </is>
      </c>
      <c r="C77" s="156" t="inlineStr">
        <is>
          <t>Wrangler</t>
        </is>
      </c>
      <c r="D77" s="156" t="inlineStr">
        <is>
          <t>W-IR-U-004-IR</t>
        </is>
      </c>
      <c r="E77" s="156" t="inlineStr">
        <is>
          <t>1261-1085-10011</t>
        </is>
      </c>
      <c r="F77" s="156" t="inlineStr">
        <is>
          <t>Talla única</t>
        </is>
      </c>
      <c r="G77" s="156" t="inlineStr">
        <is>
          <t>One Size</t>
        </is>
      </c>
      <c r="H77" s="156" t="inlineStr">
        <is>
          <t>Wrangler</t>
        </is>
      </c>
      <c r="I77" s="156" t="inlineStr">
        <is>
          <t>Gorra IRON RODEO IRON HORNS</t>
        </is>
      </c>
      <c r="J77" s="156" t="inlineStr">
        <is>
          <t>Accesorios</t>
        </is>
      </c>
      <c r="K77" s="156" t="inlineStr">
        <is>
          <t>Gorras</t>
        </is>
      </c>
      <c r="L77" s="156" t="inlineStr">
        <is>
          <t>Unisex</t>
        </is>
      </c>
      <c r="M77" s="156" t="inlineStr">
        <is>
          <t>Wrangler</t>
        </is>
      </c>
      <c r="N77" s="156" t="inlineStr">
        <is>
          <t>SS26</t>
        </is>
      </c>
      <c r="O77" s="156" t="inlineStr">
        <is>
          <t>Seasonal</t>
        </is>
      </c>
      <c r="P77" s="156" t="inlineStr">
        <is>
          <t>Gris</t>
        </is>
      </c>
      <c r="Q77" s="156" t="n"/>
      <c r="R77" s="156" t="n"/>
      <c r="S77" s="156" t="inlineStr">
        <is>
          <t>Cuerpo: 100% Algodón / Malla: 100% Poliéster</t>
        </is>
      </c>
      <c r="T77" s="156" t="inlineStr">
        <is>
          <t>Lleva el auténtico estilo western con la Gorra Wrangler de la línea IRON RODEO IRON HORNS. Diseñada en una clásica silueta de 6 paneles, esta pieza en color gris está confeccionada con cuerpo: 100% algodón / malla: 100% poliéster para ofrecerte máxima comodidad, transpirabilidad y durabilidad. Ideal para complementar tu look diario y destacar con la calidad inconfundible de Wrangler.</t>
        </is>
      </c>
      <c r="U77" s="156" t="inlineStr">
        <is>
          <t>China</t>
        </is>
      </c>
      <c r="V77" s="156" t="inlineStr">
        <is>
          <t>PZS</t>
        </is>
      </c>
      <c r="W77" s="51" t="inlineStr">
        <is>
          <t>53102500</t>
        </is>
      </c>
      <c r="X77" s="156" t="inlineStr">
        <is>
          <t>https://m-universal-unique-brands.odoo.com/web/image/product.product/30084/image_1920</t>
        </is>
      </c>
      <c r="Y77" s="54" t="n">
        <v>5.4</v>
      </c>
      <c r="Z77" s="54" t="n">
        <v>699</v>
      </c>
      <c r="AA77" s="55">
        <f>IF(AND(A77="", B77="", E77=""), "", IF(AB77="", "Válido", IF((LEN(AB77)-LEN(SUBSTITUTE(AB77,"; ","")))/2+1&gt;(LEN(AB77)-LEN(SUBSTITUTE(AB77,"[Aviso]","")))/7, "Con Incidencias", "Válido")))</f>
        <v/>
      </c>
      <c r="AB77" s="56">
        <f>IF(AND(A77="", B77="", E77=""), "", TEXTJOIN("; ", TRUE, IF(OR(TRIM(A77&amp;"")="", ISNUMBER(SEARCH("FALTA", A77))), "UPC faltante/inválido", ""), IF(AND(A77&lt;&gt;"", IFERROR(_xlfn.XMATCH(A77,$A$2:$A$1063,0,1)&lt;&gt;_xlfn.XMATCH(A77,$A$2:$A$1063,0,-1),FALSE)), "Código de barras duplicado", ""), IF(AND(E77&lt;&gt;"", COUNTIF($E$2:$E$1063, E77)&gt;1), "SKU duplicado", ""), IF(OR(J77="", J77=""), "[Aviso] División no capturada ()", IF(ISNA(MATCH(J77, Criterios!$A$123:$A$126, 0)), "División no válida", "")), IF(OR(K77="", K77=""), "[Aviso] Categoría no capturada ()", IF(ISNA(MATCH(K77, Criterios!$A$81:$A$120, 0)), "Categoría no válida", IF(AND(J77&lt;&gt;"", J77&lt;&gt;"", J77&lt;&gt;VLOOKUP(K77, Criterios!$A$81:$B$120, 2, FALSE)), "División no coincide con Categoría", ""))), IF(OR(L77="", L77=""), "[Aviso] Género no capturado ()", IF(ISNA(MATCH(L77, Criterios!$B$123:$B$127, 0)), "Género no válido", "")), IF(OR(N77="", N77=""), "[Aviso] Temporada no capturada ()", IF(ISNA(MATCH(N77, Criterios!$C$123:$C$128, 0)), "Temporada no válida", "")), IF(OR(O77="", O77=""), "[Aviso] Ciclo de vida no capturado ()", IF(ISNA(MATCH(O77, Criterios!$D$123:$D$124, 0)), "Ciclo de vida no válido", ""))))</f>
        <v/>
      </c>
      <c r="AC77" s="56" t="n"/>
      <c r="AD77" s="51" t="n">
        <v>0</v>
      </c>
      <c r="AE77" s="156" t="n"/>
      <c r="AF77" s="51" t="n">
        <v>0</v>
      </c>
      <c r="AG77" s="156" t="inlineStr">
        <is>
          <t>Catálogo existente</t>
        </is>
      </c>
      <c r="AH77" s="156" t="inlineStr">
        <is>
          <t>No se encontró en Hoja a Revisar por ID interno ni por código de barras; Auditoría NetSuite 30/09/2026: llenado desde NetSuite [Z]; Vinculado por código de barras al ID NetSuite 118083 (antes en Identificador interno: 'W-IR-U-004-IR-OS') | 01/10/2026: complementado desde Odoo Universal Unique Brands (match por código de barras): WB Fit, WB Silueta (antes «6 Paneles», no válido en Criterios), Enlace de imagen | 01/10/2026: Odoo Universal Unique Brands trae Color «Beige» — se conservó el valor de Productos | Homologación G1522 06/10/2026: Precio de compra: «5,4» → «5.4» (Corrección aplicada) · Validación G1522: Dígito de control del código de barras inválido; [Aviso] Precio de compra posiblemente en USD · Validador Shopify: WB: precio con IVA no termina en 9</t>
        </is>
      </c>
      <c r="AI77" s="156" t="inlineStr">
        <is>
          <t>No</t>
        </is>
      </c>
      <c r="AJ77" s="156" t="n"/>
      <c r="AK77" s="155" t="inlineStr">
        <is>
          <t>G1522_Extraccion_Articulos_NetSuite_2026-09-30.xlsx: fila 64224 [Z] | Odoo: producto 30084 / plantilla 38840</t>
        </is>
      </c>
      <c r="AL77" s="58" t="inlineStr">
        <is>
          <t>5,4</t>
        </is>
      </c>
      <c r="AM77" s="58" t="n"/>
      <c r="AN77" s="155" t="inlineStr">
        <is>
          <t>Odoo Universal Unique Brands</t>
        </is>
      </c>
      <c r="AO77" s="59" t="n"/>
      <c r="AP77" s="59" t="n"/>
      <c r="AQ77" s="59" t="n">
        <v>94</v>
      </c>
      <c r="AR77" s="155" t="inlineStr">
        <is>
          <t>Odoo Universal Unique Brands › Bodega 25 › Bodega 25/General: 94</t>
        </is>
      </c>
    </row>
    <row r="78">
      <c r="A78" s="50" t="inlineStr">
        <is>
          <t>1261108510012</t>
        </is>
      </c>
      <c r="B78" s="51" t="inlineStr">
        <is>
          <t>118084</t>
        </is>
      </c>
      <c r="C78" s="156" t="inlineStr">
        <is>
          <t>Wrangler</t>
        </is>
      </c>
      <c r="D78" s="156" t="inlineStr">
        <is>
          <t>W-IR-U-001-FUL</t>
        </is>
      </c>
      <c r="E78" s="156" t="inlineStr">
        <is>
          <t>1261-1085-10012</t>
        </is>
      </c>
      <c r="F78" s="156" t="inlineStr">
        <is>
          <t>Talla única</t>
        </is>
      </c>
      <c r="G78" s="156" t="inlineStr">
        <is>
          <t>One Size</t>
        </is>
      </c>
      <c r="H78" s="156" t="inlineStr">
        <is>
          <t>Wrangler</t>
        </is>
      </c>
      <c r="I78" s="156" t="inlineStr">
        <is>
          <t>Gorra IRON RODEO FULL FORCE</t>
        </is>
      </c>
      <c r="J78" s="156" t="inlineStr">
        <is>
          <t>Accesorios</t>
        </is>
      </c>
      <c r="K78" s="156" t="inlineStr">
        <is>
          <t>Gorras</t>
        </is>
      </c>
      <c r="L78" s="156" t="inlineStr">
        <is>
          <t>Unisex</t>
        </is>
      </c>
      <c r="M78" s="156" t="inlineStr">
        <is>
          <t>Wrangler</t>
        </is>
      </c>
      <c r="N78" s="156" t="inlineStr">
        <is>
          <t>SS26</t>
        </is>
      </c>
      <c r="O78" s="156" t="inlineStr">
        <is>
          <t>Seasonal</t>
        </is>
      </c>
      <c r="P78" s="156" t="inlineStr">
        <is>
          <t>Cafe</t>
        </is>
      </c>
      <c r="Q78" s="156" t="n"/>
      <c r="R78" s="156" t="n"/>
      <c r="S78" s="156" t="inlineStr">
        <is>
          <t>Cuerpo: 100% Algodón / Malla: 100% Poliéster</t>
        </is>
      </c>
      <c r="T78" s="156" t="inlineStr">
        <is>
          <t>Lleva el auténtico estilo western con la Gorra Wrangler de la línea IRON RODEO FULL FORCE. Diseñada en una clásica silueta de 6 paneles, esta pieza en color cafe está confeccionada con cuerpo: 100% algodón / malla: 100% poliéster para ofrecerte máxima comodidad, transpirabilidad y durabilidad. Ideal para complementar tu look diario y destacar con la calidad inconfundible de Wrangler.</t>
        </is>
      </c>
      <c r="U78" s="156" t="inlineStr">
        <is>
          <t>China</t>
        </is>
      </c>
      <c r="V78" s="156" t="inlineStr">
        <is>
          <t>PZS</t>
        </is>
      </c>
      <c r="W78" s="51" t="inlineStr">
        <is>
          <t>53102500</t>
        </is>
      </c>
      <c r="X78" s="156" t="inlineStr">
        <is>
          <t>https://m-universal-unique-brands.odoo.com/web/image/product.product/30085/image_1920</t>
        </is>
      </c>
      <c r="Y78" s="54" t="n">
        <v>5.4</v>
      </c>
      <c r="Z78" s="54" t="n">
        <v>699</v>
      </c>
      <c r="AA78" s="55">
        <f>IF(AND(A78="", B78="", E78=""), "", IF(AB78="", "Válido", IF((LEN(AB78)-LEN(SUBSTITUTE(AB78,"; ","")))/2+1&gt;(LEN(AB78)-LEN(SUBSTITUTE(AB78,"[Aviso]","")))/7, "Con Incidencias", "Válido")))</f>
        <v/>
      </c>
      <c r="AB78" s="56">
        <f>IF(AND(A78="", B78="", E78=""), "", TEXTJOIN("; ", TRUE, IF(OR(TRIM(A78&amp;"")="", ISNUMBER(SEARCH("FALTA", A78))), "UPC faltante/inválido", ""), IF(AND(A78&lt;&gt;"", IFERROR(_xlfn.XMATCH(A78,$A$2:$A$1063,0,1)&lt;&gt;_xlfn.XMATCH(A78,$A$2:$A$1063,0,-1),FALSE)), "Código de barras duplicado", ""), IF(AND(E78&lt;&gt;"", COUNTIF($E$2:$E$1063, E78)&gt;1), "SKU duplicado", ""), IF(OR(J78="", J78=""), "[Aviso] División no capturada ()", IF(ISNA(MATCH(J78, Criterios!$A$123:$A$126, 0)), "División no válida", "")), IF(OR(K78="", K78=""), "[Aviso] Categoría no capturada ()", IF(ISNA(MATCH(K78, Criterios!$A$81:$A$120, 0)), "Categoría no válida", IF(AND(J78&lt;&gt;"", J78&lt;&gt;"", J78&lt;&gt;VLOOKUP(K78, Criterios!$A$81:$B$120, 2, FALSE)), "División no coincide con Categoría", ""))), IF(OR(L78="", L78=""), "[Aviso] Género no capturado ()", IF(ISNA(MATCH(L78, Criterios!$B$123:$B$127, 0)), "Género no válido", "")), IF(OR(N78="", N78=""), "[Aviso] Temporada no capturada ()", IF(ISNA(MATCH(N78, Criterios!$C$123:$C$128, 0)), "Temporada no válida", "")), IF(OR(O78="", O78=""), "[Aviso] Ciclo de vida no capturado ()", IF(ISNA(MATCH(O78, Criterios!$D$123:$D$124, 0)), "Ciclo de vida no válido", ""))))</f>
        <v/>
      </c>
      <c r="AC78" s="56" t="n"/>
      <c r="AD78" s="51" t="n">
        <v>0</v>
      </c>
      <c r="AE78" s="156" t="n"/>
      <c r="AF78" s="51" t="n">
        <v>0</v>
      </c>
      <c r="AG78" s="156" t="inlineStr">
        <is>
          <t>Catálogo existente</t>
        </is>
      </c>
      <c r="AH78" s="156" t="inlineStr">
        <is>
          <t>No se encontró en Hoja a Revisar por ID interno ni por código de barras; Auditoría NetSuite 30/09/2026: llenado desde NetSuite [Z]; Vinculado por código de barras al ID NetSuite 118084 (antes en Identificador interno: 'W-IR-U-001-FUL-OS') | 01/10/2026: complementado desde Odoo Universal Unique Brands (match por código de barras): WB Fit, WB Silueta (antes «6 Paneles», no válido en Criterios), Enlace de imagen | 01/10/2026: Odoo Universal Unique Brands trae Color «Rojo» — se conservó el valor de Productos | Homologación G1522 06/10/2026: Precio de compra: «5,4» → «5.4» (Corrección aplicada) · Validación G1522: Dígito de control del código de barras inválido; [Aviso] Precio de compra posiblemente en USD · Validador Shopify: WB: precio con IVA no termina en 9</t>
        </is>
      </c>
      <c r="AI78" s="156" t="inlineStr">
        <is>
          <t>No</t>
        </is>
      </c>
      <c r="AJ78" s="156" t="n"/>
      <c r="AK78" s="155" t="inlineStr">
        <is>
          <t>G1522_Extraccion_Articulos_NetSuite_2026-09-30.xlsx: fila 64225 [Z] | Odoo: producto 30085 / plantilla 38841</t>
        </is>
      </c>
      <c r="AL78" s="58" t="inlineStr">
        <is>
          <t>5,4</t>
        </is>
      </c>
      <c r="AM78" s="58" t="n"/>
      <c r="AN78" s="155" t="inlineStr">
        <is>
          <t>Odoo Universal Unique Brands</t>
        </is>
      </c>
      <c r="AO78" s="59" t="n"/>
      <c r="AP78" s="59" t="n"/>
      <c r="AQ78" s="59" t="n">
        <v>99</v>
      </c>
      <c r="AR78" s="155" t="inlineStr">
        <is>
          <t>Odoo Universal Unique Brands › Bodega 25 › Bodega 25/General: 99</t>
        </is>
      </c>
    </row>
    <row r="79">
      <c r="A79" s="50" t="inlineStr">
        <is>
          <t>1261108510013</t>
        </is>
      </c>
      <c r="B79" s="51" t="inlineStr">
        <is>
          <t>118085</t>
        </is>
      </c>
      <c r="C79" s="156" t="inlineStr">
        <is>
          <t>Wrangler</t>
        </is>
      </c>
      <c r="D79" s="156" t="inlineStr">
        <is>
          <t>W-IR-U-003-FUL</t>
        </is>
      </c>
      <c r="E79" s="156" t="inlineStr">
        <is>
          <t>1261-1085-10013</t>
        </is>
      </c>
      <c r="F79" s="156" t="inlineStr">
        <is>
          <t>Talla única</t>
        </is>
      </c>
      <c r="G79" s="156" t="inlineStr">
        <is>
          <t>One Size</t>
        </is>
      </c>
      <c r="H79" s="156" t="inlineStr">
        <is>
          <t>Wrangler</t>
        </is>
      </c>
      <c r="I79" s="156" t="inlineStr">
        <is>
          <t>Gorra IRON RODEO FULL FORCE</t>
        </is>
      </c>
      <c r="J79" s="156" t="inlineStr">
        <is>
          <t>Accesorios</t>
        </is>
      </c>
      <c r="K79" s="156" t="inlineStr">
        <is>
          <t>Gorras</t>
        </is>
      </c>
      <c r="L79" s="156" t="inlineStr">
        <is>
          <t>Unisex</t>
        </is>
      </c>
      <c r="M79" s="156" t="inlineStr">
        <is>
          <t>Wrangler</t>
        </is>
      </c>
      <c r="N79" s="156" t="inlineStr">
        <is>
          <t>SS26</t>
        </is>
      </c>
      <c r="O79" s="156" t="inlineStr">
        <is>
          <t>Seasonal</t>
        </is>
      </c>
      <c r="P79" s="156" t="inlineStr">
        <is>
          <t>Gris</t>
        </is>
      </c>
      <c r="Q79" s="156" t="n"/>
      <c r="R79" s="156" t="n"/>
      <c r="S79" s="156" t="inlineStr">
        <is>
          <t>Cuerpo: 100% Algodón / Malla: 100% Poliéster</t>
        </is>
      </c>
      <c r="T79" s="156" t="inlineStr">
        <is>
          <t>Lleva el auténtico estilo western con la Gorra Wrangler de la línea IRON RODEO FULL FORCE. Diseñada en una clásica silueta de 6 paneles, esta pieza en color gris está confeccionada con cuerpo: 100% algodón / malla: 100% poliéster para ofrecerte máxima comodidad, transpirabilidad y durabilidad. Ideal para complementar tu look diario y destacar con la calidad inconfundible de Wrangler.</t>
        </is>
      </c>
      <c r="U79" s="156" t="inlineStr">
        <is>
          <t>China</t>
        </is>
      </c>
      <c r="V79" s="156" t="inlineStr">
        <is>
          <t>PZS</t>
        </is>
      </c>
      <c r="W79" s="51" t="inlineStr">
        <is>
          <t>53102500</t>
        </is>
      </c>
      <c r="X79" s="156" t="inlineStr">
        <is>
          <t>https://m-universal-unique-brands.odoo.com/web/image/product.product/30086/image_1920</t>
        </is>
      </c>
      <c r="Y79" s="54" t="n">
        <v>5.4</v>
      </c>
      <c r="Z79" s="54" t="n">
        <v>699</v>
      </c>
      <c r="AA79" s="55">
        <f>IF(AND(A79="", B79="", E79=""), "", IF(AB79="", "Válido", IF((LEN(AB79)-LEN(SUBSTITUTE(AB79,"; ","")))/2+1&gt;(LEN(AB79)-LEN(SUBSTITUTE(AB79,"[Aviso]","")))/7, "Con Incidencias", "Válido")))</f>
        <v/>
      </c>
      <c r="AB79" s="56">
        <f>IF(AND(A79="", B79="", E79=""), "", TEXTJOIN("; ", TRUE, IF(OR(TRIM(A79&amp;"")="", ISNUMBER(SEARCH("FALTA", A79))), "UPC faltante/inválido", ""), IF(AND(A79&lt;&gt;"", IFERROR(_xlfn.XMATCH(A79,$A$2:$A$1063,0,1)&lt;&gt;_xlfn.XMATCH(A79,$A$2:$A$1063,0,-1),FALSE)), "Código de barras duplicado", ""), IF(AND(E79&lt;&gt;"", COUNTIF($E$2:$E$1063, E79)&gt;1), "SKU duplicado", ""), IF(OR(J79="", J79=""), "[Aviso] División no capturada ()", IF(ISNA(MATCH(J79, Criterios!$A$123:$A$126, 0)), "División no válida", "")), IF(OR(K79="", K79=""), "[Aviso] Categoría no capturada ()", IF(ISNA(MATCH(K79, Criterios!$A$81:$A$120, 0)), "Categoría no válida", IF(AND(J79&lt;&gt;"", J79&lt;&gt;"", J79&lt;&gt;VLOOKUP(K79, Criterios!$A$81:$B$120, 2, FALSE)), "División no coincide con Categoría", ""))), IF(OR(L79="", L79=""), "[Aviso] Género no capturado ()", IF(ISNA(MATCH(L79, Criterios!$B$123:$B$127, 0)), "Género no válido", "")), IF(OR(N79="", N79=""), "[Aviso] Temporada no capturada ()", IF(ISNA(MATCH(N79, Criterios!$C$123:$C$128, 0)), "Temporada no válida", "")), IF(OR(O79="", O79=""), "[Aviso] Ciclo de vida no capturado ()", IF(ISNA(MATCH(O79, Criterios!$D$123:$D$124, 0)), "Ciclo de vida no válido", ""))))</f>
        <v/>
      </c>
      <c r="AC79" s="56" t="n"/>
      <c r="AD79" s="51" t="n">
        <v>0</v>
      </c>
      <c r="AE79" s="156" t="n"/>
      <c r="AF79" s="51" t="n">
        <v>0</v>
      </c>
      <c r="AG79" s="156" t="inlineStr">
        <is>
          <t>Catálogo existente</t>
        </is>
      </c>
      <c r="AH79" s="156" t="inlineStr">
        <is>
          <t>No se encontró en Hoja a Revisar por ID interno ni por código de barras; Auditoría NetSuite 30/09/2026: llenado desde NetSuite [Z]; Vinculado por código de barras al ID NetSuite 118085 (antes en Identificador interno: 'W-IR-U-003-FUL-OS') | 01/10/2026: complementado desde Odoo Universal Unique Brands (match por código de barras): WB Fit, WB Silueta (antes «6 Paneles», no válido en Criterios), Enlace de imagen | 01/10/2026: Odoo Universal Unique Brands trae Color «Verde» — se conservó el valor de Productos | Homologación G1522 06/10/2026: Precio de compra: «5,4» → «5.4» (Corrección aplicada) · Validación G1522: Dígito de control del código de barras inválido; [Aviso] Precio de compra posiblemente en USD · Validador Shopify: WB: precio con IVA no termina en 9</t>
        </is>
      </c>
      <c r="AI79" s="156" t="inlineStr">
        <is>
          <t>No</t>
        </is>
      </c>
      <c r="AJ79" s="156" t="n"/>
      <c r="AK79" s="155" t="inlineStr">
        <is>
          <t>G1522_Extraccion_Articulos_NetSuite_2026-09-30.xlsx: fila 64226 [Z] | Odoo: producto 30086 / plantilla 38842</t>
        </is>
      </c>
      <c r="AL79" s="58" t="inlineStr">
        <is>
          <t>5,4</t>
        </is>
      </c>
      <c r="AM79" s="58" t="n"/>
      <c r="AN79" s="155" t="inlineStr">
        <is>
          <t>Odoo Universal Unique Brands</t>
        </is>
      </c>
      <c r="AO79" s="59" t="n"/>
      <c r="AP79" s="59" t="n"/>
      <c r="AQ79" s="59" t="n">
        <v>72</v>
      </c>
      <c r="AR79" s="155" t="inlineStr">
        <is>
          <t>Odoo Universal Unique Brands › Bodega 25 › Bodega 25/General: 72</t>
        </is>
      </c>
    </row>
    <row r="80">
      <c r="A80" s="50" t="inlineStr">
        <is>
          <t>1261108510014</t>
        </is>
      </c>
      <c r="B80" s="51" t="inlineStr">
        <is>
          <t>117830</t>
        </is>
      </c>
      <c r="C80" s="156" t="inlineStr">
        <is>
          <t>Wrangler</t>
        </is>
      </c>
      <c r="D80" s="156" t="inlineStr">
        <is>
          <t>W-IR-U-002-WIL</t>
        </is>
      </c>
      <c r="E80" s="156" t="inlineStr">
        <is>
          <t>1261-1085-10014</t>
        </is>
      </c>
      <c r="F80" s="156" t="inlineStr">
        <is>
          <t>Talla única</t>
        </is>
      </c>
      <c r="G80" s="156" t="inlineStr">
        <is>
          <t>One Size</t>
        </is>
      </c>
      <c r="H80" s="156" t="inlineStr">
        <is>
          <t>Wrangler</t>
        </is>
      </c>
      <c r="I80" s="156" t="inlineStr">
        <is>
          <t>Gorra IRON RODEO WILD MOTION</t>
        </is>
      </c>
      <c r="J80" s="156" t="inlineStr">
        <is>
          <t>Accesorios</t>
        </is>
      </c>
      <c r="K80" s="156" t="inlineStr">
        <is>
          <t>Gorras</t>
        </is>
      </c>
      <c r="L80" s="156" t="inlineStr">
        <is>
          <t>Unisex</t>
        </is>
      </c>
      <c r="M80" s="156" t="inlineStr">
        <is>
          <t>Wrangler</t>
        </is>
      </c>
      <c r="N80" s="156" t="inlineStr">
        <is>
          <t>SS26</t>
        </is>
      </c>
      <c r="O80" s="156" t="inlineStr">
        <is>
          <t>Seasonal</t>
        </is>
      </c>
      <c r="P80" s="156" t="inlineStr">
        <is>
          <t>Beige</t>
        </is>
      </c>
      <c r="Q80" s="156" t="n"/>
      <c r="R80" s="156" t="n"/>
      <c r="S80" s="156" t="inlineStr">
        <is>
          <t>Cuerpo: 100% Algodón / Malla: 100% Poliéster</t>
        </is>
      </c>
      <c r="T80" s="156" t="inlineStr">
        <is>
          <t>Lleva el auténtico estilo western con la Gorra Wrangler de la línea IRON RODEO WILD MOTION. Diseñada en una clásica silueta de 6 paneles, esta pieza en color beige está confeccionada con cuerpo: 100% algodón / malla: 100% poliéster para ofrecerte máxima comodidad, transpirabilidad y durabilidad. Ideal para complementar tu look diario y destacar con la calidad inconfundible de Wrangler.</t>
        </is>
      </c>
      <c r="U80" s="156" t="inlineStr">
        <is>
          <t>China</t>
        </is>
      </c>
      <c r="V80" s="156" t="inlineStr">
        <is>
          <t>PZS</t>
        </is>
      </c>
      <c r="W80" s="51" t="inlineStr">
        <is>
          <t>53102500</t>
        </is>
      </c>
      <c r="X80" s="156" t="inlineStr">
        <is>
          <t>https://m-universal-unique-brands.odoo.com/web/image/product.product/30087/image_1920</t>
        </is>
      </c>
      <c r="Y80" s="54" t="n">
        <v>5.4</v>
      </c>
      <c r="Z80" s="54" t="n">
        <v>699</v>
      </c>
      <c r="AA80" s="55">
        <f>IF(AND(A80="", B80="", E80=""), "", IF(AB80="", "Válido", IF((LEN(AB80)-LEN(SUBSTITUTE(AB80,"; ","")))/2+1&gt;(LEN(AB80)-LEN(SUBSTITUTE(AB80,"[Aviso]","")))/7, "Con Incidencias", "Válido")))</f>
        <v/>
      </c>
      <c r="AB80" s="56">
        <f>IF(AND(A80="", B80="", E80=""), "", TEXTJOIN("; ", TRUE, IF(OR(TRIM(A80&amp;"")="", ISNUMBER(SEARCH("FALTA", A80))), "UPC faltante/inválido", ""), IF(AND(A80&lt;&gt;"", IFERROR(_xlfn.XMATCH(A80,$A$2:$A$1063,0,1)&lt;&gt;_xlfn.XMATCH(A80,$A$2:$A$1063,0,-1),FALSE)), "Código de barras duplicado", ""), IF(AND(E80&lt;&gt;"", COUNTIF($E$2:$E$1063, E80)&gt;1), "SKU duplicado", ""), IF(OR(J80="", J80=""), "[Aviso] División no capturada ()", IF(ISNA(MATCH(J80, Criterios!$A$123:$A$126, 0)), "División no válida", "")), IF(OR(K80="", K80=""), "[Aviso] Categoría no capturada ()", IF(ISNA(MATCH(K80, Criterios!$A$81:$A$120, 0)), "Categoría no válida", IF(AND(J80&lt;&gt;"", J80&lt;&gt;"", J80&lt;&gt;VLOOKUP(K80, Criterios!$A$81:$B$120, 2, FALSE)), "División no coincide con Categoría", ""))), IF(OR(L80="", L80=""), "[Aviso] Género no capturado ()", IF(ISNA(MATCH(L80, Criterios!$B$123:$B$127, 0)), "Género no válido", "")), IF(OR(N80="", N80=""), "[Aviso] Temporada no capturada ()", IF(ISNA(MATCH(N80, Criterios!$C$123:$C$128, 0)), "Temporada no válida", "")), IF(OR(O80="", O80=""), "[Aviso] Ciclo de vida no capturado ()", IF(ISNA(MATCH(O80, Criterios!$D$123:$D$124, 0)), "Ciclo de vida no válido", ""))))</f>
        <v/>
      </c>
      <c r="AC80" s="56" t="n"/>
      <c r="AD80" s="51" t="n">
        <v>0</v>
      </c>
      <c r="AE80" s="156" t="n"/>
      <c r="AF80" s="51" t="n">
        <v>0</v>
      </c>
      <c r="AG80" s="156" t="inlineStr">
        <is>
          <t>Catálogo existente</t>
        </is>
      </c>
      <c r="AH80" s="156" t="inlineStr">
        <is>
          <t>Coincidencia por código de barras (ID NetSuite 117830) | ID alternativo de Hoja a Revisar 117830 (UPC coincidente); se conserva ID principal; Auditoría NetSuite 30/09/2026: llenado desde NetSuite [Z]; Vinculado por código de barras al ID NetSuite 117830 (antes en Identificador interno: 'W-IR-U-002-WIL-OS') | 01/10/2026: complementado desde Shopify Western Brothers (match por código de barras): WB Fit, WB Silueta (antes «6 Paneles», no válido en Criterios) | 01/10/2026: Shopify Western Brothers trae Color «Verde» — se conservó el valor de Productos | 01/10/2026: complementado desde Odoo Universal Unique Brands (match por código de barras): Enlace de imagen | 01/10/2026: Odoo Universal Unique Brands trae Color «Verde» — se conservó el valor de Productos | Homologación G1522 06/10/2026: Precio de compra: «5,4» → «5.4» (Corrección aplicada) · Validación G1522: Dígito de control del código de barras inválido; [Aviso] Precio de compra posiblemente en USD · Validador Shopify: WB: precio con IVA no termina en 9</t>
        </is>
      </c>
      <c r="AI80" s="156" t="inlineStr">
        <is>
          <t>No</t>
        </is>
      </c>
      <c r="AJ80" s="156" t="n"/>
      <c r="AK80" s="155" t="inlineStr">
        <is>
          <t>| Hoja a Revisar: fila 917488 (ID 117830, misma clave UPC); G1522_Extraccion_Articulos_NetSuite_2026-09-30.xlsx: fila 64071 [Z] | Shopify WB: producto 10310434816185 / variante 50512588046521 | Odoo: producto 30087 / plantilla 38843</t>
        </is>
      </c>
      <c r="AL80" s="58" t="inlineStr">
        <is>
          <t>5,4</t>
        </is>
      </c>
      <c r="AM80" s="58" t="n"/>
      <c r="AN80" s="155" t="inlineStr">
        <is>
          <t>Shopify Western Brothers | Odoo Universal Unique Brands</t>
        </is>
      </c>
      <c r="AO80" s="59" t="n"/>
      <c r="AP80" s="59" t="n">
        <v>9</v>
      </c>
      <c r="AQ80" s="59" t="n">
        <v>104</v>
      </c>
      <c r="AR80" s="155" t="inlineStr">
        <is>
          <t>Shopify Western Brothers › Western Brothers Outlet Lerma: 9 | Odoo Universal Unique Brands › Bodega 25 › Bodega 25/General: 104</t>
        </is>
      </c>
    </row>
    <row r="81">
      <c r="A81" s="50" t="inlineStr">
        <is>
          <t>1261108510015</t>
        </is>
      </c>
      <c r="B81" s="51" t="inlineStr">
        <is>
          <t>117831</t>
        </is>
      </c>
      <c r="C81" s="156" t="inlineStr">
        <is>
          <t>Wrangler</t>
        </is>
      </c>
      <c r="D81" s="156" t="inlineStr">
        <is>
          <t>W-IR-U-003-WIL</t>
        </is>
      </c>
      <c r="E81" s="156" t="inlineStr">
        <is>
          <t>1261-1085-10015</t>
        </is>
      </c>
      <c r="F81" s="156" t="inlineStr">
        <is>
          <t>Talla única</t>
        </is>
      </c>
      <c r="G81" s="156" t="inlineStr">
        <is>
          <t>One Size</t>
        </is>
      </c>
      <c r="H81" s="156" t="inlineStr">
        <is>
          <t>Wrangler</t>
        </is>
      </c>
      <c r="I81" s="156" t="inlineStr">
        <is>
          <t>Gorra IRON RODEO WILD MOTION</t>
        </is>
      </c>
      <c r="J81" s="156" t="inlineStr">
        <is>
          <t>Accesorios</t>
        </is>
      </c>
      <c r="K81" s="156" t="inlineStr">
        <is>
          <t>Gorras</t>
        </is>
      </c>
      <c r="L81" s="156" t="inlineStr">
        <is>
          <t>Unisex</t>
        </is>
      </c>
      <c r="M81" s="156" t="inlineStr">
        <is>
          <t>Wrangler</t>
        </is>
      </c>
      <c r="N81" s="156" t="inlineStr">
        <is>
          <t>SS26</t>
        </is>
      </c>
      <c r="O81" s="156" t="inlineStr">
        <is>
          <t>Seasonal</t>
        </is>
      </c>
      <c r="P81" s="156" t="inlineStr">
        <is>
          <t>Naranja</t>
        </is>
      </c>
      <c r="Q81" s="156" t="n"/>
      <c r="R81" s="156" t="n"/>
      <c r="S81" s="156" t="inlineStr">
        <is>
          <t>Cuerpo: 100% Algodón / Malla: 100% Poliéster</t>
        </is>
      </c>
      <c r="T81" s="156" t="inlineStr">
        <is>
          <t>Lleva el auténtico estilo western con la Gorra Wrangler de la línea IRON RODEO WILD MOTION. Diseñada en una clásica silueta de 6 paneles, esta pieza en color naranja está confeccionada con cuerpo: 100% algodón / malla: 100% poliéster para ofrecerte máxima comodidad, transpirabilidad y durabilidad. Ideal para complementar tu look diario y destacar con la calidad inconfundible de Wrangler.</t>
        </is>
      </c>
      <c r="U81" s="156" t="inlineStr">
        <is>
          <t>China</t>
        </is>
      </c>
      <c r="V81" s="156" t="inlineStr">
        <is>
          <t>PZS</t>
        </is>
      </c>
      <c r="W81" s="51" t="inlineStr">
        <is>
          <t>53102500</t>
        </is>
      </c>
      <c r="X81" s="156" t="inlineStr">
        <is>
          <t>https://m-universal-unique-brands.odoo.com/web/image/product.product/30088/image_1920</t>
        </is>
      </c>
      <c r="Y81" s="54" t="n">
        <v>5.4</v>
      </c>
      <c r="Z81" s="54" t="n">
        <v>699</v>
      </c>
      <c r="AA81" s="55">
        <f>IF(AND(A81="", B81="", E81=""), "", IF(AB81="", "Válido", IF((LEN(AB81)-LEN(SUBSTITUTE(AB81,"; ","")))/2+1&gt;(LEN(AB81)-LEN(SUBSTITUTE(AB81,"[Aviso]","")))/7, "Con Incidencias", "Válido")))</f>
        <v/>
      </c>
      <c r="AB81" s="56">
        <f>IF(AND(A81="", B81="", E81=""), "", TEXTJOIN("; ", TRUE, IF(OR(TRIM(A81&amp;"")="", ISNUMBER(SEARCH("FALTA", A81))), "UPC faltante/inválido", ""), IF(AND(A81&lt;&gt;"", IFERROR(_xlfn.XMATCH(A81,$A$2:$A$1063,0,1)&lt;&gt;_xlfn.XMATCH(A81,$A$2:$A$1063,0,-1),FALSE)), "Código de barras duplicado", ""), IF(AND(E81&lt;&gt;"", COUNTIF($E$2:$E$1063, E81)&gt;1), "SKU duplicado", ""), IF(OR(J81="", J81=""), "[Aviso] División no capturada ()", IF(ISNA(MATCH(J81, Criterios!$A$123:$A$126, 0)), "División no válida", "")), IF(OR(K81="", K81=""), "[Aviso] Categoría no capturada ()", IF(ISNA(MATCH(K81, Criterios!$A$81:$A$120, 0)), "Categoría no válida", IF(AND(J81&lt;&gt;"", J81&lt;&gt;"", J81&lt;&gt;VLOOKUP(K81, Criterios!$A$81:$B$120, 2, FALSE)), "División no coincide con Categoría", ""))), IF(OR(L81="", L81=""), "[Aviso] Género no capturado ()", IF(ISNA(MATCH(L81, Criterios!$B$123:$B$127, 0)), "Género no válido", "")), IF(OR(N81="", N81=""), "[Aviso] Temporada no capturada ()", IF(ISNA(MATCH(N81, Criterios!$C$123:$C$128, 0)), "Temporada no válida", "")), IF(OR(O81="", O81=""), "[Aviso] Ciclo de vida no capturado ()", IF(ISNA(MATCH(O81, Criterios!$D$123:$D$124, 0)), "Ciclo de vida no válido", ""))))</f>
        <v/>
      </c>
      <c r="AC81" s="56" t="n"/>
      <c r="AD81" s="51" t="n">
        <v>0</v>
      </c>
      <c r="AE81" s="156" t="n"/>
      <c r="AF81" s="51" t="n">
        <v>0</v>
      </c>
      <c r="AG81" s="156" t="inlineStr">
        <is>
          <t>Catálogo existente</t>
        </is>
      </c>
      <c r="AH81" s="156" t="inlineStr">
        <is>
          <t>Coincidencia por código de barras (ID NetSuite 117831) | ID alternativo de Hoja a Revisar 117831 (UPC coincidente); se conserva ID principal; Auditoría NetSuite 30/09/2026: llenado desde NetSuite [Z]; Vinculado por código de barras al ID NetSuite 117831 (antes en Identificador interno: 'W-IR-U-003-WIL-OS') | 01/10/2026: complementado desde Shopify Western Brothers (match por código de barras): WB Fit, WB Silueta (antes «6 Paneles», no válido en Criterios) | 01/10/2026: Shopify Western Brothers trae Color «Blanco» — se conservó el valor de Productos | 01/10/2026: complementado desde Odoo Universal Unique Brands (match por código de barras): Enlace de imagen | 01/10/2026: Odoo Universal Unique Brands trae Color «Blanco» — se conservó el valor de Productos | Homologación G1522 06/10/2026: Precio de compra: «5,4» → «5.4» (Corrección aplicada) · Validación G1522: Dígito de control del código de barras inválido; [Aviso] Precio de compra posiblemente en USD · Validador Shopify: WB: precio con IVA no termina en 9</t>
        </is>
      </c>
      <c r="AI81" s="156" t="inlineStr">
        <is>
          <t>No</t>
        </is>
      </c>
      <c r="AJ81" s="156" t="n"/>
      <c r="AK81" s="155" t="inlineStr">
        <is>
          <t>| Hoja a Revisar: fila 917490 (ID 117831, misma clave UPC); G1522_Extraccion_Articulos_NetSuite_2026-09-30.xlsx: fila 64072 [Z] | Shopify WB: producto 10310434848953 / variante 50512588079289 | Odoo: producto 30088 / plantilla 38844</t>
        </is>
      </c>
      <c r="AL81" s="58" t="inlineStr">
        <is>
          <t>5,4</t>
        </is>
      </c>
      <c r="AM81" s="58" t="n"/>
      <c r="AN81" s="155" t="inlineStr">
        <is>
          <t>Shopify Western Brothers | Odoo Universal Unique Brands</t>
        </is>
      </c>
      <c r="AO81" s="59" t="n"/>
      <c r="AP81" s="59" t="n">
        <v>6</v>
      </c>
      <c r="AQ81" s="59" t="n">
        <v>100</v>
      </c>
      <c r="AR81" s="155" t="inlineStr">
        <is>
          <t>Shopify Western Brothers › Western Brothers Outlet Lerma: 6 | Odoo Universal Unique Brands › Bodega 25 › Bodega 25/General: 100</t>
        </is>
      </c>
    </row>
    <row r="82">
      <c r="A82" s="50" t="inlineStr">
        <is>
          <t>1261108510016</t>
        </is>
      </c>
      <c r="B82" s="51" t="inlineStr">
        <is>
          <t>117832</t>
        </is>
      </c>
      <c r="C82" s="156" t="inlineStr">
        <is>
          <t>Wrangler</t>
        </is>
      </c>
      <c r="D82" s="156" t="inlineStr">
        <is>
          <t>W-IR-U-004-WIL</t>
        </is>
      </c>
      <c r="E82" s="156" t="inlineStr">
        <is>
          <t>1261-1085-10016</t>
        </is>
      </c>
      <c r="F82" s="156" t="inlineStr">
        <is>
          <t>Talla única</t>
        </is>
      </c>
      <c r="G82" s="156" t="inlineStr">
        <is>
          <t>One Size</t>
        </is>
      </c>
      <c r="H82" s="156" t="inlineStr">
        <is>
          <t>Wrangler</t>
        </is>
      </c>
      <c r="I82" s="156" t="inlineStr">
        <is>
          <t>Gorra IRON RODEO WILD MOTION</t>
        </is>
      </c>
      <c r="J82" s="156" t="inlineStr">
        <is>
          <t>Accesorios</t>
        </is>
      </c>
      <c r="K82" s="156" t="inlineStr">
        <is>
          <t>Gorras</t>
        </is>
      </c>
      <c r="L82" s="156" t="inlineStr">
        <is>
          <t>Unisex</t>
        </is>
      </c>
      <c r="M82" s="156" t="inlineStr">
        <is>
          <t>Wrangler</t>
        </is>
      </c>
      <c r="N82" s="156" t="inlineStr">
        <is>
          <t>SS26</t>
        </is>
      </c>
      <c r="O82" s="156" t="inlineStr">
        <is>
          <t>Seasonal</t>
        </is>
      </c>
      <c r="P82" s="156" t="inlineStr">
        <is>
          <t>Verde</t>
        </is>
      </c>
      <c r="Q82" s="156" t="n"/>
      <c r="R82" s="156" t="n"/>
      <c r="S82" s="156" t="inlineStr">
        <is>
          <t>Cuerpo: 100% Algodón / Malla: 100% Poliéster</t>
        </is>
      </c>
      <c r="T82" s="156" t="inlineStr">
        <is>
          <t>Lleva el auténtico estilo western con la Gorra Wrangler de la línea IRON RODEO WILD MOTION. Diseñada en una clásica silueta de 6 paneles, esta pieza en color verde está confeccionada con cuerpo: 100% algodón / malla: 100% poliéster para ofrecerte máxima comodidad, transpirabilidad y durabilidad. Ideal para complementar tu look diario y destacar con la calidad inconfundible de Wrangler.</t>
        </is>
      </c>
      <c r="U82" s="156" t="inlineStr">
        <is>
          <t>China</t>
        </is>
      </c>
      <c r="V82" s="156" t="inlineStr">
        <is>
          <t>PZS</t>
        </is>
      </c>
      <c r="W82" s="51" t="inlineStr">
        <is>
          <t>53102500</t>
        </is>
      </c>
      <c r="X82" s="156" t="inlineStr">
        <is>
          <t>https://m-universal-unique-brands.odoo.com/web/image/product.product/30089/image_1920</t>
        </is>
      </c>
      <c r="Y82" s="54" t="n">
        <v>5.4</v>
      </c>
      <c r="Z82" s="54" t="n">
        <v>699</v>
      </c>
      <c r="AA82" s="55">
        <f>IF(AND(A82="", B82="", E82=""), "", IF(AB82="", "Válido", IF((LEN(AB82)-LEN(SUBSTITUTE(AB82,"; ","")))/2+1&gt;(LEN(AB82)-LEN(SUBSTITUTE(AB82,"[Aviso]","")))/7, "Con Incidencias", "Válido")))</f>
        <v/>
      </c>
      <c r="AB82" s="56">
        <f>IF(AND(A82="", B82="", E82=""), "", TEXTJOIN("; ", TRUE, IF(OR(TRIM(A82&amp;"")="", ISNUMBER(SEARCH("FALTA", A82))), "UPC faltante/inválido", ""), IF(AND(A82&lt;&gt;"", IFERROR(_xlfn.XMATCH(A82,$A$2:$A$1063,0,1)&lt;&gt;_xlfn.XMATCH(A82,$A$2:$A$1063,0,-1),FALSE)), "Código de barras duplicado", ""), IF(AND(E82&lt;&gt;"", COUNTIF($E$2:$E$1063, E82)&gt;1), "SKU duplicado", ""), IF(OR(J82="", J82=""), "[Aviso] División no capturada ()", IF(ISNA(MATCH(J82, Criterios!$A$123:$A$126, 0)), "División no válida", "")), IF(OR(K82="", K82=""), "[Aviso] Categoría no capturada ()", IF(ISNA(MATCH(K82, Criterios!$A$81:$A$120, 0)), "Categoría no válida", IF(AND(J82&lt;&gt;"", J82&lt;&gt;"", J82&lt;&gt;VLOOKUP(K82, Criterios!$A$81:$B$120, 2, FALSE)), "División no coincide con Categoría", ""))), IF(OR(L82="", L82=""), "[Aviso] Género no capturado ()", IF(ISNA(MATCH(L82, Criterios!$B$123:$B$127, 0)), "Género no válido", "")), IF(OR(N82="", N82=""), "[Aviso] Temporada no capturada ()", IF(ISNA(MATCH(N82, Criterios!$C$123:$C$128, 0)), "Temporada no válida", "")), IF(OR(O82="", O82=""), "[Aviso] Ciclo de vida no capturado ()", IF(ISNA(MATCH(O82, Criterios!$D$123:$D$124, 0)), "Ciclo de vida no válido", ""))))</f>
        <v/>
      </c>
      <c r="AC82" s="56" t="n"/>
      <c r="AD82" s="51" t="n">
        <v>-1</v>
      </c>
      <c r="AE82" s="156" t="n"/>
      <c r="AF82" s="51" t="n">
        <v>0</v>
      </c>
      <c r="AG82" s="156" t="inlineStr">
        <is>
          <t>Catálogo existente</t>
        </is>
      </c>
      <c r="AH82" s="156" t="inlineStr">
        <is>
          <t>Coincidencia por código de barras (ID NetSuite 117832); Stock negativo en sistema: revisar en conteo | ID alternativo de Hoja a Revisar 117832 (UPC coincidente); se conserva ID principal; Auditoría NetSuite 30/09/2026: llenado desde NetSuite [Z]; Vinculado por código de barras al ID NetSuite 117832 (antes en Identificador interno: 'W-IR-U-004-WIL-OS') | 01/10/2026: complementado desde Shopify Western Brothers (match por código de barras): WB Fit, WB Silueta (antes «6 Paneles», no válido en Criterios) | 01/10/2026: Shopify Western Brothers trae Color «Cafe» — se conservó el valor de Productos | 01/10/2026: complementado desde Odoo Universal Unique Brands (match por código de barras): Enlace de imagen | 01/10/2026: Odoo Universal Unique Brands trae Color «Cafe» — se conservó el valor de Productos | Homologación G1522 06/10/2026: Precio de compra: «5,4» → «5.4» (Corrección aplicada) · Validación G1522: [Aviso] Precio de compra posiblemente en USD · Validador Shopify: WB: precio con IVA no termina en 9</t>
        </is>
      </c>
      <c r="AI82" s="156" t="inlineStr">
        <is>
          <t>Sí</t>
        </is>
      </c>
      <c r="AJ82" s="156" t="inlineStr">
        <is>
          <t>WB OUTLET LERMA (-1)</t>
        </is>
      </c>
      <c r="AK82" s="155" t="inlineStr">
        <is>
          <t>| Hoja a Revisar: fila 917492 (ID 117832, misma clave UPC); G1522_Extraccion_Articulos_NetSuite_2026-09-30.xlsx: fila 64073 [Z] | Shopify WB: producto 10310434881721 / variante 50512588112057 | Odoo: producto 30089 / plantilla 38845</t>
        </is>
      </c>
      <c r="AL82" s="58" t="inlineStr">
        <is>
          <t>5,4</t>
        </is>
      </c>
      <c r="AM82" s="58" t="n"/>
      <c r="AN82" s="155" t="inlineStr">
        <is>
          <t>Shopify Western Brothers | Odoo Universal Unique Brands</t>
        </is>
      </c>
      <c r="AO82" s="59" t="n"/>
      <c r="AP82" s="59" t="n">
        <v>8</v>
      </c>
      <c r="AQ82" s="59" t="n">
        <v>94</v>
      </c>
      <c r="AR82" s="155" t="inlineStr">
        <is>
          <t>Shopify Western Brothers › Western Brothers Outlet Lerma: 8 | Odoo Universal Unique Brands › Bodega 25 › Bodega 25/General: 94</t>
        </is>
      </c>
    </row>
    <row r="83">
      <c r="A83" s="50" t="inlineStr">
        <is>
          <t>1261108510017</t>
        </is>
      </c>
      <c r="B83" s="51" t="inlineStr">
        <is>
          <t>118086</t>
        </is>
      </c>
      <c r="C83" s="156" t="inlineStr">
        <is>
          <t>Wrangler</t>
        </is>
      </c>
      <c r="D83" s="156" t="inlineStr">
        <is>
          <t>W-IR-U-002-FOR</t>
        </is>
      </c>
      <c r="E83" s="156" t="inlineStr">
        <is>
          <t>1261-1085-10017</t>
        </is>
      </c>
      <c r="F83" s="156" t="inlineStr">
        <is>
          <t>Talla única</t>
        </is>
      </c>
      <c r="G83" s="156" t="inlineStr">
        <is>
          <t>One Size</t>
        </is>
      </c>
      <c r="H83" s="156" t="inlineStr">
        <is>
          <t>Wrangler</t>
        </is>
      </c>
      <c r="I83" s="156" t="inlineStr">
        <is>
          <t>Gorra IRON RODEO FORTUNE</t>
        </is>
      </c>
      <c r="J83" s="156" t="inlineStr">
        <is>
          <t>Accesorios</t>
        </is>
      </c>
      <c r="K83" s="156" t="inlineStr">
        <is>
          <t>Gorras</t>
        </is>
      </c>
      <c r="L83" s="156" t="inlineStr">
        <is>
          <t>Unisex</t>
        </is>
      </c>
      <c r="M83" s="156" t="inlineStr">
        <is>
          <t>Wrangler</t>
        </is>
      </c>
      <c r="N83" s="156" t="inlineStr">
        <is>
          <t>SS26</t>
        </is>
      </c>
      <c r="O83" s="156" t="inlineStr">
        <is>
          <t>Seasonal</t>
        </is>
      </c>
      <c r="P83" s="156" t="inlineStr">
        <is>
          <t>Cafe</t>
        </is>
      </c>
      <c r="Q83" s="156" t="n"/>
      <c r="R83" s="156" t="n"/>
      <c r="S83" s="156" t="inlineStr">
        <is>
          <t>Cuerpo: 100% Algodón / Malla: 100% Poliéster</t>
        </is>
      </c>
      <c r="T83" s="156" t="inlineStr">
        <is>
          <t>Lleva el auténtico estilo western con la Gorra Wrangler de la línea IRON RODEO FORTUNE. Diseñada en una clásica silueta de 6 paneles, esta pieza en color cafe está confeccionada con cuerpo: 100% algodón / malla: 100% poliéster para ofrecerte máxima comodidad, transpirabilidad y durabilidad. Ideal para complementar tu look diario y destacar con la calidad inconfundible de Wrangler.</t>
        </is>
      </c>
      <c r="U83" s="156" t="inlineStr">
        <is>
          <t>China</t>
        </is>
      </c>
      <c r="V83" s="156" t="inlineStr">
        <is>
          <t>PZS</t>
        </is>
      </c>
      <c r="W83" s="51" t="inlineStr">
        <is>
          <t>53102500</t>
        </is>
      </c>
      <c r="X83" s="156" t="inlineStr">
        <is>
          <t>https://m-universal-unique-brands.odoo.com/web/image/product.product/30090/image_1920</t>
        </is>
      </c>
      <c r="Y83" s="54" t="n">
        <v>5.13</v>
      </c>
      <c r="Z83" s="54" t="n">
        <v>699</v>
      </c>
      <c r="AA83" s="55">
        <f>IF(AND(A83="", B83="", E83=""), "", IF(AB83="", "Válido", IF((LEN(AB83)-LEN(SUBSTITUTE(AB83,"; ","")))/2+1&gt;(LEN(AB83)-LEN(SUBSTITUTE(AB83,"[Aviso]","")))/7, "Con Incidencias", "Válido")))</f>
        <v/>
      </c>
      <c r="AB83" s="56">
        <f>IF(AND(A83="", B83="", E83=""), "", TEXTJOIN("; ", TRUE, IF(OR(TRIM(A83&amp;"")="", ISNUMBER(SEARCH("FALTA", A83))), "UPC faltante/inválido", ""), IF(AND(A83&lt;&gt;"", IFERROR(_xlfn.XMATCH(A83,$A$2:$A$1063,0,1)&lt;&gt;_xlfn.XMATCH(A83,$A$2:$A$1063,0,-1),FALSE)), "Código de barras duplicado", ""), IF(AND(E83&lt;&gt;"", COUNTIF($E$2:$E$1063, E83)&gt;1), "SKU duplicado", ""), IF(OR(J83="", J83=""), "[Aviso] División no capturada ()", IF(ISNA(MATCH(J83, Criterios!$A$123:$A$126, 0)), "División no válida", "")), IF(OR(K83="", K83=""), "[Aviso] Categoría no capturada ()", IF(ISNA(MATCH(K83, Criterios!$A$81:$A$120, 0)), "Categoría no válida", IF(AND(J83&lt;&gt;"", J83&lt;&gt;"", J83&lt;&gt;VLOOKUP(K83, Criterios!$A$81:$B$120, 2, FALSE)), "División no coincide con Categoría", ""))), IF(OR(L83="", L83=""), "[Aviso] Género no capturado ()", IF(ISNA(MATCH(L83, Criterios!$B$123:$B$127, 0)), "Género no válido", "")), IF(OR(N83="", N83=""), "[Aviso] Temporada no capturada ()", IF(ISNA(MATCH(N83, Criterios!$C$123:$C$128, 0)), "Temporada no válida", "")), IF(OR(O83="", O83=""), "[Aviso] Ciclo de vida no capturado ()", IF(ISNA(MATCH(O83, Criterios!$D$123:$D$124, 0)), "Ciclo de vida no válido", ""))))</f>
        <v/>
      </c>
      <c r="AC83" s="56" t="n"/>
      <c r="AD83" s="51" t="n">
        <v>0</v>
      </c>
      <c r="AE83" s="156" t="n"/>
      <c r="AF83" s="51" t="n">
        <v>0</v>
      </c>
      <c r="AG83" s="156" t="inlineStr">
        <is>
          <t>Catálogo existente</t>
        </is>
      </c>
      <c r="AH83" s="156" t="inlineStr">
        <is>
          <t>No se encontró en Hoja a Revisar por ID interno ni por código de barras; Auditoría NetSuite 30/09/2026: llenado desde NetSuite [Z]; Vinculado por código de barras al ID NetSuite 118086 (antes en Identificador interno: 'W-IR-U-002-FOR-OS') | 01/10/2026: complementado desde Odoo Universal Unique Brands (match por código de barras): WB Fit, WB Silueta (antes «6 Paneles», no válido en Criterios), Enlace de imagen | 01/10/2026: Odoo Universal Unique Brands trae Color «Beige» — se conservó el valor de Productos | Homologación G1522 06/10/2026: Precio de compra: «5,13» → «5.13» (Corrección aplicada) · Validación G1522: Dígito de control del código de barras inválido; [Aviso] Precio de compra posiblemente en USD · Validador Shopify: WB: precio con IVA no termina en 9</t>
        </is>
      </c>
      <c r="AI83" s="156" t="inlineStr">
        <is>
          <t>No</t>
        </is>
      </c>
      <c r="AJ83" s="156" t="n"/>
      <c r="AK83" s="155" t="inlineStr">
        <is>
          <t>G1522_Extraccion_Articulos_NetSuite_2026-09-30.xlsx: fila 64227 [Z] | Odoo: producto 30090 / plantilla 38846</t>
        </is>
      </c>
      <c r="AL83" s="58" t="inlineStr">
        <is>
          <t>5,13</t>
        </is>
      </c>
      <c r="AM83" s="58" t="n"/>
      <c r="AN83" s="155" t="inlineStr">
        <is>
          <t>Odoo Universal Unique Brands</t>
        </is>
      </c>
      <c r="AO83" s="59" t="n"/>
      <c r="AP83" s="59" t="n"/>
      <c r="AQ83" s="59" t="n">
        <v>91</v>
      </c>
      <c r="AR83" s="155" t="inlineStr">
        <is>
          <t>Odoo Universal Unique Brands › Bodega 25 › Bodega 25/General: 91</t>
        </is>
      </c>
    </row>
    <row r="84">
      <c r="A84" s="50" t="inlineStr">
        <is>
          <t>1261108510018</t>
        </is>
      </c>
      <c r="B84" s="51" t="inlineStr">
        <is>
          <t>117833</t>
        </is>
      </c>
      <c r="C84" s="156" t="inlineStr">
        <is>
          <t>Wrangler</t>
        </is>
      </c>
      <c r="D84" s="156" t="inlineStr">
        <is>
          <t>W-IR-U-003-FOR</t>
        </is>
      </c>
      <c r="E84" s="156" t="inlineStr">
        <is>
          <t>1261-1085-10018</t>
        </is>
      </c>
      <c r="F84" s="156" t="inlineStr">
        <is>
          <t>Talla única</t>
        </is>
      </c>
      <c r="G84" s="156" t="inlineStr">
        <is>
          <t>One Size</t>
        </is>
      </c>
      <c r="H84" s="156" t="inlineStr">
        <is>
          <t>Wrangler</t>
        </is>
      </c>
      <c r="I84" s="156" t="inlineStr">
        <is>
          <t>Gorra IRON RODEO FORTUNE</t>
        </is>
      </c>
      <c r="J84" s="156" t="inlineStr">
        <is>
          <t>Accesorios</t>
        </is>
      </c>
      <c r="K84" s="156" t="inlineStr">
        <is>
          <t>Gorras</t>
        </is>
      </c>
      <c r="L84" s="156" t="inlineStr">
        <is>
          <t>Unisex</t>
        </is>
      </c>
      <c r="M84" s="156" t="inlineStr">
        <is>
          <t>Wrangler</t>
        </is>
      </c>
      <c r="N84" s="156" t="inlineStr">
        <is>
          <t>SS26</t>
        </is>
      </c>
      <c r="O84" s="156" t="inlineStr">
        <is>
          <t>Seasonal</t>
        </is>
      </c>
      <c r="P84" s="156" t="inlineStr">
        <is>
          <t>Verde</t>
        </is>
      </c>
      <c r="Q84" s="156" t="n"/>
      <c r="R84" s="156" t="n"/>
      <c r="S84" s="156" t="inlineStr">
        <is>
          <t>Cuerpo: 100% Algodón / Malla: 100% Poliéster</t>
        </is>
      </c>
      <c r="T84" s="156" t="inlineStr">
        <is>
          <t>Lleva el auténtico estilo western con la Gorra Wrangler de la línea IRON RODEO FORTUNE. Diseñada en una clásica silueta de 6 paneles, esta pieza en color verde está confeccionada con cuerpo: 100% algodón / malla: 100% poliéster para ofrecerte máxima comodidad, transpirabilidad y durabilidad. Ideal para complementar tu look diario y destacar con la calidad inconfundible de Wrangler.</t>
        </is>
      </c>
      <c r="U84" s="156" t="inlineStr">
        <is>
          <t>China</t>
        </is>
      </c>
      <c r="V84" s="156" t="inlineStr">
        <is>
          <t>PZS</t>
        </is>
      </c>
      <c r="W84" s="51" t="inlineStr">
        <is>
          <t>53102500</t>
        </is>
      </c>
      <c r="X84" s="156" t="inlineStr">
        <is>
          <t>https://m-universal-unique-brands.odoo.com/web/image/product.product/30091/image_1920</t>
        </is>
      </c>
      <c r="Y84" s="54" t="n">
        <v>5.13</v>
      </c>
      <c r="Z84" s="54" t="n">
        <v>699</v>
      </c>
      <c r="AA84" s="55">
        <f>IF(AND(A84="", B84="", E84=""), "", IF(AB84="", "Válido", IF((LEN(AB84)-LEN(SUBSTITUTE(AB84,"; ","")))/2+1&gt;(LEN(AB84)-LEN(SUBSTITUTE(AB84,"[Aviso]","")))/7, "Con Incidencias", "Válido")))</f>
        <v/>
      </c>
      <c r="AB84" s="56">
        <f>IF(AND(A84="", B84="", E84=""), "", TEXTJOIN("; ", TRUE, IF(OR(TRIM(A84&amp;"")="", ISNUMBER(SEARCH("FALTA", A84))), "UPC faltante/inválido", ""), IF(AND(A84&lt;&gt;"", IFERROR(_xlfn.XMATCH(A84,$A$2:$A$1063,0,1)&lt;&gt;_xlfn.XMATCH(A84,$A$2:$A$1063,0,-1),FALSE)), "Código de barras duplicado", ""), IF(AND(E84&lt;&gt;"", COUNTIF($E$2:$E$1063, E84)&gt;1), "SKU duplicado", ""), IF(OR(J84="", J84=""), "[Aviso] División no capturada ()", IF(ISNA(MATCH(J84, Criterios!$A$123:$A$126, 0)), "División no válida", "")), IF(OR(K84="", K84=""), "[Aviso] Categoría no capturada ()", IF(ISNA(MATCH(K84, Criterios!$A$81:$A$120, 0)), "Categoría no válida", IF(AND(J84&lt;&gt;"", J84&lt;&gt;"", J84&lt;&gt;VLOOKUP(K84, Criterios!$A$81:$B$120, 2, FALSE)), "División no coincide con Categoría", ""))), IF(OR(L84="", L84=""), "[Aviso] Género no capturado ()", IF(ISNA(MATCH(L84, Criterios!$B$123:$B$127, 0)), "Género no válido", "")), IF(OR(N84="", N84=""), "[Aviso] Temporada no capturada ()", IF(ISNA(MATCH(N84, Criterios!$C$123:$C$128, 0)), "Temporada no válida", "")), IF(OR(O84="", O84=""), "[Aviso] Ciclo de vida no capturado ()", IF(ISNA(MATCH(O84, Criterios!$D$123:$D$124, 0)), "Ciclo de vida no válido", ""))))</f>
        <v/>
      </c>
      <c r="AC84" s="56" t="n"/>
      <c r="AD84" s="51" t="n">
        <v>0</v>
      </c>
      <c r="AE84" s="156" t="n"/>
      <c r="AF84" s="51" t="n">
        <v>0</v>
      </c>
      <c r="AG84" s="156" t="inlineStr">
        <is>
          <t>Catálogo existente</t>
        </is>
      </c>
      <c r="AH84" s="156" t="inlineStr">
        <is>
          <t>Coincidencia por código de barras (ID NetSuite 117833) | ID alternativo de Hoja a Revisar 117833 (UPC coincidente); se conserva ID principal; Auditoría NetSuite 30/09/2026: llenado desde NetSuite [Z]; Vinculado por código de barras al ID NetSuite 117833 (antes en Identificador interno: 'W-IR-U-003-FOR-OS') | 01/10/2026: complementado desde Shopify Western Brothers (match por código de barras): WB Fit, WB Silueta (antes «6 Paneles», no válido en Criterios) | 01/10/2026: complementado desde Odoo Universal Unique Brands (match por código de barras): Enlace de imagen | Homologación G1522 06/10/2026: Precio de compra: «5,13» → «5.13» (Corrección aplicada) · Validación G1522: Dígito de control del código de barras inválido; [Aviso] Precio de compra posiblemente en USD · Validador Shopify: WB: precio con IVA no termina en 9</t>
        </is>
      </c>
      <c r="AI84" s="156" t="inlineStr">
        <is>
          <t>No</t>
        </is>
      </c>
      <c r="AJ84" s="156" t="n"/>
      <c r="AK84" s="155" t="inlineStr">
        <is>
          <t>| Hoja a Revisar: fila 917494 (ID 117833, misma clave UPC); G1522_Extraccion_Articulos_NetSuite_2026-09-30.xlsx: fila 64074 [Z] | Shopify WB: producto 10310434914489 / variante 50512588144825 | Odoo: producto 30091 / plantilla 38847</t>
        </is>
      </c>
      <c r="AL84" s="58" t="inlineStr">
        <is>
          <t>5,13</t>
        </is>
      </c>
      <c r="AM84" s="58" t="n"/>
      <c r="AN84" s="155" t="inlineStr">
        <is>
          <t>Shopify Western Brothers | Odoo Universal Unique Brands</t>
        </is>
      </c>
      <c r="AO84" s="59" t="n"/>
      <c r="AP84" s="59" t="n">
        <v>12</v>
      </c>
      <c r="AQ84" s="59" t="n">
        <v>75</v>
      </c>
      <c r="AR84" s="155" t="inlineStr">
        <is>
          <t>Shopify Western Brothers › Western Brothers Outlet Lerma: 12 | Odoo Universal Unique Brands › Bodega 25 › Bodega 25/General: 75</t>
        </is>
      </c>
    </row>
    <row r="85">
      <c r="A85" s="50" t="inlineStr">
        <is>
          <t>1261108510019</t>
        </is>
      </c>
      <c r="B85" s="51" t="inlineStr">
        <is>
          <t>117834</t>
        </is>
      </c>
      <c r="C85" s="156" t="inlineStr">
        <is>
          <t>Wrangler</t>
        </is>
      </c>
      <c r="D85" s="156" t="inlineStr">
        <is>
          <t>W-IR-U-004-FOR</t>
        </is>
      </c>
      <c r="E85" s="156" t="inlineStr">
        <is>
          <t>1261-1085-10019</t>
        </is>
      </c>
      <c r="F85" s="156" t="inlineStr">
        <is>
          <t>Talla única</t>
        </is>
      </c>
      <c r="G85" s="156" t="inlineStr">
        <is>
          <t>One Size</t>
        </is>
      </c>
      <c r="H85" s="156" t="inlineStr">
        <is>
          <t>Wrangler</t>
        </is>
      </c>
      <c r="I85" s="156" t="inlineStr">
        <is>
          <t>Gorra IRON RODEO FORTUNE</t>
        </is>
      </c>
      <c r="J85" s="156" t="inlineStr">
        <is>
          <t>Accesorios</t>
        </is>
      </c>
      <c r="K85" s="156" t="inlineStr">
        <is>
          <t>Gorras</t>
        </is>
      </c>
      <c r="L85" s="156" t="inlineStr">
        <is>
          <t>Unisex</t>
        </is>
      </c>
      <c r="M85" s="156" t="inlineStr">
        <is>
          <t>Wrangler</t>
        </is>
      </c>
      <c r="N85" s="156" t="inlineStr">
        <is>
          <t>SS26</t>
        </is>
      </c>
      <c r="O85" s="156" t="inlineStr">
        <is>
          <t>Seasonal</t>
        </is>
      </c>
      <c r="P85" s="156" t="inlineStr">
        <is>
          <t>Blanco</t>
        </is>
      </c>
      <c r="Q85" s="156" t="n"/>
      <c r="R85" s="156" t="n"/>
      <c r="S85" s="156" t="inlineStr">
        <is>
          <t>Cuerpo: 100% Algodón / Malla: 100% Poliéster</t>
        </is>
      </c>
      <c r="T85" s="156" t="inlineStr">
        <is>
          <t>Lleva el auténtico estilo western con la Gorra Wrangler de la línea IRON RODEO FORTUNE. Diseñada en una clásica silueta de 6 paneles, esta pieza en color blanco está confeccionada con cuerpo: 100% algodón / malla: 100% poliéster para ofrecerte máxima comodidad, transpirabilidad y durabilidad. Ideal para complementar tu look diario y destacar con la calidad inconfundible de Wrangler.</t>
        </is>
      </c>
      <c r="U85" s="156" t="inlineStr">
        <is>
          <t>China</t>
        </is>
      </c>
      <c r="V85" s="156" t="inlineStr">
        <is>
          <t>PZS</t>
        </is>
      </c>
      <c r="W85" s="51" t="inlineStr">
        <is>
          <t>53102500</t>
        </is>
      </c>
      <c r="X85" s="156" t="inlineStr">
        <is>
          <t>https://m-universal-unique-brands.odoo.com/web/image/product.product/30092/image_1920</t>
        </is>
      </c>
      <c r="Y85" s="54" t="n">
        <v>5.13</v>
      </c>
      <c r="Z85" s="54" t="n">
        <v>699</v>
      </c>
      <c r="AA85" s="55">
        <f>IF(AND(A85="", B85="", E85=""), "", IF(AB85="", "Válido", IF((LEN(AB85)-LEN(SUBSTITUTE(AB85,"; ","")))/2+1&gt;(LEN(AB85)-LEN(SUBSTITUTE(AB85,"[Aviso]","")))/7, "Con Incidencias", "Válido")))</f>
        <v/>
      </c>
      <c r="AB85" s="56">
        <f>IF(AND(A85="", B85="", E85=""), "", TEXTJOIN("; ", TRUE, IF(OR(TRIM(A85&amp;"")="", ISNUMBER(SEARCH("FALTA", A85))), "UPC faltante/inválido", ""), IF(AND(A85&lt;&gt;"", IFERROR(_xlfn.XMATCH(A85,$A$2:$A$1063,0,1)&lt;&gt;_xlfn.XMATCH(A85,$A$2:$A$1063,0,-1),FALSE)), "Código de barras duplicado", ""), IF(AND(E85&lt;&gt;"", COUNTIF($E$2:$E$1063, E85)&gt;1), "SKU duplicado", ""), IF(OR(J85="", J85=""), "[Aviso] División no capturada ()", IF(ISNA(MATCH(J85, Criterios!$A$123:$A$126, 0)), "División no válida", "")), IF(OR(K85="", K85=""), "[Aviso] Categoría no capturada ()", IF(ISNA(MATCH(K85, Criterios!$A$81:$A$120, 0)), "Categoría no válida", IF(AND(J85&lt;&gt;"", J85&lt;&gt;"", J85&lt;&gt;VLOOKUP(K85, Criterios!$A$81:$B$120, 2, FALSE)), "División no coincide con Categoría", ""))), IF(OR(L85="", L85=""), "[Aviso] Género no capturado ()", IF(ISNA(MATCH(L85, Criterios!$B$123:$B$127, 0)), "Género no válido", "")), IF(OR(N85="", N85=""), "[Aviso] Temporada no capturada ()", IF(ISNA(MATCH(N85, Criterios!$C$123:$C$128, 0)), "Temporada no válida", "")), IF(OR(O85="", O85=""), "[Aviso] Ciclo de vida no capturado ()", IF(ISNA(MATCH(O85, Criterios!$D$123:$D$124, 0)), "Ciclo de vida no válido", ""))))</f>
        <v/>
      </c>
      <c r="AC85" s="56" t="n"/>
      <c r="AD85" s="51" t="n">
        <v>0</v>
      </c>
      <c r="AE85" s="156" t="n"/>
      <c r="AF85" s="51" t="n">
        <v>0</v>
      </c>
      <c r="AG85" s="156" t="inlineStr">
        <is>
          <t>Catálogo existente</t>
        </is>
      </c>
      <c r="AH85" s="156" t="inlineStr">
        <is>
          <t>Coincidencia por código de barras (ID NetSuite 117834) | ID alternativo de Hoja a Revisar 117834 (UPC coincidente); se conserva ID principal; Auditoría NetSuite 30/09/2026: llenado desde NetSuite [Z]; Vinculado por código de barras al ID NetSuite 117834 (antes en Identificador interno: 'W-IR-U-004-FOR-OS') | 01/10/2026: complementado desde Shopify Western Brothers (match por código de barras): WB Fit, WB Silueta (antes «6 Paneles», no válido en Criterios) | 01/10/2026: Shopify Western Brothers trae Color «Cafe» — se conservó el valor de Productos | 01/10/2026: complementado desde Odoo Universal Unique Brands (match por código de barras): Enlace de imagen | 01/10/2026: Odoo Universal Unique Brands trae Color «Cafe» — se conservó el valor de Productos | Homologación G1522 06/10/2026: Precio de compra: «5,13» → «5.13» (Corrección aplicada) · Validación G1522: Dígito de control del código de barras inválido; [Aviso] Precio de compra posiblemente en USD · Validador Shopify: WB: precio con IVA no termina en 9</t>
        </is>
      </c>
      <c r="AI85" s="156" t="inlineStr">
        <is>
          <t>No</t>
        </is>
      </c>
      <c r="AJ85" s="156" t="n"/>
      <c r="AK85" s="155" t="inlineStr">
        <is>
          <t>| Hoja a Revisar: fila 917496 (ID 117834, misma clave UPC); G1522_Extraccion_Articulos_NetSuite_2026-09-30.xlsx: fila 64075 [Z] | Shopify WB: producto 10310434947257 / variante 50512588177593 | Odoo: producto 30092 / plantilla 38848</t>
        </is>
      </c>
      <c r="AL85" s="58" t="inlineStr">
        <is>
          <t>5,13</t>
        </is>
      </c>
      <c r="AM85" s="58" t="n"/>
      <c r="AN85" s="155" t="inlineStr">
        <is>
          <t>Shopify Western Brothers | Odoo Universal Unique Brands</t>
        </is>
      </c>
      <c r="AO85" s="59" t="n"/>
      <c r="AP85" s="59" t="n">
        <v>12</v>
      </c>
      <c r="AQ85" s="59" t="n">
        <v>133</v>
      </c>
      <c r="AR85" s="155" t="inlineStr">
        <is>
          <t>Shopify Western Brothers › Western Brothers Outlet Lerma: 12 | Odoo Universal Unique Brands › Bodega 25 › Bodega 25/General: 133</t>
        </is>
      </c>
    </row>
    <row r="86">
      <c r="A86" s="50" t="inlineStr">
        <is>
          <t>1261108510020</t>
        </is>
      </c>
      <c r="B86" s="51" t="inlineStr">
        <is>
          <t>117835</t>
        </is>
      </c>
      <c r="C86" s="156" t="inlineStr">
        <is>
          <t>Wrangler</t>
        </is>
      </c>
      <c r="D86" s="156" t="inlineStr">
        <is>
          <t>W-RT-U-002-BAR</t>
        </is>
      </c>
      <c r="E86" s="156" t="inlineStr">
        <is>
          <t>1261-1085-10020</t>
        </is>
      </c>
      <c r="F86" s="156" t="inlineStr">
        <is>
          <t>Talla única</t>
        </is>
      </c>
      <c r="G86" s="156" t="inlineStr">
        <is>
          <t>One Size</t>
        </is>
      </c>
      <c r="H86" s="156" t="inlineStr">
        <is>
          <t>Wrangler</t>
        </is>
      </c>
      <c r="I86" s="156" t="inlineStr">
        <is>
          <t>Gorra RETRO BARREL QUEEN</t>
        </is>
      </c>
      <c r="J86" s="156" t="inlineStr">
        <is>
          <t>Accesorios</t>
        </is>
      </c>
      <c r="K86" s="156" t="inlineStr">
        <is>
          <t>Gorras</t>
        </is>
      </c>
      <c r="L86" s="156" t="inlineStr">
        <is>
          <t>Unisex</t>
        </is>
      </c>
      <c r="M86" s="156" t="inlineStr">
        <is>
          <t>Wrangler</t>
        </is>
      </c>
      <c r="N86" s="156" t="inlineStr">
        <is>
          <t>SS26</t>
        </is>
      </c>
      <c r="O86" s="156" t="inlineStr">
        <is>
          <t>Seasonal</t>
        </is>
      </c>
      <c r="P86" s="156" t="inlineStr">
        <is>
          <t>Cafe</t>
        </is>
      </c>
      <c r="Q86" s="156" t="n"/>
      <c r="R86" s="156" t="n"/>
      <c r="S86" s="156" t="inlineStr">
        <is>
          <t>Cuerpo: 100% Algodón / Malla: 100% Poliéster</t>
        </is>
      </c>
      <c r="T86" s="156" t="inlineStr">
        <is>
          <t>Lleva el auténtico estilo western con la Gorra Wrangler de la línea RETRO BARREL QUEEN. Diseñada en una clásica silueta de 6 paneles, esta pieza en color cafe está confeccionada con cuerpo: 100% algodón / malla: 100% poliéster para ofrecerte máxima comodidad, transpirabilidad y durabilidad. Ideal para complementar tu look diario y destacar con la calidad inconfundible de Wrangler.</t>
        </is>
      </c>
      <c r="U86" s="156" t="inlineStr">
        <is>
          <t>China</t>
        </is>
      </c>
      <c r="V86" s="156" t="inlineStr">
        <is>
          <t>PZS</t>
        </is>
      </c>
      <c r="W86" s="51" t="inlineStr">
        <is>
          <t>53102500</t>
        </is>
      </c>
      <c r="X86" s="156" t="inlineStr">
        <is>
          <t>https://m-universal-unique-brands.odoo.com/web/image/product.product/30093/image_1920</t>
        </is>
      </c>
      <c r="Y86" s="54" t="n">
        <v>5.26</v>
      </c>
      <c r="Z86" s="54" t="n">
        <v>699</v>
      </c>
      <c r="AA86" s="55">
        <f>IF(AND(A86="", B86="", E86=""), "", IF(AB86="", "Válido", IF((LEN(AB86)-LEN(SUBSTITUTE(AB86,"; ","")))/2+1&gt;(LEN(AB86)-LEN(SUBSTITUTE(AB86,"[Aviso]","")))/7, "Con Incidencias", "Válido")))</f>
        <v/>
      </c>
      <c r="AB86" s="56">
        <f>IF(AND(A86="", B86="", E86=""), "", TEXTJOIN("; ", TRUE, IF(OR(TRIM(A86&amp;"")="", ISNUMBER(SEARCH("FALTA", A86))), "UPC faltante/inválido", ""), IF(AND(A86&lt;&gt;"", IFERROR(_xlfn.XMATCH(A86,$A$2:$A$1063,0,1)&lt;&gt;_xlfn.XMATCH(A86,$A$2:$A$1063,0,-1),FALSE)), "Código de barras duplicado", ""), IF(AND(E86&lt;&gt;"", COUNTIF($E$2:$E$1063, E86)&gt;1), "SKU duplicado", ""), IF(OR(J86="", J86=""), "[Aviso] División no capturada ()", IF(ISNA(MATCH(J86, Criterios!$A$123:$A$126, 0)), "División no válida", "")), IF(OR(K86="", K86=""), "[Aviso] Categoría no capturada ()", IF(ISNA(MATCH(K86, Criterios!$A$81:$A$120, 0)), "Categoría no válida", IF(AND(J86&lt;&gt;"", J86&lt;&gt;"", J86&lt;&gt;VLOOKUP(K86, Criterios!$A$81:$B$120, 2, FALSE)), "División no coincide con Categoría", ""))), IF(OR(L86="", L86=""), "[Aviso] Género no capturado ()", IF(ISNA(MATCH(L86, Criterios!$B$123:$B$127, 0)), "Género no válido", "")), IF(OR(N86="", N86=""), "[Aviso] Temporada no capturada ()", IF(ISNA(MATCH(N86, Criterios!$C$123:$C$128, 0)), "Temporada no válida", "")), IF(OR(O86="", O86=""), "[Aviso] Ciclo de vida no capturado ()", IF(ISNA(MATCH(O86, Criterios!$D$123:$D$124, 0)), "Ciclo de vida no válido", ""))))</f>
        <v/>
      </c>
      <c r="AC86" s="56" t="n"/>
      <c r="AD86" s="51" t="n">
        <v>0</v>
      </c>
      <c r="AE86" s="156" t="n"/>
      <c r="AF86" s="51" t="n">
        <v>0</v>
      </c>
      <c r="AG86" s="156" t="inlineStr">
        <is>
          <t>Catálogo existente</t>
        </is>
      </c>
      <c r="AH86" s="156" t="inlineStr">
        <is>
          <t>Coincidencia por código de barras (ID NetSuite 117835) | ID alternativo de Hoja a Revisar 117835 (UPC coincidente); se conserva ID principal; Auditoría NetSuite 30/09/2026: llenado desde NetSuite [Z]; Vinculado por código de barras al ID NetSuite 117835 (antes en Identificador interno: 'W-RT-U-002-BAR-OS') | 01/10/2026: complementado desde Shopify Western Brothers (match por código de barras): WB Fit, WB Silueta (antes «6 Paneles», no válido en Criterios) | 01/10/2026: Shopify Western Brothers trae Color «Beige» — se conservó el valor de Productos | 01/10/2026: complementado desde Odoo Universal Unique Brands (match por código de barras): Enlace de imagen | 01/10/2026: Odoo Universal Unique Brands trae Color «Beige» — se conservó el valor de Productos | Homologación G1522 06/10/2026: Precio de compra: «5,26» → «5.26» (Corrección aplicada) · Validación G1522: Dígito de control del código de barras inválido; [Aviso] Precio de compra posiblemente en USD · Validador Shopify: WB: precio con IVA no termina en 9</t>
        </is>
      </c>
      <c r="AI86" s="156" t="inlineStr">
        <is>
          <t>No</t>
        </is>
      </c>
      <c r="AJ86" s="156" t="n"/>
      <c r="AK86" s="155" t="inlineStr">
        <is>
          <t>| Hoja a Revisar: fila 917498 (ID 117835, misma clave UPC); G1522_Extraccion_Articulos_NetSuite_2026-09-30.xlsx: fila 64076 [Z] | Shopify WB: producto 10310434980025 / variante 50512588210361 | Odoo: producto 30093 / plantilla 38849</t>
        </is>
      </c>
      <c r="AL86" s="58" t="inlineStr">
        <is>
          <t>5,26</t>
        </is>
      </c>
      <c r="AM86" s="58" t="n"/>
      <c r="AN86" s="155" t="inlineStr">
        <is>
          <t>Shopify Western Brothers | Odoo Universal Unique Brands</t>
        </is>
      </c>
      <c r="AO86" s="59" t="n"/>
      <c r="AP86" s="59" t="n">
        <v>0</v>
      </c>
      <c r="AQ86" s="59" t="n">
        <v>11</v>
      </c>
      <c r="AR86" s="155" t="inlineStr">
        <is>
          <t>Odoo Universal Unique Brands › Bodega 25 › Bodega 25/General: 11</t>
        </is>
      </c>
    </row>
    <row r="87">
      <c r="A87" s="50" t="inlineStr">
        <is>
          <t>1261108510021</t>
        </is>
      </c>
      <c r="B87" s="51" t="inlineStr">
        <is>
          <t>117836</t>
        </is>
      </c>
      <c r="C87" s="156" t="inlineStr">
        <is>
          <t>Wrangler</t>
        </is>
      </c>
      <c r="D87" s="156" t="inlineStr">
        <is>
          <t>W-RT-U-002-WRA</t>
        </is>
      </c>
      <c r="E87" s="156" t="inlineStr">
        <is>
          <t>1261-1085-10021</t>
        </is>
      </c>
      <c r="F87" s="156" t="inlineStr">
        <is>
          <t>Talla única</t>
        </is>
      </c>
      <c r="G87" s="156" t="inlineStr">
        <is>
          <t>One Size</t>
        </is>
      </c>
      <c r="H87" s="156" t="inlineStr">
        <is>
          <t>Wrangler</t>
        </is>
      </c>
      <c r="I87" s="156" t="inlineStr">
        <is>
          <t>Gorra RETRO WRANGLER</t>
        </is>
      </c>
      <c r="J87" s="156" t="inlineStr">
        <is>
          <t>Accesorios</t>
        </is>
      </c>
      <c r="K87" s="156" t="inlineStr">
        <is>
          <t>Gorras</t>
        </is>
      </c>
      <c r="L87" s="156" t="inlineStr">
        <is>
          <t>Unisex</t>
        </is>
      </c>
      <c r="M87" s="156" t="inlineStr">
        <is>
          <t>Wrangler</t>
        </is>
      </c>
      <c r="N87" s="156" t="inlineStr">
        <is>
          <t>SS26</t>
        </is>
      </c>
      <c r="O87" s="156" t="inlineStr">
        <is>
          <t>Seasonal</t>
        </is>
      </c>
      <c r="P87" s="156" t="inlineStr">
        <is>
          <t>Varios</t>
        </is>
      </c>
      <c r="Q87" s="156" t="n"/>
      <c r="R87" s="156" t="n"/>
      <c r="S87" s="156" t="inlineStr">
        <is>
          <t>Cuerpo: 100% Algodón / Malla: 100% Poliéster</t>
        </is>
      </c>
      <c r="T87" s="156" t="inlineStr">
        <is>
          <t>Lleva el auténtico estilo western con la Gorra Wrangler de la línea RETRO WRANGLER. Diseñada en una clásica silueta de 5 paneles, esta pieza en color multicolor está confeccionada con cuerpo: 100% algodón / malla: 100% poliéster para ofrecerte máxima comodidad, transpirabilidad y durabilidad. Ideal para complementar tu look diario y destacar con la calidad inconfundible de Wrangler.</t>
        </is>
      </c>
      <c r="U87" s="156" t="inlineStr">
        <is>
          <t>China</t>
        </is>
      </c>
      <c r="V87" s="156" t="inlineStr">
        <is>
          <t>PZS</t>
        </is>
      </c>
      <c r="W87" s="51" t="inlineStr">
        <is>
          <t>53102500</t>
        </is>
      </c>
      <c r="X87" s="156" t="inlineStr">
        <is>
          <t>https://m-universal-unique-brands.odoo.com/web/image/product.product/30094/image_1920</t>
        </is>
      </c>
      <c r="Y87" s="54" t="n">
        <v>4.42</v>
      </c>
      <c r="Z87" s="54" t="n">
        <v>699</v>
      </c>
      <c r="AA87" s="55">
        <f>IF(AND(A87="", B87="", E87=""), "", IF(AB87="", "Válido", IF((LEN(AB87)-LEN(SUBSTITUTE(AB87,"; ","")))/2+1&gt;(LEN(AB87)-LEN(SUBSTITUTE(AB87,"[Aviso]","")))/7, "Con Incidencias", "Válido")))</f>
        <v/>
      </c>
      <c r="AB87" s="56">
        <f>IF(AND(A87="", B87="", E87=""), "", TEXTJOIN("; ", TRUE, IF(OR(TRIM(A87&amp;"")="", ISNUMBER(SEARCH("FALTA", A87))), "UPC faltante/inválido", ""), IF(AND(A87&lt;&gt;"", IFERROR(_xlfn.XMATCH(A87,$A$2:$A$1063,0,1)&lt;&gt;_xlfn.XMATCH(A87,$A$2:$A$1063,0,-1),FALSE)), "Código de barras duplicado", ""), IF(AND(E87&lt;&gt;"", COUNTIF($E$2:$E$1063, E87)&gt;1), "SKU duplicado", ""), IF(OR(J87="", J87=""), "[Aviso] División no capturada ()", IF(ISNA(MATCH(J87, Criterios!$A$123:$A$126, 0)), "División no válida", "")), IF(OR(K87="", K87=""), "[Aviso] Categoría no capturada ()", IF(ISNA(MATCH(K87, Criterios!$A$81:$A$120, 0)), "Categoría no válida", IF(AND(J87&lt;&gt;"", J87&lt;&gt;"", J87&lt;&gt;VLOOKUP(K87, Criterios!$A$81:$B$120, 2, FALSE)), "División no coincide con Categoría", ""))), IF(OR(L87="", L87=""), "[Aviso] Género no capturado ()", IF(ISNA(MATCH(L87, Criterios!$B$123:$B$127, 0)), "Género no válido", "")), IF(OR(N87="", N87=""), "[Aviso] Temporada no capturada ()", IF(ISNA(MATCH(N87, Criterios!$C$123:$C$128, 0)), "Temporada no válida", "")), IF(OR(O87="", O87=""), "[Aviso] Ciclo de vida no capturado ()", IF(ISNA(MATCH(O87, Criterios!$D$123:$D$124, 0)), "Ciclo de vida no válido", ""))))</f>
        <v/>
      </c>
      <c r="AC87" s="56" t="n"/>
      <c r="AD87" s="51" t="n">
        <v>0</v>
      </c>
      <c r="AE87" s="156" t="n"/>
      <c r="AF87" s="51" t="n">
        <v>0</v>
      </c>
      <c r="AG87" s="156" t="inlineStr">
        <is>
          <t>Catálogo existente</t>
        </is>
      </c>
      <c r="AH87" s="156" t="inlineStr">
        <is>
          <t>Coincidencia por código de barras (ID NetSuite 117836) | ID alternativo de Hoja a Revisar 117836 (UPC coincidente); se conserva ID principal; Auditoría NetSuite 30/09/2026: llenado desde NetSuite [Z]; Vinculado por código de barras al ID NetSuite 117836 (antes en Identificador interno: 'W-RT-U-002-WRA-OS') | 01/10/2026: complementado desde Shopify Western Brothers (match por código de barras): WB Fit, WB Silueta (antes «5 Paneles», no válido en Criterios) | 01/10/2026: Shopify Western Brothers trae Color «Rojo» — se conservó el valor de Productos | 01/10/2026: complementado desde Odoo Universal Unique Brands (match por código de barras): Enlace de imagen | 01/10/2026: Odoo Universal Unique Brands trae Color «Rojo» — se conservó el valor de Productos | Homologación G1522 06/10/2026: Precio de compra: «4,42» → «4.42» (Corrección aplicada) · Validación G1522: Dígito de control del código de barras inválido; [Aviso] Precio de compra posiblemente en USD · Validador Shopify: WB: precio con IVA no termina en 9</t>
        </is>
      </c>
      <c r="AI87" s="156" t="inlineStr">
        <is>
          <t>No</t>
        </is>
      </c>
      <c r="AJ87" s="156" t="n"/>
      <c r="AK87" s="155" t="inlineStr">
        <is>
          <t>| Hoja a Revisar: fila 917500 (ID 117836, misma clave UPC); G1522_Extraccion_Articulos_NetSuite_2026-09-30.xlsx: fila 64077 [Z] | Shopify WB: producto 10310435012793 / variante 50512588243129 | Odoo: producto 30094 / plantilla 38850</t>
        </is>
      </c>
      <c r="AL87" s="58" t="inlineStr">
        <is>
          <t>4,42</t>
        </is>
      </c>
      <c r="AM87" s="58" t="n"/>
      <c r="AN87" s="155" t="inlineStr">
        <is>
          <t>Shopify Western Brothers | Odoo Universal Unique Brands</t>
        </is>
      </c>
      <c r="AO87" s="59" t="n"/>
      <c r="AP87" s="59" t="n">
        <v>9</v>
      </c>
      <c r="AQ87" s="59" t="n">
        <v>119</v>
      </c>
      <c r="AR87" s="155" t="inlineStr">
        <is>
          <t>Shopify Western Brothers › Western Brothers Outlet Lerma: 9 | Odoo Universal Unique Brands › Bodega 25 › Bodega 25/General: 119</t>
        </is>
      </c>
    </row>
    <row r="88">
      <c r="A88" s="50" t="inlineStr">
        <is>
          <t>1261108510022</t>
        </is>
      </c>
      <c r="B88" s="51" t="inlineStr">
        <is>
          <t>117837</t>
        </is>
      </c>
      <c r="C88" s="156" t="inlineStr">
        <is>
          <t>Wrangler</t>
        </is>
      </c>
      <c r="D88" s="156" t="inlineStr">
        <is>
          <t>W-RT-U-003-WAV</t>
        </is>
      </c>
      <c r="E88" s="156" t="inlineStr">
        <is>
          <t>1261-1085-10022</t>
        </is>
      </c>
      <c r="F88" s="156" t="inlineStr">
        <is>
          <t>Talla única</t>
        </is>
      </c>
      <c r="G88" s="156" t="inlineStr">
        <is>
          <t>One Size</t>
        </is>
      </c>
      <c r="H88" s="156" t="inlineStr">
        <is>
          <t>Wrangler</t>
        </is>
      </c>
      <c r="I88" s="156" t="inlineStr">
        <is>
          <t>Gorra RETRO WAVELENGHT</t>
        </is>
      </c>
      <c r="J88" s="156" t="inlineStr">
        <is>
          <t>Accesorios</t>
        </is>
      </c>
      <c r="K88" s="156" t="inlineStr">
        <is>
          <t>Gorras</t>
        </is>
      </c>
      <c r="L88" s="156" t="inlineStr">
        <is>
          <t>Unisex</t>
        </is>
      </c>
      <c r="M88" s="156" t="inlineStr">
        <is>
          <t>Wrangler</t>
        </is>
      </c>
      <c r="N88" s="156" t="inlineStr">
        <is>
          <t>SS26</t>
        </is>
      </c>
      <c r="O88" s="156" t="inlineStr">
        <is>
          <t>Seasonal</t>
        </is>
      </c>
      <c r="P88" s="156" t="inlineStr">
        <is>
          <t>Beige</t>
        </is>
      </c>
      <c r="Q88" s="156" t="n"/>
      <c r="R88" s="156" t="n"/>
      <c r="S88" s="156" t="inlineStr">
        <is>
          <t>Cuerpo: 100% Algodón / Malla: 100% Poliéster</t>
        </is>
      </c>
      <c r="T88" s="156" t="inlineStr">
        <is>
          <t>Lleva el auténtico estilo western con la Gorra Wrangler de la línea RETRO WAVELENGHT. Diseñada en una clásica silueta de 5 paneles, esta pieza en color beige está confeccionada con cuerpo: 100% algodón / malla: 100% poliéster para ofrecerte máxima comodidad, transpirabilidad y durabilidad. Ideal para complementar tu look diario y destacar con la calidad inconfundible de Wrangler.</t>
        </is>
      </c>
      <c r="U88" s="156" t="inlineStr">
        <is>
          <t>China</t>
        </is>
      </c>
      <c r="V88" s="156" t="inlineStr">
        <is>
          <t>PZS</t>
        </is>
      </c>
      <c r="W88" s="51" t="inlineStr">
        <is>
          <t>53102500</t>
        </is>
      </c>
      <c r="X88" s="156" t="inlineStr">
        <is>
          <t>https://m-universal-unique-brands.odoo.com/web/image/product.product/30095/image_1920</t>
        </is>
      </c>
      <c r="Y88" s="54" t="n">
        <v>4.5</v>
      </c>
      <c r="Z88" s="54" t="n">
        <v>699</v>
      </c>
      <c r="AA88" s="55">
        <f>IF(AND(A88="", B88="", E88=""), "", IF(AB88="", "Válido", IF((LEN(AB88)-LEN(SUBSTITUTE(AB88,"; ","")))/2+1&gt;(LEN(AB88)-LEN(SUBSTITUTE(AB88,"[Aviso]","")))/7, "Con Incidencias", "Válido")))</f>
        <v/>
      </c>
      <c r="AB88" s="56">
        <f>IF(AND(A88="", B88="", E88=""), "", TEXTJOIN("; ", TRUE, IF(OR(TRIM(A88&amp;"")="", ISNUMBER(SEARCH("FALTA", A88))), "UPC faltante/inválido", ""), IF(AND(A88&lt;&gt;"", IFERROR(_xlfn.XMATCH(A88,$A$2:$A$1063,0,1)&lt;&gt;_xlfn.XMATCH(A88,$A$2:$A$1063,0,-1),FALSE)), "Código de barras duplicado", ""), IF(AND(E88&lt;&gt;"", COUNTIF($E$2:$E$1063, E88)&gt;1), "SKU duplicado", ""), IF(OR(J88="", J88=""), "[Aviso] División no capturada ()", IF(ISNA(MATCH(J88, Criterios!$A$123:$A$126, 0)), "División no válida", "")), IF(OR(K88="", K88=""), "[Aviso] Categoría no capturada ()", IF(ISNA(MATCH(K88, Criterios!$A$81:$A$120, 0)), "Categoría no válida", IF(AND(J88&lt;&gt;"", J88&lt;&gt;"", J88&lt;&gt;VLOOKUP(K88, Criterios!$A$81:$B$120, 2, FALSE)), "División no coincide con Categoría", ""))), IF(OR(L88="", L88=""), "[Aviso] Género no capturado ()", IF(ISNA(MATCH(L88, Criterios!$B$123:$B$127, 0)), "Género no válido", "")), IF(OR(N88="", N88=""), "[Aviso] Temporada no capturada ()", IF(ISNA(MATCH(N88, Criterios!$C$123:$C$128, 0)), "Temporada no válida", "")), IF(OR(O88="", O88=""), "[Aviso] Ciclo de vida no capturado ()", IF(ISNA(MATCH(O88, Criterios!$D$123:$D$124, 0)), "Ciclo de vida no válido", ""))))</f>
        <v/>
      </c>
      <c r="AC88" s="56" t="n"/>
      <c r="AD88" s="51" t="n">
        <v>0</v>
      </c>
      <c r="AE88" s="156" t="n"/>
      <c r="AF88" s="51" t="n">
        <v>0</v>
      </c>
      <c r="AG88" s="156" t="inlineStr">
        <is>
          <t>Catálogo existente</t>
        </is>
      </c>
      <c r="AH88" s="156" t="inlineStr">
        <is>
          <t>Coincidencia por código de barras (ID NetSuite 117837) | ID alternativo de Hoja a Revisar 117837 (UPC coincidente); se conserva ID principal; Auditoría NetSuite 30/09/2026: llenado desde NetSuite [Z]; Vinculado por código de barras al ID NetSuite 117837 (antes en Identificador interno: 'W-RT-U-003-WAV-OS') | 01/10/2026: complementado desde Shopify Western Brothers (match por código de barras): WB Fit, WB Silueta (antes «5 Paneles», no válido en Criterios) | 01/10/2026: Shopify Western Brothers trae Color «Verde» — se conservó el valor de Productos | 01/10/2026: complementado desde Odoo Universal Unique Brands (match por código de barras): Enlace de imagen | 01/10/2026: Odoo Universal Unique Brands trae Color «Verde» — se conservó el valor de Productos | Homologación G1522 06/10/2026: Precio de compra: «4,5» → «4.5» (Corrección aplicada) · Validación G1522: Dígito de control del código de barras inválido; [Aviso] Precio de compra posiblemente en USD · Validador Shopify: WB: precio con IVA no termina en 9</t>
        </is>
      </c>
      <c r="AI88" s="156" t="inlineStr">
        <is>
          <t>No</t>
        </is>
      </c>
      <c r="AJ88" s="156" t="n"/>
      <c r="AK88" s="155" t="inlineStr">
        <is>
          <t>| Hoja a Revisar: fila 917502 (ID 117837, misma clave UPC); G1522_Extraccion_Articulos_NetSuite_2026-09-30.xlsx: fila 64078 [Z] | Shopify WB: producto 10310435078329 / variante 50512588308665 | Odoo: producto 30095 / plantilla 38851</t>
        </is>
      </c>
      <c r="AL88" s="58" t="inlineStr">
        <is>
          <t>4,5</t>
        </is>
      </c>
      <c r="AM88" s="58" t="n"/>
      <c r="AN88" s="155" t="inlineStr">
        <is>
          <t>Shopify Western Brothers | Odoo Universal Unique Brands</t>
        </is>
      </c>
      <c r="AO88" s="59" t="n"/>
      <c r="AP88" s="59" t="n">
        <v>6</v>
      </c>
      <c r="AQ88" s="59" t="n">
        <v>99</v>
      </c>
      <c r="AR88" s="155" t="inlineStr">
        <is>
          <t>Shopify Western Brothers › Western Brothers Outlet Lerma: 6 | Odoo Universal Unique Brands › Bodega 25 › Bodega 25/General: 99</t>
        </is>
      </c>
    </row>
    <row r="89">
      <c r="A89" s="50" t="inlineStr">
        <is>
          <t>1261108510023</t>
        </is>
      </c>
      <c r="B89" s="51" t="inlineStr">
        <is>
          <t>117838</t>
        </is>
      </c>
      <c r="C89" s="156" t="inlineStr">
        <is>
          <t>Wrangler</t>
        </is>
      </c>
      <c r="D89" s="156" t="inlineStr">
        <is>
          <t>W-U-001-SHDW</t>
        </is>
      </c>
      <c r="E89" s="156" t="inlineStr">
        <is>
          <t>1261-1085-10023</t>
        </is>
      </c>
      <c r="F89" s="156" t="inlineStr">
        <is>
          <t>Talla única</t>
        </is>
      </c>
      <c r="G89" s="156" t="inlineStr">
        <is>
          <t>One Size</t>
        </is>
      </c>
      <c r="H89" s="156" t="inlineStr">
        <is>
          <t>Wrangler</t>
        </is>
      </c>
      <c r="I89" s="156" t="inlineStr">
        <is>
          <t>Gorra W SHADOW</t>
        </is>
      </c>
      <c r="J89" s="156" t="inlineStr">
        <is>
          <t>Accesorios</t>
        </is>
      </c>
      <c r="K89" s="156" t="inlineStr">
        <is>
          <t>Gorras</t>
        </is>
      </c>
      <c r="L89" s="156" t="inlineStr">
        <is>
          <t>Unisex</t>
        </is>
      </c>
      <c r="M89" s="156" t="inlineStr">
        <is>
          <t>Wrangler</t>
        </is>
      </c>
      <c r="N89" s="156" t="inlineStr">
        <is>
          <t>SS26</t>
        </is>
      </c>
      <c r="O89" s="156" t="inlineStr">
        <is>
          <t>Seasonal</t>
        </is>
      </c>
      <c r="P89" s="156" t="inlineStr">
        <is>
          <t>Gris</t>
        </is>
      </c>
      <c r="Q89" s="156" t="n"/>
      <c r="R89" s="156" t="n"/>
      <c r="S89" s="156" t="inlineStr">
        <is>
          <t>Cuerpo: 100% Algodón / Malla: 100% Poliéster</t>
        </is>
      </c>
      <c r="T89" s="156" t="inlineStr">
        <is>
          <t>Lleva el auténtico estilo western con la Gorra Wrangler de la línea W SHADOW. Diseñada en una clásica silueta de 5 paneles, esta pieza en color gris está confeccionada con cuerpo: 100% algodón / malla: 100% poliéster para ofrecerte máxima comodidad, transpirabilidad y durabilidad. Ideal para complementar tu look diario y destacar con la calidad inconfundible de Wrangler.</t>
        </is>
      </c>
      <c r="U89" s="156" t="inlineStr">
        <is>
          <t>China</t>
        </is>
      </c>
      <c r="V89" s="156" t="inlineStr">
        <is>
          <t>PZS</t>
        </is>
      </c>
      <c r="W89" s="51" t="inlineStr">
        <is>
          <t>53102500</t>
        </is>
      </c>
      <c r="X89" s="156" t="inlineStr">
        <is>
          <t>https://m-universal-unique-brands.odoo.com/web/image/product.product/30096/image_1920</t>
        </is>
      </c>
      <c r="Y89" s="54" t="n">
        <v>3.9</v>
      </c>
      <c r="Z89" s="54" t="n">
        <v>699</v>
      </c>
      <c r="AA89" s="55">
        <f>IF(AND(A89="", B89="", E89=""), "", IF(AB89="", "Válido", IF((LEN(AB89)-LEN(SUBSTITUTE(AB89,"; ","")))/2+1&gt;(LEN(AB89)-LEN(SUBSTITUTE(AB89,"[Aviso]","")))/7, "Con Incidencias", "Válido")))</f>
        <v/>
      </c>
      <c r="AB89" s="56">
        <f>IF(AND(A89="", B89="", E89=""), "", TEXTJOIN("; ", TRUE, IF(OR(TRIM(A89&amp;"")="", ISNUMBER(SEARCH("FALTA", A89))), "UPC faltante/inválido", ""), IF(AND(A89&lt;&gt;"", IFERROR(_xlfn.XMATCH(A89,$A$2:$A$1063,0,1)&lt;&gt;_xlfn.XMATCH(A89,$A$2:$A$1063,0,-1),FALSE)), "Código de barras duplicado", ""), IF(AND(E89&lt;&gt;"", COUNTIF($E$2:$E$1063, E89)&gt;1), "SKU duplicado", ""), IF(OR(J89="", J89=""), "[Aviso] División no capturada ()", IF(ISNA(MATCH(J89, Criterios!$A$123:$A$126, 0)), "División no válida", "")), IF(OR(K89="", K89=""), "[Aviso] Categoría no capturada ()", IF(ISNA(MATCH(K89, Criterios!$A$81:$A$120, 0)), "Categoría no válida", IF(AND(J89&lt;&gt;"", J89&lt;&gt;"", J89&lt;&gt;VLOOKUP(K89, Criterios!$A$81:$B$120, 2, FALSE)), "División no coincide con Categoría", ""))), IF(OR(L89="", L89=""), "[Aviso] Género no capturado ()", IF(ISNA(MATCH(L89, Criterios!$B$123:$B$127, 0)), "Género no válido", "")), IF(OR(N89="", N89=""), "[Aviso] Temporada no capturada ()", IF(ISNA(MATCH(N89, Criterios!$C$123:$C$128, 0)), "Temporada no válida", "")), IF(OR(O89="", O89=""), "[Aviso] Ciclo de vida no capturado ()", IF(ISNA(MATCH(O89, Criterios!$D$123:$D$124, 0)), "Ciclo de vida no válido", ""))))</f>
        <v/>
      </c>
      <c r="AC89" s="56" t="n"/>
      <c r="AD89" s="51" t="n">
        <v>0</v>
      </c>
      <c r="AE89" s="156" t="n"/>
      <c r="AF89" s="51" t="n">
        <v>0</v>
      </c>
      <c r="AG89" s="156" t="inlineStr">
        <is>
          <t>Catálogo existente</t>
        </is>
      </c>
      <c r="AH89" s="156" t="inlineStr">
        <is>
          <t>Coincidencia por código de barras (ID NetSuite 117838) | ID alternativo de Hoja a Revisar 117838 (UPC coincidente); se conserva ID principal; Auditoría NetSuite 30/09/2026: llenado desde NetSuite [Z]; Vinculado por código de barras al ID NetSuite 117838 (antes en Identificador interno: 'W-U-001-SHDW-OS') | 01/10/2026: complementado desde Shopify Western Brothers (match por código de barras): WB Fit, WB Silueta (antes «5 Paneles», no válido en Criterios) | 01/10/2026: Shopify Western Brothers trae Color «Blanco» — se conservó el valor de Productos | 01/10/2026: complementado desde Odoo Universal Unique Brands (match por código de barras): Enlace de imagen | 01/10/2026: Odoo Universal Unique Brands trae Color «Blanco» — se conservó el valor de Productos | Homologación G1522 06/10/2026: Precio de compra: «3,9» → «3.9» (Corrección aplicada) · Validación G1522: [Aviso] Precio de compra posiblemente en USD · Validador Shopify: WB: precio con IVA no termina en 9</t>
        </is>
      </c>
      <c r="AI89" s="156" t="inlineStr">
        <is>
          <t>No</t>
        </is>
      </c>
      <c r="AJ89" s="156" t="n"/>
      <c r="AK89" s="155" t="inlineStr">
        <is>
          <t>| Hoja a Revisar: fila 917504 (ID 117838, misma clave UPC); G1522_Extraccion_Articulos_NetSuite_2026-09-30.xlsx: fila 64079 [Z] | Shopify WB: producto 10310435111097 / variante 50512588341433 | Odoo: producto 30096 / plantilla 38852</t>
        </is>
      </c>
      <c r="AL89" s="58" t="inlineStr">
        <is>
          <t>3,9</t>
        </is>
      </c>
      <c r="AM89" s="58" t="n"/>
      <c r="AN89" s="155" t="inlineStr">
        <is>
          <t>Shopify Western Brothers | Odoo Universal Unique Brands</t>
        </is>
      </c>
      <c r="AO89" s="59" t="n"/>
      <c r="AP89" s="59" t="n">
        <v>9</v>
      </c>
      <c r="AQ89" s="59" t="n">
        <v>81</v>
      </c>
      <c r="AR89" s="155" t="inlineStr">
        <is>
          <t>Shopify Western Brothers › Western Brothers Outlet Lerma: 9 | Odoo Universal Unique Brands › Bodega 25 › Bodega 25/General: 81</t>
        </is>
      </c>
    </row>
    <row r="90">
      <c r="A90" s="50" t="inlineStr">
        <is>
          <t>1261108510024</t>
        </is>
      </c>
      <c r="B90" s="51" t="inlineStr">
        <is>
          <t>117839</t>
        </is>
      </c>
      <c r="C90" s="156" t="inlineStr">
        <is>
          <t>Wrangler</t>
        </is>
      </c>
      <c r="D90" s="156" t="inlineStr">
        <is>
          <t>W-U-003-SHDW</t>
        </is>
      </c>
      <c r="E90" s="156" t="inlineStr">
        <is>
          <t>1261-1085-10024</t>
        </is>
      </c>
      <c r="F90" s="156" t="inlineStr">
        <is>
          <t>Talla única</t>
        </is>
      </c>
      <c r="G90" s="156" t="inlineStr">
        <is>
          <t>One Size</t>
        </is>
      </c>
      <c r="H90" s="156" t="inlineStr">
        <is>
          <t>Wrangler</t>
        </is>
      </c>
      <c r="I90" s="156" t="inlineStr">
        <is>
          <t>Gorra W SHADOW</t>
        </is>
      </c>
      <c r="J90" s="156" t="inlineStr">
        <is>
          <t>Accesorios</t>
        </is>
      </c>
      <c r="K90" s="156" t="inlineStr">
        <is>
          <t>Gorras</t>
        </is>
      </c>
      <c r="L90" s="156" t="inlineStr">
        <is>
          <t>Unisex</t>
        </is>
      </c>
      <c r="M90" s="156" t="inlineStr">
        <is>
          <t>Wrangler</t>
        </is>
      </c>
      <c r="N90" s="156" t="inlineStr">
        <is>
          <t>SS26</t>
        </is>
      </c>
      <c r="O90" s="156" t="inlineStr">
        <is>
          <t>Seasonal</t>
        </is>
      </c>
      <c r="P90" s="156" t="inlineStr">
        <is>
          <t>Verde</t>
        </is>
      </c>
      <c r="Q90" s="156" t="n"/>
      <c r="R90" s="156" t="n"/>
      <c r="S90" s="156" t="inlineStr">
        <is>
          <t>Cuerpo: 100% Algodón / Malla: 100% Poliéster</t>
        </is>
      </c>
      <c r="T90" s="156" t="inlineStr">
        <is>
          <t>Lleva el auténtico estilo western con la Gorra Wrangler de la línea W SHADOW.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      </is>
      </c>
      <c r="U90" s="156" t="inlineStr">
        <is>
          <t>China</t>
        </is>
      </c>
      <c r="V90" s="156" t="inlineStr">
        <is>
          <t>PZS</t>
        </is>
      </c>
      <c r="W90" s="51" t="inlineStr">
        <is>
          <t>53102500</t>
        </is>
      </c>
      <c r="X90" s="156" t="inlineStr">
        <is>
          <t>https://m-universal-unique-brands.odoo.com/web/image/product.product/30097/image_1920</t>
        </is>
      </c>
      <c r="Y90" s="54" t="n">
        <v>3.9</v>
      </c>
      <c r="Z90" s="54" t="n">
        <v>699</v>
      </c>
      <c r="AA90" s="55">
        <f>IF(AND(A90="", B90="", E90=""), "", IF(AB90="", "Válido", IF((LEN(AB90)-LEN(SUBSTITUTE(AB90,"; ","")))/2+1&gt;(LEN(AB90)-LEN(SUBSTITUTE(AB90,"[Aviso]","")))/7, "Con Incidencias", "Válido")))</f>
        <v/>
      </c>
      <c r="AB90" s="56">
        <f>IF(AND(A90="", B90="", E90=""), "", TEXTJOIN("; ", TRUE, IF(OR(TRIM(A90&amp;"")="", ISNUMBER(SEARCH("FALTA", A90))), "UPC faltante/inválido", ""), IF(AND(A90&lt;&gt;"", IFERROR(_xlfn.XMATCH(A90,$A$2:$A$1063,0,1)&lt;&gt;_xlfn.XMATCH(A90,$A$2:$A$1063,0,-1),FALSE)), "Código de barras duplicado", ""), IF(AND(E90&lt;&gt;"", COUNTIF($E$2:$E$1063, E90)&gt;1), "SKU duplicado", ""), IF(OR(J90="", J90=""), "[Aviso] División no capturada ()", IF(ISNA(MATCH(J90, Criterios!$A$123:$A$126, 0)), "División no válida", "")), IF(OR(K90="", K90=""), "[Aviso] Categoría no capturada ()", IF(ISNA(MATCH(K90, Criterios!$A$81:$A$120, 0)), "Categoría no válida", IF(AND(J90&lt;&gt;"", J90&lt;&gt;"", J90&lt;&gt;VLOOKUP(K90, Criterios!$A$81:$B$120, 2, FALSE)), "División no coincide con Categoría", ""))), IF(OR(L90="", L90=""), "[Aviso] Género no capturado ()", IF(ISNA(MATCH(L90, Criterios!$B$123:$B$127, 0)), "Género no válido", "")), IF(OR(N90="", N90=""), "[Aviso] Temporada no capturada ()", IF(ISNA(MATCH(N90, Criterios!$C$123:$C$128, 0)), "Temporada no válida", "")), IF(OR(O90="", O90=""), "[Aviso] Ciclo de vida no capturado ()", IF(ISNA(MATCH(O90, Criterios!$D$123:$D$124, 0)), "Ciclo de vida no válido", ""))))</f>
        <v/>
      </c>
      <c r="AC90" s="56" t="n"/>
      <c r="AD90" s="51" t="n">
        <v>0</v>
      </c>
      <c r="AE90" s="156" t="n"/>
      <c r="AF90" s="51" t="n">
        <v>0</v>
      </c>
      <c r="AG90" s="156" t="inlineStr">
        <is>
          <t>Catálogo existente</t>
        </is>
      </c>
      <c r="AH90" s="156" t="inlineStr">
        <is>
          <t>Coincidencia por código de barras (ID NetSuite 117839) | ID alternativo de Hoja a Revisar 117839 (UPC coincidente); se conserva ID principal; Auditoría NetSuite 30/09/2026: llenado desde NetSuite [Z]; Vinculado por código de barras al ID NetSuite 117839 (antes en Identificador interno: 'W-U-003-SHDW-OS') | 01/10/2026: complementado desde Shopify Western Brothers (match por código de barras): WB Fit, WB Silueta (antes «5 Paneles», no válido en Criterios) | 01/10/2026: complementado desde Odoo Universal Unique Brands (match por código de barras): Enlace de imagen | Homologación G1522 06/10/2026: Precio de compra: «3,9» → «3.9» (Corrección aplicada) · Validación G1522: Dígito de control del código de barras inválido; [Aviso] Precio de compra posiblemente en USD · Validador Shopify: WB: precio con IVA no termina en 9</t>
        </is>
      </c>
      <c r="AI90" s="156" t="inlineStr">
        <is>
          <t>No</t>
        </is>
      </c>
      <c r="AJ90" s="156" t="n"/>
      <c r="AK90" s="155" t="inlineStr">
        <is>
          <t>| Hoja a Revisar: fila 917506 (ID 117839, misma clave UPC); G1522_Extraccion_Articulos_NetSuite_2026-09-30.xlsx: fila 64080 [Z] | Shopify WB: producto 10310435143865 / variante 50512588374201 | Odoo: producto 30097 / plantilla 38853</t>
        </is>
      </c>
      <c r="AL90" s="58" t="inlineStr">
        <is>
          <t>3,9</t>
        </is>
      </c>
      <c r="AM90" s="58" t="n"/>
      <c r="AN90" s="155" t="inlineStr">
        <is>
          <t>Shopify Western Brothers | Odoo Universal Unique Brands</t>
        </is>
      </c>
      <c r="AO90" s="59" t="n"/>
      <c r="AP90" s="59" t="n">
        <v>9</v>
      </c>
      <c r="AQ90" s="59" t="n">
        <v>85</v>
      </c>
      <c r="AR90" s="155" t="inlineStr">
        <is>
          <t>Shopify Western Brothers › Western Brothers Outlet Lerma: 9 | Odoo Universal Unique Brands › Bodega 25 › Bodega 25/General: 85</t>
        </is>
      </c>
    </row>
    <row r="91">
      <c r="A91" s="50" t="inlineStr">
        <is>
          <t>1261108510025</t>
        </is>
      </c>
      <c r="B91" s="51" t="inlineStr">
        <is>
          <t>118087</t>
        </is>
      </c>
      <c r="C91" s="156" t="inlineStr">
        <is>
          <t>Wrangler</t>
        </is>
      </c>
      <c r="D91" s="156" t="inlineStr">
        <is>
          <t>W-U-002-SPLT</t>
        </is>
      </c>
      <c r="E91" s="156" t="inlineStr">
        <is>
          <t>1261-1085-10025</t>
        </is>
      </c>
      <c r="F91" s="156" t="inlineStr">
        <is>
          <t>Talla única</t>
        </is>
      </c>
      <c r="G91" s="156" t="inlineStr">
        <is>
          <t>One Size</t>
        </is>
      </c>
      <c r="H91" s="156" t="inlineStr">
        <is>
          <t>Wrangler</t>
        </is>
      </c>
      <c r="I91" s="156" t="inlineStr">
        <is>
          <t>Gorra W SPLIT</t>
        </is>
      </c>
      <c r="J91" s="156" t="inlineStr">
        <is>
          <t>Accesorios</t>
        </is>
      </c>
      <c r="K91" s="156" t="inlineStr">
        <is>
          <t>Gorras</t>
        </is>
      </c>
      <c r="L91" s="156" t="inlineStr">
        <is>
          <t>Unisex</t>
        </is>
      </c>
      <c r="M91" s="156" t="inlineStr">
        <is>
          <t>Wrangler</t>
        </is>
      </c>
      <c r="N91" s="156" t="inlineStr">
        <is>
          <t>SS26</t>
        </is>
      </c>
      <c r="O91" s="156" t="inlineStr">
        <is>
          <t>Seasonal</t>
        </is>
      </c>
      <c r="P91" s="156" t="inlineStr">
        <is>
          <t>Blanco</t>
        </is>
      </c>
      <c r="Q91" s="156" t="n"/>
      <c r="R91" s="156" t="n"/>
      <c r="S91" s="156" t="inlineStr">
        <is>
          <t>Cuerpo: 100% Algodón / Malla: 100% Poliéster</t>
        </is>
      </c>
      <c r="T91" s="156" t="inlineStr">
        <is>
          <t>Lleva el auténtico estilo western con la Gorra Wrangler de la línea W SPLIT. Diseñada en una clásica silueta de 5 paneles, esta pieza en color blanco está confeccionada con cuerpo: 100% algodón / malla: 100% poliéster para ofrecerte máxima comodidad, transpirabilidad y durabilidad. Ideal para complementar tu look diario y destacar con la calidad inconfundible de Wrangler.</t>
        </is>
      </c>
      <c r="U91" s="156" t="inlineStr">
        <is>
          <t>China</t>
        </is>
      </c>
      <c r="V91" s="156" t="inlineStr">
        <is>
          <t>PZS</t>
        </is>
      </c>
      <c r="W91" s="51" t="inlineStr">
        <is>
          <t>53102500</t>
        </is>
      </c>
      <c r="X91" s="156" t="inlineStr">
        <is>
          <t>https://m-universal-unique-brands.odoo.com/web/image/product.product/30098/image_1920</t>
        </is>
      </c>
      <c r="Y91" s="54" t="n">
        <v>4</v>
      </c>
      <c r="Z91" s="54" t="n">
        <v>699</v>
      </c>
      <c r="AA91" s="55">
        <f>IF(AND(A91="", B91="", E91=""), "", IF(AB91="", "Válido", IF((LEN(AB91)-LEN(SUBSTITUTE(AB91,"; ","")))/2+1&gt;(LEN(AB91)-LEN(SUBSTITUTE(AB91,"[Aviso]","")))/7, "Con Incidencias", "Válido")))</f>
        <v/>
      </c>
      <c r="AB91" s="56">
        <f>IF(AND(A91="", B91="", E91=""), "", TEXTJOIN("; ", TRUE, IF(OR(TRIM(A91&amp;"")="", ISNUMBER(SEARCH("FALTA", A91))), "UPC faltante/inválido", ""), IF(AND(A91&lt;&gt;"", IFERROR(_xlfn.XMATCH(A91,$A$2:$A$1063,0,1)&lt;&gt;_xlfn.XMATCH(A91,$A$2:$A$1063,0,-1),FALSE)), "Código de barras duplicado", ""), IF(AND(E91&lt;&gt;"", COUNTIF($E$2:$E$1063, E91)&gt;1), "SKU duplicado", ""), IF(OR(J91="", J91=""), "[Aviso] División no capturada ()", IF(ISNA(MATCH(J91, Criterios!$A$123:$A$126, 0)), "División no válida", "")), IF(OR(K91="", K91=""), "[Aviso] Categoría no capturada ()", IF(ISNA(MATCH(K91, Criterios!$A$81:$A$120, 0)), "Categoría no válida", IF(AND(J91&lt;&gt;"", J91&lt;&gt;"", J91&lt;&gt;VLOOKUP(K91, Criterios!$A$81:$B$120, 2, FALSE)), "División no coincide con Categoría", ""))), IF(OR(L91="", L91=""), "[Aviso] Género no capturado ()", IF(ISNA(MATCH(L91, Criterios!$B$123:$B$127, 0)), "Género no válido", "")), IF(OR(N91="", N91=""), "[Aviso] Temporada no capturada ()", IF(ISNA(MATCH(N91, Criterios!$C$123:$C$128, 0)), "Temporada no válida", "")), IF(OR(O91="", O91=""), "[Aviso] Ciclo de vida no capturado ()", IF(ISNA(MATCH(O91, Criterios!$D$123:$D$124, 0)), "Ciclo de vida no válido", ""))))</f>
        <v/>
      </c>
      <c r="AC91" s="56" t="n"/>
      <c r="AD91" s="51" t="n">
        <v>0</v>
      </c>
      <c r="AE91" s="156" t="n"/>
      <c r="AF91" s="51" t="n">
        <v>0</v>
      </c>
      <c r="AG91" s="156" t="inlineStr">
        <is>
          <t>Catálogo existente</t>
        </is>
      </c>
      <c r="AH91" s="156" t="inlineStr">
        <is>
          <t>No se encontró en Hoja a Revisar por ID interno ni por código de barras; Auditoría NetSuite 30/09/2026: llenado desde NetSuite [Z]; Vinculado por código de barras al ID NetSuite 118087 (antes en Identificador interno: 'W-U-002-SPLT-OS') | 01/10/2026: complementado desde Odoo Universal Unique Brands (match por código de barras): WB Fit, WB Silueta (antes «5 Paneles», no válido en Criterios), Enlace de imagen | 01/10/2026: Odoo Universal Unique Brands trae Color «Verde» — se conservó el valor de Productos | Homologación G1522 06/10/2026: Validación G1522: Dígito de control del código de barras inválido; [Aviso] Precio de compra posiblemente en USD · Validador Shopify: WB: precio con IVA no termina en 9</t>
        </is>
      </c>
      <c r="AI91" s="156" t="inlineStr">
        <is>
          <t>No</t>
        </is>
      </c>
      <c r="AJ91" s="156" t="n"/>
      <c r="AK91" s="155" t="inlineStr">
        <is>
          <t>G1522_Extraccion_Articulos_NetSuite_2026-09-30.xlsx: fila 64228 [Z] | Odoo: producto 30098 / plantilla 38854</t>
        </is>
      </c>
      <c r="AL91" s="58" t="n">
        <v>4</v>
      </c>
      <c r="AM91" s="58" t="n"/>
      <c r="AN91" s="155" t="inlineStr">
        <is>
          <t>Odoo Universal Unique Brands</t>
        </is>
      </c>
      <c r="AO91" s="59" t="n"/>
      <c r="AP91" s="59" t="n"/>
      <c r="AQ91" s="59" t="n">
        <v>109</v>
      </c>
      <c r="AR91" s="155" t="inlineStr">
        <is>
          <t>Odoo Universal Unique Brands › Bodega 25 › Bodega 25/General: 109</t>
        </is>
      </c>
    </row>
    <row r="92">
      <c r="A92" s="50" t="inlineStr">
        <is>
          <t>1261108510026</t>
        </is>
      </c>
      <c r="B92" s="51" t="inlineStr">
        <is>
          <t>118088</t>
        </is>
      </c>
      <c r="C92" s="156" t="inlineStr">
        <is>
          <t>Wrangler</t>
        </is>
      </c>
      <c r="D92" s="156" t="inlineStr">
        <is>
          <t>W-U-001-WS</t>
        </is>
      </c>
      <c r="E92" s="156" t="inlineStr">
        <is>
          <t>1261-1085-10026</t>
        </is>
      </c>
      <c r="F92" s="156" t="inlineStr">
        <is>
          <t>Talla única</t>
        </is>
      </c>
      <c r="G92" s="156" t="inlineStr">
        <is>
          <t>One Size</t>
        </is>
      </c>
      <c r="H92" s="156" t="inlineStr">
        <is>
          <t>Wrangler</t>
        </is>
      </c>
      <c r="I92" s="156" t="inlineStr">
        <is>
          <t>Gorra W WS</t>
        </is>
      </c>
      <c r="J92" s="156" t="inlineStr">
        <is>
          <t>Accesorios</t>
        </is>
      </c>
      <c r="K92" s="156" t="inlineStr">
        <is>
          <t>Gorras</t>
        </is>
      </c>
      <c r="L92" s="156" t="inlineStr">
        <is>
          <t>Unisex</t>
        </is>
      </c>
      <c r="M92" s="156" t="inlineStr">
        <is>
          <t>Wrangler</t>
        </is>
      </c>
      <c r="N92" s="156" t="inlineStr">
        <is>
          <t>SS26</t>
        </is>
      </c>
      <c r="O92" s="156" t="inlineStr">
        <is>
          <t>Seasonal</t>
        </is>
      </c>
      <c r="P92" s="156" t="inlineStr">
        <is>
          <t>Cafe</t>
        </is>
      </c>
      <c r="Q92" s="156" t="n"/>
      <c r="R92" s="156" t="n"/>
      <c r="S92" s="156" t="inlineStr">
        <is>
          <t>Cuerpo: 100% Algodón / Malla: 100% Poliéster</t>
        </is>
      </c>
      <c r="T92" s="156" t="inlineStr">
        <is>
          <t>Lleva el auténtico estilo western con la Gorra Wrangler de la línea W WS. Diseñada en una clásica silueta de 5 paneles, esta pieza en color cafe está confeccionada con cuerpo: 100% algodón / malla: 100% poliéster para ofrecerte máxima comodidad, transpirabilidad y durabilidad. Ideal para complementar tu look diario y destacar con la calidad inconfundible de Wrangler.</t>
        </is>
      </c>
      <c r="U92" s="156" t="inlineStr">
        <is>
          <t>China</t>
        </is>
      </c>
      <c r="V92" s="156" t="inlineStr">
        <is>
          <t>PZS</t>
        </is>
      </c>
      <c r="W92" s="51" t="inlineStr">
        <is>
          <t>53102500</t>
        </is>
      </c>
      <c r="X92" s="156" t="inlineStr">
        <is>
          <t>https://m-universal-unique-brands.odoo.com/web/image/product.product/30099/image_1920</t>
        </is>
      </c>
      <c r="Y92" s="54" t="n">
        <v>4.5</v>
      </c>
      <c r="Z92" s="54" t="n">
        <v>699</v>
      </c>
      <c r="AA92" s="55">
        <f>IF(AND(A92="", B92="", E92=""), "", IF(AB92="", "Válido", IF((LEN(AB92)-LEN(SUBSTITUTE(AB92,"; ","")))/2+1&gt;(LEN(AB92)-LEN(SUBSTITUTE(AB92,"[Aviso]","")))/7, "Con Incidencias", "Válido")))</f>
        <v/>
      </c>
      <c r="AB92" s="56">
        <f>IF(AND(A92="", B92="", E92=""), "", TEXTJOIN("; ", TRUE, IF(OR(TRIM(A92&amp;"")="", ISNUMBER(SEARCH("FALTA", A92))), "UPC faltante/inválido", ""), IF(AND(A92&lt;&gt;"", IFERROR(_xlfn.XMATCH(A92,$A$2:$A$1063,0,1)&lt;&gt;_xlfn.XMATCH(A92,$A$2:$A$1063,0,-1),FALSE)), "Código de barras duplicado", ""), IF(AND(E92&lt;&gt;"", COUNTIF($E$2:$E$1063, E92)&gt;1), "SKU duplicado", ""), IF(OR(J92="", J92=""), "[Aviso] División no capturada ()", IF(ISNA(MATCH(J92, Criterios!$A$123:$A$126, 0)), "División no válida", "")), IF(OR(K92="", K92=""), "[Aviso] Categoría no capturada ()", IF(ISNA(MATCH(K92, Criterios!$A$81:$A$120, 0)), "Categoría no válida", IF(AND(J92&lt;&gt;"", J92&lt;&gt;"", J92&lt;&gt;VLOOKUP(K92, Criterios!$A$81:$B$120, 2, FALSE)), "División no coincide con Categoría", ""))), IF(OR(L92="", L92=""), "[Aviso] Género no capturado ()", IF(ISNA(MATCH(L92, Criterios!$B$123:$B$127, 0)), "Género no válido", "")), IF(OR(N92="", N92=""), "[Aviso] Temporada no capturada ()", IF(ISNA(MATCH(N92, Criterios!$C$123:$C$128, 0)), "Temporada no válida", "")), IF(OR(O92="", O92=""), "[Aviso] Ciclo de vida no capturado ()", IF(ISNA(MATCH(O92, Criterios!$D$123:$D$124, 0)), "Ciclo de vida no válido", ""))))</f>
        <v/>
      </c>
      <c r="AC92" s="56" t="n"/>
      <c r="AD92" s="51" t="n">
        <v>0</v>
      </c>
      <c r="AE92" s="156" t="n"/>
      <c r="AF92" s="51" t="n">
        <v>0</v>
      </c>
      <c r="AG92" s="156" t="inlineStr">
        <is>
          <t>Catálogo existente</t>
        </is>
      </c>
      <c r="AH92" s="156" t="inlineStr">
        <is>
          <t>No se encontró en Hoja a Revisar por ID interno ni por código de barras; Auditoría NetSuite 30/09/2026: llenado desde NetSuite [Z]; Vinculado por código de barras al ID NetSuite 118088 (antes en Identificador interno: 'W-U-001-WS-OS') | 01/10/2026: complementado desde Odoo Universal Unique Brands (match por código de barras): WB Fit, WB Silueta (antes «5 Paneles», no válido en Criterios), Enlace de imagen | 01/10/2026: Odoo Universal Unique Brands trae Color «Rojo» — se conservó el valor de Productos | Homologación G1522 06/10/2026: Precio de compra: «4,5» → «4.5» (Corrección aplicada) · Validación G1522: Dígito de control del código de barras inválido; [Aviso] Precio de compra posiblemente en USD · Validador Shopify: WB: precio con IVA no termina en 9</t>
        </is>
      </c>
      <c r="AI92" s="156" t="inlineStr">
        <is>
          <t>No</t>
        </is>
      </c>
      <c r="AJ92" s="156" t="n"/>
      <c r="AK92" s="155" t="inlineStr">
        <is>
          <t>G1522_Extraccion_Articulos_NetSuite_2026-09-30.xlsx: fila 64229 [Z] | Odoo: producto 30099 / plantilla 38855</t>
        </is>
      </c>
      <c r="AL92" s="58" t="inlineStr">
        <is>
          <t>4,5</t>
        </is>
      </c>
      <c r="AM92" s="58" t="n"/>
      <c r="AN92" s="155" t="inlineStr">
        <is>
          <t>Odoo Universal Unique Brands</t>
        </is>
      </c>
      <c r="AO92" s="59" t="n"/>
      <c r="AP92" s="59" t="n"/>
      <c r="AQ92" s="59" t="n">
        <v>98</v>
      </c>
      <c r="AR92" s="155" t="inlineStr">
        <is>
          <t>Odoo Universal Unique Brands › Bodega 25 › Bodega 25/General: 98</t>
        </is>
      </c>
    </row>
    <row r="93">
      <c r="A93" s="50" t="inlineStr">
        <is>
          <t>1261108510027</t>
        </is>
      </c>
      <c r="B93" s="51" t="inlineStr">
        <is>
          <t>118089</t>
        </is>
      </c>
      <c r="C93" s="156" t="inlineStr">
        <is>
          <t>Wrangler</t>
        </is>
      </c>
      <c r="D93" s="156" t="inlineStr">
        <is>
          <t>W-U-003-WS</t>
        </is>
      </c>
      <c r="E93" s="156" t="inlineStr">
        <is>
          <t>1261-1085-10027</t>
        </is>
      </c>
      <c r="F93" s="156" t="inlineStr">
        <is>
          <t>Talla única</t>
        </is>
      </c>
      <c r="G93" s="156" t="inlineStr">
        <is>
          <t>One Size</t>
        </is>
      </c>
      <c r="H93" s="156" t="inlineStr">
        <is>
          <t>Wrangler</t>
        </is>
      </c>
      <c r="I93" s="156" t="inlineStr">
        <is>
          <t>Gorra W WS</t>
        </is>
      </c>
      <c r="J93" s="156" t="inlineStr">
        <is>
          <t>Accesorios</t>
        </is>
      </c>
      <c r="K93" s="156" t="inlineStr">
        <is>
          <t>Gorras</t>
        </is>
      </c>
      <c r="L93" s="156" t="inlineStr">
        <is>
          <t>Unisex</t>
        </is>
      </c>
      <c r="M93" s="156" t="inlineStr">
        <is>
          <t>Wrangler</t>
        </is>
      </c>
      <c r="N93" s="156" t="inlineStr">
        <is>
          <t>SS26</t>
        </is>
      </c>
      <c r="O93" s="156" t="inlineStr">
        <is>
          <t>Seasonal</t>
        </is>
      </c>
      <c r="P93" s="156" t="inlineStr">
        <is>
          <t>Rosa</t>
        </is>
      </c>
      <c r="Q93" s="156" t="n"/>
      <c r="R93" s="156" t="n"/>
      <c r="S93" s="156" t="inlineStr">
        <is>
          <t>Cuerpo: 100% Algodón / Malla: 100% Poliéster</t>
        </is>
      </c>
      <c r="T93" s="156" t="inlineStr">
        <is>
          <t>Lleva el auténtico estilo western con la Gorra Wrangler de la línea W WS. Diseñada en una clásica silueta de 5 paneles, esta pieza en color rosa está confeccionada con cuerpo: 100% algodón / malla: 100% poliéster para ofrecerte máxima comodidad, transpirabilidad y durabilidad. Ideal para complementar tu look diario y destacar con la calidad inconfundible de Wrangler.</t>
        </is>
      </c>
      <c r="U93" s="156" t="inlineStr">
        <is>
          <t>China</t>
        </is>
      </c>
      <c r="V93" s="156" t="inlineStr">
        <is>
          <t>PZS</t>
        </is>
      </c>
      <c r="W93" s="51" t="inlineStr">
        <is>
          <t>53102500</t>
        </is>
      </c>
      <c r="X93" s="156" t="inlineStr">
        <is>
          <t>https://m-universal-unique-brands.odoo.com/web/image/product.product/30100/image_1920</t>
        </is>
      </c>
      <c r="Y93" s="54" t="n">
        <v>4.5</v>
      </c>
      <c r="Z93" s="54" t="n">
        <v>699</v>
      </c>
      <c r="AA93" s="55">
        <f>IF(AND(A93="", B93="", E93=""), "", IF(AB93="", "Válido", IF((LEN(AB93)-LEN(SUBSTITUTE(AB93,"; ","")))/2+1&gt;(LEN(AB93)-LEN(SUBSTITUTE(AB93,"[Aviso]","")))/7, "Con Incidencias", "Válido")))</f>
        <v/>
      </c>
      <c r="AB93" s="56">
        <f>IF(AND(A93="", B93="", E93=""), "", TEXTJOIN("; ", TRUE, IF(OR(TRIM(A93&amp;"")="", ISNUMBER(SEARCH("FALTA", A93))), "UPC faltante/inválido", ""), IF(AND(A93&lt;&gt;"", IFERROR(_xlfn.XMATCH(A93,$A$2:$A$1063,0,1)&lt;&gt;_xlfn.XMATCH(A93,$A$2:$A$1063,0,-1),FALSE)), "Código de barras duplicado", ""), IF(AND(E93&lt;&gt;"", COUNTIF($E$2:$E$1063, E93)&gt;1), "SKU duplicado", ""), IF(OR(J93="", J93=""), "[Aviso] División no capturada ()", IF(ISNA(MATCH(J93, Criterios!$A$123:$A$126, 0)), "División no válida", "")), IF(OR(K93="", K93=""), "[Aviso] Categoría no capturada ()", IF(ISNA(MATCH(K93, Criterios!$A$81:$A$120, 0)), "Categoría no válida", IF(AND(J93&lt;&gt;"", J93&lt;&gt;"", J93&lt;&gt;VLOOKUP(K93, Criterios!$A$81:$B$120, 2, FALSE)), "División no coincide con Categoría", ""))), IF(OR(L93="", L93=""), "[Aviso] Género no capturado ()", IF(ISNA(MATCH(L93, Criterios!$B$123:$B$127, 0)), "Género no válido", "")), IF(OR(N93="", N93=""), "[Aviso] Temporada no capturada ()", IF(ISNA(MATCH(N93, Criterios!$C$123:$C$128, 0)), "Temporada no válida", "")), IF(OR(O93="", O93=""), "[Aviso] Ciclo de vida no capturado ()", IF(ISNA(MATCH(O93, Criterios!$D$123:$D$124, 0)), "Ciclo de vida no válido", ""))))</f>
        <v/>
      </c>
      <c r="AC93" s="56" t="n"/>
      <c r="AD93" s="51" t="n">
        <v>0</v>
      </c>
      <c r="AE93" s="156" t="n"/>
      <c r="AF93" s="51" t="n">
        <v>0</v>
      </c>
      <c r="AG93" s="156" t="inlineStr">
        <is>
          <t>Catálogo existente</t>
        </is>
      </c>
      <c r="AH93" s="156" t="inlineStr">
        <is>
          <t>No se encontró en Hoja a Revisar por ID interno ni por código de barras; Auditoría NetSuite 30/09/2026: llenado desde NetSuite [Z]; Vinculado por código de barras al ID NetSuite 118089 (antes en Identificador interno: 'W-U-003-WS-OS') | 01/10/2026: complementado desde Odoo Universal Unique Brands (match por código de barras): WB Fit, WB Silueta (antes «5 Paneles», no válido en Criterios), Enlace de imagen | 01/10/2026: Odoo Universal Unique Brands trae Color «Gris» — se conservó el valor de Productos | Homologación G1522 06/10/2026: Precio de compra: «4,5» → «4.5» (Corrección aplicada) · Validación G1522: Dígito de control del código de barras inválido; [Aviso] Precio de compra posiblemente en USD · Validador Shopify: WB: precio con IVA no termina en 9</t>
        </is>
      </c>
      <c r="AI93" s="156" t="inlineStr">
        <is>
          <t>No</t>
        </is>
      </c>
      <c r="AJ93" s="156" t="n"/>
      <c r="AK93" s="155" t="inlineStr">
        <is>
          <t>G1522_Extraccion_Articulos_NetSuite_2026-09-30.xlsx: fila 64230 [Z] | Odoo: producto 30100 / plantilla 38856</t>
        </is>
      </c>
      <c r="AL93" s="58" t="inlineStr">
        <is>
          <t>4,5</t>
        </is>
      </c>
      <c r="AM93" s="58" t="n"/>
      <c r="AN93" s="155" t="inlineStr">
        <is>
          <t>Odoo Universal Unique Brands</t>
        </is>
      </c>
      <c r="AO93" s="59" t="n"/>
      <c r="AP93" s="59" t="n"/>
      <c r="AQ93" s="59" t="n">
        <v>192</v>
      </c>
      <c r="AR93" s="155" t="inlineStr">
        <is>
          <t>Odoo Universal Unique Brands › Bodega 25 › Bodega 25/General: 192</t>
        </is>
      </c>
    </row>
    <row r="94">
      <c r="A94" s="50" t="inlineStr">
        <is>
          <t>1261108510028</t>
        </is>
      </c>
      <c r="B94" s="51" t="inlineStr">
        <is>
          <t>118090</t>
        </is>
      </c>
      <c r="C94" s="156" t="inlineStr">
        <is>
          <t>Wrangler</t>
        </is>
      </c>
      <c r="D94" s="156" t="inlineStr">
        <is>
          <t>W-U-001-PTS</t>
        </is>
      </c>
      <c r="E94" s="156" t="inlineStr">
        <is>
          <t>1261-1085-10028</t>
        </is>
      </c>
      <c r="F94" s="156" t="inlineStr">
        <is>
          <t>Talla única</t>
        </is>
      </c>
      <c r="G94" s="156" t="inlineStr">
        <is>
          <t>One Size</t>
        </is>
      </c>
      <c r="H94" s="156" t="inlineStr">
        <is>
          <t>Wrangler</t>
        </is>
      </c>
      <c r="I94" s="156" t="inlineStr">
        <is>
          <t>Gorra W PUNTOS</t>
        </is>
      </c>
      <c r="J94" s="156" t="inlineStr">
        <is>
          <t>Accesorios</t>
        </is>
      </c>
      <c r="K94" s="156" t="inlineStr">
        <is>
          <t>Gorras</t>
        </is>
      </c>
      <c r="L94" s="156" t="inlineStr">
        <is>
          <t>Unisex</t>
        </is>
      </c>
      <c r="M94" s="156" t="inlineStr">
        <is>
          <t>Wrangler</t>
        </is>
      </c>
      <c r="N94" s="156" t="inlineStr">
        <is>
          <t>SS26</t>
        </is>
      </c>
      <c r="O94" s="156" t="inlineStr">
        <is>
          <t>Seasonal</t>
        </is>
      </c>
      <c r="P94" s="156" t="inlineStr">
        <is>
          <t>Azul</t>
        </is>
      </c>
      <c r="Q94" s="156" t="n"/>
      <c r="R94" s="156" t="n"/>
      <c r="S94" s="156" t="inlineStr">
        <is>
          <t>Cuerpo: 100% Algodón / Malla: 100% Poliéster</t>
        </is>
      </c>
      <c r="T94" s="156" t="inlineStr">
        <is>
          <t>Lleva el auténtico estilo western con la Gorra Wrangler de la línea W PUNTOS.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      </is>
      </c>
      <c r="U94" s="156" t="inlineStr">
        <is>
          <t>China</t>
        </is>
      </c>
      <c r="V94" s="156" t="inlineStr">
        <is>
          <t>PZS</t>
        </is>
      </c>
      <c r="W94" s="51" t="inlineStr">
        <is>
          <t>53102500</t>
        </is>
      </c>
      <c r="X94" s="156" t="inlineStr">
        <is>
          <t>https://m-universal-unique-brands.odoo.com/web/image/product.product/30101/image_1920</t>
        </is>
      </c>
      <c r="Y94" s="54" t="n">
        <v>4.6</v>
      </c>
      <c r="Z94" s="54" t="n">
        <v>699</v>
      </c>
      <c r="AA94" s="55">
        <f>IF(AND(A94="", B94="", E94=""), "", IF(AB94="", "Válido", IF((LEN(AB94)-LEN(SUBSTITUTE(AB94,"; ","")))/2+1&gt;(LEN(AB94)-LEN(SUBSTITUTE(AB94,"[Aviso]","")))/7, "Con Incidencias", "Válido")))</f>
        <v/>
      </c>
      <c r="AB94" s="56">
        <f>IF(AND(A94="", B94="", E94=""), "", TEXTJOIN("; ", TRUE, IF(OR(TRIM(A94&amp;"")="", ISNUMBER(SEARCH("FALTA", A94))), "UPC faltante/inválido", ""), IF(AND(A94&lt;&gt;"", IFERROR(_xlfn.XMATCH(A94,$A$2:$A$1063,0,1)&lt;&gt;_xlfn.XMATCH(A94,$A$2:$A$1063,0,-1),FALSE)), "Código de barras duplicado", ""), IF(AND(E94&lt;&gt;"", COUNTIF($E$2:$E$1063, E94)&gt;1), "SKU duplicado", ""), IF(OR(J94="", J94=""), "[Aviso] División no capturada ()", IF(ISNA(MATCH(J94, Criterios!$A$123:$A$126, 0)), "División no válida", "")), IF(OR(K94="", K94=""), "[Aviso] Categoría no capturada ()", IF(ISNA(MATCH(K94, Criterios!$A$81:$A$120, 0)), "Categoría no válida", IF(AND(J94&lt;&gt;"", J94&lt;&gt;"", J94&lt;&gt;VLOOKUP(K94, Criterios!$A$81:$B$120, 2, FALSE)), "División no coincide con Categoría", ""))), IF(OR(L94="", L94=""), "[Aviso] Género no capturado ()", IF(ISNA(MATCH(L94, Criterios!$B$123:$B$127, 0)), "Género no válido", "")), IF(OR(N94="", N94=""), "[Aviso] Temporada no capturada ()", IF(ISNA(MATCH(N94, Criterios!$C$123:$C$128, 0)), "Temporada no válida", "")), IF(OR(O94="", O94=""), "[Aviso] Ciclo de vida no capturado ()", IF(ISNA(MATCH(O94, Criterios!$D$123:$D$124, 0)), "Ciclo de vida no válido", ""))))</f>
        <v/>
      </c>
      <c r="AC94" s="56" t="n"/>
      <c r="AD94" s="51" t="n">
        <v>0</v>
      </c>
      <c r="AE94" s="156" t="n"/>
      <c r="AF94" s="51" t="n">
        <v>0</v>
      </c>
      <c r="AG94" s="156" t="inlineStr">
        <is>
          <t>Catálogo existente</t>
        </is>
      </c>
      <c r="AH94" s="156" t="inlineStr">
        <is>
          <t>No se encontró en Hoja a Revisar por ID interno ni por código de barras; Auditoría NetSuite 30/09/2026: llenado desde NetSuite [Z]; Vinculado por código de barras al ID NetSuite 118090 (antes en Identificador interno: 'W-U-001-PTS-OS') | 01/10/2026: complementado desde Odoo Universal Unique Brands (match por código de barras): WB Fit, WB Silueta (antes «5 Paneles», no válido en Criterios), Enlace de imagen | Homologación G1522 06/10/2026: Precio de compra: «4,6» → «4.6» (Corrección aplicada) · Validación G1522: Dígito de control del código de barras inválido; [Aviso] Precio de compra posiblemente en USD · Validador Shopify: WB: precio con IVA no termina en 9</t>
        </is>
      </c>
      <c r="AI94" s="156" t="inlineStr">
        <is>
          <t>No</t>
        </is>
      </c>
      <c r="AJ94" s="156" t="n"/>
      <c r="AK94" s="155" t="inlineStr">
        <is>
          <t>G1522_Extraccion_Articulos_NetSuite_2026-09-30.xlsx: fila 64231 [Z] | Odoo: producto 30101 / plantilla 38857</t>
        </is>
      </c>
      <c r="AL94" s="58" t="inlineStr">
        <is>
          <t>4,6</t>
        </is>
      </c>
      <c r="AM94" s="58" t="n"/>
      <c r="AN94" s="155" t="inlineStr">
        <is>
          <t>Odoo Universal Unique Brands</t>
        </is>
      </c>
      <c r="AO94" s="59" t="n"/>
      <c r="AP94" s="59" t="n"/>
      <c r="AQ94" s="59" t="n">
        <v>180</v>
      </c>
      <c r="AR94" s="155" t="inlineStr">
        <is>
          <t>Odoo Universal Unique Brands › Bodega 25 › Bodega 25/General: 180</t>
        </is>
      </c>
    </row>
    <row r="95">
      <c r="A95" s="50" t="inlineStr">
        <is>
          <t>1261108510029</t>
        </is>
      </c>
      <c r="B95" s="51" t="inlineStr">
        <is>
          <t>118091</t>
        </is>
      </c>
      <c r="C95" s="156" t="inlineStr">
        <is>
          <t>Wrangler</t>
        </is>
      </c>
      <c r="D95" s="156" t="inlineStr">
        <is>
          <t>W-U-002-PTS</t>
        </is>
      </c>
      <c r="E95" s="156" t="inlineStr">
        <is>
          <t>1261-1085-10029</t>
        </is>
      </c>
      <c r="F95" s="156" t="inlineStr">
        <is>
          <t>Talla única</t>
        </is>
      </c>
      <c r="G95" s="156" t="inlineStr">
        <is>
          <t>One Size</t>
        </is>
      </c>
      <c r="H95" s="156" t="inlineStr">
        <is>
          <t>Wrangler</t>
        </is>
      </c>
      <c r="I95" s="156" t="inlineStr">
        <is>
          <t>Gorra W PUNTOS</t>
        </is>
      </c>
      <c r="J95" s="156" t="inlineStr">
        <is>
          <t>Accesorios</t>
        </is>
      </c>
      <c r="K95" s="156" t="inlineStr">
        <is>
          <t>Gorras</t>
        </is>
      </c>
      <c r="L95" s="156" t="inlineStr">
        <is>
          <t>Unisex</t>
        </is>
      </c>
      <c r="M95" s="156" t="inlineStr">
        <is>
          <t>Wrangler</t>
        </is>
      </c>
      <c r="N95" s="156" t="inlineStr">
        <is>
          <t>SS26</t>
        </is>
      </c>
      <c r="O95" s="156" t="inlineStr">
        <is>
          <t>Seasonal</t>
        </is>
      </c>
      <c r="P95" s="156" t="inlineStr">
        <is>
          <t>Rosa</t>
        </is>
      </c>
      <c r="Q95" s="156" t="n"/>
      <c r="R95" s="156" t="n"/>
      <c r="S95" s="156" t="inlineStr">
        <is>
          <t>Cuerpo: 100% Algodón / Malla: 100% Poliéster</t>
        </is>
      </c>
      <c r="T95" s="156" t="inlineStr">
        <is>
          <t>Lleva el auténtico estilo western con la Gorra Wrangler de la línea W PUNTOS. Diseñada en una clásica silueta de 5 paneles, esta pieza en color rosa está confeccionada con cuerpo: 100% algodón / malla: 100% poliéster para ofrecerte máxima comodidad, transpirabilidad y durabilidad. Ideal para complementar tu look diario y destacar con la calidad inconfundible de Wrangler.</t>
        </is>
      </c>
      <c r="U95" s="156" t="inlineStr">
        <is>
          <t>China</t>
        </is>
      </c>
      <c r="V95" s="156" t="inlineStr">
        <is>
          <t>PZS</t>
        </is>
      </c>
      <c r="W95" s="51" t="inlineStr">
        <is>
          <t>53102500</t>
        </is>
      </c>
      <c r="X95" s="156" t="inlineStr">
        <is>
          <t>https://m-universal-unique-brands.odoo.com/web/image/product.product/30102/image_1920</t>
        </is>
      </c>
      <c r="Y95" s="54" t="n">
        <v>4.6</v>
      </c>
      <c r="Z95" s="54" t="n">
        <v>699</v>
      </c>
      <c r="AA95" s="55">
        <f>IF(AND(A95="", B95="", E95=""), "", IF(AB95="", "Válido", IF((LEN(AB95)-LEN(SUBSTITUTE(AB95,"; ","")))/2+1&gt;(LEN(AB95)-LEN(SUBSTITUTE(AB95,"[Aviso]","")))/7, "Con Incidencias", "Válido")))</f>
        <v/>
      </c>
      <c r="AB95" s="56">
        <f>IF(AND(A95="", B95="", E95=""), "", TEXTJOIN("; ", TRUE, IF(OR(TRIM(A95&amp;"")="", ISNUMBER(SEARCH("FALTA", A95))), "UPC faltante/inválido", ""), IF(AND(A95&lt;&gt;"", IFERROR(_xlfn.XMATCH(A95,$A$2:$A$1063,0,1)&lt;&gt;_xlfn.XMATCH(A95,$A$2:$A$1063,0,-1),FALSE)), "Código de barras duplicado", ""), IF(AND(E95&lt;&gt;"", COUNTIF($E$2:$E$1063, E95)&gt;1), "SKU duplicado", ""), IF(OR(J95="", J95=""), "[Aviso] División no capturada ()", IF(ISNA(MATCH(J95, Criterios!$A$123:$A$126, 0)), "División no válida", "")), IF(OR(K95="", K95=""), "[Aviso] Categoría no capturada ()", IF(ISNA(MATCH(K95, Criterios!$A$81:$A$120, 0)), "Categoría no válida", IF(AND(J95&lt;&gt;"", J95&lt;&gt;"", J95&lt;&gt;VLOOKUP(K95, Criterios!$A$81:$B$120, 2, FALSE)), "División no coincide con Categoría", ""))), IF(OR(L95="", L95=""), "[Aviso] Género no capturado ()", IF(ISNA(MATCH(L95, Criterios!$B$123:$B$127, 0)), "Género no válido", "")), IF(OR(N95="", N95=""), "[Aviso] Temporada no capturada ()", IF(ISNA(MATCH(N95, Criterios!$C$123:$C$128, 0)), "Temporada no válida", "")), IF(OR(O95="", O95=""), "[Aviso] Ciclo de vida no capturado ()", IF(ISNA(MATCH(O95, Criterios!$D$123:$D$124, 0)), "Ciclo de vida no válido", ""))))</f>
        <v/>
      </c>
      <c r="AC95" s="56" t="n"/>
      <c r="AD95" s="51" t="n">
        <v>0</v>
      </c>
      <c r="AE95" s="156" t="n"/>
      <c r="AF95" s="51" t="n">
        <v>0</v>
      </c>
      <c r="AG95" s="156" t="inlineStr">
        <is>
          <t>Catálogo existente</t>
        </is>
      </c>
      <c r="AH95" s="156" t="inlineStr">
        <is>
          <t>No se encontró en Hoja a Revisar por ID interno ni por código de barras; Auditoría NetSuite 30/09/2026: llenado desde NetSuite [Z]; Vinculado por código de barras al ID NetSuite 118091 (antes en Identificador interno: 'W-U-002-PTS-OS') | 01/10/2026: complementado desde Odoo Universal Unique Brands (match por código de barras): WB Fit, WB Silueta (antes «5 Paneles», no válido en Criterios), Enlace de imagen | 01/10/2026: Odoo Universal Unique Brands trae Color «Rojo» — se conservó el valor de Productos | Homologación G1522 06/10/2026: Precio de compra: «4,6» → «4.6» (Corrección aplicada) · Validación G1522: Dígito de control del código de barras inválido; [Aviso] Precio de compra posiblemente en USD · Validador Shopify: WB: precio con IVA no termina en 9</t>
        </is>
      </c>
      <c r="AI95" s="156" t="inlineStr">
        <is>
          <t>No</t>
        </is>
      </c>
      <c r="AJ95" s="156" t="n"/>
      <c r="AK95" s="155" t="inlineStr">
        <is>
          <t>G1522_Extraccion_Articulos_NetSuite_2026-09-30.xlsx: fila 64232 [Z] | Odoo: producto 30102 / plantilla 38858</t>
        </is>
      </c>
      <c r="AL95" s="58" t="inlineStr">
        <is>
          <t>4,6</t>
        </is>
      </c>
      <c r="AM95" s="58" t="n"/>
      <c r="AN95" s="155" t="inlineStr">
        <is>
          <t>Odoo Universal Unique Brands</t>
        </is>
      </c>
      <c r="AO95" s="59" t="n"/>
      <c r="AP95" s="59" t="n"/>
      <c r="AQ95" s="59" t="n">
        <v>187</v>
      </c>
      <c r="AR95" s="155" t="inlineStr">
        <is>
          <t>Odoo Universal Unique Brands › Bodega 25 › Bodega 25/General: 187</t>
        </is>
      </c>
    </row>
    <row r="96">
      <c r="A96" s="50" t="inlineStr">
        <is>
          <t>1261108510030</t>
        </is>
      </c>
      <c r="B96" s="51" t="inlineStr">
        <is>
          <t>117840</t>
        </is>
      </c>
      <c r="C96" s="156" t="inlineStr">
        <is>
          <t>Wrangler</t>
        </is>
      </c>
      <c r="D96" s="156" t="inlineStr">
        <is>
          <t>W-RL-U-003-RL</t>
        </is>
      </c>
      <c r="E96" s="156" t="inlineStr">
        <is>
          <t>1261-1085-10030</t>
        </is>
      </c>
      <c r="F96" s="156" t="inlineStr">
        <is>
          <t>Talla única</t>
        </is>
      </c>
      <c r="G96" s="156" t="inlineStr">
        <is>
          <t>One Size</t>
        </is>
      </c>
      <c r="H96" s="156" t="inlineStr">
        <is>
          <t>Wrangler</t>
        </is>
      </c>
      <c r="I96" s="156" t="inlineStr">
        <is>
          <t>Gorra RANCH LIFE RANCH LIFE</t>
        </is>
      </c>
      <c r="J96" s="156" t="inlineStr">
        <is>
          <t>Accesorios</t>
        </is>
      </c>
      <c r="K96" s="156" t="inlineStr">
        <is>
          <t>Gorras</t>
        </is>
      </c>
      <c r="L96" s="156" t="inlineStr">
        <is>
          <t>Unisex</t>
        </is>
      </c>
      <c r="M96" s="156" t="inlineStr">
        <is>
          <t>Wrangler</t>
        </is>
      </c>
      <c r="N96" s="156" t="inlineStr">
        <is>
          <t>SS26</t>
        </is>
      </c>
      <c r="O96" s="156" t="inlineStr">
        <is>
          <t>Seasonal</t>
        </is>
      </c>
      <c r="P96" s="156" t="inlineStr">
        <is>
          <t>Naranja</t>
        </is>
      </c>
      <c r="Q96" s="156" t="n"/>
      <c r="R96" s="156" t="n"/>
      <c r="S96" s="156" t="inlineStr">
        <is>
          <t>Cuerpo: 100% Algodón / Malla: 100% Poliéster</t>
        </is>
      </c>
      <c r="T96" s="156" t="inlineStr">
        <is>
          <t>Lleva el auténtico estilo western con la Gorra Wrangler de la línea RANCH LIFE RANCH LIFE. Diseñada en una clásica silueta de 5 paneles, esta pieza en color naranja está confeccionada con cuerpo: 100% algodón / malla: 100% poliéster para ofrecerte máxima comodidad, transpirabilidad y durabilidad. Ideal para complementar tu look diario y destacar con la calidad inconfundible de Wrangler.</t>
        </is>
      </c>
      <c r="U96" s="156" t="inlineStr">
        <is>
          <t>China</t>
        </is>
      </c>
      <c r="V96" s="156" t="inlineStr">
        <is>
          <t>PZS</t>
        </is>
      </c>
      <c r="W96" s="51" t="inlineStr">
        <is>
          <t>53102500</t>
        </is>
      </c>
      <c r="X96" s="156" t="inlineStr">
        <is>
          <t>https://m-universal-unique-brands.odoo.com/web/image/product.product/30103/image_1920</t>
        </is>
      </c>
      <c r="Y96" s="54" t="n">
        <v>5.3</v>
      </c>
      <c r="Z96" s="54" t="n">
        <v>699</v>
      </c>
      <c r="AA96" s="55">
        <f>IF(AND(A96="", B96="", E96=""), "", IF(AB96="", "Válido", IF((LEN(AB96)-LEN(SUBSTITUTE(AB96,"; ","")))/2+1&gt;(LEN(AB96)-LEN(SUBSTITUTE(AB96,"[Aviso]","")))/7, "Con Incidencias", "Válido")))</f>
        <v/>
      </c>
      <c r="AB96" s="56">
        <f>IF(AND(A96="", B96="", E96=""), "", TEXTJOIN("; ", TRUE, IF(OR(TRIM(A96&amp;"")="", ISNUMBER(SEARCH("FALTA", A96))), "UPC faltante/inválido", ""), IF(AND(A96&lt;&gt;"", IFERROR(_xlfn.XMATCH(A96,$A$2:$A$1063,0,1)&lt;&gt;_xlfn.XMATCH(A96,$A$2:$A$1063,0,-1),FALSE)), "Código de barras duplicado", ""), IF(AND(E96&lt;&gt;"", COUNTIF($E$2:$E$1063, E96)&gt;1), "SKU duplicado", ""), IF(OR(J96="", J96=""), "[Aviso] División no capturada ()", IF(ISNA(MATCH(J96, Criterios!$A$123:$A$126, 0)), "División no válida", "")), IF(OR(K96="", K96=""), "[Aviso] Categoría no capturada ()", IF(ISNA(MATCH(K96, Criterios!$A$81:$A$120, 0)), "Categoría no válida", IF(AND(J96&lt;&gt;"", J96&lt;&gt;"", J96&lt;&gt;VLOOKUP(K96, Criterios!$A$81:$B$120, 2, FALSE)), "División no coincide con Categoría", ""))), IF(OR(L96="", L96=""), "[Aviso] Género no capturado ()", IF(ISNA(MATCH(L96, Criterios!$B$123:$B$127, 0)), "Género no válido", "")), IF(OR(N96="", N96=""), "[Aviso] Temporada no capturada ()", IF(ISNA(MATCH(N96, Criterios!$C$123:$C$128, 0)), "Temporada no válida", "")), IF(OR(O96="", O96=""), "[Aviso] Ciclo de vida no capturado ()", IF(ISNA(MATCH(O96, Criterios!$D$123:$D$124, 0)), "Ciclo de vida no válido", ""))))</f>
        <v/>
      </c>
      <c r="AC96" s="56" t="n"/>
      <c r="AD96" s="51" t="n">
        <v>0</v>
      </c>
      <c r="AE96" s="156" t="n"/>
      <c r="AF96" s="51" t="n">
        <v>0</v>
      </c>
      <c r="AG96" s="156" t="inlineStr">
        <is>
          <t>Catálogo existente</t>
        </is>
      </c>
      <c r="AH96" s="156" t="inlineStr">
        <is>
          <t>Coincidencia por código de barras (ID NetSuite 117840) | ID alternativo de Hoja a Revisar 117840 (UPC coincidente); se conserva ID principal; Auditoría NetSuite 30/09/2026: llenado desde NetSuite [Z]; Vinculado por código de barras al ID NetSuite 117840 (antes en Identificador interno: 'W-RL-U-003-RL-OS') | 01/10/2026: complementado desde Shopify Western Brothers (match por código de barras): WB Fit, WB Silueta (antes «5 Paneles», no válido en Criterios) | 01/10/2026: Shopify Western Brothers trae Color «Gris» — se conservó el valor de Productos | 01/10/2026: complementado desde Odoo Universal Unique Brands (match por código de barras): Enlace de imagen | 01/10/2026: Odoo Universal Unique Brands trae Color «Gris» — se conservó el valor de Productos | Homologación G1522 06/10/2026: Precio de compra: «5,3» → «5.3» (Corrección aplicada) · Validación G1522: [Aviso] Precio de compra posiblemente en USD · Validador Shopify: WB: precio con IVA no termina en 9</t>
        </is>
      </c>
      <c r="AI96" s="156" t="inlineStr">
        <is>
          <t>No</t>
        </is>
      </c>
      <c r="AJ96" s="156" t="n"/>
      <c r="AK96" s="155" t="inlineStr">
        <is>
          <t>| Hoja a Revisar: fila 917508 (ID 117840, misma clave UPC); G1522_Extraccion_Articulos_NetSuite_2026-09-30.xlsx: fila 64081 [Z] | Shopify WB: producto 10310435176633 / variante 50512588406969 | Odoo: producto 30103 / plantilla 38859</t>
        </is>
      </c>
      <c r="AL96" s="58" t="inlineStr">
        <is>
          <t>5,3</t>
        </is>
      </c>
      <c r="AM96" s="58" t="n"/>
      <c r="AN96" s="155" t="inlineStr">
        <is>
          <t>Shopify Western Brothers | Odoo Universal Unique Brands</t>
        </is>
      </c>
      <c r="AO96" s="59" t="n"/>
      <c r="AP96" s="59" t="n">
        <v>9</v>
      </c>
      <c r="AQ96" s="59" t="n">
        <v>197</v>
      </c>
      <c r="AR96" s="155" t="inlineStr">
        <is>
          <t>Shopify Western Brothers › Western Brothers Outlet Lerma: 9 | Odoo Universal Unique Brands › Bodega 25 › Bodega 25/General: 197</t>
        </is>
      </c>
    </row>
    <row r="97">
      <c r="A97" s="50" t="inlineStr">
        <is>
          <t>1261108510031</t>
        </is>
      </c>
      <c r="B97" s="51" t="inlineStr">
        <is>
          <t>117841</t>
        </is>
      </c>
      <c r="C97" s="156" t="inlineStr">
        <is>
          <t>Wrangler</t>
        </is>
      </c>
      <c r="D97" s="156" t="inlineStr">
        <is>
          <t>W-RL-U-003-RL</t>
        </is>
      </c>
      <c r="E97" s="156" t="inlineStr">
        <is>
          <t>1261-1085-10031</t>
        </is>
      </c>
      <c r="F97" s="156" t="inlineStr">
        <is>
          <t>Talla única</t>
        </is>
      </c>
      <c r="G97" s="156" t="inlineStr">
        <is>
          <t>One Size</t>
        </is>
      </c>
      <c r="H97" s="156" t="inlineStr">
        <is>
          <t>Wrangler</t>
        </is>
      </c>
      <c r="I97" s="156" t="inlineStr">
        <is>
          <t>Gorra RANCH LIFE RANCH LIFE</t>
        </is>
      </c>
      <c r="J97" s="156" t="inlineStr">
        <is>
          <t>Accesorios</t>
        </is>
      </c>
      <c r="K97" s="156" t="inlineStr">
        <is>
          <t>Gorras</t>
        </is>
      </c>
      <c r="L97" s="156" t="inlineStr">
        <is>
          <t>Unisex</t>
        </is>
      </c>
      <c r="M97" s="156" t="inlineStr">
        <is>
          <t>Wrangler</t>
        </is>
      </c>
      <c r="N97" s="156" t="inlineStr">
        <is>
          <t>SS26</t>
        </is>
      </c>
      <c r="O97" s="156" t="inlineStr">
        <is>
          <t>Seasonal</t>
        </is>
      </c>
      <c r="P97" s="156" t="inlineStr">
        <is>
          <t>Verde</t>
        </is>
      </c>
      <c r="Q97" s="156" t="n"/>
      <c r="R97" s="156" t="n"/>
      <c r="S97" s="156" t="inlineStr">
        <is>
          <t>Cuerpo: 100% Algodón / Malla: 100% Poliéster</t>
        </is>
      </c>
      <c r="T97" s="156" t="inlineStr">
        <is>
          <t>Lleva el auténtico estilo western con la Gorra Wrangler de la línea RANCH LIFE RANCH LIFE.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      </is>
      </c>
      <c r="U97" s="156" t="inlineStr">
        <is>
          <t>China</t>
        </is>
      </c>
      <c r="V97" s="156" t="inlineStr">
        <is>
          <t>PZS</t>
        </is>
      </c>
      <c r="W97" s="51" t="inlineStr">
        <is>
          <t>53102500</t>
        </is>
      </c>
      <c r="X97" s="156" t="inlineStr">
        <is>
          <t>https://m-universal-unique-brands.odoo.com/web/image/product.product/30104/image_1920</t>
        </is>
      </c>
      <c r="Y97" s="54" t="n">
        <v>5.3</v>
      </c>
      <c r="Z97" s="54" t="n">
        <v>699</v>
      </c>
      <c r="AA97" s="55">
        <f>IF(AND(A97="", B97="", E97=""), "", IF(AB97="", "Válido", IF((LEN(AB97)-LEN(SUBSTITUTE(AB97,"; ","")))/2+1&gt;(LEN(AB97)-LEN(SUBSTITUTE(AB97,"[Aviso]","")))/7, "Con Incidencias", "Válido")))</f>
        <v/>
      </c>
      <c r="AB97" s="56">
        <f>IF(AND(A97="", B97="", E97=""), "", TEXTJOIN("; ", TRUE, IF(OR(TRIM(A97&amp;"")="", ISNUMBER(SEARCH("FALTA", A97))), "UPC faltante/inválido", ""), IF(AND(A97&lt;&gt;"", IFERROR(_xlfn.XMATCH(A97,$A$2:$A$1063,0,1)&lt;&gt;_xlfn.XMATCH(A97,$A$2:$A$1063,0,-1),FALSE)), "Código de barras duplicado", ""), IF(AND(E97&lt;&gt;"", COUNTIF($E$2:$E$1063, E97)&gt;1), "SKU duplicado", ""), IF(OR(J97="", J97=""), "[Aviso] División no capturada ()", IF(ISNA(MATCH(J97, Criterios!$A$123:$A$126, 0)), "División no válida", "")), IF(OR(K97="", K97=""), "[Aviso] Categoría no capturada ()", IF(ISNA(MATCH(K97, Criterios!$A$81:$A$120, 0)), "Categoría no válida", IF(AND(J97&lt;&gt;"", J97&lt;&gt;"", J97&lt;&gt;VLOOKUP(K97, Criterios!$A$81:$B$120, 2, FALSE)), "División no coincide con Categoría", ""))), IF(OR(L97="", L97=""), "[Aviso] Género no capturado ()", IF(ISNA(MATCH(L97, Criterios!$B$123:$B$127, 0)), "Género no válido", "")), IF(OR(N97="", N97=""), "[Aviso] Temporada no capturada ()", IF(ISNA(MATCH(N97, Criterios!$C$123:$C$128, 0)), "Temporada no válida", "")), IF(OR(O97="", O97=""), "[Aviso] Ciclo de vida no capturado ()", IF(ISNA(MATCH(O97, Criterios!$D$123:$D$124, 0)), "Ciclo de vida no válido", ""))))</f>
        <v/>
      </c>
      <c r="AC97" s="56" t="n"/>
      <c r="AD97" s="51" t="n">
        <v>0</v>
      </c>
      <c r="AE97" s="156" t="n"/>
      <c r="AF97" s="51" t="n">
        <v>0</v>
      </c>
      <c r="AG97" s="156" t="inlineStr">
        <is>
          <t>Catálogo existente</t>
        </is>
      </c>
      <c r="AH97" s="156" t="inlineStr">
        <is>
          <t>Coincidencia por código de barras (ID NetSuite 117841) | ID alternativo de Hoja a Revisar 117841 (UPC coincidente); se conserva ID principal; Auditoría NetSuite 30/09/2026: llenado desde NetSuite [Z]; Vinculado por código de barras al ID NetSuite 117841 (antes en Identificador interno: 'W-RL-U-003-RL-OS') | 01/10/2026: complementado desde Shopify Western Brothers (match por código de barras): WB Fit, WB Silueta (antes «5 Paneles», no válido en Criterios) | 01/10/2026: Shopify Western Brothers trae Color «Cafe» — se conservó el valor de Productos | 01/10/2026: complementado desde Odoo Universal Unique Brands (match por código de barras): Enlace de imagen | 01/10/2026: Odoo Universal Unique Brands trae Color «Cafe» — se conservó el valor de Productos | Homologación G1522 06/10/2026: Precio de compra: «5,3» → «5.3» (Corrección aplicada) · Validación G1522: Dígito de control del código de barras inválido; [Aviso] Precio de compra posiblemente en USD · Validador Shopify: WB: precio con IVA no termina en 9</t>
        </is>
      </c>
      <c r="AI97" s="156" t="inlineStr">
        <is>
          <t>No</t>
        </is>
      </c>
      <c r="AJ97" s="156" t="n"/>
      <c r="AK97" s="155" t="inlineStr">
        <is>
          <t>| Hoja a Revisar: fila 917510 (ID 117841, misma clave UPC); G1522_Extraccion_Articulos_NetSuite_2026-09-30.xlsx: fila 64082 [Z] | Shopify WB: producto 10310435209401 / variante 50512588439737 | Odoo: producto 30104 / plantilla 38860</t>
        </is>
      </c>
      <c r="AL97" s="58" t="inlineStr">
        <is>
          <t>5,3</t>
        </is>
      </c>
      <c r="AM97" s="58" t="n"/>
      <c r="AN97" s="155" t="inlineStr">
        <is>
          <t>Shopify Western Brothers | Odoo Universal Unique Brands</t>
        </is>
      </c>
      <c r="AO97" s="59" t="n"/>
      <c r="AP97" s="59" t="n">
        <v>9</v>
      </c>
      <c r="AQ97" s="59" t="n">
        <v>181</v>
      </c>
      <c r="AR97" s="155" t="inlineStr">
        <is>
          <t>Shopify Western Brothers › Western Brothers Outlet Lerma: 9 | Odoo Universal Unique Brands › Bodega 25 › Bodega 25/General: 181</t>
        </is>
      </c>
    </row>
    <row r="98">
      <c r="A98" s="50" t="inlineStr">
        <is>
          <t>1261108510032</t>
        </is>
      </c>
      <c r="B98" s="51" t="inlineStr">
        <is>
          <t>117842</t>
        </is>
      </c>
      <c r="C98" s="156" t="inlineStr">
        <is>
          <t>Wrangler</t>
        </is>
      </c>
      <c r="D98" s="156" t="inlineStr">
        <is>
          <t>W-RL-U-003-RL</t>
        </is>
      </c>
      <c r="E98" s="156" t="inlineStr">
        <is>
          <t>1261-1085-10032</t>
        </is>
      </c>
      <c r="F98" s="156" t="inlineStr">
        <is>
          <t>Talla única</t>
        </is>
      </c>
      <c r="G98" s="156" t="inlineStr">
        <is>
          <t>One Size</t>
        </is>
      </c>
      <c r="H98" s="156" t="inlineStr">
        <is>
          <t>Wrangler</t>
        </is>
      </c>
      <c r="I98" s="156" t="inlineStr">
        <is>
          <t>Gorra RANCH LIFE RANCH LIFE</t>
        </is>
      </c>
      <c r="J98" s="156" t="inlineStr">
        <is>
          <t>Accesorios</t>
        </is>
      </c>
      <c r="K98" s="156" t="inlineStr">
        <is>
          <t>Gorras</t>
        </is>
      </c>
      <c r="L98" s="156" t="inlineStr">
        <is>
          <t>Unisex</t>
        </is>
      </c>
      <c r="M98" s="156" t="inlineStr">
        <is>
          <t>Wrangler</t>
        </is>
      </c>
      <c r="N98" s="156" t="inlineStr">
        <is>
          <t>SS26</t>
        </is>
      </c>
      <c r="O98" s="156" t="inlineStr">
        <is>
          <t>Seasonal</t>
        </is>
      </c>
      <c r="P98" s="156" t="inlineStr">
        <is>
          <t>Varios</t>
        </is>
      </c>
      <c r="Q98" s="156" t="n"/>
      <c r="R98" s="156" t="n"/>
      <c r="S98" s="156" t="inlineStr">
        <is>
          <t>Cuerpo: 100% Algodón / Malla: 100% Poliéster</t>
        </is>
      </c>
      <c r="T98" s="156" t="inlineStr">
        <is>
          <t>Lleva el auténtico estilo western con la Gorra Wrangler de la línea RANCH LIFE RANCH LIFE. Diseñada en una clásica silueta de 5 paneles, esta pieza en color vino está confeccionada con cuerpo: 100% algodón / malla: 100% poliéster para ofrecerte máxima comodidad, transpirabilidad y durabilidad. Ideal para complementar tu look diario y destacar con la calidad inconfundible de Wrangler.</t>
        </is>
      </c>
      <c r="U98" s="156" t="inlineStr">
        <is>
          <t>China</t>
        </is>
      </c>
      <c r="V98" s="156" t="inlineStr">
        <is>
          <t>PZS</t>
        </is>
      </c>
      <c r="W98" s="51" t="inlineStr">
        <is>
          <t>53102500</t>
        </is>
      </c>
      <c r="X98" s="156" t="inlineStr">
        <is>
          <t>https://m-universal-unique-brands.odoo.com/web/image/product.product/30105/image_1920</t>
        </is>
      </c>
      <c r="Y98" s="54" t="n">
        <v>5.3</v>
      </c>
      <c r="Z98" s="54" t="n">
        <v>699</v>
      </c>
      <c r="AA98" s="55">
        <f>IF(AND(A98="", B98="", E98=""), "", IF(AB98="", "Válido", IF((LEN(AB98)-LEN(SUBSTITUTE(AB98,"; ","")))/2+1&gt;(LEN(AB98)-LEN(SUBSTITUTE(AB98,"[Aviso]","")))/7, "Con Incidencias", "Válido")))</f>
        <v/>
      </c>
      <c r="AB98" s="56">
        <f>IF(AND(A98="", B98="", E98=""), "", TEXTJOIN("; ", TRUE, IF(OR(TRIM(A98&amp;"")="", ISNUMBER(SEARCH("FALTA", A98))), "UPC faltante/inválido", ""), IF(AND(A98&lt;&gt;"", IFERROR(_xlfn.XMATCH(A98,$A$2:$A$1063,0,1)&lt;&gt;_xlfn.XMATCH(A98,$A$2:$A$1063,0,-1),FALSE)), "Código de barras duplicado", ""), IF(AND(E98&lt;&gt;"", COUNTIF($E$2:$E$1063, E98)&gt;1), "SKU duplicado", ""), IF(OR(J98="", J98=""), "[Aviso] División no capturada ()", IF(ISNA(MATCH(J98, Criterios!$A$123:$A$126, 0)), "División no válida", "")), IF(OR(K98="", K98=""), "[Aviso] Categoría no capturada ()", IF(ISNA(MATCH(K98, Criterios!$A$81:$A$120, 0)), "Categoría no válida", IF(AND(J98&lt;&gt;"", J98&lt;&gt;"", J98&lt;&gt;VLOOKUP(K98, Criterios!$A$81:$B$120, 2, FALSE)), "División no coincide con Categoría", ""))), IF(OR(L98="", L98=""), "[Aviso] Género no capturado ()", IF(ISNA(MATCH(L98, Criterios!$B$123:$B$127, 0)), "Género no válido", "")), IF(OR(N98="", N98=""), "[Aviso] Temporada no capturada ()", IF(ISNA(MATCH(N98, Criterios!$C$123:$C$128, 0)), "Temporada no válida", "")), IF(OR(O98="", O98=""), "[Aviso] Ciclo de vida no capturado ()", IF(ISNA(MATCH(O98, Criterios!$D$123:$D$124, 0)), "Ciclo de vida no válido", ""))))</f>
        <v/>
      </c>
      <c r="AC98" s="56" t="n"/>
      <c r="AD98" s="51" t="n">
        <v>-1</v>
      </c>
      <c r="AE98" s="156" t="n"/>
      <c r="AF98" s="51" t="n">
        <v>0</v>
      </c>
      <c r="AG98" s="156" t="inlineStr">
        <is>
          <t>Catálogo existente</t>
        </is>
      </c>
      <c r="AH98" s="156" t="inlineStr">
        <is>
          <t>Coincidencia por código de barras (ID NetSuite 117842) | ID alternativo de Hoja a Revisar 117842 (UPC coincidente); se conserva ID principal; Auditoría NetSuite 30/09/2026: llenado desde NetSuite [Z]; Vinculado por código de barras al ID NetSuite 117842 (antes en Identificador interno: 'W-RL-U-003-RL-OS') | 01/10/2026: complementado desde Shopify Western Brothers (match por código de barras): WB Fit, WB Silueta (antes «5 Paneles», no válido en Criterios) | 01/10/2026: Shopify Western Brothers trae Color «Azul» — se conservó el valor de Productos | 01/10/2026: complementado desde Odoo Universal Unique Brands (match por código de barras): Enlace de imagen | 01/10/2026: Odoo Universal Unique Brands trae Color «Azul» — se conservó el valor de Productos | Homologación G1522 06/10/2026: Precio de compra: «5,3» → «5.3» (Corrección aplicada) · Validación G1522: Dígito de control del código de barras inválido; [Aviso] Precio de compra posiblemente en USD · Validador Shopify: WB: precio con IVA no termina en 9</t>
        </is>
      </c>
      <c r="AI98" s="156" t="inlineStr">
        <is>
          <t>Sí</t>
        </is>
      </c>
      <c r="AJ98" s="156" t="inlineStr">
        <is>
          <t>WB OUTLET LERMA (-1)</t>
        </is>
      </c>
      <c r="AK98" s="155" t="inlineStr">
        <is>
          <t>| Hoja a Revisar: fila 917512 (ID 117842, misma clave UPC); G1522_Extraccion_Articulos_NetSuite_2026-09-30.xlsx: fila 64083 [Z] | Shopify WB: producto 10310435242169 / variante 50512588472505 | Odoo: producto 30105 / plantilla 38861</t>
        </is>
      </c>
      <c r="AL98" s="58" t="inlineStr">
        <is>
          <t>5,3</t>
        </is>
      </c>
      <c r="AM98" s="58" t="n"/>
      <c r="AN98" s="155" t="inlineStr">
        <is>
          <t>Shopify Western Brothers | Odoo Universal Unique Brands</t>
        </is>
      </c>
      <c r="AO98" s="59" t="n"/>
      <c r="AP98" s="59" t="n">
        <v>8</v>
      </c>
      <c r="AQ98" s="59" t="n">
        <v>130</v>
      </c>
      <c r="AR98" s="155" t="inlineStr">
        <is>
          <t>Shopify Western Brothers › Western Brothers Outlet Lerma: 8 | Odoo Universal Unique Brands › Bodega 25 › Bodega 25/General: 130</t>
        </is>
      </c>
    </row>
    <row r="99">
      <c r="A99" s="50" t="inlineStr">
        <is>
          <t>1261108510033</t>
        </is>
      </c>
      <c r="B99" s="51" t="inlineStr">
        <is>
          <t>117843</t>
        </is>
      </c>
      <c r="C99" s="156" t="inlineStr">
        <is>
          <t>Wrangler</t>
        </is>
      </c>
      <c r="D99" s="156" t="inlineStr">
        <is>
          <t>W-RL-U-001-WA</t>
        </is>
      </c>
      <c r="E99" s="156" t="inlineStr">
        <is>
          <t>1261-1085-10033</t>
        </is>
      </c>
      <c r="F99" s="156" t="inlineStr">
        <is>
          <t>Talla única</t>
        </is>
      </c>
      <c r="G99" s="156" t="inlineStr">
        <is>
          <t>One Size</t>
        </is>
      </c>
      <c r="H99" s="156" t="inlineStr">
        <is>
          <t>Wrangler</t>
        </is>
      </c>
      <c r="I99" s="156" t="inlineStr">
        <is>
          <t>Gorra RANCH LIFE WESTERN APEX</t>
        </is>
      </c>
      <c r="J99" s="156" t="inlineStr">
        <is>
          <t>Accesorios</t>
        </is>
      </c>
      <c r="K99" s="156" t="inlineStr">
        <is>
          <t>Gorras</t>
        </is>
      </c>
      <c r="L99" s="156" t="inlineStr">
        <is>
          <t>Unisex</t>
        </is>
      </c>
      <c r="M99" s="156" t="inlineStr">
        <is>
          <t>Wrangler</t>
        </is>
      </c>
      <c r="N99" s="156" t="inlineStr">
        <is>
          <t>SS26</t>
        </is>
      </c>
      <c r="O99" s="156" t="inlineStr">
        <is>
          <t>Seasonal</t>
        </is>
      </c>
      <c r="P99" s="156" t="inlineStr">
        <is>
          <t>Beige</t>
        </is>
      </c>
      <c r="Q99" s="156" t="n"/>
      <c r="R99" s="156" t="n"/>
      <c r="S99" s="156" t="inlineStr">
        <is>
          <t>Cuerpo: 100% Algodón / Malla: 100% Poliéster</t>
        </is>
      </c>
      <c r="T99" s="156" t="inlineStr">
        <is>
          <t>Lleva el auténtico estilo western con la Gorra Wrangler de la línea RANCH LIFE WESTERN APEX. Diseñada en una clásica silueta de 5 paneles, esta pieza en color crema está confeccionada con cuerpo: 100% algodón / malla: 100% poliéster para ofrecerte máxima comodidad, transpirabilidad y durabilidad. Ideal para complementar tu look diario y destacar con la calidad inconfundible de Wrangler.</t>
        </is>
      </c>
      <c r="U99" s="156" t="inlineStr">
        <is>
          <t>China</t>
        </is>
      </c>
      <c r="V99" s="156" t="inlineStr">
        <is>
          <t>PZS</t>
        </is>
      </c>
      <c r="W99" s="51" t="inlineStr">
        <is>
          <t>53102500</t>
        </is>
      </c>
      <c r="X99" s="156" t="inlineStr">
        <is>
          <t>https://m-universal-unique-brands.odoo.com/web/image/product.product/30106/image_1920</t>
        </is>
      </c>
      <c r="Y99" s="54" t="n">
        <v>4.96</v>
      </c>
      <c r="Z99" s="54" t="n">
        <v>699</v>
      </c>
      <c r="AA99" s="55">
        <f>IF(AND(A99="", B99="", E99=""), "", IF(AB99="", "Válido", IF((LEN(AB99)-LEN(SUBSTITUTE(AB99,"; ","")))/2+1&gt;(LEN(AB99)-LEN(SUBSTITUTE(AB99,"[Aviso]","")))/7, "Con Incidencias", "Válido")))</f>
        <v/>
      </c>
      <c r="AB99" s="56">
        <f>IF(AND(A99="", B99="", E99=""), "", TEXTJOIN("; ", TRUE, IF(OR(TRIM(A99&amp;"")="", ISNUMBER(SEARCH("FALTA", A99))), "UPC faltante/inválido", ""), IF(AND(A99&lt;&gt;"", IFERROR(_xlfn.XMATCH(A99,$A$2:$A$1063,0,1)&lt;&gt;_xlfn.XMATCH(A99,$A$2:$A$1063,0,-1),FALSE)), "Código de barras duplicado", ""), IF(AND(E99&lt;&gt;"", COUNTIF($E$2:$E$1063, E99)&gt;1), "SKU duplicado", ""), IF(OR(J99="", J99=""), "[Aviso] División no capturada ()", IF(ISNA(MATCH(J99, Criterios!$A$123:$A$126, 0)), "División no válida", "")), IF(OR(K99="", K99=""), "[Aviso] Categoría no capturada ()", IF(ISNA(MATCH(K99, Criterios!$A$81:$A$120, 0)), "Categoría no válida", IF(AND(J99&lt;&gt;"", J99&lt;&gt;"", J99&lt;&gt;VLOOKUP(K99, Criterios!$A$81:$B$120, 2, FALSE)), "División no coincide con Categoría", ""))), IF(OR(L99="", L99=""), "[Aviso] Género no capturado ()", IF(ISNA(MATCH(L99, Criterios!$B$123:$B$127, 0)), "Género no válido", "")), IF(OR(N99="", N99=""), "[Aviso] Temporada no capturada ()", IF(ISNA(MATCH(N99, Criterios!$C$123:$C$128, 0)), "Temporada no válida", "")), IF(OR(O99="", O99=""), "[Aviso] Ciclo de vida no capturado ()", IF(ISNA(MATCH(O99, Criterios!$D$123:$D$124, 0)), "Ciclo de vida no válido", ""))))</f>
        <v/>
      </c>
      <c r="AC99" s="56" t="n"/>
      <c r="AD99" s="51" t="n">
        <v>-1</v>
      </c>
      <c r="AE99" s="156" t="n"/>
      <c r="AF99" s="51" t="n">
        <v>0</v>
      </c>
      <c r="AG99" s="156" t="inlineStr">
        <is>
          <t>Catálogo existente</t>
        </is>
      </c>
      <c r="AH99" s="156" t="inlineStr">
        <is>
          <t>Coincidencia por código de barras (ID NetSuite 117843); Stock negativo en sistema: revisar en conteo | ID alternativo de Hoja a Revisar 117843 (UPC coincidente); se conserva ID principal; Auditoría NetSuite 30/09/2026: llenado desde NetSuite [Z]; Vinculado por código de barras al ID NetSuite 117843 (antes en Identificador interno: 'W-RL-U-001-WA-OS') | 01/10/2026: complementado desde Shopify Western Brothers (match por código de barras): WB Fit, WB Silueta (antes «5 Paneles», no válido en Criterios) | 01/10/2026: Shopify Western Brothers trae Color «Cafe» — se conservó el valor de Productos | 01/10/2026: complementado desde Odoo Universal Unique Brands (match por código de barras): Enlace de imagen | 01/10/2026: Odoo Universal Unique Brands trae Color «Cafe» — se conservó el valor de Productos | Homologación G1522 06/10/2026: Precio de compra: «4,96» → «4.96» (Corrección aplicada) · Validación G1522: Dígito de control del código de barras inválido; [Aviso] Precio de compra posiblemente en USD · Validador Shopify: WB: precio con IVA no termina en 9</t>
        </is>
      </c>
      <c r="AI99" s="156" t="inlineStr">
        <is>
          <t>Sí</t>
        </is>
      </c>
      <c r="AJ99" s="156" t="inlineStr">
        <is>
          <t>WB OUTLET LERMA (-1)</t>
        </is>
      </c>
      <c r="AK99" s="155" t="inlineStr">
        <is>
          <t>| Hoja a Revisar: fila 917514 (ID 117843, misma clave UPC); G1522_Extraccion_Articulos_NetSuite_2026-09-30.xlsx: fila 64084 [Z] | Shopify WB: producto 10310435307705 / variante 50512588538041 | Odoo: producto 30106 / plantilla 38862</t>
        </is>
      </c>
      <c r="AL99" s="58" t="inlineStr">
        <is>
          <t>4,96</t>
        </is>
      </c>
      <c r="AM99" s="58" t="n"/>
      <c r="AN99" s="155" t="inlineStr">
        <is>
          <t>Shopify Western Brothers | Odoo Universal Unique Brands</t>
        </is>
      </c>
      <c r="AO99" s="59" t="n"/>
      <c r="AP99" s="59" t="n">
        <v>7</v>
      </c>
      <c r="AQ99" s="59" t="n">
        <v>162</v>
      </c>
      <c r="AR99" s="155" t="inlineStr">
        <is>
          <t>Shopify Western Brothers › Western Brothers Outlet Lerma: 7 | Odoo Universal Unique Brands › Bodega 25 › Bodega 25/General: 162</t>
        </is>
      </c>
    </row>
    <row r="100">
      <c r="A100" s="50" t="inlineStr">
        <is>
          <t>1261108510034</t>
        </is>
      </c>
      <c r="B100" s="51" t="inlineStr">
        <is>
          <t>117844</t>
        </is>
      </c>
      <c r="C100" s="156" t="inlineStr">
        <is>
          <t>Wrangler</t>
        </is>
      </c>
      <c r="D100" s="156" t="inlineStr">
        <is>
          <t>W-RL-U-003-WA</t>
        </is>
      </c>
      <c r="E100" s="156" t="inlineStr">
        <is>
          <t>1261-1085-10034</t>
        </is>
      </c>
      <c r="F100" s="156" t="inlineStr">
        <is>
          <t>Talla única</t>
        </is>
      </c>
      <c r="G100" s="156" t="inlineStr">
        <is>
          <t>One Size</t>
        </is>
      </c>
      <c r="H100" s="156" t="inlineStr">
        <is>
          <t>Wrangler</t>
        </is>
      </c>
      <c r="I100" s="156" t="inlineStr">
        <is>
          <t>Gorra RANCH LIFE WESTERN APEX</t>
        </is>
      </c>
      <c r="J100" s="156" t="inlineStr">
        <is>
          <t>Accesorios</t>
        </is>
      </c>
      <c r="K100" s="156" t="inlineStr">
        <is>
          <t>Gorras</t>
        </is>
      </c>
      <c r="L100" s="156" t="inlineStr">
        <is>
          <t>Unisex</t>
        </is>
      </c>
      <c r="M100" s="156" t="inlineStr">
        <is>
          <t>Wrangler</t>
        </is>
      </c>
      <c r="N100" s="156" t="inlineStr">
        <is>
          <t>SS26</t>
        </is>
      </c>
      <c r="O100" s="156" t="inlineStr">
        <is>
          <t>Seasonal</t>
        </is>
      </c>
      <c r="P100" s="156" t="inlineStr">
        <is>
          <t>Beige</t>
        </is>
      </c>
      <c r="Q100" s="156" t="n"/>
      <c r="R100" s="156" t="n"/>
      <c r="S100" s="156" t="inlineStr">
        <is>
          <t>Cuerpo: 100% Algodón / Malla: 100% Poliéster</t>
        </is>
      </c>
      <c r="T100" s="156" t="inlineStr">
        <is>
          <t>Lleva el auténtico estilo western con la Gorra Wrangler de la línea RANCH LIFE WESTERN APEX. Diseñada en una clásica silueta de 5 paneles, esta pieza en color beige está confeccionada con cuerpo: 100% algodón / malla: 100% poliéster para ofrecerte máxima comodidad, transpirabilidad y durabilidad. Ideal para complementar tu look diario y destacar con la calidad inconfundible de Wrangler.</t>
        </is>
      </c>
      <c r="U100" s="156" t="inlineStr">
        <is>
          <t>China</t>
        </is>
      </c>
      <c r="V100" s="156" t="inlineStr">
        <is>
          <t>PZS</t>
        </is>
      </c>
      <c r="W100" s="51" t="inlineStr">
        <is>
          <t>53102500</t>
        </is>
      </c>
      <c r="X100" s="156" t="inlineStr">
        <is>
          <t>https://m-universal-unique-brands.odoo.com/web/image/product.product/30107/image_1920</t>
        </is>
      </c>
      <c r="Y100" s="54" t="n">
        <v>4.96</v>
      </c>
      <c r="Z100" s="54" t="n">
        <v>699</v>
      </c>
      <c r="AA100" s="55">
        <f>IF(AND(A100="", B100="", E100=""), "", IF(AB100="", "Válido", IF((LEN(AB100)-LEN(SUBSTITUTE(AB100,"; ","")))/2+1&gt;(LEN(AB100)-LEN(SUBSTITUTE(AB100,"[Aviso]","")))/7, "Con Incidencias", "Válido")))</f>
        <v/>
      </c>
      <c r="AB100" s="56">
        <f>IF(AND(A100="", B100="", E100=""), "", TEXTJOIN("; ", TRUE, IF(OR(TRIM(A100&amp;"")="", ISNUMBER(SEARCH("FALTA", A100))), "UPC faltante/inválido", ""), IF(AND(A100&lt;&gt;"", IFERROR(_xlfn.XMATCH(A100,$A$2:$A$1063,0,1)&lt;&gt;_xlfn.XMATCH(A100,$A$2:$A$1063,0,-1),FALSE)), "Código de barras duplicado", ""), IF(AND(E100&lt;&gt;"", COUNTIF($E$2:$E$1063, E100)&gt;1), "SKU duplicado", ""), IF(OR(J100="", J100=""), "[Aviso] División no capturada ()", IF(ISNA(MATCH(J100, Criterios!$A$123:$A$126, 0)), "División no válida", "")), IF(OR(K100="", K100=""), "[Aviso] Categoría no capturada ()", IF(ISNA(MATCH(K100, Criterios!$A$81:$A$120, 0)), "Categoría no válida", IF(AND(J100&lt;&gt;"", J100&lt;&gt;"", J100&lt;&gt;VLOOKUP(K100, Criterios!$A$81:$B$120, 2, FALSE)), "División no coincide con Categoría", ""))), IF(OR(L100="", L100=""), "[Aviso] Género no capturado ()", IF(ISNA(MATCH(L100, Criterios!$B$123:$B$127, 0)), "Género no válido", "")), IF(OR(N100="", N100=""), "[Aviso] Temporada no capturada ()", IF(ISNA(MATCH(N100, Criterios!$C$123:$C$128, 0)), "Temporada no válida", "")), IF(OR(O100="", O100=""), "[Aviso] Ciclo de vida no capturado ()", IF(ISNA(MATCH(O100, Criterios!$D$123:$D$124, 0)), "Ciclo de vida no válido", ""))))</f>
        <v/>
      </c>
      <c r="AC100" s="56" t="n"/>
      <c r="AD100" s="51" t="n">
        <v>0</v>
      </c>
      <c r="AE100" s="156" t="n"/>
      <c r="AF100" s="51" t="n">
        <v>0</v>
      </c>
      <c r="AG100" s="156" t="inlineStr">
        <is>
          <t>Catálogo existente</t>
        </is>
      </c>
      <c r="AH100" s="156" t="inlineStr">
        <is>
          <t>Coincidencia por código de barras (ID NetSuite 117844) | ID alternativo de Hoja a Revisar 117844 (UPC coincidente); se conserva ID principal; Auditoría NetSuite 30/09/2026: llenado desde NetSuite [Z]; Vinculado por código de barras al ID NetSuite 117844 (antes en Identificador interno: 'W-RL-U-003-WA-OS') | 01/10/2026: complementado desde Shopify Western Brothers (match por código de barras): WB Fit, WB Silueta (antes «5 Paneles», no válido en Criterios) | 01/10/2026: Shopify Western Brothers trae Color «Cafe» — se conservó el valor de Productos | 01/10/2026: complementado desde Odoo Universal Unique Brands (match por código de barras): Enlace de imagen | 01/10/2026: Odoo Universal Unique Brands trae Color «Cafe» — se conservó el valor de Productos | Homologación G1522 06/10/2026: Precio de compra: «4,96» → «4.96» (Corrección aplicada) · Validación G1522: Dígito de control del código de barras inválido; [Aviso] Precio de compra posiblemente en USD · Validador Shopify: WB: precio con IVA no termina en 9</t>
        </is>
      </c>
      <c r="AI100" s="156" t="inlineStr">
        <is>
          <t>No</t>
        </is>
      </c>
      <c r="AJ100" s="156" t="n"/>
      <c r="AK100" s="155" t="inlineStr">
        <is>
          <t>| Hoja a Revisar: fila 917516 (ID 117844, misma clave UPC); G1522_Extraccion_Articulos_NetSuite_2026-09-30.xlsx: fila 64085 [Z] | Shopify WB: producto 10310435340473 / variante 50512588570809 | Odoo: producto 30107 / plantilla 38863</t>
        </is>
      </c>
      <c r="AL100" s="58" t="inlineStr">
        <is>
          <t>4,96</t>
        </is>
      </c>
      <c r="AM100" s="58" t="n"/>
      <c r="AN100" s="155" t="inlineStr">
        <is>
          <t>Shopify Western Brothers | Odoo Universal Unique Brands</t>
        </is>
      </c>
      <c r="AO100" s="59" t="n"/>
      <c r="AP100" s="59" t="n">
        <v>12</v>
      </c>
      <c r="AQ100" s="59" t="n">
        <v>151</v>
      </c>
      <c r="AR100" s="155" t="inlineStr">
        <is>
          <t>Shopify Western Brothers › Western Brothers Outlet Lerma: 12 | Odoo Universal Unique Brands › Bodega 25 › Bodega 25/General: 151</t>
        </is>
      </c>
    </row>
    <row r="101">
      <c r="A101" s="50" t="inlineStr">
        <is>
          <t>1261108510035</t>
        </is>
      </c>
      <c r="B101" s="51" t="inlineStr">
        <is>
          <t>117845</t>
        </is>
      </c>
      <c r="C101" s="156" t="inlineStr">
        <is>
          <t>Wrangler</t>
        </is>
      </c>
      <c r="D101" s="156" t="inlineStr">
        <is>
          <t>W-RL-U-001-AGU</t>
        </is>
      </c>
      <c r="E101" s="156" t="inlineStr">
        <is>
          <t>1261-1085-10035</t>
        </is>
      </c>
      <c r="F101" s="156" t="inlineStr">
        <is>
          <t>Talla única</t>
        </is>
      </c>
      <c r="G101" s="156" t="inlineStr">
        <is>
          <t>One Size</t>
        </is>
      </c>
      <c r="H101" s="156" t="inlineStr">
        <is>
          <t>Wrangler</t>
        </is>
      </c>
      <c r="I101" s="156" t="inlineStr">
        <is>
          <t>Gorra RANCH LIFE AGUILA REAL</t>
        </is>
      </c>
      <c r="J101" s="156" t="inlineStr">
        <is>
          <t>Accesorios</t>
        </is>
      </c>
      <c r="K101" s="156" t="inlineStr">
        <is>
          <t>Gorras</t>
        </is>
      </c>
      <c r="L101" s="156" t="inlineStr">
        <is>
          <t>Unisex</t>
        </is>
      </c>
      <c r="M101" s="156" t="inlineStr">
        <is>
          <t>Wrangler</t>
        </is>
      </c>
      <c r="N101" s="156" t="inlineStr">
        <is>
          <t>SS26</t>
        </is>
      </c>
      <c r="O101" s="156" t="inlineStr">
        <is>
          <t>Seasonal</t>
        </is>
      </c>
      <c r="P101" s="156" t="inlineStr">
        <is>
          <t>Azul</t>
        </is>
      </c>
      <c r="Q101" s="156" t="n"/>
      <c r="R101" s="156" t="n"/>
      <c r="S101" s="156" t="inlineStr">
        <is>
          <t>Cuerpo: 100% Algodón / Malla: 100% Poliéster</t>
        </is>
      </c>
      <c r="T101" s="156" t="inlineStr">
        <is>
          <t>Lleva el auténtico estilo western con la Gorra Wrangler de la línea RANCH LIFE AGUILA REAL.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      </is>
      </c>
      <c r="U101" s="156" t="inlineStr">
        <is>
          <t>China</t>
        </is>
      </c>
      <c r="V101" s="156" t="inlineStr">
        <is>
          <t>PZS</t>
        </is>
      </c>
      <c r="W101" s="51" t="inlineStr">
        <is>
          <t>53102500</t>
        </is>
      </c>
      <c r="X101" s="156" t="inlineStr">
        <is>
          <t>https://m-universal-unique-brands.odoo.com/web/image/product.product/30108/image_1920</t>
        </is>
      </c>
      <c r="Y101" s="54" t="n">
        <v>5.64</v>
      </c>
      <c r="Z101" s="54" t="n">
        <v>699</v>
      </c>
      <c r="AA101" s="55">
        <f>IF(AND(A101="", B101="", E101=""), "", IF(AB101="", "Válido", IF((LEN(AB101)-LEN(SUBSTITUTE(AB101,"; ","")))/2+1&gt;(LEN(AB101)-LEN(SUBSTITUTE(AB101,"[Aviso]","")))/7, "Con Incidencias", "Válido")))</f>
        <v/>
      </c>
      <c r="AB101" s="56">
        <f>IF(AND(A101="", B101="", E101=""), "", TEXTJOIN("; ", TRUE, IF(OR(TRIM(A101&amp;"")="", ISNUMBER(SEARCH("FALTA", A101))), "UPC faltante/inválido", ""), IF(AND(A101&lt;&gt;"", IFERROR(_xlfn.XMATCH(A101,$A$2:$A$1063,0,1)&lt;&gt;_xlfn.XMATCH(A101,$A$2:$A$1063,0,-1),FALSE)), "Código de barras duplicado", ""), IF(AND(E101&lt;&gt;"", COUNTIF($E$2:$E$1063, E101)&gt;1), "SKU duplicado", ""), IF(OR(J101="", J101=""), "[Aviso] División no capturada ()", IF(ISNA(MATCH(J101, Criterios!$A$123:$A$126, 0)), "División no válida", "")), IF(OR(K101="", K101=""), "[Aviso] Categoría no capturada ()", IF(ISNA(MATCH(K101, Criterios!$A$81:$A$120, 0)), "Categoría no válida", IF(AND(J101&lt;&gt;"", J101&lt;&gt;"", J101&lt;&gt;VLOOKUP(K101, Criterios!$A$81:$B$120, 2, FALSE)), "División no coincide con Categoría", ""))), IF(OR(L101="", L101=""), "[Aviso] Género no capturado ()", IF(ISNA(MATCH(L101, Criterios!$B$123:$B$127, 0)), "Género no válido", "")), IF(OR(N101="", N101=""), "[Aviso] Temporada no capturada ()", IF(ISNA(MATCH(N101, Criterios!$C$123:$C$128, 0)), "Temporada no válida", "")), IF(OR(O101="", O101=""), "[Aviso] Ciclo de vida no capturado ()", IF(ISNA(MATCH(O101, Criterios!$D$123:$D$124, 0)), "Ciclo de vida no válido", ""))))</f>
        <v/>
      </c>
      <c r="AC101" s="56" t="n"/>
      <c r="AD101" s="51" t="n">
        <v>0</v>
      </c>
      <c r="AE101" s="156" t="n"/>
      <c r="AF101" s="51" t="n">
        <v>0</v>
      </c>
      <c r="AG101" s="156" t="inlineStr">
        <is>
          <t>Catálogo existente</t>
        </is>
      </c>
      <c r="AH101" s="156" t="inlineStr">
        <is>
          <t>Coincidencia por código de barras (ID NetSuite 117845) | ID alternativo de Hoja a Revisar 117845 (UPC coincidente); se conserva ID principal; Auditoría NetSuite 30/09/2026: llenado desde NetSuite [Z]; Vinculado por código de barras al ID NetSuite 117845 (antes en Identificador interno: 'W-RL-U-001-AGU-OS') | 01/10/2026: complementado desde Shopify Western Brothers (match por código de barras): WB Fit, WB Silueta (antes «5 Paneles», no válido en Criterios) | 01/10/2026: Shopify Western Brothers trae Color «Beige» — se conservó el valor de Productos | 01/10/2026: complementado desde Odoo Universal Unique Brands (match por código de barras): Enlace de imagen | 01/10/2026: Odoo Universal Unique Brands trae Color «Beige» — se conservó el valor de Productos | Homologación G1522 06/10/2026: Precio de compra: «5,64» → «5.64» (Corrección aplicada) · Validación G1522: Dígito de control del código de barras inválido; [Aviso] Precio de compra posiblemente en USD · Validador Shopify: WB: precio con IVA no termina en 9</t>
        </is>
      </c>
      <c r="AI101" s="156" t="inlineStr">
        <is>
          <t>No</t>
        </is>
      </c>
      <c r="AJ101" s="156" t="n"/>
      <c r="AK101" s="155" t="inlineStr">
        <is>
          <t>| Hoja a Revisar: fila 917518 (ID 117845, misma clave UPC); G1522_Extraccion_Articulos_NetSuite_2026-09-30.xlsx: fila 64086 [Z] | Shopify WB: producto 10310435373241 / variante 50512588603577 | Odoo: producto 30108 / plantilla 38864</t>
        </is>
      </c>
      <c r="AL101" s="58" t="inlineStr">
        <is>
          <t>5,64</t>
        </is>
      </c>
      <c r="AM101" s="58" t="n"/>
      <c r="AN101" s="155" t="inlineStr">
        <is>
          <t>Shopify Western Brothers | Odoo Universal Unique Brands</t>
        </is>
      </c>
      <c r="AO101" s="59" t="n"/>
      <c r="AP101" s="59" t="n">
        <v>6</v>
      </c>
      <c r="AQ101" s="59" t="n">
        <v>95</v>
      </c>
      <c r="AR101" s="155" t="inlineStr">
        <is>
          <t>Shopify Western Brothers › Western Brothers Outlet Lerma: 6 | Odoo Universal Unique Brands › Bodega 25 › Bodega 25/General: 95</t>
        </is>
      </c>
    </row>
    <row r="102">
      <c r="A102" s="50" t="inlineStr">
        <is>
          <t>1261108510036</t>
        </is>
      </c>
      <c r="B102" s="51" t="inlineStr">
        <is>
          <t>117846</t>
        </is>
      </c>
      <c r="C102" s="156" t="inlineStr">
        <is>
          <t>Wrangler</t>
        </is>
      </c>
      <c r="D102" s="156" t="inlineStr">
        <is>
          <t>W-RL-U-002-AGU</t>
        </is>
      </c>
      <c r="E102" s="156" t="inlineStr">
        <is>
          <t>1261-1085-10036</t>
        </is>
      </c>
      <c r="F102" s="156" t="inlineStr">
        <is>
          <t>Talla única</t>
        </is>
      </c>
      <c r="G102" s="156" t="inlineStr">
        <is>
          <t>One Size</t>
        </is>
      </c>
      <c r="H102" s="156" t="inlineStr">
        <is>
          <t>Wrangler</t>
        </is>
      </c>
      <c r="I102" s="156" t="inlineStr">
        <is>
          <t>Gorra RANCH LIFE AGUILA REAL</t>
        </is>
      </c>
      <c r="J102" s="156" t="inlineStr">
        <is>
          <t>Accesorios</t>
        </is>
      </c>
      <c r="K102" s="156" t="inlineStr">
        <is>
          <t>Gorras</t>
        </is>
      </c>
      <c r="L102" s="156" t="inlineStr">
        <is>
          <t>Unisex</t>
        </is>
      </c>
      <c r="M102" s="156" t="inlineStr">
        <is>
          <t>Wrangler</t>
        </is>
      </c>
      <c r="N102" s="156" t="inlineStr">
        <is>
          <t>SS26</t>
        </is>
      </c>
      <c r="O102" s="156" t="inlineStr">
        <is>
          <t>Seasonal</t>
        </is>
      </c>
      <c r="P102" s="156" t="inlineStr">
        <is>
          <t>Rojo</t>
        </is>
      </c>
      <c r="Q102" s="156" t="n"/>
      <c r="R102" s="156" t="n"/>
      <c r="S102" s="156" t="inlineStr">
        <is>
          <t>Cuerpo: 100% Algodón / Malla: 100% Poliéster</t>
        </is>
      </c>
      <c r="T102" s="156" t="inlineStr">
        <is>
          <t>Lleva el auténtico estilo western con la Gorra Wrangler de la línea RANCH LIFE AGUILA REAL. Diseñada en una clásica silueta de 5 paneles, esta pieza en color rojo está confeccionada con cuerpo: 100% algodón / malla: 100% poliéster para ofrecerte máxima comodidad, transpirabilidad y durabilidad. Ideal para complementar tu look diario y destacar con la calidad inconfundible de Wrangler.</t>
        </is>
      </c>
      <c r="U102" s="156" t="inlineStr">
        <is>
          <t>China</t>
        </is>
      </c>
      <c r="V102" s="156" t="inlineStr">
        <is>
          <t>PZS</t>
        </is>
      </c>
      <c r="W102" s="51" t="inlineStr">
        <is>
          <t>53102500</t>
        </is>
      </c>
      <c r="X102" s="156" t="inlineStr">
        <is>
          <t>https://m-universal-unique-brands.odoo.com/web/image/product.product/30109/image_1920</t>
        </is>
      </c>
      <c r="Y102" s="54" t="n">
        <v>5.64</v>
      </c>
      <c r="Z102" s="54" t="n">
        <v>699</v>
      </c>
      <c r="AA102" s="55">
        <f>IF(AND(A102="", B102="", E102=""), "", IF(AB102="", "Válido", IF((LEN(AB102)-LEN(SUBSTITUTE(AB102,"; ","")))/2+1&gt;(LEN(AB102)-LEN(SUBSTITUTE(AB102,"[Aviso]","")))/7, "Con Incidencias", "Válido")))</f>
        <v/>
      </c>
      <c r="AB102" s="56">
        <f>IF(AND(A102="", B102="", E102=""), "", TEXTJOIN("; ", TRUE, IF(OR(TRIM(A102&amp;"")="", ISNUMBER(SEARCH("FALTA", A102))), "UPC faltante/inválido", ""), IF(AND(A102&lt;&gt;"", IFERROR(_xlfn.XMATCH(A102,$A$2:$A$1063,0,1)&lt;&gt;_xlfn.XMATCH(A102,$A$2:$A$1063,0,-1),FALSE)), "Código de barras duplicado", ""), IF(AND(E102&lt;&gt;"", COUNTIF($E$2:$E$1063, E102)&gt;1), "SKU duplicado", ""), IF(OR(J102="", J102=""), "[Aviso] División no capturada ()", IF(ISNA(MATCH(J102, Criterios!$A$123:$A$126, 0)), "División no válida", "")), IF(OR(K102="", K102=""), "[Aviso] Categoría no capturada ()", IF(ISNA(MATCH(K102, Criterios!$A$81:$A$120, 0)), "Categoría no válida", IF(AND(J102&lt;&gt;"", J102&lt;&gt;"", J102&lt;&gt;VLOOKUP(K102, Criterios!$A$81:$B$120, 2, FALSE)), "División no coincide con Categoría", ""))), IF(OR(L102="", L102=""), "[Aviso] Género no capturado ()", IF(ISNA(MATCH(L102, Criterios!$B$123:$B$127, 0)), "Género no válido", "")), IF(OR(N102="", N102=""), "[Aviso] Temporada no capturada ()", IF(ISNA(MATCH(N102, Criterios!$C$123:$C$128, 0)), "Temporada no válida", "")), IF(OR(O102="", O102=""), "[Aviso] Ciclo de vida no capturado ()", IF(ISNA(MATCH(O102, Criterios!$D$123:$D$124, 0)), "Ciclo de vida no válido", ""))))</f>
        <v/>
      </c>
      <c r="AC102" s="56" t="n"/>
      <c r="AD102" s="51" t="n">
        <v>0</v>
      </c>
      <c r="AE102" s="156" t="n"/>
      <c r="AF102" s="51" t="n">
        <v>0</v>
      </c>
      <c r="AG102" s="156" t="inlineStr">
        <is>
          <t>Catálogo existente</t>
        </is>
      </c>
      <c r="AH102" s="156" t="inlineStr">
        <is>
          <t>Coincidencia por código de barras (ID NetSuite 117846) | ID alternativo de Hoja a Revisar 117846 (UPC coincidente); se conserva ID principal; Auditoría NetSuite 30/09/2026: llenado desde NetSuite [Z]; Vinculado por código de barras al ID NetSuite 117846 (antes en Identificador interno: 'W-RL-U-002-AGU-OS') | 01/10/2026: complementado desde Shopify Western Brothers (match por código de barras): WB Fit, WB Silueta (antes «5 Paneles», no válido en Criterios) | 01/10/2026: complementado desde Odoo Universal Unique Brands (match por código de barras): Enlace de imagen | Homologación G1522 06/10/2026: Precio de compra: «5,64» → «5.64» (Corrección aplicada) · Validación G1522: Dígito de control del código de barras inválido; [Aviso] Precio de compra posiblemente en USD · Validador Shopify: WB: precio con IVA no termina en 9</t>
        </is>
      </c>
      <c r="AI102" s="156" t="inlineStr">
        <is>
          <t>No</t>
        </is>
      </c>
      <c r="AJ102" s="156" t="n"/>
      <c r="AK102" s="155" t="inlineStr">
        <is>
          <t>| Hoja a Revisar: fila 917520 (ID 117846, misma clave UPC); G1522_Extraccion_Articulos_NetSuite_2026-09-30.xlsx: fila 64087 [Z] | Shopify WB: producto 10310435406009 / variante 50512588636345 | Odoo: producto 30109 / plantilla 38865</t>
        </is>
      </c>
      <c r="AL102" s="58" t="inlineStr">
        <is>
          <t>5,64</t>
        </is>
      </c>
      <c r="AM102" s="58" t="n"/>
      <c r="AN102" s="155" t="inlineStr">
        <is>
          <t>Shopify Western Brothers | Odoo Universal Unique Brands</t>
        </is>
      </c>
      <c r="AO102" s="59" t="n"/>
      <c r="AP102" s="59" t="n">
        <v>6</v>
      </c>
      <c r="AQ102" s="59" t="n">
        <v>81</v>
      </c>
      <c r="AR102" s="155" t="inlineStr">
        <is>
          <t>Shopify Western Brothers › Western Brothers Outlet Lerma: 6 | Odoo Universal Unique Brands › Bodega 25 › Bodega 25/General: 81</t>
        </is>
      </c>
    </row>
    <row r="103">
      <c r="A103" s="50" t="inlineStr">
        <is>
          <t>1261108510037</t>
        </is>
      </c>
      <c r="B103" s="51" t="inlineStr">
        <is>
          <t>117847</t>
        </is>
      </c>
      <c r="C103" s="156" t="inlineStr">
        <is>
          <t>Wrangler</t>
        </is>
      </c>
      <c r="D103" s="156" t="inlineStr">
        <is>
          <t>W-RL-U-001-IR</t>
        </is>
      </c>
      <c r="E103" s="156" t="inlineStr">
        <is>
          <t>1261-1085-10037</t>
        </is>
      </c>
      <c r="F103" s="156" t="inlineStr">
        <is>
          <t>Talla única</t>
        </is>
      </c>
      <c r="G103" s="156" t="inlineStr">
        <is>
          <t>One Size</t>
        </is>
      </c>
      <c r="H103" s="156" t="inlineStr">
        <is>
          <t>Wrangler</t>
        </is>
      </c>
      <c r="I103" s="156" t="inlineStr">
        <is>
          <t>Gorra RANCH LIFE IRON LUCK</t>
        </is>
      </c>
      <c r="J103" s="156" t="inlineStr">
        <is>
          <t>Accesorios</t>
        </is>
      </c>
      <c r="K103" s="156" t="inlineStr">
        <is>
          <t>Gorras</t>
        </is>
      </c>
      <c r="L103" s="156" t="inlineStr">
        <is>
          <t>Unisex</t>
        </is>
      </c>
      <c r="M103" s="156" t="inlineStr">
        <is>
          <t>Wrangler</t>
        </is>
      </c>
      <c r="N103" s="156" t="inlineStr">
        <is>
          <t>SS26</t>
        </is>
      </c>
      <c r="O103" s="156" t="inlineStr">
        <is>
          <t>Seasonal</t>
        </is>
      </c>
      <c r="P103" s="156" t="inlineStr">
        <is>
          <t>Azul</t>
        </is>
      </c>
      <c r="Q103" s="156" t="n"/>
      <c r="R103" s="156" t="n"/>
      <c r="S103" s="156" t="inlineStr">
        <is>
          <t>Cuerpo: 100% Algodón / Malla: 100% Poliéster</t>
        </is>
      </c>
      <c r="T103" s="156" t="inlineStr">
        <is>
          <t>Lleva el auténtico estilo western con la Gorra Wrangler de la línea RANCH LIFE IRON LUCK.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      </is>
      </c>
      <c r="U103" s="156" t="inlineStr">
        <is>
          <t>China</t>
        </is>
      </c>
      <c r="V103" s="156" t="inlineStr">
        <is>
          <t>PZS</t>
        </is>
      </c>
      <c r="W103" s="51" t="inlineStr">
        <is>
          <t>53102500</t>
        </is>
      </c>
      <c r="X103" s="156" t="inlineStr">
        <is>
          <t>https://m-universal-unique-brands.odoo.com/web/image/product.product/30110/image_1920</t>
        </is>
      </c>
      <c r="Y103" s="54" t="n">
        <v>4.4</v>
      </c>
      <c r="Z103" s="54" t="n">
        <v>699</v>
      </c>
      <c r="AA103" s="55">
        <f>IF(AND(A103="", B103="", E103=""), "", IF(AB103="", "Válido", IF((LEN(AB103)-LEN(SUBSTITUTE(AB103,"; ","")))/2+1&gt;(LEN(AB103)-LEN(SUBSTITUTE(AB103,"[Aviso]","")))/7, "Con Incidencias", "Válido")))</f>
        <v/>
      </c>
      <c r="AB103" s="56">
        <f>IF(AND(A103="", B103="", E103=""), "", TEXTJOIN("; ", TRUE, IF(OR(TRIM(A103&amp;"")="", ISNUMBER(SEARCH("FALTA", A103))), "UPC faltante/inválido", ""), IF(AND(A103&lt;&gt;"", IFERROR(_xlfn.XMATCH(A103,$A$2:$A$1063,0,1)&lt;&gt;_xlfn.XMATCH(A103,$A$2:$A$1063,0,-1),FALSE)), "Código de barras duplicado", ""), IF(AND(E103&lt;&gt;"", COUNTIF($E$2:$E$1063, E103)&gt;1), "SKU duplicado", ""), IF(OR(J103="", J103=""), "[Aviso] División no capturada ()", IF(ISNA(MATCH(J103, Criterios!$A$123:$A$126, 0)), "División no válida", "")), IF(OR(K103="", K103=""), "[Aviso] Categoría no capturada ()", IF(ISNA(MATCH(K103, Criterios!$A$81:$A$120, 0)), "Categoría no válida", IF(AND(J103&lt;&gt;"", J103&lt;&gt;"", J103&lt;&gt;VLOOKUP(K103, Criterios!$A$81:$B$120, 2, FALSE)), "División no coincide con Categoría", ""))), IF(OR(L103="", L103=""), "[Aviso] Género no capturado ()", IF(ISNA(MATCH(L103, Criterios!$B$123:$B$127, 0)), "Género no válido", "")), IF(OR(N103="", N103=""), "[Aviso] Temporada no capturada ()", IF(ISNA(MATCH(N103, Criterios!$C$123:$C$128, 0)), "Temporada no válida", "")), IF(OR(O103="", O103=""), "[Aviso] Ciclo de vida no capturado ()", IF(ISNA(MATCH(O103, Criterios!$D$123:$D$124, 0)), "Ciclo de vida no válido", ""))))</f>
        <v/>
      </c>
      <c r="AC103" s="56" t="n"/>
      <c r="AD103" s="51" t="n">
        <v>0</v>
      </c>
      <c r="AE103" s="156" t="n"/>
      <c r="AF103" s="51" t="n">
        <v>0</v>
      </c>
      <c r="AG103" s="156" t="inlineStr">
        <is>
          <t>Catálogo existente</t>
        </is>
      </c>
      <c r="AH103" s="156" t="inlineStr">
        <is>
          <t>Coincidencia por código de barras (ID NetSuite 117847) | ID alternativo de Hoja a Revisar 117847 (UPC coincidente); se conserva ID principal; Auditoría NetSuite 30/09/2026: llenado desde NetSuite [Z]; Vinculado por código de barras al ID NetSuite 117847 (antes en Identificador interno: 'W-RL-U-001-IR-OS') | 01/10/2026: complementado desde Shopify Western Brothers (match por código de barras): WB Fit, WB Silueta (antes «5 Paneles», no válido en Criterios) | 01/10/2026: Shopify Western Brothers trae Color «Amarillo» — se conservó el valor de Productos | 01/10/2026: complementado desde Odoo Universal Unique Brands (match por código de barras): Enlace de imagen | 01/10/2026: Odoo Universal Unique Brands trae Color «Amarillo» — se conservó el valor de Productos | Homologación G1522 06/10/2026: Precio de compra: «4,4» → «4.4» (Corrección aplicada) · Validación G1522: Dígito de control del código de barras inválido; [Aviso] Precio de compra posiblemente en USD · Validador Shopify: WB: precio con IVA no termina en 9</t>
        </is>
      </c>
      <c r="AI103" s="156" t="inlineStr">
        <is>
          <t>No</t>
        </is>
      </c>
      <c r="AJ103" s="156" t="n"/>
      <c r="AK103" s="155" t="inlineStr">
        <is>
          <t>| Hoja a Revisar: fila 917522 (ID 117847, misma clave UPC); G1522_Extraccion_Articulos_NetSuite_2026-09-30.xlsx: fila 64088 [Z] | Shopify WB: producto 10310435471545 / variante 50512588767417 | Odoo: producto 30110 / plantilla 38866</t>
        </is>
      </c>
      <c r="AL103" s="58" t="inlineStr">
        <is>
          <t>4,4</t>
        </is>
      </c>
      <c r="AM103" s="58" t="n"/>
      <c r="AN103" s="155" t="inlineStr">
        <is>
          <t>Shopify Western Brothers | Odoo Universal Unique Brands</t>
        </is>
      </c>
      <c r="AO103" s="59" t="n"/>
      <c r="AP103" s="59" t="n">
        <v>9</v>
      </c>
      <c r="AQ103" s="59" t="n">
        <v>276</v>
      </c>
      <c r="AR103" s="155" t="inlineStr">
        <is>
          <t>Shopify Western Brothers › Western Brothers Outlet Lerma: 9 | Odoo Universal Unique Brands › Bodega 25 › Bodega 25/General: 276</t>
        </is>
      </c>
    </row>
    <row r="104">
      <c r="A104" s="50" t="inlineStr">
        <is>
          <t>1261108510038</t>
        </is>
      </c>
      <c r="B104" s="51" t="inlineStr">
        <is>
          <t>117848</t>
        </is>
      </c>
      <c r="C104" s="156" t="inlineStr">
        <is>
          <t>Wrangler</t>
        </is>
      </c>
      <c r="D104" s="156" t="inlineStr">
        <is>
          <t>W-RL-U-001-WAN</t>
        </is>
      </c>
      <c r="E104" s="156" t="inlineStr">
        <is>
          <t>1261-1085-10038</t>
        </is>
      </c>
      <c r="F104" s="156" t="inlineStr">
        <is>
          <t>Talla única</t>
        </is>
      </c>
      <c r="G104" s="156" t="inlineStr">
        <is>
          <t>One Size</t>
        </is>
      </c>
      <c r="H104" s="156" t="inlineStr">
        <is>
          <t>Wrangler</t>
        </is>
      </c>
      <c r="I104" s="156" t="inlineStr">
        <is>
          <t>Gorra RANCH LIFE WANTED</t>
        </is>
      </c>
      <c r="J104" s="156" t="inlineStr">
        <is>
          <t>Accesorios</t>
        </is>
      </c>
      <c r="K104" s="156" t="inlineStr">
        <is>
          <t>Gorras</t>
        </is>
      </c>
      <c r="L104" s="156" t="inlineStr">
        <is>
          <t>Unisex</t>
        </is>
      </c>
      <c r="M104" s="156" t="inlineStr">
        <is>
          <t>Wrangler</t>
        </is>
      </c>
      <c r="N104" s="156" t="inlineStr">
        <is>
          <t>SS26</t>
        </is>
      </c>
      <c r="O104" s="156" t="inlineStr">
        <is>
          <t>Seasonal</t>
        </is>
      </c>
      <c r="P104" s="156" t="inlineStr">
        <is>
          <t>Verde</t>
        </is>
      </c>
      <c r="Q104" s="156" t="n"/>
      <c r="R104" s="156" t="n"/>
      <c r="S104" s="156" t="inlineStr">
        <is>
          <t>Cuerpo: 100% Algodón / Malla: 100% Poliéster</t>
        </is>
      </c>
      <c r="T104" s="156" t="inlineStr">
        <is>
          <t>Lleva el auténtico estilo western con la Gorra Wrangler de la línea RANCH LIFE WANTED.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      </is>
      </c>
      <c r="U104" s="156" t="inlineStr">
        <is>
          <t>China</t>
        </is>
      </c>
      <c r="V104" s="156" t="inlineStr">
        <is>
          <t>PZS</t>
        </is>
      </c>
      <c r="W104" s="51" t="inlineStr">
        <is>
          <t>53102500</t>
        </is>
      </c>
      <c r="X104" s="156" t="inlineStr">
        <is>
          <t>https://m-universal-unique-brands.odoo.com/web/image/product.product/30111/image_1920</t>
        </is>
      </c>
      <c r="Y104" s="54" t="n">
        <v>4.8</v>
      </c>
      <c r="Z104" s="54" t="n">
        <v>699</v>
      </c>
      <c r="AA104" s="55">
        <f>IF(AND(A104="", B104="", E104=""), "", IF(AB104="", "Válido", IF((LEN(AB104)-LEN(SUBSTITUTE(AB104,"; ","")))/2+1&gt;(LEN(AB104)-LEN(SUBSTITUTE(AB104,"[Aviso]","")))/7, "Con Incidencias", "Válido")))</f>
        <v/>
      </c>
      <c r="AB104" s="56">
        <f>IF(AND(A104="", B104="", E104=""), "", TEXTJOIN("; ", TRUE, IF(OR(TRIM(A104&amp;"")="", ISNUMBER(SEARCH("FALTA", A104))), "UPC faltante/inválido", ""), IF(AND(A104&lt;&gt;"", IFERROR(_xlfn.XMATCH(A104,$A$2:$A$1063,0,1)&lt;&gt;_xlfn.XMATCH(A104,$A$2:$A$1063,0,-1),FALSE)), "Código de barras duplicado", ""), IF(AND(E104&lt;&gt;"", COUNTIF($E$2:$E$1063, E104)&gt;1), "SKU duplicado", ""), IF(OR(J104="", J104=""), "[Aviso] División no capturada ()", IF(ISNA(MATCH(J104, Criterios!$A$123:$A$126, 0)), "División no válida", "")), IF(OR(K104="", K104=""), "[Aviso] Categoría no capturada ()", IF(ISNA(MATCH(K104, Criterios!$A$81:$A$120, 0)), "Categoría no válida", IF(AND(J104&lt;&gt;"", J104&lt;&gt;"", J104&lt;&gt;VLOOKUP(K104, Criterios!$A$81:$B$120, 2, FALSE)), "División no coincide con Categoría", ""))), IF(OR(L104="", L104=""), "[Aviso] Género no capturado ()", IF(ISNA(MATCH(L104, Criterios!$B$123:$B$127, 0)), "Género no válido", "")), IF(OR(N104="", N104=""), "[Aviso] Temporada no capturada ()", IF(ISNA(MATCH(N104, Criterios!$C$123:$C$128, 0)), "Temporada no válida", "")), IF(OR(O104="", O104=""), "[Aviso] Ciclo de vida no capturado ()", IF(ISNA(MATCH(O104, Criterios!$D$123:$D$124, 0)), "Ciclo de vida no válido", ""))))</f>
        <v/>
      </c>
      <c r="AC104" s="56" t="n"/>
      <c r="AD104" s="51" t="n">
        <v>-1</v>
      </c>
      <c r="AE104" s="156" t="n"/>
      <c r="AF104" s="51" t="n">
        <v>0</v>
      </c>
      <c r="AG104" s="156" t="inlineStr">
        <is>
          <t>Catálogo existente</t>
        </is>
      </c>
      <c r="AH104" s="156" t="inlineStr">
        <is>
          <t>Coincidencia por código de barras (ID NetSuite 117848); Stock negativo en sistema: revisar en conteo | ID alternativo de Hoja a Revisar 117848 (UPC coincidente); se conserva ID principal; Auditoría NetSuite 30/09/2026: llenado desde NetSuite [Z]; Vinculado por código de barras al ID NetSuite 117848 (antes en Identificador interno: 'W-RL-U-001-WAN-OS') | 01/10/2026: complementado desde Shopify Western Brothers (match por código de barras): WB Fit, WB Silueta (antes «5 Paneles», no válido en Criterios) | 01/10/2026: Shopify Western Brothers trae Color «Negro» — se conservó el valor de Productos | 01/10/2026: complementado desde Odoo Universal Unique Brands (match por código de barras): Enlace de imagen | 01/10/2026: Odoo Universal Unique Brands trae Color «Negro» — se conservó el valor de Productos | Homologación G1522 06/10/2026: Precio de compra: «4,8» → «4.8» (Corrección aplicada) · Validación G1522: Dígito de control del código de barras inválido; [Aviso] Precio de compra posiblemente en USD · Validador Shopify: WB: precio con IVA no termina en 9</t>
        </is>
      </c>
      <c r="AI104" s="156" t="inlineStr">
        <is>
          <t>Sí</t>
        </is>
      </c>
      <c r="AJ104" s="156" t="inlineStr">
        <is>
          <t>WB OUTLET LERMA (-1)</t>
        </is>
      </c>
      <c r="AK104" s="155" t="inlineStr">
        <is>
          <t>| Hoja a Revisar: fila 917524 (ID 117848, misma clave UPC); G1522_Extraccion_Articulos_NetSuite_2026-09-30.xlsx: fila 64089 [Z] | Shopify WB: producto 10310435504313 / variante 50512588800185 | Odoo: producto 30111 / plantilla 38867</t>
        </is>
      </c>
      <c r="AL104" s="58" t="inlineStr">
        <is>
          <t>4,8</t>
        </is>
      </c>
      <c r="AM104" s="58" t="n"/>
      <c r="AN104" s="155" t="inlineStr">
        <is>
          <t>Shopify Western Brothers | Odoo Universal Unique Brands</t>
        </is>
      </c>
      <c r="AO104" s="59" t="n"/>
      <c r="AP104" s="59" t="n">
        <v>11</v>
      </c>
      <c r="AQ104" s="59" t="n">
        <v>190</v>
      </c>
      <c r="AR104" s="155" t="inlineStr">
        <is>
          <t>Shopify Western Brothers › Western Brothers Outlet Lerma: 11 | Odoo Universal Unique Brands › Bodega 25 › Bodega 25/General: 190</t>
        </is>
      </c>
    </row>
    <row r="105">
      <c r="A105" s="50" t="inlineStr">
        <is>
          <t>1261108510039</t>
        </is>
      </c>
      <c r="B105" s="51" t="inlineStr">
        <is>
          <t>117849</t>
        </is>
      </c>
      <c r="C105" s="156" t="inlineStr">
        <is>
          <t>Wrangler</t>
        </is>
      </c>
      <c r="D105" s="156" t="inlineStr">
        <is>
          <t>W-RL-U-002-WAN</t>
        </is>
      </c>
      <c r="E105" s="156" t="inlineStr">
        <is>
          <t>1261-1085-10039</t>
        </is>
      </c>
      <c r="F105" s="156" t="inlineStr">
        <is>
          <t>Talla única</t>
        </is>
      </c>
      <c r="G105" s="156" t="inlineStr">
        <is>
          <t>One Size</t>
        </is>
      </c>
      <c r="H105" s="156" t="inlineStr">
        <is>
          <t>Wrangler</t>
        </is>
      </c>
      <c r="I105" s="156" t="inlineStr">
        <is>
          <t>Gorra RANCH LIFE WANTED</t>
        </is>
      </c>
      <c r="J105" s="156" t="inlineStr">
        <is>
          <t>Accesorios</t>
        </is>
      </c>
      <c r="K105" s="156" t="inlineStr">
        <is>
          <t>Gorras</t>
        </is>
      </c>
      <c r="L105" s="156" t="inlineStr">
        <is>
          <t>Unisex</t>
        </is>
      </c>
      <c r="M105" s="156" t="inlineStr">
        <is>
          <t>Wrangler</t>
        </is>
      </c>
      <c r="N105" s="156" t="inlineStr">
        <is>
          <t>SS26</t>
        </is>
      </c>
      <c r="O105" s="156" t="inlineStr">
        <is>
          <t>Seasonal</t>
        </is>
      </c>
      <c r="P105" s="156" t="inlineStr">
        <is>
          <t>Naranja</t>
        </is>
      </c>
      <c r="Q105" s="156" t="n"/>
      <c r="R105" s="156" t="n"/>
      <c r="S105" s="156" t="inlineStr">
        <is>
          <t>Cuerpo: 100% Algodón / Malla: 100% Poliéster</t>
        </is>
      </c>
      <c r="T105" s="156" t="inlineStr">
        <is>
          <t>Lleva el auténtico estilo western con la Gorra Wrangler de la línea RANCH LIFE WANTED. Diseñada en una clásica silueta de 5 paneles, esta pieza en color naranja está confeccionada con cuerpo: 100% algodón / malla: 100% poliéster para ofrecerte máxima comodidad, transpirabilidad y durabilidad. Ideal para complementar tu look diario y destacar con la calidad inconfundible de Wrangler.</t>
        </is>
      </c>
      <c r="U105" s="156" t="inlineStr">
        <is>
          <t>China</t>
        </is>
      </c>
      <c r="V105" s="156" t="inlineStr">
        <is>
          <t>PZS</t>
        </is>
      </c>
      <c r="W105" s="51" t="inlineStr">
        <is>
          <t>53102500</t>
        </is>
      </c>
      <c r="X105" s="156" t="inlineStr">
        <is>
          <t>https://m-universal-unique-brands.odoo.com/web/image/product.product/30112/image_1920</t>
        </is>
      </c>
      <c r="Y105" s="54" t="n">
        <v>4.8</v>
      </c>
      <c r="Z105" s="54" t="n">
        <v>699</v>
      </c>
      <c r="AA105" s="55">
        <f>IF(AND(A105="", B105="", E105=""), "", IF(AB105="", "Válido", IF((LEN(AB105)-LEN(SUBSTITUTE(AB105,"; ","")))/2+1&gt;(LEN(AB105)-LEN(SUBSTITUTE(AB105,"[Aviso]","")))/7, "Con Incidencias", "Válido")))</f>
        <v/>
      </c>
      <c r="AB105" s="56">
        <f>IF(AND(A105="", B105="", E105=""), "", TEXTJOIN("; ", TRUE, IF(OR(TRIM(A105&amp;"")="", ISNUMBER(SEARCH("FALTA", A105))), "UPC faltante/inválido", ""), IF(AND(A105&lt;&gt;"", IFERROR(_xlfn.XMATCH(A105,$A$2:$A$1063,0,1)&lt;&gt;_xlfn.XMATCH(A105,$A$2:$A$1063,0,-1),FALSE)), "Código de barras duplicado", ""), IF(AND(E105&lt;&gt;"", COUNTIF($E$2:$E$1063, E105)&gt;1), "SKU duplicado", ""), IF(OR(J105="", J105=""), "[Aviso] División no capturada ()", IF(ISNA(MATCH(J105, Criterios!$A$123:$A$126, 0)), "División no válida", "")), IF(OR(K105="", K105=""), "[Aviso] Categoría no capturada ()", IF(ISNA(MATCH(K105, Criterios!$A$81:$A$120, 0)), "Categoría no válida", IF(AND(J105&lt;&gt;"", J105&lt;&gt;"", J105&lt;&gt;VLOOKUP(K105, Criterios!$A$81:$B$120, 2, FALSE)), "División no coincide con Categoría", ""))), IF(OR(L105="", L105=""), "[Aviso] Género no capturado ()", IF(ISNA(MATCH(L105, Criterios!$B$123:$B$127, 0)), "Género no válido", "")), IF(OR(N105="", N105=""), "[Aviso] Temporada no capturada ()", IF(ISNA(MATCH(N105, Criterios!$C$123:$C$128, 0)), "Temporada no válida", "")), IF(OR(O105="", O105=""), "[Aviso] Ciclo de vida no capturado ()", IF(ISNA(MATCH(O105, Criterios!$D$123:$D$124, 0)), "Ciclo de vida no válido", ""))))</f>
        <v/>
      </c>
      <c r="AC105" s="56" t="n"/>
      <c r="AD105" s="51" t="n">
        <v>0</v>
      </c>
      <c r="AE105" s="156" t="n"/>
      <c r="AF105" s="51" t="n">
        <v>0</v>
      </c>
      <c r="AG105" s="156" t="inlineStr">
        <is>
          <t>Catálogo existente</t>
        </is>
      </c>
      <c r="AH105" s="156" t="inlineStr">
        <is>
          <t>Coincidencia por código de barras (ID NetSuite 117849) | ID alternativo de Hoja a Revisar 117849 (UPC coincidente); se conserva ID principal; Auditoría NetSuite 30/09/2026: llenado desde NetSuite [Z]; Vinculado por código de barras al ID NetSuite 117849 (antes en Identificador interno: 'W-RL-U-002-WAN-OS') | 01/10/2026: complementado desde Shopify Western Brothers (match por código de barras): WB Fit, WB Silueta (antes «5 Paneles», no válido en Criterios) | 01/10/2026: Shopify Western Brothers trae Color «Negro» — se conservó el valor de Productos | 01/10/2026: complementado desde Odoo Universal Unique Brands (match por código de barras): Enlace de imagen | 01/10/2026: Odoo Universal Unique Brands trae Color «Negro» — se conservó el valor de Productos | Homologación G1522 06/10/2026: Precio de compra: «4,8» → «4.8» (Corrección aplicada) · Validación G1522: Dígito de control del código de barras inválido; [Aviso] Precio de compra posiblemente en USD · Validador Shopify: WB: precio con IVA no termina en 9</t>
        </is>
      </c>
      <c r="AI105" s="156" t="inlineStr">
        <is>
          <t>No</t>
        </is>
      </c>
      <c r="AJ105" s="156" t="n"/>
      <c r="AK105" s="155" t="inlineStr">
        <is>
          <t>| Hoja a Revisar: fila 917526 (ID 117849, misma clave UPC); G1522_Extraccion_Articulos_NetSuite_2026-09-30.xlsx: fila 64090 [Z] | Shopify WB: producto 10310435537081 / variante 50512588832953 | Odoo: producto 30112 / plantilla 38868</t>
        </is>
      </c>
      <c r="AL105" s="58" t="inlineStr">
        <is>
          <t>4,8</t>
        </is>
      </c>
      <c r="AM105" s="58" t="n"/>
      <c r="AN105" s="155" t="inlineStr">
        <is>
          <t>Shopify Western Brothers | Odoo Universal Unique Brands</t>
        </is>
      </c>
      <c r="AO105" s="59" t="n"/>
      <c r="AP105" s="59" t="n">
        <v>12</v>
      </c>
      <c r="AQ105" s="59" t="n">
        <v>329</v>
      </c>
      <c r="AR105" s="155" t="inlineStr">
        <is>
          <t>Shopify Western Brothers › Western Brothers Outlet Lerma: 12 | Odoo Universal Unique Brands › Bodega 25 › Bodega 25/General: 329</t>
        </is>
      </c>
    </row>
    <row r="106">
      <c r="A106" s="50" t="inlineStr">
        <is>
          <t>1261108510040</t>
        </is>
      </c>
      <c r="B106" s="51" t="inlineStr">
        <is>
          <t>117850</t>
        </is>
      </c>
      <c r="C106" s="156" t="inlineStr">
        <is>
          <t>Wrangler</t>
        </is>
      </c>
      <c r="D106" s="156" t="inlineStr">
        <is>
          <t>W-RL-U-001-RG</t>
        </is>
      </c>
      <c r="E106" s="156" t="inlineStr">
        <is>
          <t>1261-1085-10040</t>
        </is>
      </c>
      <c r="F106" s="156" t="inlineStr">
        <is>
          <t>Talla única</t>
        </is>
      </c>
      <c r="G106" s="156" t="inlineStr">
        <is>
          <t>One Size</t>
        </is>
      </c>
      <c r="H106" s="156" t="inlineStr">
        <is>
          <t>Wrangler</t>
        </is>
      </c>
      <c r="I106" s="156" t="inlineStr">
        <is>
          <t>Gorra RANCH LIFE RANCH GRID</t>
        </is>
      </c>
      <c r="J106" s="156" t="inlineStr">
        <is>
          <t>Accesorios</t>
        </is>
      </c>
      <c r="K106" s="156" t="inlineStr">
        <is>
          <t>Gorras</t>
        </is>
      </c>
      <c r="L106" s="156" t="inlineStr">
        <is>
          <t>Unisex</t>
        </is>
      </c>
      <c r="M106" s="156" t="inlineStr">
        <is>
          <t>Wrangler</t>
        </is>
      </c>
      <c r="N106" s="156" t="inlineStr">
        <is>
          <t>SS26</t>
        </is>
      </c>
      <c r="O106" s="156" t="inlineStr">
        <is>
          <t>Seasonal</t>
        </is>
      </c>
      <c r="P106" s="156" t="inlineStr">
        <is>
          <t>Verde</t>
        </is>
      </c>
      <c r="Q106" s="156" t="n"/>
      <c r="R106" s="156" t="n"/>
      <c r="S106" s="156" t="inlineStr">
        <is>
          <t>Cuerpo: 100% Algodón / Malla: 100% Poliéster</t>
        </is>
      </c>
      <c r="T106" s="156" t="inlineStr">
        <is>
          <t>Lleva el auténtico estilo western con la Gorra Wrangler de la línea RANCH LIFE RANCH GRID.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      </is>
      </c>
      <c r="U106" s="156" t="inlineStr">
        <is>
          <t>China</t>
        </is>
      </c>
      <c r="V106" s="156" t="inlineStr">
        <is>
          <t>PZS</t>
        </is>
      </c>
      <c r="W106" s="51" t="inlineStr">
        <is>
          <t>53102500</t>
        </is>
      </c>
      <c r="X106" s="156" t="inlineStr">
        <is>
          <t>https://m-universal-unique-brands.odoo.com/web/image/product.product/30113/image_1920</t>
        </is>
      </c>
      <c r="Y106" s="54" t="n">
        <v>3.62</v>
      </c>
      <c r="Z106" s="54" t="n">
        <v>699</v>
      </c>
      <c r="AA106" s="55">
        <f>IF(AND(A106="", B106="", E106=""), "", IF(AB106="", "Válido", IF((LEN(AB106)-LEN(SUBSTITUTE(AB106,"; ","")))/2+1&gt;(LEN(AB106)-LEN(SUBSTITUTE(AB106,"[Aviso]","")))/7, "Con Incidencias", "Válido")))</f>
        <v/>
      </c>
      <c r="AB106" s="56">
        <f>IF(AND(A106="", B106="", E106=""), "", TEXTJOIN("; ", TRUE, IF(OR(TRIM(A106&amp;"")="", ISNUMBER(SEARCH("FALTA", A106))), "UPC faltante/inválido", ""), IF(AND(A106&lt;&gt;"", IFERROR(_xlfn.XMATCH(A106,$A$2:$A$1063,0,1)&lt;&gt;_xlfn.XMATCH(A106,$A$2:$A$1063,0,-1),FALSE)), "Código de barras duplicado", ""), IF(AND(E106&lt;&gt;"", COUNTIF($E$2:$E$1063, E106)&gt;1), "SKU duplicado", ""), IF(OR(J106="", J106=""), "[Aviso] División no capturada ()", IF(ISNA(MATCH(J106, Criterios!$A$123:$A$126, 0)), "División no válida", "")), IF(OR(K106="", K106=""), "[Aviso] Categoría no capturada ()", IF(ISNA(MATCH(K106, Criterios!$A$81:$A$120, 0)), "Categoría no válida", IF(AND(J106&lt;&gt;"", J106&lt;&gt;"", J106&lt;&gt;VLOOKUP(K106, Criterios!$A$81:$B$120, 2, FALSE)), "División no coincide con Categoría", ""))), IF(OR(L106="", L106=""), "[Aviso] Género no capturado ()", IF(ISNA(MATCH(L106, Criterios!$B$123:$B$127, 0)), "Género no válido", "")), IF(OR(N106="", N106=""), "[Aviso] Temporada no capturada ()", IF(ISNA(MATCH(N106, Criterios!$C$123:$C$128, 0)), "Temporada no válida", "")), IF(OR(O106="", O106=""), "[Aviso] Ciclo de vida no capturado ()", IF(ISNA(MATCH(O106, Criterios!$D$123:$D$124, 0)), "Ciclo de vida no válido", ""))))</f>
        <v/>
      </c>
      <c r="AC106" s="56" t="n"/>
      <c r="AD106" s="51" t="n">
        <v>0</v>
      </c>
      <c r="AE106" s="156" t="n"/>
      <c r="AF106" s="51" t="n">
        <v>0</v>
      </c>
      <c r="AG106" s="156" t="inlineStr">
        <is>
          <t>Catálogo existente</t>
        </is>
      </c>
      <c r="AH106" s="156" t="inlineStr">
        <is>
          <t>Coincidencia por código de barras (ID NetSuite 117850) | ID alternativo de Hoja a Revisar 117850 (UPC coincidente); se conserva ID principal; Auditoría NetSuite 30/09/2026: llenado desde NetSuite [Z]; Vinculado por código de barras al ID NetSuite 117850 (antes en Identificador interno: 'W-RL-U-001-RG-OS') | 01/10/2026: complementado desde Shopify Western Brothers (match por código de barras): WB Fit, WB Silueta (antes «5 Paneles», no válido en Criterios) | 01/10/2026: Shopify Western Brothers trae Color «Blanco» — se conservó el valor de Productos | 01/10/2026: complementado desde Odoo Universal Unique Brands (match por código de barras): Enlace de imagen | 01/10/2026: Odoo Universal Unique Brands trae Color «Blanco» — se conservó el valor de Productos | Homologación G1522 06/10/2026: Precio de compra: «3,62» → «3.62» (Corrección aplicada) · Validación G1522: Dígito de control del código de barras inválido; [Aviso] Precio de compra posiblemente en USD · Validador Shopify: WB: precio con IVA no termina en 9</t>
        </is>
      </c>
      <c r="AI106" s="156" t="inlineStr">
        <is>
          <t>No</t>
        </is>
      </c>
      <c r="AJ106" s="156" t="n"/>
      <c r="AK106" s="155" t="inlineStr">
        <is>
          <t>| Hoja a Revisar: fila 917528 (ID 117850, misma clave UPC); G1522_Extraccion_Articulos_NetSuite_2026-09-30.xlsx: fila 64091 [Z] | Shopify WB: producto 10310435569849 / variante 50512588865721 | Odoo: producto 30113 / plantilla 38869</t>
        </is>
      </c>
      <c r="AL106" s="58" t="inlineStr">
        <is>
          <t>3,62</t>
        </is>
      </c>
      <c r="AM106" s="58" t="n"/>
      <c r="AN106" s="155" t="inlineStr">
        <is>
          <t>Shopify Western Brothers | Odoo Universal Unique Brands</t>
        </is>
      </c>
      <c r="AO106" s="59" t="n"/>
      <c r="AP106" s="59" t="n">
        <v>12</v>
      </c>
      <c r="AQ106" s="59" t="n">
        <v>117</v>
      </c>
      <c r="AR106" s="155" t="inlineStr">
        <is>
          <t>Shopify Western Brothers › Western Brothers Outlet Lerma: 12 | Odoo Universal Unique Brands › Bodega 25 › Bodega 25/General: 117</t>
        </is>
      </c>
    </row>
    <row r="107">
      <c r="A107" s="50" t="inlineStr">
        <is>
          <t>1261108510041</t>
        </is>
      </c>
      <c r="B107" s="51" t="inlineStr">
        <is>
          <t>117851</t>
        </is>
      </c>
      <c r="C107" s="156" t="inlineStr">
        <is>
          <t>Wrangler</t>
        </is>
      </c>
      <c r="D107" s="156" t="inlineStr">
        <is>
          <t>W-RL-U-002-RG</t>
        </is>
      </c>
      <c r="E107" s="156" t="inlineStr">
        <is>
          <t>1261-1085-10041</t>
        </is>
      </c>
      <c r="F107" s="156" t="inlineStr">
        <is>
          <t>Talla única</t>
        </is>
      </c>
      <c r="G107" s="156" t="inlineStr">
        <is>
          <t>One Size</t>
        </is>
      </c>
      <c r="H107" s="156" t="inlineStr">
        <is>
          <t>Wrangler</t>
        </is>
      </c>
      <c r="I107" s="156" t="inlineStr">
        <is>
          <t>Gorra RANCH LIFE RANCH GRID</t>
        </is>
      </c>
      <c r="J107" s="156" t="inlineStr">
        <is>
          <t>Accesorios</t>
        </is>
      </c>
      <c r="K107" s="156" t="inlineStr">
        <is>
          <t>Gorras</t>
        </is>
      </c>
      <c r="L107" s="156" t="inlineStr">
        <is>
          <t>Unisex</t>
        </is>
      </c>
      <c r="M107" s="156" t="inlineStr">
        <is>
          <t>Wrangler</t>
        </is>
      </c>
      <c r="N107" s="156" t="inlineStr">
        <is>
          <t>SS26</t>
        </is>
      </c>
      <c r="O107" s="156" t="inlineStr">
        <is>
          <t>Seasonal</t>
        </is>
      </c>
      <c r="P107" s="156" t="inlineStr">
        <is>
          <t>Azul</t>
        </is>
      </c>
      <c r="Q107" s="156" t="n"/>
      <c r="R107" s="156" t="n"/>
      <c r="S107" s="156" t="inlineStr">
        <is>
          <t>Cuerpo: 100% Algodón / Malla: 100% Poliéster</t>
        </is>
      </c>
      <c r="T107" s="156" t="inlineStr">
        <is>
          <t>Lleva el auténtico estilo western con la Gorra Wrangler de la línea RANCH LIFE RANCH GRID.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      </is>
      </c>
      <c r="U107" s="156" t="inlineStr">
        <is>
          <t>China</t>
        </is>
      </c>
      <c r="V107" s="156" t="inlineStr">
        <is>
          <t>PZS</t>
        </is>
      </c>
      <c r="W107" s="51" t="inlineStr">
        <is>
          <t>53102500</t>
        </is>
      </c>
      <c r="X107" s="156" t="inlineStr">
        <is>
          <t>https://m-universal-unique-brands.odoo.com/web/image/product.product/30114/image_1920</t>
        </is>
      </c>
      <c r="Y107" s="54" t="n">
        <v>3.62</v>
      </c>
      <c r="Z107" s="54" t="n">
        <v>699</v>
      </c>
      <c r="AA107" s="55">
        <f>IF(AND(A107="", B107="", E107=""), "", IF(AB107="", "Válido", IF((LEN(AB107)-LEN(SUBSTITUTE(AB107,"; ","")))/2+1&gt;(LEN(AB107)-LEN(SUBSTITUTE(AB107,"[Aviso]","")))/7, "Con Incidencias", "Válido")))</f>
        <v/>
      </c>
      <c r="AB107" s="56">
        <f>IF(AND(A107="", B107="", E107=""), "", TEXTJOIN("; ", TRUE, IF(OR(TRIM(A107&amp;"")="", ISNUMBER(SEARCH("FALTA", A107))), "UPC faltante/inválido", ""), IF(AND(A107&lt;&gt;"", IFERROR(_xlfn.XMATCH(A107,$A$2:$A$1063,0,1)&lt;&gt;_xlfn.XMATCH(A107,$A$2:$A$1063,0,-1),FALSE)), "Código de barras duplicado", ""), IF(AND(E107&lt;&gt;"", COUNTIF($E$2:$E$1063, E107)&gt;1), "SKU duplicado", ""), IF(OR(J107="", J107=""), "[Aviso] División no capturada ()", IF(ISNA(MATCH(J107, Criterios!$A$123:$A$126, 0)), "División no válida", "")), IF(OR(K107="", K107=""), "[Aviso] Categoría no capturada ()", IF(ISNA(MATCH(K107, Criterios!$A$81:$A$120, 0)), "Categoría no válida", IF(AND(J107&lt;&gt;"", J107&lt;&gt;"", J107&lt;&gt;VLOOKUP(K107, Criterios!$A$81:$B$120, 2, FALSE)), "División no coincide con Categoría", ""))), IF(OR(L107="", L107=""), "[Aviso] Género no capturado ()", IF(ISNA(MATCH(L107, Criterios!$B$123:$B$127, 0)), "Género no válido", "")), IF(OR(N107="", N107=""), "[Aviso] Temporada no capturada ()", IF(ISNA(MATCH(N107, Criterios!$C$123:$C$128, 0)), "Temporada no válida", "")), IF(OR(O107="", O107=""), "[Aviso] Ciclo de vida no capturado ()", IF(ISNA(MATCH(O107, Criterios!$D$123:$D$124, 0)), "Ciclo de vida no válido", ""))))</f>
        <v/>
      </c>
      <c r="AC107" s="56" t="n"/>
      <c r="AD107" s="51" t="n">
        <v>-2</v>
      </c>
      <c r="AE107" s="156" t="n"/>
      <c r="AF107" s="51" t="n">
        <v>0</v>
      </c>
      <c r="AG107" s="156" t="inlineStr">
        <is>
          <t>Catálogo existente</t>
        </is>
      </c>
      <c r="AH107" s="156" t="inlineStr">
        <is>
          <t>Coincidencia por código de barras (ID NetSuite 117851); Stock negativo en sistema: revisar en conteo | ID alternativo de Hoja a Revisar 117851 (UPC coincidente); se conserva ID principal; Auditoría NetSuite 30/09/2026: llenado desde NetSuite [Z]; Vinculado por código de barras al ID NetSuite 117851 (antes en Identificador interno: 'W-RL-U-002-RG-OS') | 01/10/2026: complementado desde Shopify Western Brothers (match por código de barras): WB Fit, WB Silueta (antes «5 Paneles», no válido en Criterios) | 01/10/2026: Shopify Western Brothers trae Color «Gris» — se conservó el valor de Productos | 01/10/2026: complementado desde Odoo Universal Unique Brands (match por código de barras): Enlace de imagen | 01/10/2026: Odoo Universal Unique Brands trae Color «Gris» — se conservó el valor de Productos | Homologación G1522 06/10/2026: Precio de compra: «3,62» → «3.62» (Corrección aplicada) · Validación G1522: Dígito de control del código de barras inválido; [Aviso] Precio de compra posiblemente en USD · Validador Shopify: WB: precio con IVA no termina en 9</t>
        </is>
      </c>
      <c r="AI107" s="156" t="inlineStr">
        <is>
          <t>Sí</t>
        </is>
      </c>
      <c r="AJ107" s="156" t="inlineStr">
        <is>
          <t>WB OUTLET LERMA (-2)</t>
        </is>
      </c>
      <c r="AK107" s="155" t="inlineStr">
        <is>
          <t>| Hoja a Revisar: fila 917530 (ID 117851, misma clave UPC); G1522_Extraccion_Articulos_NetSuite_2026-09-30.xlsx: fila 64092 [Z] | Shopify WB: producto 10310435635385 / variante 50512589029561 | Odoo: producto 30114 / plantilla 38870</t>
        </is>
      </c>
      <c r="AL107" s="58" t="inlineStr">
        <is>
          <t>3,62</t>
        </is>
      </c>
      <c r="AM107" s="58" t="n"/>
      <c r="AN107" s="155" t="inlineStr">
        <is>
          <t>Shopify Western Brothers | Odoo Universal Unique Brands</t>
        </is>
      </c>
      <c r="AO107" s="59" t="n"/>
      <c r="AP107" s="59" t="n">
        <v>4</v>
      </c>
      <c r="AQ107" s="59" t="n">
        <v>182</v>
      </c>
      <c r="AR107" s="155" t="inlineStr">
        <is>
          <t>Shopify Western Brothers › Western Brothers Outlet Lerma: 4 | Odoo Universal Unique Brands › Bodega 25 › Bodega 25/General: 182</t>
        </is>
      </c>
    </row>
    <row r="108">
      <c r="A108" s="50" t="inlineStr">
        <is>
          <t>1261108510042</t>
        </is>
      </c>
      <c r="B108" s="51" t="inlineStr">
        <is>
          <t>117852</t>
        </is>
      </c>
      <c r="C108" s="156" t="inlineStr">
        <is>
          <t>Wrangler</t>
        </is>
      </c>
      <c r="D108" s="156" t="inlineStr">
        <is>
          <t>W-RL-U-001-RL</t>
        </is>
      </c>
      <c r="E108" s="156" t="inlineStr">
        <is>
          <t>1261-1085-10042</t>
        </is>
      </c>
      <c r="F108" s="156" t="inlineStr">
        <is>
          <t>Talla única</t>
        </is>
      </c>
      <c r="G108" s="156" t="inlineStr">
        <is>
          <t>One Size</t>
        </is>
      </c>
      <c r="H108" s="156" t="inlineStr">
        <is>
          <t>Wrangler</t>
        </is>
      </c>
      <c r="I108" s="156" t="inlineStr">
        <is>
          <t>Gorra RODEO LIVING RANCH DREAM</t>
        </is>
      </c>
      <c r="J108" s="156" t="inlineStr">
        <is>
          <t>Accesorios</t>
        </is>
      </c>
      <c r="K108" s="156" t="inlineStr">
        <is>
          <t>Gorras</t>
        </is>
      </c>
      <c r="L108" s="156" t="inlineStr">
        <is>
          <t>Unisex</t>
        </is>
      </c>
      <c r="M108" s="156" t="inlineStr">
        <is>
          <t>Wrangler</t>
        </is>
      </c>
      <c r="N108" s="156" t="inlineStr">
        <is>
          <t>SS26</t>
        </is>
      </c>
      <c r="O108" s="156" t="inlineStr">
        <is>
          <t>Seasonal</t>
        </is>
      </c>
      <c r="P108" s="156" t="inlineStr">
        <is>
          <t>Verde</t>
        </is>
      </c>
      <c r="Q108" s="156" t="n"/>
      <c r="R108" s="156" t="n"/>
      <c r="S108" s="156" t="inlineStr">
        <is>
          <t>Cuerpo: 100% Algodón / Malla: 100% Poliéster</t>
        </is>
      </c>
      <c r="T108" s="156" t="inlineStr">
        <is>
          <t>Lleva el auténtico estilo western con la Gorra Wrangler de la línea RODEO LIVING RANCH DREAM.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      </is>
      </c>
      <c r="U108" s="156" t="inlineStr">
        <is>
          <t>China</t>
        </is>
      </c>
      <c r="V108" s="156" t="inlineStr">
        <is>
          <t>PZS</t>
        </is>
      </c>
      <c r="W108" s="51" t="inlineStr">
        <is>
          <t>53102500</t>
        </is>
      </c>
      <c r="X108" s="156" t="inlineStr">
        <is>
          <t>https://m-universal-unique-brands.odoo.com/web/image/product.product/30115/image_1920</t>
        </is>
      </c>
      <c r="Y108" s="54" t="n">
        <v>3.66</v>
      </c>
      <c r="Z108" s="54" t="n">
        <v>699</v>
      </c>
      <c r="AA108" s="55">
        <f>IF(AND(A108="", B108="", E108=""), "", IF(AB108="", "Válido", IF((LEN(AB108)-LEN(SUBSTITUTE(AB108,"; ","")))/2+1&gt;(LEN(AB108)-LEN(SUBSTITUTE(AB108,"[Aviso]","")))/7, "Con Incidencias", "Válido")))</f>
        <v/>
      </c>
      <c r="AB108" s="56">
        <f>IF(AND(A108="", B108="", E108=""), "", TEXTJOIN("; ", TRUE, IF(OR(TRIM(A108&amp;"")="", ISNUMBER(SEARCH("FALTA", A108))), "UPC faltante/inválido", ""), IF(AND(A108&lt;&gt;"", IFERROR(_xlfn.XMATCH(A108,$A$2:$A$1063,0,1)&lt;&gt;_xlfn.XMATCH(A108,$A$2:$A$1063,0,-1),FALSE)), "Código de barras duplicado", ""), IF(AND(E108&lt;&gt;"", COUNTIF($E$2:$E$1063, E108)&gt;1), "SKU duplicado", ""), IF(OR(J108="", J108=""), "[Aviso] División no capturada ()", IF(ISNA(MATCH(J108, Criterios!$A$123:$A$126, 0)), "División no válida", "")), IF(OR(K108="", K108=""), "[Aviso] Categoría no capturada ()", IF(ISNA(MATCH(K108, Criterios!$A$81:$A$120, 0)), "Categoría no válida", IF(AND(J108&lt;&gt;"", J108&lt;&gt;"", J108&lt;&gt;VLOOKUP(K108, Criterios!$A$81:$B$120, 2, FALSE)), "División no coincide con Categoría", ""))), IF(OR(L108="", L108=""), "[Aviso] Género no capturado ()", IF(ISNA(MATCH(L108, Criterios!$B$123:$B$127, 0)), "Género no válido", "")), IF(OR(N108="", N108=""), "[Aviso] Temporada no capturada ()", IF(ISNA(MATCH(N108, Criterios!$C$123:$C$128, 0)), "Temporada no válida", "")), IF(OR(O108="", O108=""), "[Aviso] Ciclo de vida no capturado ()", IF(ISNA(MATCH(O108, Criterios!$D$123:$D$124, 0)), "Ciclo de vida no válido", ""))))</f>
        <v/>
      </c>
      <c r="AC108" s="56" t="n"/>
      <c r="AD108" s="51" t="n">
        <v>-2</v>
      </c>
      <c r="AE108" s="156" t="n"/>
      <c r="AF108" s="51" t="n">
        <v>0</v>
      </c>
      <c r="AG108" s="156" t="inlineStr">
        <is>
          <t>Catálogo existente</t>
        </is>
      </c>
      <c r="AH108" s="156" t="inlineStr">
        <is>
          <t>Coincidencia por código de barras (ID NetSuite 117852); Stock negativo en sistema: revisar en conteo | ID alternativo de Hoja a Revisar 117852 (UPC coincidente); se conserva ID principal; Auditoría NetSuite 30/09/2026: llenado desde NetSuite [Z]; Vinculado por código de barras al ID NetSuite 117852 (antes en Identificador interno: 'W-RL-U-001-RL-OS') | 01/10/2026: complementado desde Shopify Western Brothers (match por código de barras): WB Fit, WB Silueta (antes «5 Paneles», no válido en Criterios) | 01/10/2026: Shopify Western Brothers trae Color «Cafe» — se conservó el valor de Productos | 01/10/2026: complementado desde Odoo Universal Unique Brands (match por código de barras): Enlace de imagen | 01/10/2026: Odoo Universal Unique Brands trae Color «Cafe» — se conservó el valor de Productos | Homologación G1522 06/10/2026: Precio de compra: «3,66» → «3.66» (Corrección aplicada) · Validación G1522: Dígito de control del código de barras inválido; [Aviso] Precio de compra posiblemente en USD · Validador Shopify: WB: precio con IVA no termina en 9</t>
        </is>
      </c>
      <c r="AI108" s="156" t="inlineStr">
        <is>
          <t>Sí</t>
        </is>
      </c>
      <c r="AJ108" s="156" t="inlineStr">
        <is>
          <t>WB OUTLET LERMA (-2)</t>
        </is>
      </c>
      <c r="AK108" s="155" t="inlineStr">
        <is>
          <t>| Hoja a Revisar: fila 917532 (ID 117852, misma clave UPC); G1522_Extraccion_Articulos_NetSuite_2026-09-30.xlsx: fila 64093 [Z] | Shopify WB: producto 10310435668153 / variante 50512589062329 | Odoo: producto 30115 / plantilla 38871</t>
        </is>
      </c>
      <c r="AL108" s="58" t="inlineStr">
        <is>
          <t>3,66</t>
        </is>
      </c>
      <c r="AM108" s="58" t="n"/>
      <c r="AN108" s="155" t="inlineStr">
        <is>
          <t>Shopify Western Brothers | Odoo Universal Unique Brands</t>
        </is>
      </c>
      <c r="AO108" s="59" t="n"/>
      <c r="AP108" s="59" t="n">
        <v>4</v>
      </c>
      <c r="AQ108" s="59" t="n">
        <v>212</v>
      </c>
      <c r="AR108" s="155" t="inlineStr">
        <is>
          <t>Shopify Western Brothers › Western Brothers Outlet Lerma: 4 | Odoo Universal Unique Brands › Bodega 25 › Bodega 25/General: 212</t>
        </is>
      </c>
    </row>
    <row r="109">
      <c r="A109" s="50" t="inlineStr">
        <is>
          <t>1261108510043</t>
        </is>
      </c>
      <c r="B109" s="51" t="inlineStr">
        <is>
          <t>117853</t>
        </is>
      </c>
      <c r="C109" s="156" t="inlineStr">
        <is>
          <t>Wrangler</t>
        </is>
      </c>
      <c r="D109" s="156" t="inlineStr">
        <is>
          <t>W-RL-U-002-RL</t>
        </is>
      </c>
      <c r="E109" s="156" t="inlineStr">
        <is>
          <t>1261-1085-10043</t>
        </is>
      </c>
      <c r="F109" s="156" t="inlineStr">
        <is>
          <t>Talla única</t>
        </is>
      </c>
      <c r="G109" s="156" t="inlineStr">
        <is>
          <t>One Size</t>
        </is>
      </c>
      <c r="H109" s="156" t="inlineStr">
        <is>
          <t>Wrangler</t>
        </is>
      </c>
      <c r="I109" s="156" t="inlineStr">
        <is>
          <t>Gorra RODEO LIVING RANCH DREAM</t>
        </is>
      </c>
      <c r="J109" s="156" t="inlineStr">
        <is>
          <t>Accesorios</t>
        </is>
      </c>
      <c r="K109" s="156" t="inlineStr">
        <is>
          <t>Gorras</t>
        </is>
      </c>
      <c r="L109" s="156" t="inlineStr">
        <is>
          <t>Unisex</t>
        </is>
      </c>
      <c r="M109" s="156" t="inlineStr">
        <is>
          <t>Wrangler</t>
        </is>
      </c>
      <c r="N109" s="156" t="inlineStr">
        <is>
          <t>SS26</t>
        </is>
      </c>
      <c r="O109" s="156" t="inlineStr">
        <is>
          <t>Seasonal</t>
        </is>
      </c>
      <c r="P109" s="156" t="inlineStr">
        <is>
          <t>Cafe</t>
        </is>
      </c>
      <c r="Q109" s="156" t="n"/>
      <c r="R109" s="156" t="n"/>
      <c r="S109" s="156" t="inlineStr">
        <is>
          <t>Cuerpo: 100% Algodón / Malla: 100% Poliéster</t>
        </is>
      </c>
      <c r="T109" s="156" t="inlineStr">
        <is>
          <t>Lleva el auténtico estilo western con la Gorra Wrangler de la línea RODEO LIVING RANCH DREAM. Diseñada en una clásica silueta de 5 paneles, esta pieza en color cafe está confeccionada con cuerpo: 100% algodón / malla: 100% poliéster para ofrecerte máxima comodidad, transpirabilidad y durabilidad. Ideal para complementar tu look diario y destacar con la calidad inconfundible de Wrangler.</t>
        </is>
      </c>
      <c r="U109" s="156" t="inlineStr">
        <is>
          <t>China</t>
        </is>
      </c>
      <c r="V109" s="156" t="inlineStr">
        <is>
          <t>PZS</t>
        </is>
      </c>
      <c r="W109" s="51" t="inlineStr">
        <is>
          <t>53102500</t>
        </is>
      </c>
      <c r="X109" s="156" t="inlineStr">
        <is>
          <t>https://m-universal-unique-brands.odoo.com/web/image/product.product/30129/image_1920</t>
        </is>
      </c>
      <c r="Y109" s="54" t="n">
        <v>4.56</v>
      </c>
      <c r="Z109" s="54" t="n">
        <v>699</v>
      </c>
      <c r="AA109" s="55">
        <f>IF(AND(A109="", B109="", E109=""), "", IF(AB109="", "Válido", IF((LEN(AB109)-LEN(SUBSTITUTE(AB109,"; ","")))/2+1&gt;(LEN(AB109)-LEN(SUBSTITUTE(AB109,"[Aviso]","")))/7, "Con Incidencias", "Válido")))</f>
        <v/>
      </c>
      <c r="AB109" s="56">
        <f>IF(AND(A109="", B109="", E109=""), "", TEXTJOIN("; ", TRUE, IF(OR(TRIM(A109&amp;"")="", ISNUMBER(SEARCH("FALTA", A109))), "UPC faltante/inválido", ""), IF(AND(A109&lt;&gt;"", IFERROR(_xlfn.XMATCH(A109,$A$2:$A$1063,0,1)&lt;&gt;_xlfn.XMATCH(A109,$A$2:$A$1063,0,-1),FALSE)), "Código de barras duplicado", ""), IF(AND(E109&lt;&gt;"", COUNTIF($E$2:$E$1063, E109)&gt;1), "SKU duplicado", ""), IF(OR(J109="", J109=""), "[Aviso] División no capturada ()", IF(ISNA(MATCH(J109, Criterios!$A$123:$A$126, 0)), "División no válida", "")), IF(OR(K109="", K109=""), "[Aviso] Categoría no capturada ()", IF(ISNA(MATCH(K109, Criterios!$A$81:$A$120, 0)), "Categoría no válida", IF(AND(J109&lt;&gt;"", J109&lt;&gt;"", J109&lt;&gt;VLOOKUP(K109, Criterios!$A$81:$B$120, 2, FALSE)), "División no coincide con Categoría", ""))), IF(OR(L109="", L109=""), "[Aviso] Género no capturado ()", IF(ISNA(MATCH(L109, Criterios!$B$123:$B$127, 0)), "Género no válido", "")), IF(OR(N109="", N109=""), "[Aviso] Temporada no capturada ()", IF(ISNA(MATCH(N109, Criterios!$C$123:$C$128, 0)), "Temporada no válida", "")), IF(OR(O109="", O109=""), "[Aviso] Ciclo de vida no capturado ()", IF(ISNA(MATCH(O109, Criterios!$D$123:$D$124, 0)), "Ciclo de vida no válido", ""))))</f>
        <v/>
      </c>
      <c r="AC109" s="56" t="n"/>
      <c r="AD109" s="51" t="n">
        <v>-2</v>
      </c>
      <c r="AE109" s="156" t="n"/>
      <c r="AF109" s="51" t="n">
        <v>0</v>
      </c>
      <c r="AG109" s="156" t="inlineStr">
        <is>
          <t>Catálogo existente</t>
        </is>
      </c>
      <c r="AH109" s="156" t="inlineStr">
        <is>
          <t>Coincidencia por código de barras (ID NetSuite 117853); Stock negativo en sistema: revisar en conteo | ID alternativo de Hoja a Revisar 117853 (UPC coincidente); se conserva ID principal; Auditoría NetSuite 30/09/2026: llenado desde NetSuite [Z]; Vinculado por código de barras al ID NetSuite 117853 (antes en Identificador interno: 'W-RL-U-002-RL-OS') | 01/10/2026: complementado desde Shopify Western Brothers (match por código de barras): WB Fit, WB Silueta (antes «5 Paneles», no válido en Criterios) | 01/10/2026: Shopify Western Brothers trae Color «Verde» — se conservó el valor de Productos | 01/10/2026: complementado desde Odoo Universal Unique Brands (match por código de barras): Enlace de imagen | 01/10/2026: Odoo Universal Unique Brands trae Color «Verde» — se conservó el valor de Productos | Homologación G1522 06/10/2026: Precio de compra: «4,56» → «4.56» (Corrección aplicada) · Validación G1522: Dígito de control del código de barras inválido; [Aviso] Precio de compra posiblemente en USD · Validador Shopify: WB: precio con IVA no termina en 9</t>
        </is>
      </c>
      <c r="AI109" s="156" t="inlineStr">
        <is>
          <t>Sí</t>
        </is>
      </c>
      <c r="AJ109" s="156" t="inlineStr">
        <is>
          <t>WB OUTLET LERMA (-2)</t>
        </is>
      </c>
      <c r="AK109" s="155" t="inlineStr">
        <is>
          <t>| Hoja a Revisar: fila 917534 (ID 117853, misma clave UPC); G1522_Extraccion_Articulos_NetSuite_2026-09-30.xlsx: fila 64094 [Z] | Shopify WB: producto 10310435700921 / variante 50512589095097 | Odoo: producto 30129 / plantilla 38885</t>
        </is>
      </c>
      <c r="AL109" s="58" t="inlineStr">
        <is>
          <t>4,56</t>
        </is>
      </c>
      <c r="AM109" s="58" t="n"/>
      <c r="AN109" s="155" t="inlineStr">
        <is>
          <t>Shopify Western Brothers | Odoo Universal Unique Brands</t>
        </is>
      </c>
      <c r="AO109" s="59" t="n"/>
      <c r="AP109" s="59" t="n">
        <v>7</v>
      </c>
      <c r="AQ109" s="59" t="n">
        <v>161</v>
      </c>
      <c r="AR109" s="155" t="inlineStr">
        <is>
          <t>Shopify Western Brothers › Western Brothers Outlet Lerma: 7 | Odoo Universal Unique Brands › Bodega 25 › Bodega 25/General: 161</t>
        </is>
      </c>
    </row>
    <row r="110">
      <c r="A110" s="50" t="inlineStr">
        <is>
          <t>1261108510044</t>
        </is>
      </c>
      <c r="B110" s="51" t="inlineStr">
        <is>
          <t>117854</t>
        </is>
      </c>
      <c r="C110" s="156" t="inlineStr">
        <is>
          <t>Wrangler</t>
        </is>
      </c>
      <c r="D110" s="156" t="inlineStr">
        <is>
          <t>W-RL-U-001-ROP</t>
        </is>
      </c>
      <c r="E110" s="156" t="inlineStr">
        <is>
          <t>1261-1085-10044</t>
        </is>
      </c>
      <c r="F110" s="156" t="inlineStr">
        <is>
          <t>Talla única</t>
        </is>
      </c>
      <c r="G110" s="156" t="inlineStr">
        <is>
          <t>One Size</t>
        </is>
      </c>
      <c r="H110" s="156" t="inlineStr">
        <is>
          <t>Wrangler</t>
        </is>
      </c>
      <c r="I110" s="156" t="inlineStr">
        <is>
          <t>Gorra RODEO LIVING ROPING</t>
        </is>
      </c>
      <c r="J110" s="156" t="inlineStr">
        <is>
          <t>Accesorios</t>
        </is>
      </c>
      <c r="K110" s="156" t="inlineStr">
        <is>
          <t>Gorras</t>
        </is>
      </c>
      <c r="L110" s="156" t="inlineStr">
        <is>
          <t>Unisex</t>
        </is>
      </c>
      <c r="M110" s="156" t="inlineStr">
        <is>
          <t>Wrangler</t>
        </is>
      </c>
      <c r="N110" s="156" t="inlineStr">
        <is>
          <t>SS26</t>
        </is>
      </c>
      <c r="O110" s="156" t="inlineStr">
        <is>
          <t>Seasonal</t>
        </is>
      </c>
      <c r="P110" s="156" t="inlineStr">
        <is>
          <t>Negro</t>
        </is>
      </c>
      <c r="Q110" s="156" t="n"/>
      <c r="R110" s="156" t="n"/>
      <c r="S110" s="156" t="inlineStr">
        <is>
          <t>Cuerpo: 100% Algodón / Malla: 100% Poliéster</t>
        </is>
      </c>
      <c r="T110" s="156" t="inlineStr">
        <is>
          <t>Lleva el auténtico estilo western con la Gorra Wrangler de la línea RODEO LIVING ROPING. Diseñada en una clásica silueta de 5 paneles, esta pieza en color negro está confeccionada con cuerpo: 100% algodón / malla: 100% poliéster para ofrecerte máxima comodidad, transpirabilidad y durabilidad. Ideal para complementar tu look diario y destacar con la calidad inconfundible de Wrangler.</t>
        </is>
      </c>
      <c r="U110" s="156" t="inlineStr">
        <is>
          <t>China</t>
        </is>
      </c>
      <c r="V110" s="156" t="inlineStr">
        <is>
          <t>PZS</t>
        </is>
      </c>
      <c r="W110" s="51" t="inlineStr">
        <is>
          <t>53102500</t>
        </is>
      </c>
      <c r="X110" s="156" t="inlineStr">
        <is>
          <t>https://m-universal-unique-brands.odoo.com/web/image/product.product/30116/image_1920</t>
        </is>
      </c>
      <c r="Y110" s="54" t="n">
        <v>3.66</v>
      </c>
      <c r="Z110" s="54" t="n">
        <v>699</v>
      </c>
      <c r="AA110" s="55">
        <f>IF(AND(A110="", B110="", E110=""), "", IF(AB110="", "Válido", IF((LEN(AB110)-LEN(SUBSTITUTE(AB110,"; ","")))/2+1&gt;(LEN(AB110)-LEN(SUBSTITUTE(AB110,"[Aviso]","")))/7, "Con Incidencias", "Válido")))</f>
        <v/>
      </c>
      <c r="AB110" s="56">
        <f>IF(AND(A110="", B110="", E110=""), "", TEXTJOIN("; ", TRUE, IF(OR(TRIM(A110&amp;"")="", ISNUMBER(SEARCH("FALTA", A110))), "UPC faltante/inválido", ""), IF(AND(A110&lt;&gt;"", IFERROR(_xlfn.XMATCH(A110,$A$2:$A$1063,0,1)&lt;&gt;_xlfn.XMATCH(A110,$A$2:$A$1063,0,-1),FALSE)), "Código de barras duplicado", ""), IF(AND(E110&lt;&gt;"", COUNTIF($E$2:$E$1063, E110)&gt;1), "SKU duplicado", ""), IF(OR(J110="", J110=""), "[Aviso] División no capturada ()", IF(ISNA(MATCH(J110, Criterios!$A$123:$A$126, 0)), "División no válida", "")), IF(OR(K110="", K110=""), "[Aviso] Categoría no capturada ()", IF(ISNA(MATCH(K110, Criterios!$A$81:$A$120, 0)), "Categoría no válida", IF(AND(J110&lt;&gt;"", J110&lt;&gt;"", J110&lt;&gt;VLOOKUP(K110, Criterios!$A$81:$B$120, 2, FALSE)), "División no coincide con Categoría", ""))), IF(OR(L110="", L110=""), "[Aviso] Género no capturado ()", IF(ISNA(MATCH(L110, Criterios!$B$123:$B$127, 0)), "Género no válido", "")), IF(OR(N110="", N110=""), "[Aviso] Temporada no capturada ()", IF(ISNA(MATCH(N110, Criterios!$C$123:$C$128, 0)), "Temporada no válida", "")), IF(OR(O110="", O110=""), "[Aviso] Ciclo de vida no capturado ()", IF(ISNA(MATCH(O110, Criterios!$D$123:$D$124, 0)), "Ciclo de vida no válido", ""))))</f>
        <v/>
      </c>
      <c r="AC110" s="56" t="n"/>
      <c r="AD110" s="51" t="n">
        <v>0</v>
      </c>
      <c r="AE110" s="156" t="n"/>
      <c r="AF110" s="51" t="n">
        <v>0</v>
      </c>
      <c r="AG110" s="156" t="inlineStr">
        <is>
          <t>Catálogo existente</t>
        </is>
      </c>
      <c r="AH110" s="156" t="inlineStr">
        <is>
          <t>Coincidencia por código de barras (ID NetSuite 117854) | ID alternativo de Hoja a Revisar 117854 (UPC coincidente); se conserva ID principal; Auditoría NetSuite 30/09/2026: llenado desde NetSuite [Z]; Vinculado por código de barras al ID NetSuite 117854 (antes en Identificador interno: 'W-RL-U-001-ROP-OS') | 01/10/2026: complementado desde Shopify Western Brothers (match por código de barras): WB Fit, WB Silueta (antes «5 Paneles», no válido en Criterios) | 01/10/2026: Shopify Western Brothers trae Color «Azul» — se conservó el valor de Productos | 01/10/2026: complementado desde Odoo Universal Unique Brands (match por código de barras): Enlace de imagen | 01/10/2026: Odoo Universal Unique Brands trae Color «Azul» — se conservó el valor de Productos | Homologación G1522 06/10/2026: Precio de compra: «3,66» → «3.66» (Corrección aplicada) · Validación G1522: Dígito de control del código de barras inválido; [Aviso] Precio de compra posiblemente en USD · Validador Shopify: WB: precio con IVA no termina en 9</t>
        </is>
      </c>
      <c r="AI110" s="156" t="inlineStr">
        <is>
          <t>No</t>
        </is>
      </c>
      <c r="AJ110" s="156" t="n"/>
      <c r="AK110" s="155" t="inlineStr">
        <is>
          <t>| Hoja a Revisar: fila 917536 (ID 117854, misma clave UPC); G1522_Extraccion_Articulos_NetSuite_2026-09-30.xlsx: fila 64095 [Z] | Shopify WB: producto 10310435733689 / variante 50512589127865 | Odoo: producto 30116 / plantilla 38872</t>
        </is>
      </c>
      <c r="AL110" s="58" t="inlineStr">
        <is>
          <t>3,66</t>
        </is>
      </c>
      <c r="AM110" s="58" t="n"/>
      <c r="AN110" s="155" t="inlineStr">
        <is>
          <t>Shopify Western Brothers | Odoo Universal Unique Brands</t>
        </is>
      </c>
      <c r="AO110" s="59" t="n"/>
      <c r="AP110" s="59" t="n">
        <v>9</v>
      </c>
      <c r="AQ110" s="59" t="n">
        <v>53</v>
      </c>
      <c r="AR110" s="155" t="inlineStr">
        <is>
          <t>Shopify Western Brothers › Western Brothers Outlet Lerma: 9 | Odoo Universal Unique Brands › Bodega 25 › Bodega 25/General: 53</t>
        </is>
      </c>
    </row>
    <row r="111">
      <c r="A111" s="50" t="inlineStr">
        <is>
          <t>1261108510045</t>
        </is>
      </c>
      <c r="B111" s="51" t="inlineStr">
        <is>
          <t>118092</t>
        </is>
      </c>
      <c r="C111" s="156" t="inlineStr">
        <is>
          <t>Wrangler</t>
        </is>
      </c>
      <c r="D111" s="156" t="inlineStr">
        <is>
          <t>W-RL-U-002-ROP</t>
        </is>
      </c>
      <c r="E111" s="156" t="inlineStr">
        <is>
          <t>1261-1085-10045</t>
        </is>
      </c>
      <c r="F111" s="156" t="inlineStr">
        <is>
          <t>Talla única</t>
        </is>
      </c>
      <c r="G111" s="156" t="inlineStr">
        <is>
          <t>One Size</t>
        </is>
      </c>
      <c r="H111" s="156" t="inlineStr">
        <is>
          <t>Wrangler</t>
        </is>
      </c>
      <c r="I111" s="156" t="inlineStr">
        <is>
          <t>Gorra RODEO LIVING ROPING</t>
        </is>
      </c>
      <c r="J111" s="156" t="inlineStr">
        <is>
          <t>Accesorios</t>
        </is>
      </c>
      <c r="K111" s="156" t="inlineStr">
        <is>
          <t>Gorras</t>
        </is>
      </c>
      <c r="L111" s="156" t="inlineStr">
        <is>
          <t>Unisex</t>
        </is>
      </c>
      <c r="M111" s="156" t="inlineStr">
        <is>
          <t>Wrangler</t>
        </is>
      </c>
      <c r="N111" s="156" t="inlineStr">
        <is>
          <t>SS26</t>
        </is>
      </c>
      <c r="O111" s="156" t="inlineStr">
        <is>
          <t>Seasonal</t>
        </is>
      </c>
      <c r="P111" s="156" t="inlineStr">
        <is>
          <t>Beige</t>
        </is>
      </c>
      <c r="Q111" s="156" t="n"/>
      <c r="R111" s="156" t="n"/>
      <c r="S111" s="156" t="inlineStr">
        <is>
          <t>Cuerpo: 100% Algodón / Malla: 100% Poliéster</t>
        </is>
      </c>
      <c r="T111" s="156" t="inlineStr">
        <is>
          <t>Lleva el auténtico estilo western con la Gorra Wrangler de la línea RODEO LIVING ROPING. Diseñada en una clásica silueta de 5 paneles, esta pieza en color crema está confeccionada con cuerpo: 100% algodón / malla: 100% poliéster para ofrecerte máxima comodidad, transpirabilidad y durabilidad. Ideal para complementar tu look diario y destacar con la calidad inconfundible de Wrangler.</t>
        </is>
      </c>
      <c r="U111" s="156" t="inlineStr">
        <is>
          <t>China</t>
        </is>
      </c>
      <c r="V111" s="156" t="inlineStr">
        <is>
          <t>PZS</t>
        </is>
      </c>
      <c r="W111" s="51" t="inlineStr">
        <is>
          <t>53102500</t>
        </is>
      </c>
      <c r="X111" s="156" t="inlineStr">
        <is>
          <t>https://m-universal-unique-brands.odoo.com/web/image/product.product/30117/image_1920</t>
        </is>
      </c>
      <c r="Y111" s="54" t="n">
        <v>3.66</v>
      </c>
      <c r="Z111" s="54" t="n">
        <v>699</v>
      </c>
      <c r="AA111" s="55">
        <f>IF(AND(A111="", B111="", E111=""), "", IF(AB111="", "Válido", IF((LEN(AB111)-LEN(SUBSTITUTE(AB111,"; ","")))/2+1&gt;(LEN(AB111)-LEN(SUBSTITUTE(AB111,"[Aviso]","")))/7, "Con Incidencias", "Válido")))</f>
        <v/>
      </c>
      <c r="AB111" s="56">
        <f>IF(AND(A111="", B111="", E111=""), "", TEXTJOIN("; ", TRUE, IF(OR(TRIM(A111&amp;"")="", ISNUMBER(SEARCH("FALTA", A111))), "UPC faltante/inválido", ""), IF(AND(A111&lt;&gt;"", IFERROR(_xlfn.XMATCH(A111,$A$2:$A$1063,0,1)&lt;&gt;_xlfn.XMATCH(A111,$A$2:$A$1063,0,-1),FALSE)), "Código de barras duplicado", ""), IF(AND(E111&lt;&gt;"", COUNTIF($E$2:$E$1063, E111)&gt;1), "SKU duplicado", ""), IF(OR(J111="", J111=""), "[Aviso] División no capturada ()", IF(ISNA(MATCH(J111, Criterios!$A$123:$A$126, 0)), "División no válida", "")), IF(OR(K111="", K111=""), "[Aviso] Categoría no capturada ()", IF(ISNA(MATCH(K111, Criterios!$A$81:$A$120, 0)), "Categoría no válida", IF(AND(J111&lt;&gt;"", J111&lt;&gt;"", J111&lt;&gt;VLOOKUP(K111, Criterios!$A$81:$B$120, 2, FALSE)), "División no coincide con Categoría", ""))), IF(OR(L111="", L111=""), "[Aviso] Género no capturado ()", IF(ISNA(MATCH(L111, Criterios!$B$123:$B$127, 0)), "Género no válido", "")), IF(OR(N111="", N111=""), "[Aviso] Temporada no capturada ()", IF(ISNA(MATCH(N111, Criterios!$C$123:$C$128, 0)), "Temporada no válida", "")), IF(OR(O111="", O111=""), "[Aviso] Ciclo de vida no capturado ()", IF(ISNA(MATCH(O111, Criterios!$D$123:$D$124, 0)), "Ciclo de vida no válido", ""))))</f>
        <v/>
      </c>
      <c r="AC111" s="56" t="n"/>
      <c r="AD111" s="51" t="n">
        <v>0</v>
      </c>
      <c r="AE111" s="156" t="n"/>
      <c r="AF111" s="51" t="n">
        <v>0</v>
      </c>
      <c r="AG111" s="156" t="inlineStr">
        <is>
          <t>Catálogo existente</t>
        </is>
      </c>
      <c r="AH111" s="156" t="inlineStr">
        <is>
          <t>No se encontró en Hoja a Revisar por ID interno ni por código de barras; Auditoría NetSuite 30/09/2026: llenado desde NetSuite [Z]; Vinculado por código de barras al ID NetSuite 118092 (antes en Identificador interno: 'W-RL-U-002-ROP-OS') | 01/10/2026: complementado desde Odoo Universal Unique Brands (match por código de barras): WB Fit, WB Silueta (antes «5 Paneles», no válido en Criterios), Enlace de imagen | 01/10/2026: Odoo Universal Unique Brands trae Color «Cafe» — se conservó el valor de Productos | Homologación G1522 06/10/2026: Precio de compra: «3,66» → «3.66» (Corrección aplicada) · Validación G1522: Dígito de control del código de barras inválido; [Aviso] Precio de compra posiblemente en USD · Validador Shopify: WB: precio con IVA no termina en 9</t>
        </is>
      </c>
      <c r="AI111" s="156" t="inlineStr">
        <is>
          <t>No</t>
        </is>
      </c>
      <c r="AJ111" s="156" t="n"/>
      <c r="AK111" s="155" t="inlineStr">
        <is>
          <t>G1522_Extraccion_Articulos_NetSuite_2026-09-30.xlsx: fila 64233 [Z] | Odoo: producto 30117 / plantilla 38873</t>
        </is>
      </c>
      <c r="AL111" s="58" t="inlineStr">
        <is>
          <t>3,66</t>
        </is>
      </c>
      <c r="AM111" s="58" t="n"/>
      <c r="AN111" s="155" t="inlineStr">
        <is>
          <t>Odoo Universal Unique Brands</t>
        </is>
      </c>
      <c r="AO111" s="59" t="n"/>
      <c r="AP111" s="59" t="n"/>
      <c r="AQ111" s="59" t="n">
        <v>82</v>
      </c>
      <c r="AR111" s="155" t="inlineStr">
        <is>
          <t>Odoo Universal Unique Brands › Bodega 25 › Bodega 25/General: 82</t>
        </is>
      </c>
    </row>
    <row r="112">
      <c r="A112" s="50" t="inlineStr">
        <is>
          <t>1261108510046</t>
        </is>
      </c>
      <c r="B112" s="51" t="inlineStr">
        <is>
          <t>117855</t>
        </is>
      </c>
      <c r="C112" s="156" t="inlineStr">
        <is>
          <t>Wrangler</t>
        </is>
      </c>
      <c r="D112" s="156" t="inlineStr">
        <is>
          <t>W-RL-U-001-RAN</t>
        </is>
      </c>
      <c r="E112" s="156" t="inlineStr">
        <is>
          <t>1261-1085-10046</t>
        </is>
      </c>
      <c r="F112" s="156" t="inlineStr">
        <is>
          <t>Talla única</t>
        </is>
      </c>
      <c r="G112" s="156" t="inlineStr">
        <is>
          <t>One Size</t>
        </is>
      </c>
      <c r="H112" s="156" t="inlineStr">
        <is>
          <t>Wrangler</t>
        </is>
      </c>
      <c r="I112" s="156" t="inlineStr">
        <is>
          <t>Gorra RODEO LIVING RANCH DREAM</t>
        </is>
      </c>
      <c r="J112" s="156" t="inlineStr">
        <is>
          <t>Accesorios</t>
        </is>
      </c>
      <c r="K112" s="156" t="inlineStr">
        <is>
          <t>Gorras</t>
        </is>
      </c>
      <c r="L112" s="156" t="inlineStr">
        <is>
          <t>Unisex</t>
        </is>
      </c>
      <c r="M112" s="156" t="inlineStr">
        <is>
          <t>Wrangler</t>
        </is>
      </c>
      <c r="N112" s="156" t="inlineStr">
        <is>
          <t>SS26</t>
        </is>
      </c>
      <c r="O112" s="156" t="inlineStr">
        <is>
          <t>Seasonal</t>
        </is>
      </c>
      <c r="P112" s="156" t="inlineStr">
        <is>
          <t>Verde</t>
        </is>
      </c>
      <c r="Q112" s="156" t="n"/>
      <c r="R112" s="156" t="n"/>
      <c r="S112" s="156" t="inlineStr">
        <is>
          <t>Cuerpo: 100% Algodón / Malla: 100% Poliéster</t>
        </is>
      </c>
      <c r="T112" s="156" t="inlineStr">
        <is>
          <t>Lleva el auténtico estilo western con la Gorra Wrangler de la línea RODEO LIVING RANCH DREAM.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      </is>
      </c>
      <c r="U112" s="156" t="inlineStr">
        <is>
          <t>China</t>
        </is>
      </c>
      <c r="V112" s="156" t="inlineStr">
        <is>
          <t>PZS</t>
        </is>
      </c>
      <c r="W112" s="51" t="inlineStr">
        <is>
          <t>53102500</t>
        </is>
      </c>
      <c r="X112" s="156" t="inlineStr">
        <is>
          <t>https://m-universal-unique-brands.odoo.com/web/image/product.product/30118/image_1920</t>
        </is>
      </c>
      <c r="Y112" s="54" t="n">
        <v>4.8</v>
      </c>
      <c r="Z112" s="54" t="n">
        <v>699</v>
      </c>
      <c r="AA112" s="55">
        <f>IF(AND(A112="", B112="", E112=""), "", IF(AB112="", "Válido", IF((LEN(AB112)-LEN(SUBSTITUTE(AB112,"; ","")))/2+1&gt;(LEN(AB112)-LEN(SUBSTITUTE(AB112,"[Aviso]","")))/7, "Con Incidencias", "Válido")))</f>
        <v/>
      </c>
      <c r="AB112" s="56">
        <f>IF(AND(A112="", B112="", E112=""), "", TEXTJOIN("; ", TRUE, IF(OR(TRIM(A112&amp;"")="", ISNUMBER(SEARCH("FALTA", A112))), "UPC faltante/inválido", ""), IF(AND(A112&lt;&gt;"", IFERROR(_xlfn.XMATCH(A112,$A$2:$A$1063,0,1)&lt;&gt;_xlfn.XMATCH(A112,$A$2:$A$1063,0,-1),FALSE)), "Código de barras duplicado", ""), IF(AND(E112&lt;&gt;"", COUNTIF($E$2:$E$1063, E112)&gt;1), "SKU duplicado", ""), IF(OR(J112="", J112=""), "[Aviso] División no capturada ()", IF(ISNA(MATCH(J112, Criterios!$A$123:$A$126, 0)), "División no válida", "")), IF(OR(K112="", K112=""), "[Aviso] Categoría no capturada ()", IF(ISNA(MATCH(K112, Criterios!$A$81:$A$120, 0)), "Categoría no válida", IF(AND(J112&lt;&gt;"", J112&lt;&gt;"", J112&lt;&gt;VLOOKUP(K112, Criterios!$A$81:$B$120, 2, FALSE)), "División no coincide con Categoría", ""))), IF(OR(L112="", L112=""), "[Aviso] Género no capturado ()", IF(ISNA(MATCH(L112, Criterios!$B$123:$B$127, 0)), "Género no válido", "")), IF(OR(N112="", N112=""), "[Aviso] Temporada no capturada ()", IF(ISNA(MATCH(N112, Criterios!$C$123:$C$128, 0)), "Temporada no válida", "")), IF(OR(O112="", O112=""), "[Aviso] Ciclo de vida no capturado ()", IF(ISNA(MATCH(O112, Criterios!$D$123:$D$124, 0)), "Ciclo de vida no válido", ""))))</f>
        <v/>
      </c>
      <c r="AC112" s="56" t="n"/>
      <c r="AD112" s="51" t="n">
        <v>0</v>
      </c>
      <c r="AE112" s="156" t="n"/>
      <c r="AF112" s="51" t="n">
        <v>0</v>
      </c>
      <c r="AG112" s="156" t="inlineStr">
        <is>
          <t>Catálogo existente</t>
        </is>
      </c>
      <c r="AH112" s="156" t="inlineStr">
        <is>
          <t>Coincidencia por código de barras (ID NetSuite 117855) | ID alternativo de Hoja a Revisar 117855 (UPC coincidente); se conserva ID principal; Auditoría NetSuite 30/09/2026: llenado desde NetSuite [Z]; Vinculado por código de barras al ID NetSuite 117855 (antes en Identificador interno: 'W-RL-U-001-RAN-OS') | 01/10/2026: complementado desde Shopify Western Brothers (match por código de barras): WB Fit, WB Silueta (antes «5 Paneles», no válido en Criterios) | 01/10/2026: Shopify Western Brothers trae Color «Gris» — se conservó el valor de Productos | 01/10/2026: complementado desde Odoo Universal Unique Brands (match por código de barras): Enlace de imagen | 01/10/2026: Odoo Universal Unique Brands trae Color «Gris» — se conservó el valor de Productos | Homologación G1522 06/10/2026: Precio de compra: «4,8» → «4.8» (Corrección aplicada) · Validación G1522: Dígito de control del código de barras inválido; [Aviso] Precio de compra posiblemente en USD · Validador Shopify: WB: precio con IVA no termina en 9</t>
        </is>
      </c>
      <c r="AI112" s="156" t="inlineStr">
        <is>
          <t>No</t>
        </is>
      </c>
      <c r="AJ112" s="156" t="n"/>
      <c r="AK112" s="155" t="inlineStr">
        <is>
          <t>| Hoja a Revisar: fila 917538 (ID 117855, misma clave UPC); G1522_Extraccion_Articulos_NetSuite_2026-09-30.xlsx: fila 64096 [Z] | Shopify WB: producto 10310435766457 / variante 50512589160633 | Odoo: producto 30118 / plantilla 38874</t>
        </is>
      </c>
      <c r="AL112" s="58" t="inlineStr">
        <is>
          <t>4,8</t>
        </is>
      </c>
      <c r="AM112" s="58" t="n"/>
      <c r="AN112" s="155" t="inlineStr">
        <is>
          <t>Shopify Western Brothers | Odoo Universal Unique Brands</t>
        </is>
      </c>
      <c r="AO112" s="59" t="n"/>
      <c r="AP112" s="59" t="n">
        <v>6</v>
      </c>
      <c r="AQ112" s="59" t="n">
        <v>279</v>
      </c>
      <c r="AR112" s="155" t="inlineStr">
        <is>
          <t>Shopify Western Brothers › Western Brothers Outlet Lerma: 6 | Odoo Universal Unique Brands › Bodega 25 › Bodega 25/General: 279</t>
        </is>
      </c>
    </row>
    <row r="113">
      <c r="A113" s="50" t="inlineStr">
        <is>
          <t>1261108510047</t>
        </is>
      </c>
      <c r="B113" s="51" t="inlineStr">
        <is>
          <t>117856</t>
        </is>
      </c>
      <c r="C113" s="156" t="inlineStr">
        <is>
          <t>Wrangler</t>
        </is>
      </c>
      <c r="D113" s="156" t="inlineStr">
        <is>
          <t>W-RL-U-002-RAN</t>
        </is>
      </c>
      <c r="E113" s="156" t="inlineStr">
        <is>
          <t>1261-1085-10047</t>
        </is>
      </c>
      <c r="F113" s="156" t="inlineStr">
        <is>
          <t>Talla única</t>
        </is>
      </c>
      <c r="G113" s="156" t="inlineStr">
        <is>
          <t>One Size</t>
        </is>
      </c>
      <c r="H113" s="156" t="inlineStr">
        <is>
          <t>Wrangler</t>
        </is>
      </c>
      <c r="I113" s="156" t="inlineStr">
        <is>
          <t>Gorra RODEO LIVING RANCH DREAM</t>
        </is>
      </c>
      <c r="J113" s="156" t="inlineStr">
        <is>
          <t>Accesorios</t>
        </is>
      </c>
      <c r="K113" s="156" t="inlineStr">
        <is>
          <t>Gorras</t>
        </is>
      </c>
      <c r="L113" s="156" t="inlineStr">
        <is>
          <t>Unisex</t>
        </is>
      </c>
      <c r="M113" s="156" t="inlineStr">
        <is>
          <t>Wrangler</t>
        </is>
      </c>
      <c r="N113" s="156" t="inlineStr">
        <is>
          <t>SS26</t>
        </is>
      </c>
      <c r="O113" s="156" t="inlineStr">
        <is>
          <t>Seasonal</t>
        </is>
      </c>
      <c r="P113" s="156" t="inlineStr">
        <is>
          <t>Rojo</t>
        </is>
      </c>
      <c r="Q113" s="156" t="n"/>
      <c r="R113" s="156" t="n"/>
      <c r="S113" s="156" t="inlineStr">
        <is>
          <t>Cuerpo: 100% Algodón / Malla: 100% Poliéster</t>
        </is>
      </c>
      <c r="T113" s="156" t="inlineStr">
        <is>
          <t>Lleva el auténtico estilo western con la Gorra Wrangler de la línea RODEO LIVING RANCH DREAM. Diseñada en una clásica silueta de 5 paneles, esta pieza en color rojo está confeccionada con cuerpo: 100% algodón / malla: 100% poliéster para ofrecerte máxima comodidad, transpirabilidad y durabilidad. Ideal para complementar tu look diario y destacar con la calidad inconfundible de Wrangler.</t>
        </is>
      </c>
      <c r="U113" s="156" t="inlineStr">
        <is>
          <t>China</t>
        </is>
      </c>
      <c r="V113" s="156" t="inlineStr">
        <is>
          <t>PZS</t>
        </is>
      </c>
      <c r="W113" s="51" t="inlineStr">
        <is>
          <t>53102500</t>
        </is>
      </c>
      <c r="X113" s="156" t="inlineStr">
        <is>
          <t>https://m-universal-unique-brands.odoo.com/web/image/product.product/30119/image_1920</t>
        </is>
      </c>
      <c r="Y113" s="54" t="n">
        <v>5.35</v>
      </c>
      <c r="Z113" s="54" t="n">
        <v>699</v>
      </c>
      <c r="AA113" s="55">
        <f>IF(AND(A113="", B113="", E113=""), "", IF(AB113="", "Válido", IF((LEN(AB113)-LEN(SUBSTITUTE(AB113,"; ","")))/2+1&gt;(LEN(AB113)-LEN(SUBSTITUTE(AB113,"[Aviso]","")))/7, "Con Incidencias", "Válido")))</f>
        <v/>
      </c>
      <c r="AB113" s="56">
        <f>IF(AND(A113="", B113="", E113=""), "", TEXTJOIN("; ", TRUE, IF(OR(TRIM(A113&amp;"")="", ISNUMBER(SEARCH("FALTA", A113))), "UPC faltante/inválido", ""), IF(AND(A113&lt;&gt;"", IFERROR(_xlfn.XMATCH(A113,$A$2:$A$1063,0,1)&lt;&gt;_xlfn.XMATCH(A113,$A$2:$A$1063,0,-1),FALSE)), "Código de barras duplicado", ""), IF(AND(E113&lt;&gt;"", COUNTIF($E$2:$E$1063, E113)&gt;1), "SKU duplicado", ""), IF(OR(J113="", J113=""), "[Aviso] División no capturada ()", IF(ISNA(MATCH(J113, Criterios!$A$123:$A$126, 0)), "División no válida", "")), IF(OR(K113="", K113=""), "[Aviso] Categoría no capturada ()", IF(ISNA(MATCH(K113, Criterios!$A$81:$A$120, 0)), "Categoría no válida", IF(AND(J113&lt;&gt;"", J113&lt;&gt;"", J113&lt;&gt;VLOOKUP(K113, Criterios!$A$81:$B$120, 2, FALSE)), "División no coincide con Categoría", ""))), IF(OR(L113="", L113=""), "[Aviso] Género no capturado ()", IF(ISNA(MATCH(L113, Criterios!$B$123:$B$127, 0)), "Género no válido", "")), IF(OR(N113="", N113=""), "[Aviso] Temporada no capturada ()", IF(ISNA(MATCH(N113, Criterios!$C$123:$C$128, 0)), "Temporada no válida", "")), IF(OR(O113="", O113=""), "[Aviso] Ciclo de vida no capturado ()", IF(ISNA(MATCH(O113, Criterios!$D$123:$D$124, 0)), "Ciclo de vida no válido", ""))))</f>
        <v/>
      </c>
      <c r="AC113" s="56" t="n"/>
      <c r="AD113" s="51" t="n">
        <v>-2</v>
      </c>
      <c r="AE113" s="156" t="n"/>
      <c r="AF113" s="51" t="n">
        <v>0</v>
      </c>
      <c r="AG113" s="156" t="inlineStr">
        <is>
          <t>Catálogo existente</t>
        </is>
      </c>
      <c r="AH113" s="156" t="inlineStr">
        <is>
          <t>Coincidencia por código de barras (ID NetSuite 117856); Stock negativo en sistema: revisar en conteo | ID alternativo de Hoja a Revisar 117856 (UPC coincidente); se conserva ID principal; Auditoría NetSuite 30/09/2026: llenado desde NetSuite [Z]; Vinculado por código de barras al ID NetSuite 117856 (antes en Identificador interno: 'W-RL-U-002-RAN-OS') | 01/10/2026: complementado desde Shopify Western Brothers (match por código de barras): WB Fit, WB Silueta (antes «5 Paneles», no válido en Criterios) | 01/10/2026: Shopify Western Brothers trae Color «Verde» — se conservó el valor de Productos | 01/10/2026: complementado desde Odoo Universal Unique Brands (match por código de barras): Enlace de imagen | 01/10/2026: Odoo Universal Unique Brands trae Color «Verde» — se conservó el valor de Productos | Homologación G1522 06/10/2026: Precio de compra: «5,35» → «5.35» (Corrección aplicada) · Validación G1522: [Aviso] Precio de compra posiblemente en USD · Validador Shopify: WB: precio con IVA no termina en 9</t>
        </is>
      </c>
      <c r="AI113" s="156" t="inlineStr">
        <is>
          <t>Sí</t>
        </is>
      </c>
      <c r="AJ113" s="156" t="inlineStr">
        <is>
          <t>WB OUTLET LERMA (-2)</t>
        </is>
      </c>
      <c r="AK113" s="155" t="inlineStr">
        <is>
          <t>| Hoja a Revisar: fila 917540 (ID 117856, misma clave UPC); G1522_Extraccion_Articulos_NetSuite_2026-09-30.xlsx: fila 64097 [Z] | Shopify WB: producto 10310435799225 / variante 50512589193401 | Odoo: producto 30119 / plantilla 38875</t>
        </is>
      </c>
      <c r="AL113" s="58" t="inlineStr">
        <is>
          <t>5,35</t>
        </is>
      </c>
      <c r="AM113" s="58" t="n"/>
      <c r="AN113" s="155" t="inlineStr">
        <is>
          <t>Shopify Western Brothers | Odoo Universal Unique Brands</t>
        </is>
      </c>
      <c r="AO113" s="59" t="n"/>
      <c r="AP113" s="59" t="n">
        <v>4</v>
      </c>
      <c r="AQ113" s="59" t="n">
        <v>54</v>
      </c>
      <c r="AR113" s="155" t="inlineStr">
        <is>
          <t>Shopify Western Brothers › Western Brothers Outlet Lerma: 4 | Odoo Universal Unique Brands › Bodega 25 › Bodega 25/General: 54</t>
        </is>
      </c>
    </row>
    <row r="114">
      <c r="A114" s="50" t="inlineStr">
        <is>
          <t>1261108510048</t>
        </is>
      </c>
      <c r="B114" s="51" t="inlineStr">
        <is>
          <t>117857</t>
        </is>
      </c>
      <c r="C114" s="156" t="inlineStr">
        <is>
          <t>Wrangler</t>
        </is>
      </c>
      <c r="D114" s="156" t="inlineStr">
        <is>
          <t>W-RL-U-002-8SE</t>
        </is>
      </c>
      <c r="E114" s="156" t="inlineStr">
        <is>
          <t>1261-1085-10048</t>
        </is>
      </c>
      <c r="F114" s="156" t="inlineStr">
        <is>
          <t>Talla única</t>
        </is>
      </c>
      <c r="G114" s="156" t="inlineStr">
        <is>
          <t>One Size</t>
        </is>
      </c>
      <c r="H114" s="156" t="inlineStr">
        <is>
          <t>Wrangler</t>
        </is>
      </c>
      <c r="I114" s="156" t="inlineStr">
        <is>
          <t>Gorra RODEO LIVING 8 SECONDS OF FAME</t>
        </is>
      </c>
      <c r="J114" s="156" t="inlineStr">
        <is>
          <t>Accesorios</t>
        </is>
      </c>
      <c r="K114" s="156" t="inlineStr">
        <is>
          <t>Gorras</t>
        </is>
      </c>
      <c r="L114" s="156" t="inlineStr">
        <is>
          <t>Unisex</t>
        </is>
      </c>
      <c r="M114" s="156" t="inlineStr">
        <is>
          <t>Wrangler</t>
        </is>
      </c>
      <c r="N114" s="156" t="inlineStr">
        <is>
          <t>SS26</t>
        </is>
      </c>
      <c r="O114" s="156" t="inlineStr">
        <is>
          <t>Seasonal</t>
        </is>
      </c>
      <c r="P114" s="156" t="inlineStr">
        <is>
          <t>Naranja</t>
        </is>
      </c>
      <c r="Q114" s="156" t="n"/>
      <c r="R114" s="156" t="n"/>
      <c r="S114" s="156" t="inlineStr">
        <is>
          <t>Cuerpo: 100% Algodón / Malla: 100% Poliéster</t>
        </is>
      </c>
      <c r="T114" s="156" t="inlineStr">
        <is>
          <t>Lleva el auténtico estilo western con la Gorra Wrangler de la línea RODEO LIVING 8 SECONDS OF FAME. Diseñada en una clásica silueta de 6 paneles, esta pieza en color naranja está confeccionada con cuerpo: 100% algodón / malla: 100% poliéster para ofrecerte máxima comodidad, transpirabilidad y durabilidad. Ideal para complementar tu look diario y destacar con la calidad inconfundible de Wrangler.</t>
        </is>
      </c>
      <c r="U114" s="156" t="inlineStr">
        <is>
          <t>China</t>
        </is>
      </c>
      <c r="V114" s="156" t="inlineStr">
        <is>
          <t>PZS</t>
        </is>
      </c>
      <c r="W114" s="51" t="inlineStr">
        <is>
          <t>53102500</t>
        </is>
      </c>
      <c r="X114" s="156" t="inlineStr">
        <is>
          <t>https://m-universal-unique-brands.odoo.com/web/image/product.product/30120/image_1920</t>
        </is>
      </c>
      <c r="Y114" s="54" t="n">
        <v>5.02</v>
      </c>
      <c r="Z114" s="54" t="n">
        <v>699</v>
      </c>
      <c r="AA114" s="55">
        <f>IF(AND(A114="", B114="", E114=""), "", IF(AB114="", "Válido", IF((LEN(AB114)-LEN(SUBSTITUTE(AB114,"; ","")))/2+1&gt;(LEN(AB114)-LEN(SUBSTITUTE(AB114,"[Aviso]","")))/7, "Con Incidencias", "Válido")))</f>
        <v/>
      </c>
      <c r="AB114" s="56">
        <f>IF(AND(A114="", B114="", E114=""), "", TEXTJOIN("; ", TRUE, IF(OR(TRIM(A114&amp;"")="", ISNUMBER(SEARCH("FALTA", A114))), "UPC faltante/inválido", ""), IF(AND(A114&lt;&gt;"", IFERROR(_xlfn.XMATCH(A114,$A$2:$A$1063,0,1)&lt;&gt;_xlfn.XMATCH(A114,$A$2:$A$1063,0,-1),FALSE)), "Código de barras duplicado", ""), IF(AND(E114&lt;&gt;"", COUNTIF($E$2:$E$1063, E114)&gt;1), "SKU duplicado", ""), IF(OR(J114="", J114=""), "[Aviso] División no capturada ()", IF(ISNA(MATCH(J114, Criterios!$A$123:$A$126, 0)), "División no válida", "")), IF(OR(K114="", K114=""), "[Aviso] Categoría no capturada ()", IF(ISNA(MATCH(K114, Criterios!$A$81:$A$120, 0)), "Categoría no válida", IF(AND(J114&lt;&gt;"", J114&lt;&gt;"", J114&lt;&gt;VLOOKUP(K114, Criterios!$A$81:$B$120, 2, FALSE)), "División no coincide con Categoría", ""))), IF(OR(L114="", L114=""), "[Aviso] Género no capturado ()", IF(ISNA(MATCH(L114, Criterios!$B$123:$B$127, 0)), "Género no válido", "")), IF(OR(N114="", N114=""), "[Aviso] Temporada no capturada ()", IF(ISNA(MATCH(N114, Criterios!$C$123:$C$128, 0)), "Temporada no válida", "")), IF(OR(O114="", O114=""), "[Aviso] Ciclo de vida no capturado ()", IF(ISNA(MATCH(O114, Criterios!$D$123:$D$124, 0)), "Ciclo de vida no válido", ""))))</f>
        <v/>
      </c>
      <c r="AC114" s="56" t="n"/>
      <c r="AD114" s="51" t="n">
        <v>0</v>
      </c>
      <c r="AE114" s="156" t="n"/>
      <c r="AF114" s="51" t="n">
        <v>0</v>
      </c>
      <c r="AG114" s="156" t="inlineStr">
        <is>
          <t>Catálogo existente</t>
        </is>
      </c>
      <c r="AH114" s="156" t="inlineStr">
        <is>
          <t>Coincidencia por código de barras (ID NetSuite 117857) | ID alternativo de Hoja a Revisar 117857 (UPC coincidente); se conserva ID principal; Auditoría NetSuite 30/09/2026: llenado desde NetSuite [Z]; Vinculado por código de barras al ID NetSuite 117857 (antes en Identificador interno: 'W-RL-U-002-8SE-OS') | 01/10/2026: complementado desde Shopify Western Brothers (match por código de barras): WB Fit, WB Silueta (antes «6 Paneles», no válido en Criterios) | 01/10/2026: Shopify Western Brothers trae Color «Cafe» — se conservó el valor de Productos | 01/10/2026: complementado desde Odoo Universal Unique Brands (match por SKU): Enlace de imagen | 01/10/2026: Odoo Universal Unique Brands trae Color «Cafe» — se conservó el valor de Productos | Homologación G1522 06/10/2026: Precio de compra: «5,02» → «5.02» (Corrección aplicada) · Validación G1522: Dígito de control del código de barras inválido; [Aviso] Precio de compra posiblemente en USD · Validador Shopify: WB: precio con IVA no termina en 9</t>
        </is>
      </c>
      <c r="AI114" s="156" t="inlineStr">
        <is>
          <t>No</t>
        </is>
      </c>
      <c r="AJ114" s="156" t="n"/>
      <c r="AK114" s="155" t="inlineStr">
        <is>
          <t>| Hoja a Revisar: fila 917542 (ID 117857, misma clave UPC); G1522_Extraccion_Articulos_NetSuite_2026-09-30.xlsx: fila 64098 [Z] | Shopify WB: producto 10310435831993 / variante 50512589226169 | Odoo: producto 30120 / plantilla 38876</t>
        </is>
      </c>
      <c r="AL114" s="58" t="inlineStr">
        <is>
          <t>5,02</t>
        </is>
      </c>
      <c r="AM114" s="58" t="n"/>
      <c r="AN114" s="155" t="inlineStr">
        <is>
          <t>Shopify Western Brothers | Odoo Universal Unique Brands</t>
        </is>
      </c>
      <c r="AO114" s="59" t="n"/>
      <c r="AP114" s="59" t="n">
        <v>9</v>
      </c>
      <c r="AQ114" s="59" t="n">
        <v>94</v>
      </c>
      <c r="AR114" s="155" t="inlineStr">
        <is>
          <t>Shopify Western Brothers › Western Brothers Outlet Lerma: 9 | Odoo Universal Unique Brands › Bodega 25 › Bodega 25/General: 94</t>
        </is>
      </c>
    </row>
    <row r="115">
      <c r="A115" s="50" t="inlineStr">
        <is>
          <t>1261108510049</t>
        </is>
      </c>
      <c r="B115" s="51" t="inlineStr">
        <is>
          <t>117858</t>
        </is>
      </c>
      <c r="C115" s="156" t="inlineStr">
        <is>
          <t>Wrangler</t>
        </is>
      </c>
      <c r="D115" s="156" t="inlineStr">
        <is>
          <t>W-RL-U-001-LIV</t>
        </is>
      </c>
      <c r="E115" s="156" t="inlineStr">
        <is>
          <t>1261-1085-10049</t>
        </is>
      </c>
      <c r="F115" s="156" t="inlineStr">
        <is>
          <t>Talla única</t>
        </is>
      </c>
      <c r="G115" s="156" t="inlineStr">
        <is>
          <t>One Size</t>
        </is>
      </c>
      <c r="H115" s="156" t="inlineStr">
        <is>
          <t>Wrangler</t>
        </is>
      </c>
      <c r="I115" s="156" t="inlineStr">
        <is>
          <t>Gorra RODEO LIVING LIVE MUSIC</t>
        </is>
      </c>
      <c r="J115" s="156" t="inlineStr">
        <is>
          <t>Accesorios</t>
        </is>
      </c>
      <c r="K115" s="156" t="inlineStr">
        <is>
          <t>Gorras</t>
        </is>
      </c>
      <c r="L115" s="156" t="inlineStr">
        <is>
          <t>Unisex</t>
        </is>
      </c>
      <c r="M115" s="156" t="inlineStr">
        <is>
          <t>Wrangler</t>
        </is>
      </c>
      <c r="N115" s="156" t="inlineStr">
        <is>
          <t>SS26</t>
        </is>
      </c>
      <c r="O115" s="156" t="inlineStr">
        <is>
          <t>Seasonal</t>
        </is>
      </c>
      <c r="P115" s="156" t="inlineStr">
        <is>
          <t>Gris</t>
        </is>
      </c>
      <c r="Q115" s="156" t="n"/>
      <c r="R115" s="156" t="n"/>
      <c r="S115" s="156" t="inlineStr">
        <is>
          <t>Cuerpo: 100% Algodón / Malla: 100% Poliéster</t>
        </is>
      </c>
      <c r="T115" s="156" t="inlineStr">
        <is>
          <t>Lleva el auténtico estilo western con la Gorra Wrangler de la línea RODEO LIVING LIVE MUSIC. Diseñada en una clásica silueta de 5 paneles, esta pieza en color gris está confeccionada con cuerpo: 100% algodón / malla: 100% poliéster para ofrecerte máxima comodidad, transpirabilidad y durabilidad. Ideal para complementar tu look diario y destacar con la calidad inconfundible de Wrangler.</t>
        </is>
      </c>
      <c r="U115" s="156" t="inlineStr">
        <is>
          <t>China</t>
        </is>
      </c>
      <c r="V115" s="156" t="inlineStr">
        <is>
          <t>PZS</t>
        </is>
      </c>
      <c r="W115" s="51" t="inlineStr">
        <is>
          <t>53102500</t>
        </is>
      </c>
      <c r="X115" s="156" t="inlineStr">
        <is>
          <t>https://m-universal-unique-brands.odoo.com/web/image/product.product/30121/image_1920</t>
        </is>
      </c>
      <c r="Y115" s="54" t="n">
        <v>3.85</v>
      </c>
      <c r="Z115" s="54" t="n">
        <v>699</v>
      </c>
      <c r="AA115" s="55">
        <f>IF(AND(A115="", B115="", E115=""), "", IF(AB115="", "Válido", IF((LEN(AB115)-LEN(SUBSTITUTE(AB115,"; ","")))/2+1&gt;(LEN(AB115)-LEN(SUBSTITUTE(AB115,"[Aviso]","")))/7, "Con Incidencias", "Válido")))</f>
        <v/>
      </c>
      <c r="AB115" s="56">
        <f>IF(AND(A115="", B115="", E115=""), "", TEXTJOIN("; ", TRUE, IF(OR(TRIM(A115&amp;"")="", ISNUMBER(SEARCH("FALTA", A115))), "UPC faltante/inválido", ""), IF(AND(A115&lt;&gt;"", IFERROR(_xlfn.XMATCH(A115,$A$2:$A$1063,0,1)&lt;&gt;_xlfn.XMATCH(A115,$A$2:$A$1063,0,-1),FALSE)), "Código de barras duplicado", ""), IF(AND(E115&lt;&gt;"", COUNTIF($E$2:$E$1063, E115)&gt;1), "SKU duplicado", ""), IF(OR(J115="", J115=""), "[Aviso] División no capturada ()", IF(ISNA(MATCH(J115, Criterios!$A$123:$A$126, 0)), "División no válida", "")), IF(OR(K115="", K115=""), "[Aviso] Categoría no capturada ()", IF(ISNA(MATCH(K115, Criterios!$A$81:$A$120, 0)), "Categoría no válida", IF(AND(J115&lt;&gt;"", J115&lt;&gt;"", J115&lt;&gt;VLOOKUP(K115, Criterios!$A$81:$B$120, 2, FALSE)), "División no coincide con Categoría", ""))), IF(OR(L115="", L115=""), "[Aviso] Género no capturado ()", IF(ISNA(MATCH(L115, Criterios!$B$123:$B$127, 0)), "Género no válido", "")), IF(OR(N115="", N115=""), "[Aviso] Temporada no capturada ()", IF(ISNA(MATCH(N115, Criterios!$C$123:$C$128, 0)), "Temporada no válida", "")), IF(OR(O115="", O115=""), "[Aviso] Ciclo de vida no capturado ()", IF(ISNA(MATCH(O115, Criterios!$D$123:$D$124, 0)), "Ciclo de vida no válido", ""))))</f>
        <v/>
      </c>
      <c r="AC115" s="56" t="n"/>
      <c r="AD115" s="51" t="n">
        <v>0</v>
      </c>
      <c r="AE115" s="156" t="n"/>
      <c r="AF115" s="51" t="n">
        <v>0</v>
      </c>
      <c r="AG115" s="156" t="inlineStr">
        <is>
          <t>Catálogo existente</t>
        </is>
      </c>
      <c r="AH115" s="156" t="inlineStr">
        <is>
          <t>Coincidencia por código de barras (ID NetSuite 117858) | ID alternativo de Hoja a Revisar 117858 (UPC coincidente); se conserva ID principal; Auditoría NetSuite 30/09/2026: llenado desde NetSuite [Z]; Vinculado por código de barras al ID NetSuite 117858 (antes en Identificador interno: 'W-RL-U-001-LIV-OS') | 01/10/2026: complementado desde Shopify Western Brothers (match por código de barras): WB Fit, WB Silueta (antes «5 Paneles», no válido en Criterios) | 01/10/2026: complementado desde Odoo Universal Unique Brands (match por código de barras): Enlace de imagen | Homologación G1522 06/10/2026: Precio de compra: «3,85» → «3.85» (Corrección aplicada) · Validación G1522: Dígito de control del código de barras inválido; [Aviso] Precio de compra posiblemente en USD · Validador Shopify: WB: precio con IVA no termina en 9</t>
        </is>
      </c>
      <c r="AI115" s="156" t="inlineStr">
        <is>
          <t>No</t>
        </is>
      </c>
      <c r="AJ115" s="156" t="n"/>
      <c r="AK115" s="155" t="inlineStr">
        <is>
          <t>| Hoja a Revisar: fila 917544 (ID 117858, misma clave UPC); G1522_Extraccion_Articulos_NetSuite_2026-09-30.xlsx: fila 64099 [Z] | Shopify WB: producto 10310435864761 / variante 50512589258937 | Odoo: producto 30121 / plantilla 38877</t>
        </is>
      </c>
      <c r="AL115" s="58" t="inlineStr">
        <is>
          <t>3,85</t>
        </is>
      </c>
      <c r="AM115" s="58" t="n"/>
      <c r="AN115" s="155" t="inlineStr">
        <is>
          <t>Shopify Western Brothers | Odoo Universal Unique Brands</t>
        </is>
      </c>
      <c r="AO115" s="59" t="n"/>
      <c r="AP115" s="59" t="n">
        <v>12</v>
      </c>
      <c r="AQ115" s="59" t="n">
        <v>87</v>
      </c>
      <c r="AR115" s="155" t="inlineStr">
        <is>
          <t>Shopify Western Brothers › Western Brothers Outlet Lerma: 12 | Odoo Universal Unique Brands › Bodega 25 › Bodega 25/General: 87</t>
        </is>
      </c>
    </row>
    <row r="116">
      <c r="A116" s="50" t="inlineStr">
        <is>
          <t>1261108510050</t>
        </is>
      </c>
      <c r="B116" s="51" t="inlineStr">
        <is>
          <t>118093</t>
        </is>
      </c>
      <c r="C116" s="156" t="inlineStr">
        <is>
          <t>Wrangler</t>
        </is>
      </c>
      <c r="D116" s="156" t="inlineStr">
        <is>
          <t>W-RL-U-002-LIV</t>
        </is>
      </c>
      <c r="E116" s="156" t="inlineStr">
        <is>
          <t>1261-1085-10050</t>
        </is>
      </c>
      <c r="F116" s="156" t="inlineStr">
        <is>
          <t>Talla única</t>
        </is>
      </c>
      <c r="G116" s="156" t="inlineStr">
        <is>
          <t>One Size</t>
        </is>
      </c>
      <c r="H116" s="156" t="inlineStr">
        <is>
          <t>Wrangler</t>
        </is>
      </c>
      <c r="I116" s="156" t="inlineStr">
        <is>
          <t>Gorra RODEO LIVING LIVE MUSIC</t>
        </is>
      </c>
      <c r="J116" s="156" t="inlineStr">
        <is>
          <t>Accesorios</t>
        </is>
      </c>
      <c r="K116" s="156" t="inlineStr">
        <is>
          <t>Gorras</t>
        </is>
      </c>
      <c r="L116" s="156" t="inlineStr">
        <is>
          <t>Unisex</t>
        </is>
      </c>
      <c r="M116" s="156" t="inlineStr">
        <is>
          <t>Wrangler</t>
        </is>
      </c>
      <c r="N116" s="156" t="inlineStr">
        <is>
          <t>SS26</t>
        </is>
      </c>
      <c r="O116" s="156" t="inlineStr">
        <is>
          <t>Seasonal</t>
        </is>
      </c>
      <c r="P116" s="156" t="inlineStr">
        <is>
          <t>Verde</t>
        </is>
      </c>
      <c r="Q116" s="156" t="n"/>
      <c r="R116" s="156" t="n"/>
      <c r="S116" s="156" t="inlineStr">
        <is>
          <t>Cuerpo: 100% Algodón / Malla: 100% Poliéster</t>
        </is>
      </c>
      <c r="T116" s="156" t="inlineStr">
        <is>
          <t>Lleva el auténtico estilo western con la Gorra Wrangler de la línea RODEO LIVING LIVE MUSIC.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      </is>
      </c>
      <c r="U116" s="156" t="inlineStr">
        <is>
          <t>China</t>
        </is>
      </c>
      <c r="V116" s="156" t="inlineStr">
        <is>
          <t>PZS</t>
        </is>
      </c>
      <c r="W116" s="51" t="inlineStr">
        <is>
          <t>53102500</t>
        </is>
      </c>
      <c r="X116" s="156" t="inlineStr">
        <is>
          <t>https://m-universal-unique-brands.odoo.com/web/image/product.product/30122/image_1920</t>
        </is>
      </c>
      <c r="Y116" s="54" t="n">
        <v>4.8</v>
      </c>
      <c r="Z116" s="54" t="n">
        <v>699</v>
      </c>
      <c r="AA116" s="55">
        <f>IF(AND(A116="", B116="", E116=""), "", IF(AB116="", "Válido", IF((LEN(AB116)-LEN(SUBSTITUTE(AB116,"; ","")))/2+1&gt;(LEN(AB116)-LEN(SUBSTITUTE(AB116,"[Aviso]","")))/7, "Con Incidencias", "Válido")))</f>
        <v/>
      </c>
      <c r="AB116" s="56">
        <f>IF(AND(A116="", B116="", E116=""), "", TEXTJOIN("; ", TRUE, IF(OR(TRIM(A116&amp;"")="", ISNUMBER(SEARCH("FALTA", A116))), "UPC faltante/inválido", ""), IF(AND(A116&lt;&gt;"", IFERROR(_xlfn.XMATCH(A116,$A$2:$A$1063,0,1)&lt;&gt;_xlfn.XMATCH(A116,$A$2:$A$1063,0,-1),FALSE)), "Código de barras duplicado", ""), IF(AND(E116&lt;&gt;"", COUNTIF($E$2:$E$1063, E116)&gt;1), "SKU duplicado", ""), IF(OR(J116="", J116=""), "[Aviso] División no capturada ()", IF(ISNA(MATCH(J116, Criterios!$A$123:$A$126, 0)), "División no válida", "")), IF(OR(K116="", K116=""), "[Aviso] Categoría no capturada ()", IF(ISNA(MATCH(K116, Criterios!$A$81:$A$120, 0)), "Categoría no válida", IF(AND(J116&lt;&gt;"", J116&lt;&gt;"", J116&lt;&gt;VLOOKUP(K116, Criterios!$A$81:$B$120, 2, FALSE)), "División no coincide con Categoría", ""))), IF(OR(L116="", L116=""), "[Aviso] Género no capturado ()", IF(ISNA(MATCH(L116, Criterios!$B$123:$B$127, 0)), "Género no válido", "")), IF(OR(N116="", N116=""), "[Aviso] Temporada no capturada ()", IF(ISNA(MATCH(N116, Criterios!$C$123:$C$128, 0)), "Temporada no válida", "")), IF(OR(O116="", O116=""), "[Aviso] Ciclo de vida no capturado ()", IF(ISNA(MATCH(O116, Criterios!$D$123:$D$124, 0)), "Ciclo de vida no válido", ""))))</f>
        <v/>
      </c>
      <c r="AC116" s="56" t="n"/>
      <c r="AD116" s="51" t="n">
        <v>0</v>
      </c>
      <c r="AE116" s="156" t="n"/>
      <c r="AF116" s="51" t="n">
        <v>0</v>
      </c>
      <c r="AG116" s="156" t="inlineStr">
        <is>
          <t>Catálogo existente</t>
        </is>
      </c>
      <c r="AH116" s="156" t="inlineStr">
        <is>
          <t>No se encontró en Hoja a Revisar por ID interno ni por código de barras; Auditoría NetSuite 30/09/2026: llenado desde NetSuite [Z]; Vinculado por código de barras al ID NetSuite 118093 (antes en Identificador interno: 'W-RL-U-002-LIV-OS') | 01/10/2026: complementado desde Odoo Universal Unique Brands (match por código de barras): WB Fit, WB Silueta (antes «5 Paneles», no válido en Criterios), Enlace de imagen | 01/10/2026: Odoo Universal Unique Brands trae Color «Blanco» — se conservó el valor de Productos | Homologación G1522 06/10/2026: Precio de compra: «4,8» → «4.8» (Corrección aplicada) · Validación G1522: Dígito de control del código de barras inválido; [Aviso] Precio de compra posiblemente en USD · Validador Shopify: WB: precio con IVA no termina en 9</t>
        </is>
      </c>
      <c r="AI116" s="156" t="inlineStr">
        <is>
          <t>No</t>
        </is>
      </c>
      <c r="AJ116" s="156" t="n"/>
      <c r="AK116" s="155" t="inlineStr">
        <is>
          <t>G1522_Extraccion_Articulos_NetSuite_2026-09-30.xlsx: fila 64234 [Z] | Odoo: producto 30122 / plantilla 38878</t>
        </is>
      </c>
      <c r="AL116" s="58" t="inlineStr">
        <is>
          <t>4,8</t>
        </is>
      </c>
      <c r="AM116" s="58" t="n"/>
      <c r="AN116" s="155" t="inlineStr">
        <is>
          <t>Odoo Universal Unique Brands</t>
        </is>
      </c>
      <c r="AO116" s="59" t="n"/>
      <c r="AP116" s="59" t="n"/>
      <c r="AQ116" s="59" t="n">
        <v>84</v>
      </c>
      <c r="AR116" s="155" t="inlineStr">
        <is>
          <t>Odoo Universal Unique Brands › Bodega 25 › Bodega 25/General: 84</t>
        </is>
      </c>
    </row>
    <row r="117">
      <c r="A117" s="50" t="inlineStr">
        <is>
          <t>1261108510051</t>
        </is>
      </c>
      <c r="B117" s="51" t="inlineStr">
        <is>
          <t>118094</t>
        </is>
      </c>
      <c r="C117" s="156" t="inlineStr">
        <is>
          <t>Wrangler</t>
        </is>
      </c>
      <c r="D117" s="156" t="inlineStr">
        <is>
          <t>W-RL-U-001-IJWT</t>
        </is>
      </c>
      <c r="E117" s="156" t="inlineStr">
        <is>
          <t>1261-1085-10051</t>
        </is>
      </c>
      <c r="F117" s="156" t="inlineStr">
        <is>
          <t>Talla única</t>
        </is>
      </c>
      <c r="G117" s="156" t="inlineStr">
        <is>
          <t>One Size</t>
        </is>
      </c>
      <c r="H117" s="156" t="inlineStr">
        <is>
          <t>Wrangler</t>
        </is>
      </c>
      <c r="I117" s="156" t="inlineStr">
        <is>
          <t>Gorra RODEO LIVING IN JEANS WE TRSUT</t>
        </is>
      </c>
      <c r="J117" s="156" t="inlineStr">
        <is>
          <t>Accesorios</t>
        </is>
      </c>
      <c r="K117" s="156" t="inlineStr">
        <is>
          <t>Gorras</t>
        </is>
      </c>
      <c r="L117" s="156" t="inlineStr">
        <is>
          <t>Unisex</t>
        </is>
      </c>
      <c r="M117" s="156" t="inlineStr">
        <is>
          <t>Wrangler</t>
        </is>
      </c>
      <c r="N117" s="156" t="inlineStr">
        <is>
          <t>SS26</t>
        </is>
      </c>
      <c r="O117" s="156" t="inlineStr">
        <is>
          <t>Seasonal</t>
        </is>
      </c>
      <c r="P117" s="156" t="inlineStr">
        <is>
          <t>Naranja</t>
        </is>
      </c>
      <c r="Q117" s="156" t="n"/>
      <c r="R117" s="156" t="n"/>
      <c r="S117" s="156" t="inlineStr">
        <is>
          <t>Cuerpo: 100% Algodón / Malla: 100% Poliéster</t>
        </is>
      </c>
      <c r="T117" s="156" t="inlineStr">
        <is>
          <t>Lleva el auténtico estilo western con la Gorra Wrangler de la línea RODEO LIVING IN JEANS WE TRSUT. Diseñada en una clásica silueta de 5 paneles, esta pieza en color naranja está confeccionada con cuerpo: 100% algodón / malla: 100% poliéster para ofrecerte máxima comodidad, transpirabilidad y durabilidad. Ideal para complementar tu look diario y destacar con la calidad inconfundible de Wrangler.</t>
        </is>
      </c>
      <c r="U117" s="156" t="inlineStr">
        <is>
          <t>China</t>
        </is>
      </c>
      <c r="V117" s="156" t="inlineStr">
        <is>
          <t>PZS</t>
        </is>
      </c>
      <c r="W117" s="51" t="inlineStr">
        <is>
          <t>53102500</t>
        </is>
      </c>
      <c r="X117" s="156" t="inlineStr">
        <is>
          <t>https://m-universal-unique-brands.odoo.com/web/image/product.product/30123/image_1920</t>
        </is>
      </c>
      <c r="Y117" s="54" t="n">
        <v>5.53</v>
      </c>
      <c r="Z117" s="54" t="n">
        <v>699</v>
      </c>
      <c r="AA117" s="55">
        <f>IF(AND(A117="", B117="", E117=""), "", IF(AB117="", "Válido", IF((LEN(AB117)-LEN(SUBSTITUTE(AB117,"; ","")))/2+1&gt;(LEN(AB117)-LEN(SUBSTITUTE(AB117,"[Aviso]","")))/7, "Con Incidencias", "Válido")))</f>
        <v/>
      </c>
      <c r="AB117" s="56">
        <f>IF(AND(A117="", B117="", E117=""), "", TEXTJOIN("; ", TRUE, IF(OR(TRIM(A117&amp;"")="", ISNUMBER(SEARCH("FALTA", A117))), "UPC faltante/inválido", ""), IF(AND(A117&lt;&gt;"", IFERROR(_xlfn.XMATCH(A117,$A$2:$A$1063,0,1)&lt;&gt;_xlfn.XMATCH(A117,$A$2:$A$1063,0,-1),FALSE)), "Código de barras duplicado", ""), IF(AND(E117&lt;&gt;"", COUNTIF($E$2:$E$1063, E117)&gt;1), "SKU duplicado", ""), IF(OR(J117="", J117=""), "[Aviso] División no capturada ()", IF(ISNA(MATCH(J117, Criterios!$A$123:$A$126, 0)), "División no válida", "")), IF(OR(K117="", K117=""), "[Aviso] Categoría no capturada ()", IF(ISNA(MATCH(K117, Criterios!$A$81:$A$120, 0)), "Categoría no válida", IF(AND(J117&lt;&gt;"", J117&lt;&gt;"", J117&lt;&gt;VLOOKUP(K117, Criterios!$A$81:$B$120, 2, FALSE)), "División no coincide con Categoría", ""))), IF(OR(L117="", L117=""), "[Aviso] Género no capturado ()", IF(ISNA(MATCH(L117, Criterios!$B$123:$B$127, 0)), "Género no válido", "")), IF(OR(N117="", N117=""), "[Aviso] Temporada no capturada ()", IF(ISNA(MATCH(N117, Criterios!$C$123:$C$128, 0)), "Temporada no válida", "")), IF(OR(O117="", O117=""), "[Aviso] Ciclo de vida no capturado ()", IF(ISNA(MATCH(O117, Criterios!$D$123:$D$124, 0)), "Ciclo de vida no válido", ""))))</f>
        <v/>
      </c>
      <c r="AC117" s="56" t="n"/>
      <c r="AD117" s="51" t="n">
        <v>0</v>
      </c>
      <c r="AE117" s="156" t="n"/>
      <c r="AF117" s="51" t="n">
        <v>0</v>
      </c>
      <c r="AG117" s="156" t="inlineStr">
        <is>
          <t>Catálogo existente</t>
        </is>
      </c>
      <c r="AH117" s="156" t="inlineStr">
        <is>
          <t>No se encontró en Hoja a Revisar por ID interno ni por código de barras; Auditoría NetSuite 30/09/2026: llenado desde NetSuite [Z]; Vinculado por código de barras al ID NetSuite 118094 (antes en Identificador interno: 'W-RL-U-001-IJWT-OS') | 01/10/2026: complementado desde Odoo Universal Unique Brands (match por código de barras): WB Fit, WB Silueta (antes «5 Paneles», no válido en Criterios), Enlace de imagen | 01/10/2026: Odoo Universal Unique Brands trae Color «Azul» — se conservó el valor de Productos | Homologación G1522 06/10/2026: Precio de compra: «5,53» → «5.53» (Corrección aplicada) · Validación G1522: Dígito de control del código de barras inválido; [Aviso] Precio de compra posiblemente en USD · Validador Shopify: WB: precio con IVA no termina en 9</t>
        </is>
      </c>
      <c r="AI117" s="156" t="inlineStr">
        <is>
          <t>No</t>
        </is>
      </c>
      <c r="AJ117" s="156" t="n"/>
      <c r="AK117" s="155" t="inlineStr">
        <is>
          <t>G1522_Extraccion_Articulos_NetSuite_2026-09-30.xlsx: fila 64235 [Z] | Odoo: producto 30123 / plantilla 38879</t>
        </is>
      </c>
      <c r="AL117" s="58" t="inlineStr">
        <is>
          <t>5,53</t>
        </is>
      </c>
      <c r="AM117" s="58" t="n"/>
      <c r="AN117" s="155" t="inlineStr">
        <is>
          <t>Odoo Universal Unique Brands</t>
        </is>
      </c>
      <c r="AO117" s="59" t="n"/>
      <c r="AP117" s="59" t="n"/>
      <c r="AQ117" s="59" t="n">
        <v>172</v>
      </c>
      <c r="AR117" s="155" t="inlineStr">
        <is>
          <t>Odoo Universal Unique Brands › Bodega 25 › Bodega 25/General: 172</t>
        </is>
      </c>
    </row>
    <row r="118">
      <c r="A118" s="50" t="inlineStr">
        <is>
          <t>1261108510052</t>
        </is>
      </c>
      <c r="B118" s="51" t="inlineStr">
        <is>
          <t>117859</t>
        </is>
      </c>
      <c r="C118" s="156" t="inlineStr">
        <is>
          <t>Wrangler</t>
        </is>
      </c>
      <c r="D118" s="156" t="inlineStr">
        <is>
          <t>W-RL-U-002-IJWT</t>
        </is>
      </c>
      <c r="E118" s="156" t="inlineStr">
        <is>
          <t>1261-1085-10052</t>
        </is>
      </c>
      <c r="F118" s="156" t="inlineStr">
        <is>
          <t>Talla única</t>
        </is>
      </c>
      <c r="G118" s="156" t="inlineStr">
        <is>
          <t>One Size</t>
        </is>
      </c>
      <c r="H118" s="156" t="inlineStr">
        <is>
          <t>Wrangler</t>
        </is>
      </c>
      <c r="I118" s="156" t="inlineStr">
        <is>
          <t>Gorra RODEO LIVING IN JEANS WE TRSUT</t>
        </is>
      </c>
      <c r="J118" s="156" t="inlineStr">
        <is>
          <t>Accesorios</t>
        </is>
      </c>
      <c r="K118" s="156" t="inlineStr">
        <is>
          <t>Gorras</t>
        </is>
      </c>
      <c r="L118" s="156" t="inlineStr">
        <is>
          <t>Unisex</t>
        </is>
      </c>
      <c r="M118" s="156" t="inlineStr">
        <is>
          <t>Wrangler</t>
        </is>
      </c>
      <c r="N118" s="156" t="inlineStr">
        <is>
          <t>SS26</t>
        </is>
      </c>
      <c r="O118" s="156" t="inlineStr">
        <is>
          <t>Seasonal</t>
        </is>
      </c>
      <c r="P118" s="156" t="inlineStr">
        <is>
          <t>Gris</t>
        </is>
      </c>
      <c r="Q118" s="156" t="n"/>
      <c r="R118" s="156" t="n"/>
      <c r="S118" s="156" t="inlineStr">
        <is>
          <t>Cuerpo: 100% Algodón / Malla: 100% Poliéster</t>
        </is>
      </c>
      <c r="T118" s="156" t="inlineStr">
        <is>
          <t>Lleva el auténtico estilo western con la Gorra Wrangler de la línea RODEO LIVING IN JEANS WE TRSUT. Diseñada en una clásica silueta de 5 paneles, esta pieza en color gris está confeccionada con cuerpo: 100% algodón / malla: 100% poliéster para ofrecerte máxima comodidad, transpirabilidad y durabilidad. Ideal para complementar tu look diario y destacar con la calidad inconfundible de Wrangler.</t>
        </is>
      </c>
      <c r="U118" s="156" t="inlineStr">
        <is>
          <t>China</t>
        </is>
      </c>
      <c r="V118" s="156" t="inlineStr">
        <is>
          <t>PZS</t>
        </is>
      </c>
      <c r="W118" s="51" t="inlineStr">
        <is>
          <t>53102500</t>
        </is>
      </c>
      <c r="X118" s="156" t="inlineStr">
        <is>
          <t>https://m-universal-unique-brands.odoo.com/web/image/product.product/30124/image_1920</t>
        </is>
      </c>
      <c r="Y118" s="54" t="n">
        <v>5.53</v>
      </c>
      <c r="Z118" s="54" t="n">
        <v>699</v>
      </c>
      <c r="AA118" s="55">
        <f>IF(AND(A118="", B118="", E118=""), "", IF(AB118="", "Válido", IF((LEN(AB118)-LEN(SUBSTITUTE(AB118,"; ","")))/2+1&gt;(LEN(AB118)-LEN(SUBSTITUTE(AB118,"[Aviso]","")))/7, "Con Incidencias", "Válido")))</f>
        <v/>
      </c>
      <c r="AB118" s="56">
        <f>IF(AND(A118="", B118="", E118=""), "", TEXTJOIN("; ", TRUE, IF(OR(TRIM(A118&amp;"")="", ISNUMBER(SEARCH("FALTA", A118))), "UPC faltante/inválido", ""), IF(AND(A118&lt;&gt;"", IFERROR(_xlfn.XMATCH(A118,$A$2:$A$1063,0,1)&lt;&gt;_xlfn.XMATCH(A118,$A$2:$A$1063,0,-1),FALSE)), "Código de barras duplicado", ""), IF(AND(E118&lt;&gt;"", COUNTIF($E$2:$E$1063, E118)&gt;1), "SKU duplicado", ""), IF(OR(J118="", J118=""), "[Aviso] División no capturada ()", IF(ISNA(MATCH(J118, Criterios!$A$123:$A$126, 0)), "División no válida", "")), IF(OR(K118="", K118=""), "[Aviso] Categoría no capturada ()", IF(ISNA(MATCH(K118, Criterios!$A$81:$A$120, 0)), "Categoría no válida", IF(AND(J118&lt;&gt;"", J118&lt;&gt;"", J118&lt;&gt;VLOOKUP(K118, Criterios!$A$81:$B$120, 2, FALSE)), "División no coincide con Categoría", ""))), IF(OR(L118="", L118=""), "[Aviso] Género no capturado ()", IF(ISNA(MATCH(L118, Criterios!$B$123:$B$127, 0)), "Género no válido", "")), IF(OR(N118="", N118=""), "[Aviso] Temporada no capturada ()", IF(ISNA(MATCH(N118, Criterios!$C$123:$C$128, 0)), "Temporada no válida", "")), IF(OR(O118="", O118=""), "[Aviso] Ciclo de vida no capturado ()", IF(ISNA(MATCH(O118, Criterios!$D$123:$D$124, 0)), "Ciclo de vida no válido", ""))))</f>
        <v/>
      </c>
      <c r="AC118" s="56" t="n"/>
      <c r="AD118" s="51" t="n">
        <v>0</v>
      </c>
      <c r="AE118" s="156" t="n"/>
      <c r="AF118" s="51" t="n">
        <v>0</v>
      </c>
      <c r="AG118" s="156" t="inlineStr">
        <is>
          <t>Catálogo existente</t>
        </is>
      </c>
      <c r="AH118" s="156" t="inlineStr">
        <is>
          <t>Coincidencia por código de barras (ID NetSuite 117859) | ID alternativo de Hoja a Revisar 117859 (UPC coincidente); se conserva ID principal; Auditoría NetSuite 30/09/2026: llenado desde NetSuite [Z]; Vinculado por código de barras al ID NetSuite 117859 (antes en Identificador interno: 'W-RL-U-002-IJWT-OS') | 01/10/2026: complementado desde Shopify Western Brothers (match por código de barras): WB Fit, WB Silueta (antes «5 Paneles», no válido en Criterios) | 01/10/2026: Shopify Western Brothers trae Color «Rojo» — se conservó el valor de Productos | 01/10/2026: complementado desde Odoo Universal Unique Brands (match por código de barras): Enlace de imagen | 01/10/2026: Odoo Universal Unique Brands trae Color «Rojo» — se conservó el valor de Productos | Homologación G1522 06/10/2026: Precio de compra: «5,53» → «5.53» (Corrección aplicada) · Validación G1522: Dígito de control del código de barras inválido; [Aviso] Precio de compra posiblemente en USD · Validador Shopify: WB: precio con IVA no termina en 9</t>
        </is>
      </c>
      <c r="AI118" s="156" t="inlineStr">
        <is>
          <t>No</t>
        </is>
      </c>
      <c r="AJ118" s="156" t="n"/>
      <c r="AK118" s="155" t="inlineStr">
        <is>
          <t>| Hoja a Revisar: fila 917546 (ID 117859, misma clave UPC); G1522_Extraccion_Articulos_NetSuite_2026-09-30.xlsx: fila 64100 [Z] | Shopify WB: producto 10310435963065 / variante 50512589422777 | Odoo: producto 30124 / plantilla 38880</t>
        </is>
      </c>
      <c r="AL118" s="58" t="inlineStr">
        <is>
          <t>5,53</t>
        </is>
      </c>
      <c r="AM118" s="58" t="n"/>
      <c r="AN118" s="155" t="inlineStr">
        <is>
          <t>Shopify Western Brothers | Odoo Universal Unique Brands</t>
        </is>
      </c>
      <c r="AO118" s="59" t="n"/>
      <c r="AP118" s="59" t="n">
        <v>12</v>
      </c>
      <c r="AQ118" s="59" t="n">
        <v>122</v>
      </c>
      <c r="AR118" s="155" t="inlineStr">
        <is>
          <t>Shopify Western Brothers › Western Brothers Outlet Lerma: 12 | Odoo Universal Unique Brands › Bodega 25 › Bodega 25/General: 122</t>
        </is>
      </c>
    </row>
    <row r="119">
      <c r="A119" s="50" t="inlineStr">
        <is>
          <t>1261108510053</t>
        </is>
      </c>
      <c r="B119" s="51" t="inlineStr">
        <is>
          <t>117860</t>
        </is>
      </c>
      <c r="C119" s="156" t="inlineStr">
        <is>
          <t>Wrangler</t>
        </is>
      </c>
      <c r="D119" s="156" t="inlineStr">
        <is>
          <t>W-RL-U-001-CJ</t>
        </is>
      </c>
      <c r="E119" s="156" t="inlineStr">
        <is>
          <t>1261-1085-10053</t>
        </is>
      </c>
      <c r="F119" s="156" t="inlineStr">
        <is>
          <t>Talla única</t>
        </is>
      </c>
      <c r="G119" s="156" t="inlineStr">
        <is>
          <t>One Size</t>
        </is>
      </c>
      <c r="H119" s="156" t="inlineStr">
        <is>
          <t>Wrangler</t>
        </is>
      </c>
      <c r="I119" s="156" t="inlineStr">
        <is>
          <t>Gorra RODEO LIVING COWBOY JEANS</t>
        </is>
      </c>
      <c r="J119" s="156" t="inlineStr">
        <is>
          <t>Accesorios</t>
        </is>
      </c>
      <c r="K119" s="156" t="inlineStr">
        <is>
          <t>Gorras</t>
        </is>
      </c>
      <c r="L119" s="156" t="inlineStr">
        <is>
          <t>Unisex</t>
        </is>
      </c>
      <c r="M119" s="156" t="inlineStr">
        <is>
          <t>Wrangler</t>
        </is>
      </c>
      <c r="N119" s="156" t="inlineStr">
        <is>
          <t>SS26</t>
        </is>
      </c>
      <c r="O119" s="156" t="inlineStr">
        <is>
          <t>Seasonal</t>
        </is>
      </c>
      <c r="P119" s="156" t="inlineStr">
        <is>
          <t>Azul</t>
        </is>
      </c>
      <c r="Q119" s="156" t="n"/>
      <c r="R119" s="156" t="n"/>
      <c r="S119" s="156" t="inlineStr">
        <is>
          <t>Cuerpo: 100% Algodón / Malla: 100% Poliéster</t>
        </is>
      </c>
      <c r="T119" s="156" t="inlineStr">
        <is>
          <t>Lleva el auténtico estilo western con la Gorra Wrangler de la línea RODEO LIVING COWBOY JEANS.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      </is>
      </c>
      <c r="U119" s="156" t="inlineStr">
        <is>
          <t>China</t>
        </is>
      </c>
      <c r="V119" s="156" t="inlineStr">
        <is>
          <t>PZS</t>
        </is>
      </c>
      <c r="W119" s="51" t="inlineStr">
        <is>
          <t>53102500</t>
        </is>
      </c>
      <c r="X119" s="156" t="inlineStr">
        <is>
          <t>https://m-universal-unique-brands.odoo.com/web/image/product.product/30125/image_1920</t>
        </is>
      </c>
      <c r="Y119" s="54" t="n">
        <v>4.24</v>
      </c>
      <c r="Z119" s="54" t="n">
        <v>699</v>
      </c>
      <c r="AA119" s="55">
        <f>IF(AND(A119="", B119="", E119=""), "", IF(AB119="", "Válido", IF((LEN(AB119)-LEN(SUBSTITUTE(AB119,"; ","")))/2+1&gt;(LEN(AB119)-LEN(SUBSTITUTE(AB119,"[Aviso]","")))/7, "Con Incidencias", "Válido")))</f>
        <v/>
      </c>
      <c r="AB119" s="56">
        <f>IF(AND(A119="", B119="", E119=""), "", TEXTJOIN("; ", TRUE, IF(OR(TRIM(A119&amp;"")="", ISNUMBER(SEARCH("FALTA", A119))), "UPC faltante/inválido", ""), IF(AND(A119&lt;&gt;"", IFERROR(_xlfn.XMATCH(A119,$A$2:$A$1063,0,1)&lt;&gt;_xlfn.XMATCH(A119,$A$2:$A$1063,0,-1),FALSE)), "Código de barras duplicado", ""), IF(AND(E119&lt;&gt;"", COUNTIF($E$2:$E$1063, E119)&gt;1), "SKU duplicado", ""), IF(OR(J119="", J119=""), "[Aviso] División no capturada ()", IF(ISNA(MATCH(J119, Criterios!$A$123:$A$126, 0)), "División no válida", "")), IF(OR(K119="", K119=""), "[Aviso] Categoría no capturada ()", IF(ISNA(MATCH(K119, Criterios!$A$81:$A$120, 0)), "Categoría no válida", IF(AND(J119&lt;&gt;"", J119&lt;&gt;"", J119&lt;&gt;VLOOKUP(K119, Criterios!$A$81:$B$120, 2, FALSE)), "División no coincide con Categoría", ""))), IF(OR(L119="", L119=""), "[Aviso] Género no capturado ()", IF(ISNA(MATCH(L119, Criterios!$B$123:$B$127, 0)), "Género no válido", "")), IF(OR(N119="", N119=""), "[Aviso] Temporada no capturada ()", IF(ISNA(MATCH(N119, Criterios!$C$123:$C$128, 0)), "Temporada no válida", "")), IF(OR(O119="", O119=""), "[Aviso] Ciclo de vida no capturado ()", IF(ISNA(MATCH(O119, Criterios!$D$123:$D$124, 0)), "Ciclo de vida no válido", ""))))</f>
        <v/>
      </c>
      <c r="AC119" s="56" t="n"/>
      <c r="AD119" s="51" t="n">
        <v>-2</v>
      </c>
      <c r="AE119" s="156" t="n"/>
      <c r="AF119" s="51" t="n">
        <v>0</v>
      </c>
      <c r="AG119" s="156" t="inlineStr">
        <is>
          <t>Catálogo existente</t>
        </is>
      </c>
      <c r="AH119" s="156" t="inlineStr">
        <is>
          <t>Coincidencia por código de barras (ID NetSuite 117860); Stock negativo en sistema: revisar en conteo | ID alternativo de Hoja a Revisar 117860 (UPC coincidente); se conserva ID principal; Auditoría NetSuite 30/09/2026: llenado desde NetSuite [Z]; Vinculado por código de barras al ID NetSuite 117860 (antes en Identificador interno: 'W-RL-U-001-CJ-OS') | 01/10/2026: complementado desde Shopify Western Brothers (match por código de barras): WB Fit, WB Silueta (antes «5 Paneles», no válido en Criterios) | 01/10/2026: Shopify Western Brothers trae Color «Beige» — se conservó el valor de Productos | 01/10/2026: complementado desde Odoo Universal Unique Brands (match por código de barras): Enlace de imagen | 01/10/2026: Odoo Universal Unique Brands trae Color «Blanco» — se conservó el valor de Productos | Homologación G1522 06/10/2026: Precio de compra: «4,24» → «4.24» (Corrección aplicada) · Validación G1522: Dígito de control del código de barras inválido; [Aviso] Precio de compra posiblemente en USD · Validador Shopify: WB: precio con IVA no termina en 9</t>
        </is>
      </c>
      <c r="AI119" s="156" t="inlineStr">
        <is>
          <t>Sí</t>
        </is>
      </c>
      <c r="AJ119" s="156" t="inlineStr">
        <is>
          <t>WB OUTLET LERMA (-2)</t>
        </is>
      </c>
      <c r="AK119" s="155" t="inlineStr">
        <is>
          <t>| Hoja a Revisar: fila 917548 (ID 117860, misma clave UPC); G1522_Extraccion_Articulos_NetSuite_2026-09-30.xlsx: fila 64101 [Z] | Shopify WB: producto 10310435995833 / variante 50512589455545 | Odoo: producto 30125 / plantilla 38881</t>
        </is>
      </c>
      <c r="AL119" s="58" t="inlineStr">
        <is>
          <t>4,24</t>
        </is>
      </c>
      <c r="AM119" s="58" t="n"/>
      <c r="AN119" s="155" t="inlineStr">
        <is>
          <t>Shopify Western Brothers | Odoo Universal Unique Brands</t>
        </is>
      </c>
      <c r="AO119" s="59" t="n"/>
      <c r="AP119" s="59" t="n">
        <v>6</v>
      </c>
      <c r="AQ119" s="59" t="n">
        <v>213</v>
      </c>
      <c r="AR119" s="155" t="inlineStr">
        <is>
          <t>Shopify Western Brothers › Western Brothers Outlet Lerma: 6 | Odoo Universal Unique Brands › Bodega 25 › Bodega 25/General: 213</t>
        </is>
      </c>
    </row>
    <row r="120">
      <c r="A120" s="50" t="inlineStr">
        <is>
          <t>1261108510054</t>
        </is>
      </c>
      <c r="B120" s="51" t="inlineStr">
        <is>
          <t>117861</t>
        </is>
      </c>
      <c r="C120" s="156" t="inlineStr">
        <is>
          <t>Wrangler</t>
        </is>
      </c>
      <c r="D120" s="156" t="inlineStr">
        <is>
          <t>W-RL-U-002-CJ</t>
        </is>
      </c>
      <c r="E120" s="156" t="inlineStr">
        <is>
          <t>1261-1085-10054</t>
        </is>
      </c>
      <c r="F120" s="156" t="inlineStr">
        <is>
          <t>Talla única</t>
        </is>
      </c>
      <c r="G120" s="156" t="inlineStr">
        <is>
          <t>One Size</t>
        </is>
      </c>
      <c r="H120" s="156" t="inlineStr">
        <is>
          <t>Wrangler</t>
        </is>
      </c>
      <c r="I120" s="156" t="inlineStr">
        <is>
          <t>Gorra RODEO LIVING COWBOY JEANS</t>
        </is>
      </c>
      <c r="J120" s="156" t="inlineStr">
        <is>
          <t>Accesorios</t>
        </is>
      </c>
      <c r="K120" s="156" t="inlineStr">
        <is>
          <t>Gorras</t>
        </is>
      </c>
      <c r="L120" s="156" t="inlineStr">
        <is>
          <t>Unisex</t>
        </is>
      </c>
      <c r="M120" s="156" t="inlineStr">
        <is>
          <t>Wrangler</t>
        </is>
      </c>
      <c r="N120" s="156" t="inlineStr">
        <is>
          <t>SS26</t>
        </is>
      </c>
      <c r="O120" s="156" t="inlineStr">
        <is>
          <t>Seasonal</t>
        </is>
      </c>
      <c r="P120" s="156" t="inlineStr">
        <is>
          <t>Rojo</t>
        </is>
      </c>
      <c r="Q120" s="156" t="n"/>
      <c r="R120" s="156" t="n"/>
      <c r="S120" s="156" t="inlineStr">
        <is>
          <t>Cuerpo: 100% Algodón / Malla: 100% Poliéster</t>
        </is>
      </c>
      <c r="T120" s="156" t="inlineStr">
        <is>
          <t>Lleva el auténtico estilo western con la Gorra Wrangler de la línea RODEO LIVING COWBOY JEANS. Diseñada en una clásica silueta de 5 paneles, esta pieza en color rojo está confeccionada con cuerpo: 100% algodón / malla: 100% poliéster para ofrecerte máxima comodidad, transpirabilidad y durabilidad. Ideal para complementar tu look diario y destacar con la calidad inconfundible de Wrangler.</t>
        </is>
      </c>
      <c r="U120" s="156" t="inlineStr">
        <is>
          <t>China</t>
        </is>
      </c>
      <c r="V120" s="156" t="inlineStr">
        <is>
          <t>PZS</t>
        </is>
      </c>
      <c r="W120" s="51" t="inlineStr">
        <is>
          <t>53102500</t>
        </is>
      </c>
      <c r="X120" s="156" t="inlineStr">
        <is>
          <t>https://m-universal-unique-brands.odoo.com/web/image/product.product/30126/image_1920</t>
        </is>
      </c>
      <c r="Y120" s="54" t="n">
        <v>3.8</v>
      </c>
      <c r="Z120" s="54" t="n">
        <v>699</v>
      </c>
      <c r="AA120" s="55">
        <f>IF(AND(A120="", B120="", E120=""), "", IF(AB120="", "Válido", IF((LEN(AB120)-LEN(SUBSTITUTE(AB120,"; ","")))/2+1&gt;(LEN(AB120)-LEN(SUBSTITUTE(AB120,"[Aviso]","")))/7, "Con Incidencias", "Válido")))</f>
        <v/>
      </c>
      <c r="AB120" s="56">
        <f>IF(AND(A120="", B120="", E120=""), "", TEXTJOIN("; ", TRUE, IF(OR(TRIM(A120&amp;"")="", ISNUMBER(SEARCH("FALTA", A120))), "UPC faltante/inválido", ""), IF(AND(A120&lt;&gt;"", IFERROR(_xlfn.XMATCH(A120,$A$2:$A$1063,0,1)&lt;&gt;_xlfn.XMATCH(A120,$A$2:$A$1063,0,-1),FALSE)), "Código de barras duplicado", ""), IF(AND(E120&lt;&gt;"", COUNTIF($E$2:$E$1063, E120)&gt;1), "SKU duplicado", ""), IF(OR(J120="", J120=""), "[Aviso] División no capturada ()", IF(ISNA(MATCH(J120, Criterios!$A$123:$A$126, 0)), "División no válida", "")), IF(OR(K120="", K120=""), "[Aviso] Categoría no capturada ()", IF(ISNA(MATCH(K120, Criterios!$A$81:$A$120, 0)), "Categoría no válida", IF(AND(J120&lt;&gt;"", J120&lt;&gt;"", J120&lt;&gt;VLOOKUP(K120, Criterios!$A$81:$B$120, 2, FALSE)), "División no coincide con Categoría", ""))), IF(OR(L120="", L120=""), "[Aviso] Género no capturado ()", IF(ISNA(MATCH(L120, Criterios!$B$123:$B$127, 0)), "Género no válido", "")), IF(OR(N120="", N120=""), "[Aviso] Temporada no capturada ()", IF(ISNA(MATCH(N120, Criterios!$C$123:$C$128, 0)), "Temporada no válida", "")), IF(OR(O120="", O120=""), "[Aviso] Ciclo de vida no capturado ()", IF(ISNA(MATCH(O120, Criterios!$D$123:$D$124, 0)), "Ciclo de vida no válido", ""))))</f>
        <v/>
      </c>
      <c r="AC120" s="56" t="n"/>
      <c r="AD120" s="51" t="n">
        <v>0</v>
      </c>
      <c r="AE120" s="156" t="n"/>
      <c r="AF120" s="51" t="n">
        <v>0</v>
      </c>
      <c r="AG120" s="156" t="inlineStr">
        <is>
          <t>Catálogo existente</t>
        </is>
      </c>
      <c r="AH120" s="156" t="inlineStr">
        <is>
          <t>Coincidencia por código de barras (ID NetSuite 117861) | ID alternativo de Hoja a Revisar 117861 (UPC coincidente); se conserva ID principal; Auditoría NetSuite 30/09/2026: llenado desde NetSuite [Z]; Vinculado por código de barras al ID NetSuite 117861 (antes en Identificador interno: 'W-RL-U-002-CJ-OS') | 01/10/2026: complementado desde Shopify Western Brothers (match por código de barras): WB Fit, WB Silueta (antes «5 Paneles», no válido en Criterios) | 01/10/2026: Shopify Western Brothers trae Color «Blanco» — se conservó el valor de Productos | 01/10/2026: complementado desde Odoo Universal Unique Brands (match por código de barras): Enlace de imagen | 01/10/2026: Odoo Universal Unique Brands trae Color «Blanco» — se conservó el valor de Productos | Homologación G1522 06/10/2026: Precio de compra: «3,8» → «3.8» (Corrección aplicada) · Validación G1522: [Aviso] Precio de compra posiblemente en USD · Validador Shopify: WB: precio con IVA no termina en 9</t>
        </is>
      </c>
      <c r="AI120" s="156" t="inlineStr">
        <is>
          <t>No</t>
        </is>
      </c>
      <c r="AJ120" s="156" t="n"/>
      <c r="AK120" s="155" t="inlineStr">
        <is>
          <t>| Hoja a Revisar: fila 917550 (ID 117861, misma clave UPC); G1522_Extraccion_Articulos_NetSuite_2026-09-30.xlsx: fila 64102 [Z] | Shopify WB: producto 10310436028601 / variante 50512589488313 | Odoo: producto 30126 / plantilla 38882</t>
        </is>
      </c>
      <c r="AL120" s="58" t="inlineStr">
        <is>
          <t>3,8</t>
        </is>
      </c>
      <c r="AM120" s="58" t="n"/>
      <c r="AN120" s="155" t="inlineStr">
        <is>
          <t>Shopify Western Brothers | Odoo Universal Unique Brands</t>
        </is>
      </c>
      <c r="AO120" s="59" t="n"/>
      <c r="AP120" s="59" t="n">
        <v>9</v>
      </c>
      <c r="AQ120" s="59" t="n">
        <v>300</v>
      </c>
      <c r="AR120" s="155" t="inlineStr">
        <is>
          <t>Shopify Western Brothers › Western Brothers Outlet Lerma: 9 | Odoo Universal Unique Brands › Bodega 25 › Bodega 25/General: 300</t>
        </is>
      </c>
    </row>
    <row r="121">
      <c r="A121" s="50" t="inlineStr">
        <is>
          <t>1261108510055</t>
        </is>
      </c>
      <c r="B121" s="51" t="inlineStr">
        <is>
          <t>117862</t>
        </is>
      </c>
      <c r="C121" s="156" t="inlineStr">
        <is>
          <t>Wrangler</t>
        </is>
      </c>
      <c r="D121" s="156" t="inlineStr">
        <is>
          <t>W-RL-U-002-CG</t>
        </is>
      </c>
      <c r="E121" s="156" t="inlineStr">
        <is>
          <t>1261-1085-10055</t>
        </is>
      </c>
      <c r="F121" s="156" t="inlineStr">
        <is>
          <t>Talla única</t>
        </is>
      </c>
      <c r="G121" s="156" t="inlineStr">
        <is>
          <t>One Size</t>
        </is>
      </c>
      <c r="H121" s="156" t="inlineStr">
        <is>
          <t>Wrangler</t>
        </is>
      </c>
      <c r="I121" s="156" t="inlineStr">
        <is>
          <t>Gorra RODEO LIVING COWGIRL</t>
        </is>
      </c>
      <c r="J121" s="156" t="inlineStr">
        <is>
          <t>Accesorios</t>
        </is>
      </c>
      <c r="K121" s="156" t="inlineStr">
        <is>
          <t>Gorras</t>
        </is>
      </c>
      <c r="L121" s="156" t="inlineStr">
        <is>
          <t>Unisex</t>
        </is>
      </c>
      <c r="M121" s="156" t="inlineStr">
        <is>
          <t>Wrangler</t>
        </is>
      </c>
      <c r="N121" s="156" t="inlineStr">
        <is>
          <t>SS26</t>
        </is>
      </c>
      <c r="O121" s="156" t="inlineStr">
        <is>
          <t>Seasonal</t>
        </is>
      </c>
      <c r="P121" s="156" t="inlineStr">
        <is>
          <t>Gris</t>
        </is>
      </c>
      <c r="Q121" s="156" t="n"/>
      <c r="R121" s="156" t="n"/>
      <c r="S121" s="156" t="inlineStr">
        <is>
          <t>Cuerpo: 100% Algodón / Malla: 100% Poliéster</t>
        </is>
      </c>
      <c r="T121" s="156" t="inlineStr">
        <is>
          <t>Lleva el auténtico estilo western con la Gorra Wrangler de la línea RODEO LIVING COWGIRL. Diseñada en una clásica silueta de 5 paneles, esta pieza en color gris está confeccionada con cuerpo: 100% algodón / malla: 100% poliéster para ofrecerte máxima comodidad, transpirabilidad y durabilidad. Ideal para complementar tu look diario y destacar con la calidad inconfundible de Wrangler.</t>
        </is>
      </c>
      <c r="U121" s="156" t="inlineStr">
        <is>
          <t>China</t>
        </is>
      </c>
      <c r="V121" s="156" t="inlineStr">
        <is>
          <t>PZS</t>
        </is>
      </c>
      <c r="W121" s="51" t="inlineStr">
        <is>
          <t>53102500</t>
        </is>
      </c>
      <c r="X121" s="156" t="inlineStr">
        <is>
          <t>https://m-universal-unique-brands.odoo.com/web/image/product.product/30127/image_1920</t>
        </is>
      </c>
      <c r="Y121" s="54" t="n">
        <v>3.7</v>
      </c>
      <c r="Z121" s="54" t="n">
        <v>699</v>
      </c>
      <c r="AA121" s="55">
        <f>IF(AND(A121="", B121="", E121=""), "", IF(AB121="", "Válido", IF((LEN(AB121)-LEN(SUBSTITUTE(AB121,"; ","")))/2+1&gt;(LEN(AB121)-LEN(SUBSTITUTE(AB121,"[Aviso]","")))/7, "Con Incidencias", "Válido")))</f>
        <v/>
      </c>
      <c r="AB121" s="56">
        <f>IF(AND(A121="", B121="", E121=""), "", TEXTJOIN("; ", TRUE, IF(OR(TRIM(A121&amp;"")="", ISNUMBER(SEARCH("FALTA", A121))), "UPC faltante/inválido", ""), IF(AND(A121&lt;&gt;"", IFERROR(_xlfn.XMATCH(A121,$A$2:$A$1063,0,1)&lt;&gt;_xlfn.XMATCH(A121,$A$2:$A$1063,0,-1),FALSE)), "Código de barras duplicado", ""), IF(AND(E121&lt;&gt;"", COUNTIF($E$2:$E$1063, E121)&gt;1), "SKU duplicado", ""), IF(OR(J121="", J121=""), "[Aviso] División no capturada ()", IF(ISNA(MATCH(J121, Criterios!$A$123:$A$126, 0)), "División no válida", "")), IF(OR(K121="", K121=""), "[Aviso] Categoría no capturada ()", IF(ISNA(MATCH(K121, Criterios!$A$81:$A$120, 0)), "Categoría no válida", IF(AND(J121&lt;&gt;"", J121&lt;&gt;"", J121&lt;&gt;VLOOKUP(K121, Criterios!$A$81:$B$120, 2, FALSE)), "División no coincide con Categoría", ""))), IF(OR(L121="", L121=""), "[Aviso] Género no capturado ()", IF(ISNA(MATCH(L121, Criterios!$B$123:$B$127, 0)), "Género no válido", "")), IF(OR(N121="", N121=""), "[Aviso] Temporada no capturada ()", IF(ISNA(MATCH(N121, Criterios!$C$123:$C$128, 0)), "Temporada no válida", "")), IF(OR(O121="", O121=""), "[Aviso] Ciclo de vida no capturado ()", IF(ISNA(MATCH(O121, Criterios!$D$123:$D$124, 0)), "Ciclo de vida no válido", ""))))</f>
        <v/>
      </c>
      <c r="AC121" s="56" t="n"/>
      <c r="AD121" s="51" t="n">
        <v>0</v>
      </c>
      <c r="AE121" s="156" t="n"/>
      <c r="AF121" s="51" t="n">
        <v>0</v>
      </c>
      <c r="AG121" s="156" t="inlineStr">
        <is>
          <t>Catálogo existente</t>
        </is>
      </c>
      <c r="AH121" s="156" t="inlineStr">
        <is>
          <t>Coincidencia por código de barras (ID NetSuite 117862) | ID alternativo de Hoja a Revisar 117862 (UPC coincidente); se conserva ID principal; Auditoría NetSuite 30/09/2026: llenado desde NetSuite [Z]; Vinculado por código de barras al ID NetSuite 117862 (antes en Identificador interno: 'W-RL-U-002-CG-OS') | 01/10/2026: complementado desde Shopify Western Brothers (match por código de barras): WB Fit, WB Silueta (antes «5 Paneles», no válido en Criterios) | 01/10/2026: Shopify Western Brothers trae Color «Blanco» — se conservó el valor de Productos | 01/10/2026: complementado desde Odoo Universal Unique Brands (match por código de barras): Enlace de imagen | 01/10/2026: Odoo Universal Unique Brands trae Color «Blanco» — se conservó el valor de Productos | Homologación G1522 06/10/2026: Precio de compra: «3,7» → «3.7» (Corrección aplicada) · Validación G1522: Dígito de control del código de barras inválido; [Aviso] Precio de compra posiblemente en USD · Validador Shopify: WB: precio con IVA no termina en 9</t>
        </is>
      </c>
      <c r="AI121" s="156" t="inlineStr">
        <is>
          <t>No</t>
        </is>
      </c>
      <c r="AJ121" s="156" t="n"/>
      <c r="AK121" s="155" t="inlineStr">
        <is>
          <t>| Hoja a Revisar: fila 917552 (ID 117862, misma clave UPC); G1522_Extraccion_Articulos_NetSuite_2026-09-30.xlsx: fila 64103 [Z] | Shopify WB: producto 10310436061369 / variante 50512589521081 | Odoo: producto 30127 / plantilla 38883</t>
        </is>
      </c>
      <c r="AL121" s="58" t="inlineStr">
        <is>
          <t>3,7</t>
        </is>
      </c>
      <c r="AM121" s="58" t="n"/>
      <c r="AN121" s="155" t="inlineStr">
        <is>
          <t>Shopify Western Brothers | Odoo Universal Unique Brands</t>
        </is>
      </c>
      <c r="AO121" s="59" t="n"/>
      <c r="AP121" s="59" t="n">
        <v>9</v>
      </c>
      <c r="AQ121" s="59" t="n">
        <v>260</v>
      </c>
      <c r="AR121" s="155" t="inlineStr">
        <is>
          <t>Shopify Western Brothers › Western Brothers Outlet Lerma: 9 | Odoo Universal Unique Brands › Bodega 25 › Bodega 25/General: 260</t>
        </is>
      </c>
    </row>
    <row r="122">
      <c r="A122" s="50" t="inlineStr">
        <is>
          <t>1261108510056</t>
        </is>
      </c>
      <c r="B122" s="51" t="inlineStr">
        <is>
          <t>117863</t>
        </is>
      </c>
      <c r="C122" s="156" t="inlineStr">
        <is>
          <t>Wrangler</t>
        </is>
      </c>
      <c r="D122" s="156" t="inlineStr">
        <is>
          <t>W-RL-U-001-ROD</t>
        </is>
      </c>
      <c r="E122" s="156" t="inlineStr">
        <is>
          <t>1261-1085-10056</t>
        </is>
      </c>
      <c r="F122" s="156" t="inlineStr">
        <is>
          <t>Talla única</t>
        </is>
      </c>
      <c r="G122" s="156" t="inlineStr">
        <is>
          <t>One Size</t>
        </is>
      </c>
      <c r="H122" s="156" t="inlineStr">
        <is>
          <t>Wrangler</t>
        </is>
      </c>
      <c r="I122" s="156" t="inlineStr">
        <is>
          <t>Gorra RODEO LIVING RODEO ARENA</t>
        </is>
      </c>
      <c r="J122" s="156" t="inlineStr">
        <is>
          <t>Accesorios</t>
        </is>
      </c>
      <c r="K122" s="156" t="inlineStr">
        <is>
          <t>Gorras</t>
        </is>
      </c>
      <c r="L122" s="156" t="inlineStr">
        <is>
          <t>Unisex</t>
        </is>
      </c>
      <c r="M122" s="156" t="inlineStr">
        <is>
          <t>Wrangler</t>
        </is>
      </c>
      <c r="N122" s="156" t="inlineStr">
        <is>
          <t>SS26</t>
        </is>
      </c>
      <c r="O122" s="156" t="inlineStr">
        <is>
          <t>Seasonal</t>
        </is>
      </c>
      <c r="P122" s="156" t="inlineStr">
        <is>
          <t>Beige</t>
        </is>
      </c>
      <c r="Q122" s="156" t="n"/>
      <c r="R122" s="156" t="n"/>
      <c r="S122" s="156" t="inlineStr">
        <is>
          <t>Cuerpo: 100% Algodón / Malla: 100% Poliéster</t>
        </is>
      </c>
      <c r="T122" s="156" t="inlineStr">
        <is>
          <t>Lleva el auténtico estilo western con la Gorra Wrangler de la línea RODEO LIVING RODEO ARENA. Diseñada en una clásica silueta de 5 paneles, esta pieza en color crema está confeccionada con cuerpo: 100% algodón / malla: 100% poliéster para ofrecerte máxima comodidad, transpirabilidad y durabilidad. Ideal para complementar tu look diario y destacar con la calidad inconfundible de Wrangler.</t>
        </is>
      </c>
      <c r="U122" s="156" t="inlineStr">
        <is>
          <t>China</t>
        </is>
      </c>
      <c r="V122" s="156" t="inlineStr">
        <is>
          <t>PZS</t>
        </is>
      </c>
      <c r="W122" s="51" t="inlineStr">
        <is>
          <t>53102500</t>
        </is>
      </c>
      <c r="X122" s="156" t="inlineStr">
        <is>
          <t>https://m-universal-unique-brands.odoo.com/web/image/product.product/30128/image_1920</t>
        </is>
      </c>
      <c r="Y122" s="54" t="n">
        <v>4.31</v>
      </c>
      <c r="Z122" s="54" t="n">
        <v>699</v>
      </c>
      <c r="AA122" s="55">
        <f>IF(AND(A122="", B122="", E122=""), "", IF(AB122="", "Válido", IF((LEN(AB122)-LEN(SUBSTITUTE(AB122,"; ","")))/2+1&gt;(LEN(AB122)-LEN(SUBSTITUTE(AB122,"[Aviso]","")))/7, "Con Incidencias", "Válido")))</f>
        <v/>
      </c>
      <c r="AB122" s="56">
        <f>IF(AND(A122="", B122="", E122=""), "", TEXTJOIN("; ", TRUE, IF(OR(TRIM(A122&amp;"")="", ISNUMBER(SEARCH("FALTA", A122))), "UPC faltante/inválido", ""), IF(AND(A122&lt;&gt;"", IFERROR(_xlfn.XMATCH(A122,$A$2:$A$1063,0,1)&lt;&gt;_xlfn.XMATCH(A122,$A$2:$A$1063,0,-1),FALSE)), "Código de barras duplicado", ""), IF(AND(E122&lt;&gt;"", COUNTIF($E$2:$E$1063, E122)&gt;1), "SKU duplicado", ""), IF(OR(J122="", J122=""), "[Aviso] División no capturada ()", IF(ISNA(MATCH(J122, Criterios!$A$123:$A$126, 0)), "División no válida", "")), IF(OR(K122="", K122=""), "[Aviso] Categoría no capturada ()", IF(ISNA(MATCH(K122, Criterios!$A$81:$A$120, 0)), "Categoría no válida", IF(AND(J122&lt;&gt;"", J122&lt;&gt;"", J122&lt;&gt;VLOOKUP(K122, Criterios!$A$81:$B$120, 2, FALSE)), "División no coincide con Categoría", ""))), IF(OR(L122="", L122=""), "[Aviso] Género no capturado ()", IF(ISNA(MATCH(L122, Criterios!$B$123:$B$127, 0)), "Género no válido", "")), IF(OR(N122="", N122=""), "[Aviso] Temporada no capturada ()", IF(ISNA(MATCH(N122, Criterios!$C$123:$C$128, 0)), "Temporada no válida", "")), IF(OR(O122="", O122=""), "[Aviso] Ciclo de vida no capturado ()", IF(ISNA(MATCH(O122, Criterios!$D$123:$D$124, 0)), "Ciclo de vida no válido", ""))))</f>
        <v/>
      </c>
      <c r="AC122" s="56" t="n"/>
      <c r="AD122" s="51" t="n">
        <v>-1</v>
      </c>
      <c r="AE122" s="156" t="n"/>
      <c r="AF122" s="51" t="n">
        <v>0</v>
      </c>
      <c r="AG122" s="156" t="inlineStr">
        <is>
          <t>Catálogo existente</t>
        </is>
      </c>
      <c r="AH122" s="156" t="inlineStr">
        <is>
          <t>Coincidencia por código de barras (ID NetSuite 117863); Stock negativo en sistema: revisar en conteo | ID alternativo de Hoja a Revisar 117863 (UPC coincidente); se conserva ID principal; Auditoría NetSuite 30/09/2026: llenado desde NetSuite [Z]; Vinculado por código de barras al ID NetSuite 117863 (antes en Identificador interno: 'W-RL-U-001-ROD-OS') | 01/10/2026: complementado desde Shopify Western Brothers (match por código de barras): WB Fit, WB Silueta (antes «5 Paneles», no válido en Criterios) | 01/10/2026: Shopify Western Brothers trae Color «Azul» — se conservó el valor de Productos | 01/10/2026: complementado desde Odoo Universal Unique Brands (match por código de barras): Enlace de imagen | 01/10/2026: Odoo Universal Unique Brands trae Color «Azul» — se conservó el valor de Productos | Homologación G1522 06/10/2026: Precio de compra: «4,31» → «4.31» (Corrección aplicada) · Validación G1522: Dígito de control del código de barras inválido; [Aviso] Precio de compra posiblemente en USD · Validador Shopify: WB: precio con IVA no termina en 9</t>
        </is>
      </c>
      <c r="AI122" s="156" t="inlineStr">
        <is>
          <t>Sí</t>
        </is>
      </c>
      <c r="AJ122" s="156" t="inlineStr">
        <is>
          <t>WB OUTLET LERMA (-1)</t>
        </is>
      </c>
      <c r="AK122" s="155" t="inlineStr">
        <is>
          <t>| Hoja a Revisar: fila 917554 (ID 117863, misma clave UPC); G1522_Extraccion_Articulos_NetSuite_2026-09-30.xlsx: fila 64104 [Z] | Shopify WB: producto 10310436094137 / variante 50512589553849 | Odoo: producto 30128 / plantilla 38884</t>
        </is>
      </c>
      <c r="AL122" s="58" t="inlineStr">
        <is>
          <t>4,31</t>
        </is>
      </c>
      <c r="AM122" s="58" t="n"/>
      <c r="AN122" s="155" t="inlineStr">
        <is>
          <t>Shopify Western Brothers | Odoo Universal Unique Brands</t>
        </is>
      </c>
      <c r="AO122" s="59" t="n"/>
      <c r="AP122" s="59" t="n">
        <v>11</v>
      </c>
      <c r="AQ122" s="59" t="n">
        <v>63</v>
      </c>
      <c r="AR122" s="155" t="inlineStr">
        <is>
          <t>Shopify Western Brothers › Western Brothers Outlet Lerma: 11 | Odoo Universal Unique Brands › Bodega 25 › Bodega 25/General: 63</t>
        </is>
      </c>
    </row>
    <row r="123">
      <c r="A123" s="50" t="inlineStr">
        <is>
          <t>1261108510057</t>
        </is>
      </c>
      <c r="B123" s="51" t="inlineStr">
        <is>
          <t>W-RL-U-001-THE-OS</t>
        </is>
      </c>
      <c r="C123" s="156" t="inlineStr">
        <is>
          <t>Wrangler</t>
        </is>
      </c>
      <c r="D123" s="156" t="inlineStr">
        <is>
          <t>W-RL-U-001-THE</t>
        </is>
      </c>
      <c r="E123" s="156" t="inlineStr">
        <is>
          <t>1261-1085-10057</t>
        </is>
      </c>
      <c r="F123" s="156" t="inlineStr">
        <is>
          <t>Talla única</t>
        </is>
      </c>
      <c r="G123" s="156" t="inlineStr">
        <is>
          <t>One Size</t>
        </is>
      </c>
      <c r="H123" s="156" t="inlineStr">
        <is>
          <t>Wrangler</t>
        </is>
      </c>
      <c r="I123" s="156" t="inlineStr">
        <is>
          <t>Gorra RODEO LIVING THE LAST RIDE</t>
        </is>
      </c>
      <c r="J123" s="156" t="inlineStr">
        <is>
          <t>Accesorios</t>
        </is>
      </c>
      <c r="K123" s="156" t="inlineStr">
        <is>
          <t>Gorras</t>
        </is>
      </c>
      <c r="L123" s="156" t="inlineStr">
        <is>
          <t>Unisex</t>
        </is>
      </c>
      <c r="M123" s="156" t="inlineStr">
        <is>
          <t>Wrangler</t>
        </is>
      </c>
      <c r="N123" s="156" t="inlineStr">
        <is>
          <t>SS26</t>
        </is>
      </c>
      <c r="O123" s="156" t="inlineStr">
        <is>
          <t>Seasonal</t>
        </is>
      </c>
      <c r="P123" s="156" t="inlineStr">
        <is>
          <t>Cafe</t>
        </is>
      </c>
      <c r="Q123" s="156" t="n"/>
      <c r="R123" s="156" t="n"/>
      <c r="S123" s="156" t="inlineStr">
        <is>
          <t>Cuerpo: 100% Algodón / Malla: 100% Poliéster</t>
        </is>
      </c>
      <c r="T123" s="156" t="inlineStr">
        <is>
          <t>Lleva el auténtico estilo western con la Gorra Wrangler de la línea RODEO LIVING THE LAST RIDE. Diseñada en una clásica silueta de 5 paneles, esta pieza en color cafe está confeccionada con cuerpo: 100% algodón / malla: 100% poliéster para ofrecerte máxima comodidad, transpirabilidad y durabilidad. Ideal para complementar tu look diario y destacar con la calidad inconfundible de Wrangler.</t>
        </is>
      </c>
      <c r="U123" s="156" t="inlineStr">
        <is>
          <t>China</t>
        </is>
      </c>
      <c r="V123" s="156" t="inlineStr">
        <is>
          <t>PZS</t>
        </is>
      </c>
      <c r="W123" s="51" t="inlineStr">
        <is>
          <t>53102500</t>
        </is>
      </c>
      <c r="X123" s="156" t="n"/>
      <c r="Y123" s="54" t="n">
        <v>4.46</v>
      </c>
      <c r="Z123" s="54" t="n"/>
      <c r="AA123" s="55">
        <f>IF(AND(A123="", B123="", E123=""), "", IF(AB123="", "Válido", IF((LEN(AB123)-LEN(SUBSTITUTE(AB123,"; ","")))/2+1&gt;(LEN(AB123)-LEN(SUBSTITUTE(AB123,"[Aviso]","")))/7, "Con Incidencias", "Válido")))</f>
        <v/>
      </c>
      <c r="AB123" s="56">
        <f>IF(AND(A123="", B123="", E123=""), "", TEXTJOIN("; ", TRUE, IF(OR(TRIM(A123&amp;"")="", ISNUMBER(SEARCH("FALTA", A123))), "UPC faltante/inválido", ""), IF(AND(A123&lt;&gt;"", IFERROR(_xlfn.XMATCH(A123,$A$2:$A$1063,0,1)&lt;&gt;_xlfn.XMATCH(A123,$A$2:$A$1063,0,-1),FALSE)), "Código de barras duplicado", ""), IF(AND(E123&lt;&gt;"", COUNTIF($E$2:$E$1063, E123)&gt;1), "SKU duplicado", ""), IF(OR(J123="", J123=""), "[Aviso] División no capturada ()", IF(ISNA(MATCH(J123, Criterios!$A$123:$A$126, 0)), "División no válida", "")), IF(OR(K123="", K123=""), "[Aviso] Categoría no capturada ()", IF(ISNA(MATCH(K123, Criterios!$A$81:$A$120, 0)), "Categoría no válida", IF(AND(J123&lt;&gt;"", J123&lt;&gt;"", J123&lt;&gt;VLOOKUP(K123, Criterios!$A$81:$B$120, 2, FALSE)), "División no coincide con Categoría", ""))), IF(OR(L123="", L123=""), "[Aviso] Género no capturado ()", IF(ISNA(MATCH(L123, Criterios!$B$123:$B$127, 0)), "Género no válido", "")), IF(OR(N123="", N123=""), "[Aviso] Temporada no capturada ()", IF(ISNA(MATCH(N123, Criterios!$C$123:$C$128, 0)), "Temporada no válida", "")), IF(OR(O123="", O123=""), "[Aviso] Ciclo de vida no capturado ()", IF(ISNA(MATCH(O123, Criterios!$D$123:$D$124, 0)), "Ciclo de vida no válido", ""))))</f>
        <v/>
      </c>
      <c r="AC123" s="56" t="n"/>
      <c r="AD123" s="51" t="n">
        <v>0</v>
      </c>
      <c r="AE123" s="156" t="inlineStr">
        <is>
          <t>Sin coincidencia en NetSuite</t>
        </is>
      </c>
      <c r="AF123" s="51" t="n"/>
      <c r="AG123" s="156" t="inlineStr">
        <is>
          <t>Catálogo existente</t>
        </is>
      </c>
      <c r="AH123" s="156" t="inlineStr">
        <is>
          <t>No se encontró en Hoja a Revisar por ID interno ni por código de barras | Homologación G1522 06/10/2026: Precio de compra: «4,46» → «4.46» (Corrección aplicada) · WB Silueta: «5 Paneles» → «» (Corrección aplicada) · Validación G1522: Dígito de control del código de barras inválido</t>
        </is>
      </c>
      <c r="AI123" s="156" t="n"/>
      <c r="AJ123" s="156" t="n"/>
      <c r="AK123" s="155" t="n"/>
      <c r="AL123" s="58" t="inlineStr">
        <is>
          <t>4,46</t>
        </is>
      </c>
      <c r="AM123" s="58" t="n"/>
      <c r="AN123" s="155" t="n"/>
      <c r="AO123" s="59" t="n"/>
      <c r="AP123" s="59" t="n"/>
      <c r="AQ123" s="59" t="n"/>
      <c r="AR123" s="155" t="n"/>
    </row>
    <row r="124">
      <c r="A124" s="50" t="inlineStr">
        <is>
          <t>1261108510058</t>
        </is>
      </c>
      <c r="B124" s="51" t="inlineStr">
        <is>
          <t>W-RL-U-001-WB-OS</t>
        </is>
      </c>
      <c r="C124" s="156" t="inlineStr">
        <is>
          <t>Wrangler</t>
        </is>
      </c>
      <c r="D124" s="156" t="inlineStr">
        <is>
          <t>W-RL-U-001-WB</t>
        </is>
      </c>
      <c r="E124" s="156" t="inlineStr">
        <is>
          <t>1261-1085-10058</t>
        </is>
      </c>
      <c r="F124" s="156" t="inlineStr">
        <is>
          <t>Talla única</t>
        </is>
      </c>
      <c r="G124" s="156" t="inlineStr">
        <is>
          <t>One Size</t>
        </is>
      </c>
      <c r="H124" s="156" t="inlineStr">
        <is>
          <t>Wrangler</t>
        </is>
      </c>
      <c r="I124" s="156" t="inlineStr">
        <is>
          <t>Gorra RODEO LIVING WRANGLER BUTTS</t>
        </is>
      </c>
      <c r="J124" s="156" t="inlineStr">
        <is>
          <t>Accesorios</t>
        </is>
      </c>
      <c r="K124" s="156" t="inlineStr">
        <is>
          <t>Gorras</t>
        </is>
      </c>
      <c r="L124" s="156" t="inlineStr">
        <is>
          <t>Unisex</t>
        </is>
      </c>
      <c r="M124" s="156" t="inlineStr">
        <is>
          <t>Wrangler</t>
        </is>
      </c>
      <c r="N124" s="156" t="inlineStr">
        <is>
          <t>SS26</t>
        </is>
      </c>
      <c r="O124" s="156" t="inlineStr">
        <is>
          <t>Seasonal</t>
        </is>
      </c>
      <c r="P124" s="156" t="inlineStr">
        <is>
          <t>Azul</t>
        </is>
      </c>
      <c r="Q124" s="156" t="n"/>
      <c r="R124" s="156" t="n"/>
      <c r="S124" s="156" t="inlineStr">
        <is>
          <t>Cuerpo: 100% Algodón / Malla: 100% Poliéster</t>
        </is>
      </c>
      <c r="T124" s="156" t="inlineStr">
        <is>
          <t>Lleva el auténtico estilo western con la Gorra Wrangler de la línea RODEO LIVING WRANGLER BUTTS.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      </is>
      </c>
      <c r="U124" s="156" t="inlineStr">
        <is>
          <t>China</t>
        </is>
      </c>
      <c r="V124" s="156" t="inlineStr">
        <is>
          <t>PZS</t>
        </is>
      </c>
      <c r="W124" s="51" t="inlineStr">
        <is>
          <t>53102500</t>
        </is>
      </c>
      <c r="X124" s="156" t="n"/>
      <c r="Y124" s="54" t="n">
        <v>4.62</v>
      </c>
      <c r="Z124" s="54" t="n"/>
      <c r="AA124" s="55">
        <f>IF(AND(A124="", B124="", E124=""), "", IF(AB124="", "Válido", IF((LEN(AB124)-LEN(SUBSTITUTE(AB124,"; ","")))/2+1&gt;(LEN(AB124)-LEN(SUBSTITUTE(AB124,"[Aviso]","")))/7, "Con Incidencias", "Válido")))</f>
        <v/>
      </c>
      <c r="AB124" s="56">
        <f>IF(AND(A124="", B124="", E124=""), "", TEXTJOIN("; ", TRUE, IF(OR(TRIM(A124&amp;"")="", ISNUMBER(SEARCH("FALTA", A124))), "UPC faltante/inválido", ""), IF(AND(A124&lt;&gt;"", IFERROR(_xlfn.XMATCH(A124,$A$2:$A$1063,0,1)&lt;&gt;_xlfn.XMATCH(A124,$A$2:$A$1063,0,-1),FALSE)), "Código de barras duplicado", ""), IF(AND(E124&lt;&gt;"", COUNTIF($E$2:$E$1063, E124)&gt;1), "SKU duplicado", ""), IF(OR(J124="", J124=""), "[Aviso] División no capturada ()", IF(ISNA(MATCH(J124, Criterios!$A$123:$A$126, 0)), "División no válida", "")), IF(OR(K124="", K124=""), "[Aviso] Categoría no capturada ()", IF(ISNA(MATCH(K124, Criterios!$A$81:$A$120, 0)), "Categoría no válida", IF(AND(J124&lt;&gt;"", J124&lt;&gt;"", J124&lt;&gt;VLOOKUP(K124, Criterios!$A$81:$B$120, 2, FALSE)), "División no coincide con Categoría", ""))), IF(OR(L124="", L124=""), "[Aviso] Género no capturado ()", IF(ISNA(MATCH(L124, Criterios!$B$123:$B$127, 0)), "Género no válido", "")), IF(OR(N124="", N124=""), "[Aviso] Temporada no capturada ()", IF(ISNA(MATCH(N124, Criterios!$C$123:$C$128, 0)), "Temporada no válida", "")), IF(OR(O124="", O124=""), "[Aviso] Ciclo de vida no capturado ()", IF(ISNA(MATCH(O124, Criterios!$D$123:$D$124, 0)), "Ciclo de vida no válido", ""))))</f>
        <v/>
      </c>
      <c r="AC124" s="56" t="n"/>
      <c r="AD124" s="51" t="n">
        <v>0</v>
      </c>
      <c r="AE124" s="156" t="inlineStr">
        <is>
          <t>Sin coincidencia en NetSuite</t>
        </is>
      </c>
      <c r="AF124" s="51" t="n"/>
      <c r="AG124" s="156" t="inlineStr">
        <is>
          <t>Catálogo existente</t>
        </is>
      </c>
      <c r="AH124" s="156" t="inlineStr">
        <is>
          <t>No se encontró en Hoja a Revisar por ID interno ni por código de barras | Homologación G1522 06/10/2026: Precio de compra: «4,62» → «4.62» (Corrección aplicada) · WB Silueta: «5 Paneles» → «» (Corrección aplicada) · Validación G1522: Dígito de control del código de barras inválido</t>
        </is>
      </c>
      <c r="AI124" s="156" t="n"/>
      <c r="AJ124" s="156" t="n"/>
      <c r="AK124" s="155" t="n"/>
      <c r="AL124" s="58" t="inlineStr">
        <is>
          <t>4,62</t>
        </is>
      </c>
      <c r="AM124" s="58" t="n"/>
      <c r="AN124" s="155" t="n"/>
      <c r="AO124" s="59" t="n"/>
      <c r="AP124" s="59" t="n"/>
      <c r="AQ124" s="59" t="n"/>
      <c r="AR124" s="155" t="n"/>
    </row>
    <row r="125">
      <c r="A125" s="50" t="inlineStr">
        <is>
          <t>1261108510059</t>
        </is>
      </c>
      <c r="B125" s="51" t="inlineStr">
        <is>
          <t>W-DN-U-001-TRU-OS</t>
        </is>
      </c>
      <c r="C125" s="156" t="inlineStr">
        <is>
          <t>Wrangler</t>
        </is>
      </c>
      <c r="D125" s="156" t="inlineStr">
        <is>
          <t>W-DN-U-001-TRU</t>
        </is>
      </c>
      <c r="E125" s="156" t="inlineStr">
        <is>
          <t>1261-1085-10059</t>
        </is>
      </c>
      <c r="F125" s="156" t="inlineStr">
        <is>
          <t>Talla única</t>
        </is>
      </c>
      <c r="G125" s="156" t="inlineStr">
        <is>
          <t>One Size</t>
        </is>
      </c>
      <c r="H125" s="156" t="inlineStr">
        <is>
          <t>Wrangler</t>
        </is>
      </c>
      <c r="I125" s="156" t="inlineStr">
        <is>
          <t>Gorra DENIM TRUE BLUE</t>
        </is>
      </c>
      <c r="J125" s="156" t="inlineStr">
        <is>
          <t>Accesorios</t>
        </is>
      </c>
      <c r="K125" s="156" t="inlineStr">
        <is>
          <t>Gorras</t>
        </is>
      </c>
      <c r="L125" s="156" t="inlineStr">
        <is>
          <t>Unisex</t>
        </is>
      </c>
      <c r="M125" s="156" t="inlineStr">
        <is>
          <t>Wrangler</t>
        </is>
      </c>
      <c r="N125" s="156" t="inlineStr">
        <is>
          <t>SS26</t>
        </is>
      </c>
      <c r="O125" s="156" t="inlineStr">
        <is>
          <t>Seasonal</t>
        </is>
      </c>
      <c r="P125" s="156" t="inlineStr">
        <is>
          <t>Cafe</t>
        </is>
      </c>
      <c r="Q125" s="156" t="n"/>
      <c r="R125" s="156" t="n"/>
      <c r="S125" s="156" t="inlineStr">
        <is>
          <t>100% Algodón</t>
        </is>
      </c>
      <c r="T125" s="156" t="inlineStr">
        <is>
          <t>Lleva el auténtico estilo western con la Gorra Wrangler de la línea DENIM TRUE BLUE. Diseñada en una clásica silueta de 5 paneles, esta pieza en color cafe está confeccionada con 100% algodón para ofrecerte máxima comodidad, transpirabilidad y durabilidad. Ideal para complementar tu look diario y destacar con la calidad inconfundible de Wrangler.</t>
        </is>
      </c>
      <c r="U125" s="156" t="inlineStr">
        <is>
          <t>China</t>
        </is>
      </c>
      <c r="V125" s="156" t="inlineStr">
        <is>
          <t>PZS</t>
        </is>
      </c>
      <c r="W125" s="51" t="inlineStr">
        <is>
          <t>53102500</t>
        </is>
      </c>
      <c r="X125" s="156" t="n"/>
      <c r="Y125" s="54" t="n">
        <v>5.76</v>
      </c>
      <c r="Z125" s="54" t="n"/>
      <c r="AA125" s="55">
        <f>IF(AND(A125="", B125="", E125=""), "", IF(AB125="", "Válido", IF((LEN(AB125)-LEN(SUBSTITUTE(AB125,"; ","")))/2+1&gt;(LEN(AB125)-LEN(SUBSTITUTE(AB125,"[Aviso]","")))/7, "Con Incidencias", "Válido")))</f>
        <v/>
      </c>
      <c r="AB125" s="56">
        <f>IF(AND(A125="", B125="", E125=""), "", TEXTJOIN("; ", TRUE, IF(OR(TRIM(A125&amp;"")="", ISNUMBER(SEARCH("FALTA", A125))), "UPC faltante/inválido", ""), IF(AND(A125&lt;&gt;"", IFERROR(_xlfn.XMATCH(A125,$A$2:$A$1063,0,1)&lt;&gt;_xlfn.XMATCH(A125,$A$2:$A$1063,0,-1),FALSE)), "Código de barras duplicado", ""), IF(AND(E125&lt;&gt;"", COUNTIF($E$2:$E$1063, E125)&gt;1), "SKU duplicado", ""), IF(OR(J125="", J125=""), "[Aviso] División no capturada ()", IF(ISNA(MATCH(J125, Criterios!$A$123:$A$126, 0)), "División no válida", "")), IF(OR(K125="", K125=""), "[Aviso] Categoría no capturada ()", IF(ISNA(MATCH(K125, Criterios!$A$81:$A$120, 0)), "Categoría no válida", IF(AND(J125&lt;&gt;"", J125&lt;&gt;"", J125&lt;&gt;VLOOKUP(K125, Criterios!$A$81:$B$120, 2, FALSE)), "División no coincide con Categoría", ""))), IF(OR(L125="", L125=""), "[Aviso] Género no capturado ()", IF(ISNA(MATCH(L125, Criterios!$B$123:$B$127, 0)), "Género no válido", "")), IF(OR(N125="", N125=""), "[Aviso] Temporada no capturada ()", IF(ISNA(MATCH(N125, Criterios!$C$123:$C$128, 0)), "Temporada no válida", "")), IF(OR(O125="", O125=""), "[Aviso] Ciclo de vida no capturado ()", IF(ISNA(MATCH(O125, Criterios!$D$123:$D$124, 0)), "Ciclo de vida no válido", ""))))</f>
        <v/>
      </c>
      <c r="AC125" s="56" t="n"/>
      <c r="AD125" s="51" t="n">
        <v>0</v>
      </c>
      <c r="AE125" s="156" t="inlineStr">
        <is>
          <t>Sin coincidencia en NetSuite</t>
        </is>
      </c>
      <c r="AF125" s="51" t="n"/>
      <c r="AG125" s="156" t="inlineStr">
        <is>
          <t>Catálogo existente</t>
        </is>
      </c>
      <c r="AH125" s="156" t="inlineStr">
        <is>
          <t>No se encontró en Hoja a Revisar por ID interno ni por código de barras | Homologación G1522 06/10/2026: Precio de compra: «5,76» → «5.76» (Corrección aplicada) · WB Silueta: «5 Paneles» → «» (Corrección aplicada) · Validación G1522: Dígito de control del código de barras inválido</t>
        </is>
      </c>
      <c r="AI125" s="156" t="n"/>
      <c r="AJ125" s="156" t="n"/>
      <c r="AK125" s="155" t="n"/>
      <c r="AL125" s="58" t="inlineStr">
        <is>
          <t>5,76</t>
        </is>
      </c>
      <c r="AM125" s="58" t="n"/>
      <c r="AN125" s="155" t="n"/>
      <c r="AO125" s="59" t="n"/>
      <c r="AP125" s="59" t="n"/>
      <c r="AQ125" s="59" t="n"/>
      <c r="AR125" s="155" t="n"/>
    </row>
    <row r="126">
      <c r="A126" s="50" t="inlineStr">
        <is>
          <t>1261108510001</t>
        </is>
      </c>
      <c r="B126" s="51" t="inlineStr">
        <is>
          <t>117822</t>
        </is>
      </c>
      <c r="C126" s="156" t="inlineStr">
        <is>
          <t>Multimarca</t>
        </is>
      </c>
      <c r="D126" s="156" t="inlineStr">
        <is>
          <t>1261-1085-10001</t>
        </is>
      </c>
      <c r="E126" s="156" t="inlineStr">
        <is>
          <t>1261-1085-10001-UNI</t>
        </is>
      </c>
      <c r="F126" s="156" t="inlineStr">
        <is>
          <t>Talla única</t>
        </is>
      </c>
      <c r="G126" s="156" t="inlineStr">
        <is>
          <t>One Size</t>
        </is>
      </c>
      <c r="H126" s="156" t="inlineStr">
        <is>
          <t>Wrangler</t>
        </is>
      </c>
      <c r="I126" s="156" t="inlineStr">
        <is>
          <t>Gorra Iron Rodeo Untamed</t>
        </is>
      </c>
      <c r="J126" s="156" t="inlineStr">
        <is>
          <t>Accesorios</t>
        </is>
      </c>
      <c r="K126" s="156" t="inlineStr">
        <is>
          <t>Gorras</t>
        </is>
      </c>
      <c r="L126" s="156" t="inlineStr">
        <is>
          <t>Unisex</t>
        </is>
      </c>
      <c r="M126" s="156" t="inlineStr">
        <is>
          <t>Wrangler</t>
        </is>
      </c>
      <c r="N126" s="156" t="inlineStr">
        <is>
          <t>FW26</t>
        </is>
      </c>
      <c r="O126" s="156" t="inlineStr">
        <is>
          <t>Seasonal</t>
        </is>
      </c>
      <c r="P126" s="156" t="inlineStr">
        <is>
          <t>Gris</t>
        </is>
      </c>
      <c r="Q126" s="156" t="n"/>
      <c r="R126" s="156" t="n"/>
      <c r="S126" s="156" t="inlineStr">
        <is>
          <t>Cuerpo: 100% Algodón / Malla: 100% Poliéster</t>
        </is>
      </c>
      <c r="T126" s="156" t="inlineStr">
        <is>
          <t>Gorra Iron Rodeo Untamed. Gorra de la marca Wrangler. Estilo 1261-1085-10001.</t>
        </is>
      </c>
      <c r="U126" s="156" t="inlineStr">
        <is>
          <t>China</t>
        </is>
      </c>
      <c r="V126" s="156" t="inlineStr">
        <is>
          <t>PZS</t>
        </is>
      </c>
      <c r="W126" s="51" t="inlineStr">
        <is>
          <t>53102516</t>
        </is>
      </c>
      <c r="X126" s="156" t="inlineStr">
        <is>
          <t>https://m-universal-unique-brands.odoo.com/web/image/product.product/30074/image_1920</t>
        </is>
      </c>
      <c r="Y126" s="54" t="n">
        <v>242.19</v>
      </c>
      <c r="Z126" s="54" t="n">
        <v>602.5862069</v>
      </c>
      <c r="AA126" s="55">
        <f>IF(AND(A126="", B126="", E126=""), "", IF(AB126="", "Válido", IF((LEN(AB126)-LEN(SUBSTITUTE(AB126,"; ","")))/2+1&gt;(LEN(AB126)-LEN(SUBSTITUTE(AB126,"[Aviso]","")))/7, "Con Incidencias", "Válido")))</f>
        <v/>
      </c>
      <c r="AB126" s="56">
        <f>IF(AND(A126="", B126="", E126=""), "", TEXTJOIN("; ", TRUE, IF(OR(TRIM(A126&amp;"")="", ISNUMBER(SEARCH("FALTA", A126))), "UPC faltante/inválido", ""), IF(AND(A126&lt;&gt;"", IFERROR(_xlfn.XMATCH(A126,$A$2:$A$1063,0,1)&lt;&gt;_xlfn.XMATCH(A126,$A$2:$A$1063,0,-1),FALSE)), "Código de barras duplicado", ""), IF(AND(E126&lt;&gt;"", COUNTIF($E$2:$E$1063, E126)&gt;1), "SKU duplicado", ""), IF(OR(J126="", J126=""), "[Aviso] División no capturada ()", IF(ISNA(MATCH(J126, Criterios!$A$123:$A$126, 0)), "División no válida", "")), IF(OR(K126="", K126=""), "[Aviso] Categoría no capturada ()", IF(ISNA(MATCH(K126, Criterios!$A$81:$A$120, 0)), "Categoría no válida", IF(AND(J126&lt;&gt;"", J126&lt;&gt;"", J126&lt;&gt;VLOOKUP(K126, Criterios!$A$81:$B$120, 2, FALSE)), "División no coincide con Categoría", ""))), IF(OR(L126="", L126=""), "[Aviso] Género no capturado ()", IF(ISNA(MATCH(L126, Criterios!$B$123:$B$127, 0)), "Género no válido", "")), IF(OR(N126="", N126=""), "[Aviso] Temporada no capturada ()", IF(ISNA(MATCH(N126, Criterios!$C$123:$C$128, 0)), "Temporada no válida", "")), IF(OR(O126="", O126=""), "[Aviso] Ciclo de vida no capturado ()", IF(ISNA(MATCH(O126, Criterios!$D$123:$D$124, 0)), "Ciclo de vida no válido", ""))))</f>
        <v/>
      </c>
      <c r="AC126" s="56" t="n"/>
      <c r="AD126" s="51" t="n">
        <v>0</v>
      </c>
      <c r="AE126" s="156" t="n"/>
      <c r="AF126" s="51" t="n">
        <v>0</v>
      </c>
      <c r="AG126" s="156" t="inlineStr">
        <is>
          <t>Nuevo – NetSuite sin existencia</t>
        </is>
      </c>
      <c r="AH126" s="156" t="inlineStr">
        <is>
          <t>Auditoría NetSuite 30/09/2026: llenado desde NetSuite [N,O,U,Y,S] | 01/10/2026: complementado desde Shopify Western Brothers (match por código de barras): WB Fit, WB Silueta | 01/10/2026: Shopify Western Brothers trae Color «Blanco» — se conservó el valor de Productos | 01/10/2026: complementado desde Odoo Universal Unique Brands (match por código de barras): Enlace de imagen | 01/10/2026: Odoo Universal Unique Brands trae SKU 1261-1085-10001, Color «Blanco» — se conservó el valor de Productos | Homologación G1522 06/10/2026: Validación G1522: Dígito de control del código de barras inválido</t>
        </is>
      </c>
      <c r="AI126" s="156" t="inlineStr">
        <is>
          <t>No</t>
        </is>
      </c>
      <c r="AJ126" s="156" t="n"/>
      <c r="AK126" s="155" t="inlineStr">
        <is>
          <t>G1522_Extraccion_Articulos_NetSuite_2026-09-30.xlsx: fila 64063 [N,O,U,Y,S] | Shopify WB: producto 10310433964217 / variante 50512587194553 | Odoo: producto 30074 / plantilla 38830</t>
        </is>
      </c>
      <c r="AL126" s="58" t="n"/>
      <c r="AM126" s="58" t="n">
        <v>602.5862069</v>
      </c>
      <c r="AN126" s="155" t="inlineStr">
        <is>
          <t>Shopify Western Brothers | Odoo Universal Unique Brands</t>
        </is>
      </c>
      <c r="AO126" s="59" t="n"/>
      <c r="AP126" s="59" t="n">
        <v>9</v>
      </c>
      <c r="AQ126" s="59" t="n">
        <v>183</v>
      </c>
      <c r="AR126" s="155" t="inlineStr">
        <is>
          <t>Shopify Western Brothers › Western Brothers Outlet Lerma: 9 | Odoo Universal Unique Brands › Bodega 25 › Bodega 25/General: 183</t>
        </is>
      </c>
    </row>
    <row r="127">
      <c r="A127" s="50" t="inlineStr">
        <is>
          <t>1261108510003</t>
        </is>
      </c>
      <c r="B127" s="51" t="inlineStr">
        <is>
          <t>117823</t>
        </is>
      </c>
      <c r="C127" s="156" t="inlineStr">
        <is>
          <t>Multimarca</t>
        </is>
      </c>
      <c r="D127" s="156" t="inlineStr">
        <is>
          <t>1261-1085-10003</t>
        </is>
      </c>
      <c r="E127" s="156" t="inlineStr">
        <is>
          <t>1261-1085-10003-UNI</t>
        </is>
      </c>
      <c r="F127" s="156" t="inlineStr">
        <is>
          <t>Talla única</t>
        </is>
      </c>
      <c r="G127" s="156" t="inlineStr">
        <is>
          <t>One Size</t>
        </is>
      </c>
      <c r="H127" s="156" t="inlineStr">
        <is>
          <t>Wrangler</t>
        </is>
      </c>
      <c r="I127" s="156" t="inlineStr">
        <is>
          <t>Gorra Iron Rodeo Untamed</t>
        </is>
      </c>
      <c r="J127" s="156" t="inlineStr">
        <is>
          <t>Accesorios</t>
        </is>
      </c>
      <c r="K127" s="156" t="inlineStr">
        <is>
          <t>Gorras</t>
        </is>
      </c>
      <c r="L127" s="156" t="inlineStr">
        <is>
          <t>Unisex</t>
        </is>
      </c>
      <c r="M127" s="156" t="inlineStr">
        <is>
          <t>Wrangler</t>
        </is>
      </c>
      <c r="N127" s="156" t="inlineStr">
        <is>
          <t>FW26</t>
        </is>
      </c>
      <c r="O127" s="156" t="inlineStr">
        <is>
          <t>Seasonal</t>
        </is>
      </c>
      <c r="P127" s="156" t="inlineStr">
        <is>
          <t>Gris</t>
        </is>
      </c>
      <c r="Q127" s="156" t="n"/>
      <c r="R127" s="156" t="n"/>
      <c r="S127" s="156" t="inlineStr">
        <is>
          <t>Cuerpo: 100% Algodón / Malla: 100% Poliéster</t>
        </is>
      </c>
      <c r="T127" s="156" t="inlineStr">
        <is>
          <t>Gorra Iron Rodeo Untamed. Gorra de la marca Wrangler. Estilo 1261-1085-10003.</t>
        </is>
      </c>
      <c r="U127" s="156" t="inlineStr">
        <is>
          <t>China</t>
        </is>
      </c>
      <c r="V127" s="156" t="inlineStr">
        <is>
          <t>PZS</t>
        </is>
      </c>
      <c r="W127" s="51" t="inlineStr">
        <is>
          <t>53102516</t>
        </is>
      </c>
      <c r="X127" s="156" t="n"/>
      <c r="Y127" s="54" t="n">
        <v>242.19</v>
      </c>
      <c r="Z127" s="54" t="n">
        <v>602.5862069</v>
      </c>
      <c r="AA127" s="55">
        <f>IF(AND(A127="", B127="", E127=""), "", IF(AB127="", "Válido", IF((LEN(AB127)-LEN(SUBSTITUTE(AB127,"; ","")))/2+1&gt;(LEN(AB127)-LEN(SUBSTITUTE(AB127,"[Aviso]","")))/7, "Con Incidencias", "Válido")))</f>
        <v/>
      </c>
      <c r="AB127" s="56">
        <f>IF(AND(A127="", B127="", E127=""), "", TEXTJOIN("; ", TRUE, IF(OR(TRIM(A127&amp;"")="", ISNUMBER(SEARCH("FALTA", A127))), "UPC faltante/inválido", ""), IF(AND(A127&lt;&gt;"", IFERROR(_xlfn.XMATCH(A127,$A$2:$A$1063,0,1)&lt;&gt;_xlfn.XMATCH(A127,$A$2:$A$1063,0,-1),FALSE)), "Código de barras duplicado", ""), IF(AND(E127&lt;&gt;"", COUNTIF($E$2:$E$1063, E127)&gt;1), "SKU duplicado", ""), IF(OR(J127="", J127=""), "[Aviso] División no capturada ()", IF(ISNA(MATCH(J127, Criterios!$A$123:$A$126, 0)), "División no válida", "")), IF(OR(K127="", K127=""), "[Aviso] Categoría no capturada ()", IF(ISNA(MATCH(K127, Criterios!$A$81:$A$120, 0)), "Categoría no válida", IF(AND(J127&lt;&gt;"", J127&lt;&gt;"", J127&lt;&gt;VLOOKUP(K127, Criterios!$A$81:$B$120, 2, FALSE)), "División no coincide con Categoría", ""))), IF(OR(L127="", L127=""), "[Aviso] Género no capturado ()", IF(ISNA(MATCH(L127, Criterios!$B$123:$B$127, 0)), "Género no válido", "")), IF(OR(N127="", N127=""), "[Aviso] Temporada no capturada ()", IF(ISNA(MATCH(N127, Criterios!$C$123:$C$128, 0)), "Temporada no válida", "")), IF(OR(O127="", O127=""), "[Aviso] Ciclo de vida no capturado ()", IF(ISNA(MATCH(O127, Criterios!$D$123:$D$124, 0)), "Ciclo de vida no válido", ""))))</f>
        <v/>
      </c>
      <c r="AC127" s="56" t="n"/>
      <c r="AD127" s="51" t="n">
        <v>0</v>
      </c>
      <c r="AE127" s="156" t="n"/>
      <c r="AF127" s="51" t="n">
        <v>0</v>
      </c>
      <c r="AG127" s="156" t="inlineStr">
        <is>
          <t>Nuevo – NetSuite sin existencia</t>
        </is>
      </c>
      <c r="AH127" s="156" t="inlineStr">
        <is>
          <t>Auditoría NetSuite 30/09/2026: llenado desde NetSuite [N,O,U,Y,S] | 01/10/2026: complementado desde Shopify Western Brothers (match por código de barras): WB Fit, WB Silueta | 01/10/2026: Shopify Western Brothers trae Color «Beige» — se conservó el valor de Productos | 01/10/2026: Odoo Universal Unique Brands trae SKU 1261-1085-10003, Color «Beige» — se conservó el valor de Productos | Homologación G1522 06/10/2026: Validación G1522: Dígito de control del código de barras inválido</t>
        </is>
      </c>
      <c r="AI127" s="156" t="inlineStr">
        <is>
          <t>No</t>
        </is>
      </c>
      <c r="AJ127" s="156" t="n"/>
      <c r="AK127" s="155" t="inlineStr">
        <is>
          <t>G1522_Extraccion_Articulos_NetSuite_2026-09-30.xlsx: fila 64064 [N,O,U,Y,S] | Shopify WB: producto 10310434193593 / variante 50512587423929 | Odoo: producto 30076 / plantilla 38832</t>
        </is>
      </c>
      <c r="AL127" s="58" t="n"/>
      <c r="AM127" s="58" t="n">
        <v>602.5862069</v>
      </c>
      <c r="AN127" s="155" t="inlineStr">
        <is>
          <t>Shopify Western Brothers | Odoo Universal Unique Brands</t>
        </is>
      </c>
      <c r="AO127" s="59" t="n"/>
      <c r="AP127" s="59" t="n">
        <v>12</v>
      </c>
      <c r="AQ127" s="59" t="n">
        <v>142</v>
      </c>
      <c r="AR127" s="155" t="inlineStr">
        <is>
          <t>Shopify Western Brothers › Western Brothers Outlet Lerma: 12 | Odoo Universal Unique Brands › Bodega 25 › Bodega 25/General: 142</t>
        </is>
      </c>
    </row>
    <row r="128">
      <c r="A128" s="50" t="inlineStr">
        <is>
          <t>717325223792</t>
        </is>
      </c>
      <c r="B128" s="51" t="inlineStr">
        <is>
          <t>117973</t>
        </is>
      </c>
      <c r="C128" s="156" t="inlineStr">
        <is>
          <t>Multimarca</t>
        </is>
      </c>
      <c r="D128" s="156" t="inlineStr">
        <is>
          <t>MWBX-67</t>
        </is>
      </c>
      <c r="E128" s="156" t="inlineStr">
        <is>
          <t>MWBX-67-UNI</t>
        </is>
      </c>
      <c r="F128" s="156" t="inlineStr">
        <is>
          <t>Talla única</t>
        </is>
      </c>
      <c r="G128" s="156" t="inlineStr">
        <is>
          <t>One Size</t>
        </is>
      </c>
      <c r="H128" s="156" t="inlineStr">
        <is>
          <t>Montana West</t>
        </is>
      </c>
      <c r="I128" s="156" t="inlineStr">
        <is>
          <t>Bolsa Montana West Mini Mood Tote Blind Box</t>
        </is>
      </c>
      <c r="J128" s="156" t="inlineStr">
        <is>
          <t>Accesorios</t>
        </is>
      </c>
      <c r="K128" s="156" t="inlineStr">
        <is>
          <t>Llaveros</t>
        </is>
      </c>
      <c r="L128" s="156" t="inlineStr">
        <is>
          <t>Unisex</t>
        </is>
      </c>
      <c r="M128" s="156" t="inlineStr">
        <is>
          <t>Montana West</t>
        </is>
      </c>
      <c r="N128" s="156" t="inlineStr">
        <is>
          <t>FW26</t>
        </is>
      </c>
      <c r="O128" s="156" t="inlineStr">
        <is>
          <t>Seasonal</t>
        </is>
      </c>
      <c r="P128" s="156" t="inlineStr">
        <is>
          <t>Blanco</t>
        </is>
      </c>
      <c r="Q128" s="156" t="n"/>
      <c r="R128" s="156" t="n"/>
      <c r="S128" s="156" t="inlineStr">
        <is>
          <t>Exterior: 100% Sintético (PU), Herrajes: 100% Metal</t>
        </is>
      </c>
      <c r="T128" s="156" t="inlineStr">
        <is>
          <t>Bolsa Montana West Mini Mood Tote Blind Box. Llavero de la marca Montana West. Estilo MWBX-67.</t>
        </is>
      </c>
      <c r="U128" s="156" t="inlineStr">
        <is>
          <t>México</t>
        </is>
      </c>
      <c r="V128" s="156" t="inlineStr">
        <is>
          <t>PZS</t>
        </is>
      </c>
      <c r="W128" s="51" t="inlineStr">
        <is>
          <t>46171515</t>
        </is>
      </c>
      <c r="X128" s="156" t="n"/>
      <c r="Y128" s="54" t="n">
        <v>180.01</v>
      </c>
      <c r="Z128" s="54" t="n">
        <v>602.5862069</v>
      </c>
      <c r="AA128" s="55">
        <f>IF(AND(A128="", B128="", E128=""), "", IF(AB128="", "Válido", IF((LEN(AB128)-LEN(SUBSTITUTE(AB128,"; ","")))/2+1&gt;(LEN(AB128)-LEN(SUBSTITUTE(AB128,"[Aviso]","")))/7, "Con Incidencias", "Válido")))</f>
        <v/>
      </c>
      <c r="AB128" s="56">
        <f>IF(AND(A128="", B128="", E128=""), "", TEXTJOIN("; ", TRUE, IF(OR(TRIM(A128&amp;"")="", ISNUMBER(SEARCH("FALTA", A128))), "UPC faltante/inválido", ""), IF(AND(A128&lt;&gt;"", IFERROR(_xlfn.XMATCH(A128,$A$2:$A$1063,0,1)&lt;&gt;_xlfn.XMATCH(A128,$A$2:$A$1063,0,-1),FALSE)), "Código de barras duplicado", ""), IF(AND(E128&lt;&gt;"", COUNTIF($E$2:$E$1063, E128)&gt;1), "SKU duplicado", ""), IF(OR(J128="", J128=""), "[Aviso] División no capturada ()", IF(ISNA(MATCH(J128, Criterios!$A$123:$A$126, 0)), "División no válida", "")), IF(OR(K128="", K128=""), "[Aviso] Categoría no capturada ()", IF(ISNA(MATCH(K128, Criterios!$A$81:$A$120, 0)), "Categoría no válida", IF(AND(J128&lt;&gt;"", J128&lt;&gt;"", J128&lt;&gt;VLOOKUP(K128, Criterios!$A$81:$B$120, 2, FALSE)), "División no coincide con Categoría", ""))), IF(OR(L128="", L128=""), "[Aviso] Género no capturado ()", IF(ISNA(MATCH(L128, Criterios!$B$123:$B$127, 0)), "Género no válido", "")), IF(OR(N128="", N128=""), "[Aviso] Temporada no capturada ()", IF(ISNA(MATCH(N128, Criterios!$C$123:$C$128, 0)), "Temporada no válida", "")), IF(OR(O128="", O128=""), "[Aviso] Ciclo de vida no capturado ()", IF(ISNA(MATCH(O128, Criterios!$D$123:$D$124, 0)), "Ciclo de vida no válido", ""))))</f>
        <v/>
      </c>
      <c r="AC128" s="56" t="n"/>
      <c r="AD128" s="51" t="n">
        <v>24</v>
      </c>
      <c r="AE128" s="156" t="inlineStr">
        <is>
          <t>WB OUTLET LERMA (24)</t>
        </is>
      </c>
      <c r="AF128" s="51" t="n">
        <v>24</v>
      </c>
      <c r="AG128" s="156" t="inlineStr">
        <is>
          <t>Nuevo – NetSuite con existencia</t>
        </is>
      </c>
      <c r="AH128" s="156" t="inlineStr">
        <is>
          <t>Color por validar; Clave SAT por validar; Auditoría NetSuite 30/09/2026: llenado desde NetSuite [N,O,P,U,W,Y,S] | 01/10/2026: complementado desde Shopify Western Brothers (match por código de barras): WB Fit, WB Silueta | 01/10/2026: Shopify Western Brothers trae Género «Mujer» — se conservó el valor de Productos | 01/10/2026: Odoo Universal Unique Brands trae SKU MW1325G-8317PK, Categoría «Bolsos» — se conservó el valor de Productos</t>
        </is>
      </c>
      <c r="AI128" s="156" t="inlineStr">
        <is>
          <t>No</t>
        </is>
      </c>
      <c r="AJ128" s="156" t="n"/>
      <c r="AK128" s="155" t="inlineStr">
        <is>
          <t>G1522_Extraccion_Articulos_NetSuite_2026-09-30.xlsx: fila 64201 [N,O,P,U,W,Y,S] | Shopify WB: producto 10312145764537 / variante 50520098865337 | Odoo: producto 15669 / plantilla 20022</t>
        </is>
      </c>
      <c r="AL128" s="58" t="n"/>
      <c r="AM128" s="58" t="n">
        <v>602.5862069</v>
      </c>
      <c r="AN128" s="155" t="inlineStr">
        <is>
          <t>Shopify Western Brothers | Odoo Universal Unique Brands</t>
        </is>
      </c>
      <c r="AO128" s="59" t="n"/>
      <c r="AP128" s="59" t="n">
        <v>24</v>
      </c>
      <c r="AQ128" s="59" t="n">
        <v>6</v>
      </c>
      <c r="AR128" s="155" t="inlineStr">
        <is>
          <t>Shopify Western Brothers › Western Brothers Outlet Lerma: 24 | Odoo Universal Unique Brands › Bodega 25 › Bodega 25/General: 6</t>
        </is>
      </c>
    </row>
    <row r="129">
      <c r="A129" s="50" t="inlineStr">
        <is>
          <t>7506465083198</t>
        </is>
      </c>
      <c r="B129" s="51" t="inlineStr">
        <is>
          <t>112236</t>
        </is>
      </c>
      <c r="C129" s="156" t="inlineStr">
        <is>
          <t>Multimarca</t>
        </is>
      </c>
      <c r="D129" s="156" t="inlineStr">
        <is>
          <t>WACA0038</t>
        </is>
      </c>
      <c r="E129" s="156" t="inlineStr">
        <is>
          <t>WACA0038-26</t>
        </is>
      </c>
      <c r="F129" s="156" t="inlineStr">
        <is>
          <t>26</t>
        </is>
      </c>
      <c r="G129" s="156" t="inlineStr">
        <is>
          <t>8</t>
        </is>
      </c>
      <c r="H129" s="156" t="inlineStr">
        <is>
          <t>Wrangler</t>
        </is>
      </c>
      <c r="I129" s="156" t="inlineStr">
        <is>
          <t>Tenis Wrangler Coronel Víbora Café</t>
        </is>
      </c>
      <c r="J129" s="156" t="inlineStr">
        <is>
          <t>Calzado</t>
        </is>
      </c>
      <c r="K129" s="156" t="inlineStr">
        <is>
          <t>Tenis</t>
        </is>
      </c>
      <c r="L129" s="156" t="inlineStr">
        <is>
          <t>Hombre</t>
        </is>
      </c>
      <c r="M129" s="156" t="inlineStr">
        <is>
          <t>Wrangler</t>
        </is>
      </c>
      <c r="N129" s="156" t="inlineStr">
        <is>
          <t>SS26</t>
        </is>
      </c>
      <c r="O129" s="156" t="inlineStr">
        <is>
          <t>Seasonal</t>
        </is>
      </c>
      <c r="P129" s="156" t="inlineStr">
        <is>
          <t>Cafe</t>
        </is>
      </c>
      <c r="Q129" s="156" t="n"/>
      <c r="R129" s="156" t="n"/>
      <c r="S129" s="156" t="inlineStr">
        <is>
          <t>100% Piel</t>
        </is>
      </c>
      <c r="T129" s="156" t="inlineStr">
        <is>
          <t>Tenis Wrangler Coronel Víbora Café. Tenis de la marca Wrangler. Estilo WACA0038.</t>
        </is>
      </c>
      <c r="U129" s="156" t="inlineStr">
        <is>
          <t>México</t>
        </is>
      </c>
      <c r="V129" s="156" t="inlineStr">
        <is>
          <t>PRS</t>
        </is>
      </c>
      <c r="W129" s="51" t="inlineStr">
        <is>
          <t>53111900</t>
        </is>
      </c>
      <c r="X129" s="156" t="n"/>
      <c r="Y129" s="54" t="n">
        <v>603.02</v>
      </c>
      <c r="Z129" s="54" t="n">
        <v>1206.034483</v>
      </c>
      <c r="AA129" s="55">
        <f>IF(AND(A129="", B129="", E129=""), "", IF(AB129="", "Válido", IF((LEN(AB129)-LEN(SUBSTITUTE(AB129,"; ","")))/2+1&gt;(LEN(AB129)-LEN(SUBSTITUTE(AB129,"[Aviso]","")))/7, "Con Incidencias", "Válido")))</f>
        <v/>
      </c>
      <c r="AB129" s="56">
        <f>IF(AND(A129="", B129="", E129=""), "", TEXTJOIN("; ", TRUE, IF(OR(TRIM(A129&amp;"")="", ISNUMBER(SEARCH("FALTA", A129))), "UPC faltante/inválido", ""), IF(AND(A129&lt;&gt;"", IFERROR(_xlfn.XMATCH(A129,$A$2:$A$1063,0,1)&lt;&gt;_xlfn.XMATCH(A129,$A$2:$A$1063,0,-1),FALSE)), "Código de barras duplicado", ""), IF(AND(E129&lt;&gt;"", COUNTIF($E$2:$E$1063, E129)&gt;1), "SKU duplicado", ""), IF(OR(J129="", J129=""), "[Aviso] División no capturada ()", IF(ISNA(MATCH(J129, Criterios!$A$123:$A$126, 0)), "División no válida", "")), IF(OR(K129="", K129=""), "[Aviso] Categoría no capturada ()", IF(ISNA(MATCH(K129, Criterios!$A$81:$A$120, 0)), "Categoría no válida", IF(AND(J129&lt;&gt;"", J129&lt;&gt;"", J129&lt;&gt;VLOOKUP(K129, Criterios!$A$81:$B$120, 2, FALSE)), "División no coincide con Categoría", ""))), IF(OR(L129="", L129=""), "[Aviso] Género no capturado ()", IF(ISNA(MATCH(L129, Criterios!$B$123:$B$127, 0)), "Género no válido", "")), IF(OR(N129="", N129=""), "[Aviso] Temporada no capturada ()", IF(ISNA(MATCH(N129, Criterios!$C$123:$C$128, 0)), "Temporada no válida", "")), IF(OR(O129="", O129=""), "[Aviso] Ciclo de vida no capturado ()", IF(ISNA(MATCH(O129, Criterios!$D$123:$D$124, 0)), "Ciclo de vida no válido", ""))))</f>
        <v/>
      </c>
      <c r="AC129" s="56" t="n"/>
      <c r="AD129" s="51" t="n">
        <v>0</v>
      </c>
      <c r="AE129" s="156" t="n"/>
      <c r="AF129" s="51" t="n">
        <v>0</v>
      </c>
      <c r="AG129" s="156" t="inlineStr">
        <is>
          <t>Nuevo – NetSuite sin existencia</t>
        </is>
      </c>
      <c r="AH129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29" s="156" t="inlineStr">
        <is>
          <t>No</t>
        </is>
      </c>
      <c r="AJ129" s="156" t="n"/>
      <c r="AK129" s="155" t="inlineStr">
        <is>
          <t>ProductosCatalogoEstandar907.xlsx: fila 6047 [L,N,O,S,U,Y]; G1522_Extraccion_Articulos_NetSuite_2026-09-30.xlsx: fila 59482 [M,P,V,Y,S] | Shopify WB: producto 8626599690425 / variante 48347151859897</t>
        </is>
      </c>
      <c r="AL129" s="58" t="n"/>
      <c r="AM129" s="58" t="n">
        <v>1206.034483</v>
      </c>
      <c r="AN129" s="155" t="inlineStr">
        <is>
          <t>Shopify Western Brothers</t>
        </is>
      </c>
      <c r="AO129" s="59" t="n"/>
      <c r="AP129" s="59" t="n">
        <v>0</v>
      </c>
      <c r="AQ129" s="59" t="n"/>
      <c r="AR129" s="155" t="n"/>
    </row>
    <row r="130">
      <c r="A130" s="50" t="inlineStr">
        <is>
          <t>7506465083204</t>
        </is>
      </c>
      <c r="B130" s="51" t="inlineStr">
        <is>
          <t>112237</t>
        </is>
      </c>
      <c r="C130" s="156" t="inlineStr">
        <is>
          <t>Multimarca</t>
        </is>
      </c>
      <c r="D130" s="156" t="inlineStr">
        <is>
          <t>WACA0038</t>
        </is>
      </c>
      <c r="E130" s="156" t="inlineStr">
        <is>
          <t>WACA0038-26.5</t>
        </is>
      </c>
      <c r="F130" s="156" t="inlineStr">
        <is>
          <t>26.5</t>
        </is>
      </c>
      <c r="G130" s="156" t="inlineStr">
        <is>
          <t>8.5</t>
        </is>
      </c>
      <c r="H130" s="156" t="inlineStr">
        <is>
          <t>Wrangler</t>
        </is>
      </c>
      <c r="I130" s="156" t="inlineStr">
        <is>
          <t>Tenis Wrangler Coronel Víbora Café</t>
        </is>
      </c>
      <c r="J130" s="156" t="inlineStr">
        <is>
          <t>Calzado</t>
        </is>
      </c>
      <c r="K130" s="156" t="inlineStr">
        <is>
          <t>Tenis</t>
        </is>
      </c>
      <c r="L130" s="156" t="inlineStr">
        <is>
          <t>Hombre</t>
        </is>
      </c>
      <c r="M130" s="156" t="inlineStr">
        <is>
          <t>Wrangler</t>
        </is>
      </c>
      <c r="N130" s="156" t="inlineStr">
        <is>
          <t>SS26</t>
        </is>
      </c>
      <c r="O130" s="156" t="inlineStr">
        <is>
          <t>Seasonal</t>
        </is>
      </c>
      <c r="P130" s="156" t="inlineStr">
        <is>
          <t>Cafe</t>
        </is>
      </c>
      <c r="Q130" s="156" t="n"/>
      <c r="R130" s="156" t="n"/>
      <c r="S130" s="156" t="inlineStr">
        <is>
          <t>100% Piel</t>
        </is>
      </c>
      <c r="T130" s="156" t="inlineStr">
        <is>
          <t>Tenis Wrangler Coronel Víbora Café. Tenis de la marca Wrangler. Estilo WACA0038.</t>
        </is>
      </c>
      <c r="U130" s="156" t="inlineStr">
        <is>
          <t>México</t>
        </is>
      </c>
      <c r="V130" s="156" t="inlineStr">
        <is>
          <t>PRS</t>
        </is>
      </c>
      <c r="W130" s="51" t="inlineStr">
        <is>
          <t>53111900</t>
        </is>
      </c>
      <c r="X130" s="156" t="n"/>
      <c r="Y130" s="54" t="n">
        <v>603.02</v>
      </c>
      <c r="Z130" s="54" t="n">
        <v>1206.034483</v>
      </c>
      <c r="AA130" s="55">
        <f>IF(AND(A130="", B130="", E130=""), "", IF(AB130="", "Válido", IF((LEN(AB130)-LEN(SUBSTITUTE(AB130,"; ","")))/2+1&gt;(LEN(AB130)-LEN(SUBSTITUTE(AB130,"[Aviso]","")))/7, "Con Incidencias", "Válido")))</f>
        <v/>
      </c>
      <c r="AB130" s="56">
        <f>IF(AND(A130="", B130="", E130=""), "", TEXTJOIN("; ", TRUE, IF(OR(TRIM(A130&amp;"")="", ISNUMBER(SEARCH("FALTA", A130))), "UPC faltante/inválido", ""), IF(AND(A130&lt;&gt;"", IFERROR(_xlfn.XMATCH(A130,$A$2:$A$1063,0,1)&lt;&gt;_xlfn.XMATCH(A130,$A$2:$A$1063,0,-1),FALSE)), "Código de barras duplicado", ""), IF(AND(E130&lt;&gt;"", COUNTIF($E$2:$E$1063, E130)&gt;1), "SKU duplicado", ""), IF(OR(J130="", J130=""), "[Aviso] División no capturada ()", IF(ISNA(MATCH(J130, Criterios!$A$123:$A$126, 0)), "División no válida", "")), IF(OR(K130="", K130=""), "[Aviso] Categoría no capturada ()", IF(ISNA(MATCH(K130, Criterios!$A$81:$A$120, 0)), "Categoría no válida", IF(AND(J130&lt;&gt;"", J130&lt;&gt;"", J130&lt;&gt;VLOOKUP(K130, Criterios!$A$81:$B$120, 2, FALSE)), "División no coincide con Categoría", ""))), IF(OR(L130="", L130=""), "[Aviso] Género no capturado ()", IF(ISNA(MATCH(L130, Criterios!$B$123:$B$127, 0)), "Género no válido", "")), IF(OR(N130="", N130=""), "[Aviso] Temporada no capturada ()", IF(ISNA(MATCH(N130, Criterios!$C$123:$C$128, 0)), "Temporada no válida", "")), IF(OR(O130="", O130=""), "[Aviso] Ciclo de vida no capturado ()", IF(ISNA(MATCH(O130, Criterios!$D$123:$D$124, 0)), "Ciclo de vida no válido", ""))))</f>
        <v/>
      </c>
      <c r="AC130" s="56" t="n"/>
      <c r="AD130" s="51" t="n">
        <v>0</v>
      </c>
      <c r="AE130" s="156" t="n"/>
      <c r="AF130" s="51" t="n">
        <v>0</v>
      </c>
      <c r="AG130" s="156" t="inlineStr">
        <is>
          <t>Nuevo – NetSuite sin existencia</t>
        </is>
      </c>
      <c r="AH130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30" s="156" t="inlineStr">
        <is>
          <t>No</t>
        </is>
      </c>
      <c r="AJ130" s="156" t="n"/>
      <c r="AK130" s="155" t="inlineStr">
        <is>
          <t>ProductosCatalogoEstandar907.xlsx: fila 6048 [L,N,O,S,U,Y]; G1522_Extraccion_Articulos_NetSuite_2026-09-30.xlsx: fila 59483 [M,P,V,Y,S] | Shopify WB: producto 8626599690425 / variante 48347151892665</t>
        </is>
      </c>
      <c r="AL130" s="58" t="n"/>
      <c r="AM130" s="58" t="n">
        <v>1206.034483</v>
      </c>
      <c r="AN130" s="155" t="inlineStr">
        <is>
          <t>Shopify Western Brothers</t>
        </is>
      </c>
      <c r="AO130" s="59" t="n"/>
      <c r="AP130" s="59" t="n">
        <v>0</v>
      </c>
      <c r="AQ130" s="59" t="n"/>
      <c r="AR130" s="155" t="n"/>
    </row>
    <row r="131">
      <c r="A131" s="50" t="inlineStr">
        <is>
          <t>7506465083211</t>
        </is>
      </c>
      <c r="B131" s="51" t="inlineStr">
        <is>
          <t>112238</t>
        </is>
      </c>
      <c r="C131" s="156" t="inlineStr">
        <is>
          <t>Multimarca</t>
        </is>
      </c>
      <c r="D131" s="156" t="inlineStr">
        <is>
          <t>WACA0038</t>
        </is>
      </c>
      <c r="E131" s="156" t="inlineStr">
        <is>
          <t>WACA0038-27</t>
        </is>
      </c>
      <c r="F131" s="156" t="inlineStr">
        <is>
          <t>27</t>
        </is>
      </c>
      <c r="G131" s="156" t="inlineStr">
        <is>
          <t>9</t>
        </is>
      </c>
      <c r="H131" s="156" t="inlineStr">
        <is>
          <t>Wrangler</t>
        </is>
      </c>
      <c r="I131" s="156" t="inlineStr">
        <is>
          <t>Tenis Wrangler Coronel Víbora Café</t>
        </is>
      </c>
      <c r="J131" s="156" t="inlineStr">
        <is>
          <t>Calzado</t>
        </is>
      </c>
      <c r="K131" s="156" t="inlineStr">
        <is>
          <t>Tenis</t>
        </is>
      </c>
      <c r="L131" s="156" t="inlineStr">
        <is>
          <t>Hombre</t>
        </is>
      </c>
      <c r="M131" s="156" t="inlineStr">
        <is>
          <t>Wrangler</t>
        </is>
      </c>
      <c r="N131" s="156" t="inlineStr">
        <is>
          <t>SS26</t>
        </is>
      </c>
      <c r="O131" s="156" t="inlineStr">
        <is>
          <t>Seasonal</t>
        </is>
      </c>
      <c r="P131" s="156" t="inlineStr">
        <is>
          <t>Cafe</t>
        </is>
      </c>
      <c r="Q131" s="156" t="n"/>
      <c r="R131" s="156" t="n"/>
      <c r="S131" s="156" t="inlineStr">
        <is>
          <t>100% Piel</t>
        </is>
      </c>
      <c r="T131" s="156" t="inlineStr">
        <is>
          <t>Tenis Wrangler Coronel Víbora Café. Tenis de la marca Wrangler. Estilo WACA0038.</t>
        </is>
      </c>
      <c r="U131" s="156" t="inlineStr">
        <is>
          <t>México</t>
        </is>
      </c>
      <c r="V131" s="156" t="inlineStr">
        <is>
          <t>PRS</t>
        </is>
      </c>
      <c r="W131" s="51" t="inlineStr">
        <is>
          <t>53111900</t>
        </is>
      </c>
      <c r="X131" s="156" t="n"/>
      <c r="Y131" s="54" t="n">
        <v>603.02</v>
      </c>
      <c r="Z131" s="54" t="n">
        <v>1206.034483</v>
      </c>
      <c r="AA131" s="55">
        <f>IF(AND(A131="", B131="", E131=""), "", IF(AB131="", "Válido", IF((LEN(AB131)-LEN(SUBSTITUTE(AB131,"; ","")))/2+1&gt;(LEN(AB131)-LEN(SUBSTITUTE(AB131,"[Aviso]","")))/7, "Con Incidencias", "Válido")))</f>
        <v/>
      </c>
      <c r="AB131" s="56">
        <f>IF(AND(A131="", B131="", E131=""), "", TEXTJOIN("; ", TRUE, IF(OR(TRIM(A131&amp;"")="", ISNUMBER(SEARCH("FALTA", A131))), "UPC faltante/inválido", ""), IF(AND(A131&lt;&gt;"", IFERROR(_xlfn.XMATCH(A131,$A$2:$A$1063,0,1)&lt;&gt;_xlfn.XMATCH(A131,$A$2:$A$1063,0,-1),FALSE)), "Código de barras duplicado", ""), IF(AND(E131&lt;&gt;"", COUNTIF($E$2:$E$1063, E131)&gt;1), "SKU duplicado", ""), IF(OR(J131="", J131=""), "[Aviso] División no capturada ()", IF(ISNA(MATCH(J131, Criterios!$A$123:$A$126, 0)), "División no válida", "")), IF(OR(K131="", K131=""), "[Aviso] Categoría no capturada ()", IF(ISNA(MATCH(K131, Criterios!$A$81:$A$120, 0)), "Categoría no válida", IF(AND(J131&lt;&gt;"", J131&lt;&gt;"", J131&lt;&gt;VLOOKUP(K131, Criterios!$A$81:$B$120, 2, FALSE)), "División no coincide con Categoría", ""))), IF(OR(L131="", L131=""), "[Aviso] Género no capturado ()", IF(ISNA(MATCH(L131, Criterios!$B$123:$B$127, 0)), "Género no válido", "")), IF(OR(N131="", N131=""), "[Aviso] Temporada no capturada ()", IF(ISNA(MATCH(N131, Criterios!$C$123:$C$128, 0)), "Temporada no válida", "")), IF(OR(O131="", O131=""), "[Aviso] Ciclo de vida no capturado ()", IF(ISNA(MATCH(O131, Criterios!$D$123:$D$124, 0)), "Ciclo de vida no válido", ""))))</f>
        <v/>
      </c>
      <c r="AC131" s="56" t="n"/>
      <c r="AD131" s="51" t="n">
        <v>0</v>
      </c>
      <c r="AE131" s="156" t="n"/>
      <c r="AF131" s="51" t="n">
        <v>0</v>
      </c>
      <c r="AG131" s="156" t="inlineStr">
        <is>
          <t>Nuevo – NetSuite sin existencia</t>
        </is>
      </c>
      <c r="AH131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31" s="156" t="inlineStr">
        <is>
          <t>No</t>
        </is>
      </c>
      <c r="AJ131" s="156" t="n"/>
      <c r="AK131" s="155" t="inlineStr">
        <is>
          <t>ProductosCatalogoEstandar907.xlsx: fila 6049 [L,N,O,S,U,Y]; G1522_Extraccion_Articulos_NetSuite_2026-09-30.xlsx: fila 59484 [M,P,V,Y,S] | Shopify WB: producto 8626599690425 / variante 48347151925433</t>
        </is>
      </c>
      <c r="AL131" s="58" t="n"/>
      <c r="AM131" s="58" t="n">
        <v>1206.034483</v>
      </c>
      <c r="AN131" s="155" t="inlineStr">
        <is>
          <t>Shopify Western Brothers</t>
        </is>
      </c>
      <c r="AO131" s="59" t="n"/>
      <c r="AP131" s="59" t="n">
        <v>0</v>
      </c>
      <c r="AQ131" s="59" t="n"/>
      <c r="AR131" s="155" t="n"/>
    </row>
    <row r="132">
      <c r="A132" s="50" t="inlineStr">
        <is>
          <t>7506465083228</t>
        </is>
      </c>
      <c r="B132" s="51" t="inlineStr">
        <is>
          <t>112239</t>
        </is>
      </c>
      <c r="C132" s="156" t="inlineStr">
        <is>
          <t>Multimarca</t>
        </is>
      </c>
      <c r="D132" s="156" t="inlineStr">
        <is>
          <t>WACA0038</t>
        </is>
      </c>
      <c r="E132" s="156" t="inlineStr">
        <is>
          <t>WACA0038-27.5</t>
        </is>
      </c>
      <c r="F132" s="156" t="inlineStr">
        <is>
          <t>27.5</t>
        </is>
      </c>
      <c r="G132" s="156" t="inlineStr">
        <is>
          <t>9.5</t>
        </is>
      </c>
      <c r="H132" s="156" t="inlineStr">
        <is>
          <t>Wrangler</t>
        </is>
      </c>
      <c r="I132" s="156" t="inlineStr">
        <is>
          <t>Tenis Wrangler Coronel Víbora Café</t>
        </is>
      </c>
      <c r="J132" s="156" t="inlineStr">
        <is>
          <t>Calzado</t>
        </is>
      </c>
      <c r="K132" s="156" t="inlineStr">
        <is>
          <t>Tenis</t>
        </is>
      </c>
      <c r="L132" s="156" t="inlineStr">
        <is>
          <t>Hombre</t>
        </is>
      </c>
      <c r="M132" s="156" t="inlineStr">
        <is>
          <t>Wrangler</t>
        </is>
      </c>
      <c r="N132" s="156" t="inlineStr">
        <is>
          <t>SS26</t>
        </is>
      </c>
      <c r="O132" s="156" t="inlineStr">
        <is>
          <t>Seasonal</t>
        </is>
      </c>
      <c r="P132" s="156" t="inlineStr">
        <is>
          <t>Cafe</t>
        </is>
      </c>
      <c r="Q132" s="156" t="n"/>
      <c r="R132" s="156" t="n"/>
      <c r="S132" s="156" t="inlineStr">
        <is>
          <t>100% Piel</t>
        </is>
      </c>
      <c r="T132" s="156" t="inlineStr">
        <is>
          <t>Tenis Wrangler Coronel Víbora Café. Tenis de la marca Wrangler. Estilo WACA0038.</t>
        </is>
      </c>
      <c r="U132" s="156" t="inlineStr">
        <is>
          <t>México</t>
        </is>
      </c>
      <c r="V132" s="156" t="inlineStr">
        <is>
          <t>PRS</t>
        </is>
      </c>
      <c r="W132" s="51" t="inlineStr">
        <is>
          <t>53111900</t>
        </is>
      </c>
      <c r="X132" s="156" t="n"/>
      <c r="Y132" s="54" t="n">
        <v>603.02</v>
      </c>
      <c r="Z132" s="54" t="n">
        <v>1206.034483</v>
      </c>
      <c r="AA132" s="55">
        <f>IF(AND(A132="", B132="", E132=""), "", IF(AB132="", "Válido", IF((LEN(AB132)-LEN(SUBSTITUTE(AB132,"; ","")))/2+1&gt;(LEN(AB132)-LEN(SUBSTITUTE(AB132,"[Aviso]","")))/7, "Con Incidencias", "Válido")))</f>
        <v/>
      </c>
      <c r="AB132" s="56">
        <f>IF(AND(A132="", B132="", E132=""), "", TEXTJOIN("; ", TRUE, IF(OR(TRIM(A132&amp;"")="", ISNUMBER(SEARCH("FALTA", A132))), "UPC faltante/inválido", ""), IF(AND(A132&lt;&gt;"", IFERROR(_xlfn.XMATCH(A132,$A$2:$A$1063,0,1)&lt;&gt;_xlfn.XMATCH(A132,$A$2:$A$1063,0,-1),FALSE)), "Código de barras duplicado", ""), IF(AND(E132&lt;&gt;"", COUNTIF($E$2:$E$1063, E132)&gt;1), "SKU duplicado", ""), IF(OR(J132="", J132=""), "[Aviso] División no capturada ()", IF(ISNA(MATCH(J132, Criterios!$A$123:$A$126, 0)), "División no válida", "")), IF(OR(K132="", K132=""), "[Aviso] Categoría no capturada ()", IF(ISNA(MATCH(K132, Criterios!$A$81:$A$120, 0)), "Categoría no válida", IF(AND(J132&lt;&gt;"", J132&lt;&gt;"", J132&lt;&gt;VLOOKUP(K132, Criterios!$A$81:$B$120, 2, FALSE)), "División no coincide con Categoría", ""))), IF(OR(L132="", L132=""), "[Aviso] Género no capturado ()", IF(ISNA(MATCH(L132, Criterios!$B$123:$B$127, 0)), "Género no válido", "")), IF(OR(N132="", N132=""), "[Aviso] Temporada no capturada ()", IF(ISNA(MATCH(N132, Criterios!$C$123:$C$128, 0)), "Temporada no válida", "")), IF(OR(O132="", O132=""), "[Aviso] Ciclo de vida no capturado ()", IF(ISNA(MATCH(O132, Criterios!$D$123:$D$124, 0)), "Ciclo de vida no válido", ""))))</f>
        <v/>
      </c>
      <c r="AC132" s="56" t="n"/>
      <c r="AD132" s="51" t="n">
        <v>0</v>
      </c>
      <c r="AE132" s="156" t="n"/>
      <c r="AF132" s="51" t="n">
        <v>0</v>
      </c>
      <c r="AG132" s="156" t="inlineStr">
        <is>
          <t>Nuevo – NetSuite sin existencia</t>
        </is>
      </c>
      <c r="AH132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32" s="156" t="inlineStr">
        <is>
          <t>No</t>
        </is>
      </c>
      <c r="AJ132" s="156" t="n"/>
      <c r="AK132" s="155" t="inlineStr">
        <is>
          <t>ProductosCatalogoEstandar907.xlsx: fila 6050 [L,N,O,S,U,Y]; G1522_Extraccion_Articulos_NetSuite_2026-09-30.xlsx: fila 59485 [M,P,V,Y,S] | Shopify WB: producto 8626599690425 / variante 48347151958201</t>
        </is>
      </c>
      <c r="AL132" s="58" t="n"/>
      <c r="AM132" s="58" t="n">
        <v>1206.034483</v>
      </c>
      <c r="AN132" s="155" t="inlineStr">
        <is>
          <t>Shopify Western Brothers</t>
        </is>
      </c>
      <c r="AO132" s="59" t="n"/>
      <c r="AP132" s="59" t="n">
        <v>0</v>
      </c>
      <c r="AQ132" s="59" t="n"/>
      <c r="AR132" s="155" t="n"/>
    </row>
    <row r="133">
      <c r="A133" s="50" t="inlineStr">
        <is>
          <t>7506465083235</t>
        </is>
      </c>
      <c r="B133" s="51" t="inlineStr">
        <is>
          <t>112240</t>
        </is>
      </c>
      <c r="C133" s="156" t="inlineStr">
        <is>
          <t>Multimarca</t>
        </is>
      </c>
      <c r="D133" s="156" t="inlineStr">
        <is>
          <t>WACA0038</t>
        </is>
      </c>
      <c r="E133" s="156" t="inlineStr">
        <is>
          <t>WACA0038-28</t>
        </is>
      </c>
      <c r="F133" s="156" t="inlineStr">
        <is>
          <t>28</t>
        </is>
      </c>
      <c r="G133" s="156" t="inlineStr">
        <is>
          <t>10</t>
        </is>
      </c>
      <c r="H133" s="156" t="inlineStr">
        <is>
          <t>Wrangler</t>
        </is>
      </c>
      <c r="I133" s="156" t="inlineStr">
        <is>
          <t>Tenis Wrangler Coronel Víbora Café</t>
        </is>
      </c>
      <c r="J133" s="156" t="inlineStr">
        <is>
          <t>Calzado</t>
        </is>
      </c>
      <c r="K133" s="156" t="inlineStr">
        <is>
          <t>Tenis</t>
        </is>
      </c>
      <c r="L133" s="156" t="inlineStr">
        <is>
          <t>Hombre</t>
        </is>
      </c>
      <c r="M133" s="156" t="inlineStr">
        <is>
          <t>Wrangler</t>
        </is>
      </c>
      <c r="N133" s="156" t="inlineStr">
        <is>
          <t>SS26</t>
        </is>
      </c>
      <c r="O133" s="156" t="inlineStr">
        <is>
          <t>Seasonal</t>
        </is>
      </c>
      <c r="P133" s="156" t="inlineStr">
        <is>
          <t>Cafe</t>
        </is>
      </c>
      <c r="Q133" s="156" t="n"/>
      <c r="R133" s="156" t="n"/>
      <c r="S133" s="156" t="inlineStr">
        <is>
          <t>100% Piel</t>
        </is>
      </c>
      <c r="T133" s="156" t="inlineStr">
        <is>
          <t>Tenis Wrangler Coronel Víbora Café. Tenis de la marca Wrangler. Estilo WACA0038.</t>
        </is>
      </c>
      <c r="U133" s="156" t="inlineStr">
        <is>
          <t>México</t>
        </is>
      </c>
      <c r="V133" s="156" t="inlineStr">
        <is>
          <t>PRS</t>
        </is>
      </c>
      <c r="W133" s="51" t="inlineStr">
        <is>
          <t>53111900</t>
        </is>
      </c>
      <c r="X133" s="156" t="n"/>
      <c r="Y133" s="54" t="n">
        <v>603.02</v>
      </c>
      <c r="Z133" s="54" t="n">
        <v>1206.034483</v>
      </c>
      <c r="AA133" s="55">
        <f>IF(AND(A133="", B133="", E133=""), "", IF(AB133="", "Válido", IF((LEN(AB133)-LEN(SUBSTITUTE(AB133,"; ","")))/2+1&gt;(LEN(AB133)-LEN(SUBSTITUTE(AB133,"[Aviso]","")))/7, "Con Incidencias", "Válido")))</f>
        <v/>
      </c>
      <c r="AB133" s="56">
        <f>IF(AND(A133="", B133="", E133=""), "", TEXTJOIN("; ", TRUE, IF(OR(TRIM(A133&amp;"")="", ISNUMBER(SEARCH("FALTA", A133))), "UPC faltante/inválido", ""), IF(AND(A133&lt;&gt;"", IFERROR(_xlfn.XMATCH(A133,$A$2:$A$1063,0,1)&lt;&gt;_xlfn.XMATCH(A133,$A$2:$A$1063,0,-1),FALSE)), "Código de barras duplicado", ""), IF(AND(E133&lt;&gt;"", COUNTIF($E$2:$E$1063, E133)&gt;1), "SKU duplicado", ""), IF(OR(J133="", J133=""), "[Aviso] División no capturada ()", IF(ISNA(MATCH(J133, Criterios!$A$123:$A$126, 0)), "División no válida", "")), IF(OR(K133="", K133=""), "[Aviso] Categoría no capturada ()", IF(ISNA(MATCH(K133, Criterios!$A$81:$A$120, 0)), "Categoría no válida", IF(AND(J133&lt;&gt;"", J133&lt;&gt;"", J133&lt;&gt;VLOOKUP(K133, Criterios!$A$81:$B$120, 2, FALSE)), "División no coincide con Categoría", ""))), IF(OR(L133="", L133=""), "[Aviso] Género no capturado ()", IF(ISNA(MATCH(L133, Criterios!$B$123:$B$127, 0)), "Género no válido", "")), IF(OR(N133="", N133=""), "[Aviso] Temporada no capturada ()", IF(ISNA(MATCH(N133, Criterios!$C$123:$C$128, 0)), "Temporada no válida", "")), IF(OR(O133="", O133=""), "[Aviso] Ciclo de vida no capturado ()", IF(ISNA(MATCH(O133, Criterios!$D$123:$D$124, 0)), "Ciclo de vida no válido", ""))))</f>
        <v/>
      </c>
      <c r="AC133" s="56" t="n"/>
      <c r="AD133" s="51" t="n">
        <v>0</v>
      </c>
      <c r="AE133" s="156" t="n"/>
      <c r="AF133" s="51" t="n">
        <v>0</v>
      </c>
      <c r="AG133" s="156" t="inlineStr">
        <is>
          <t>Nuevo – NetSuite sin existencia</t>
        </is>
      </c>
      <c r="AH133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33" s="156" t="inlineStr">
        <is>
          <t>No</t>
        </is>
      </c>
      <c r="AJ133" s="156" t="n"/>
      <c r="AK133" s="155" t="inlineStr">
        <is>
          <t>ProductosCatalogoEstandar907.xlsx: fila 6051 [L,N,O,S,U,Y]; G1522_Extraccion_Articulos_NetSuite_2026-09-30.xlsx: fila 59486 [M,P,V,Y,S] | Shopify WB: producto 8626599690425 / variante 48347151990969</t>
        </is>
      </c>
      <c r="AL133" s="58" t="n"/>
      <c r="AM133" s="58" t="n">
        <v>1206.034483</v>
      </c>
      <c r="AN133" s="155" t="inlineStr">
        <is>
          <t>Shopify Western Brothers</t>
        </is>
      </c>
      <c r="AO133" s="59" t="n"/>
      <c r="AP133" s="59" t="n">
        <v>0</v>
      </c>
      <c r="AQ133" s="59" t="n"/>
      <c r="AR133" s="155" t="n"/>
    </row>
    <row r="134">
      <c r="A134" s="50" t="inlineStr">
        <is>
          <t>7506465083242</t>
        </is>
      </c>
      <c r="B134" s="51" t="inlineStr">
        <is>
          <t>112241</t>
        </is>
      </c>
      <c r="C134" s="156" t="inlineStr">
        <is>
          <t>Multimarca</t>
        </is>
      </c>
      <c r="D134" s="156" t="inlineStr">
        <is>
          <t>WACA0038</t>
        </is>
      </c>
      <c r="E134" s="156" t="inlineStr">
        <is>
          <t>WACA0038-28.5</t>
        </is>
      </c>
      <c r="F134" s="156" t="inlineStr">
        <is>
          <t>28.5</t>
        </is>
      </c>
      <c r="G134" s="156" t="inlineStr">
        <is>
          <t>10.5</t>
        </is>
      </c>
      <c r="H134" s="156" t="inlineStr">
        <is>
          <t>Wrangler</t>
        </is>
      </c>
      <c r="I134" s="156" t="inlineStr">
        <is>
          <t>Tenis Wrangler Coronel Víbora Café</t>
        </is>
      </c>
      <c r="J134" s="156" t="inlineStr">
        <is>
          <t>Calzado</t>
        </is>
      </c>
      <c r="K134" s="156" t="inlineStr">
        <is>
          <t>Tenis</t>
        </is>
      </c>
      <c r="L134" s="156" t="inlineStr">
        <is>
          <t>Hombre</t>
        </is>
      </c>
      <c r="M134" s="156" t="inlineStr">
        <is>
          <t>Wrangler</t>
        </is>
      </c>
      <c r="N134" s="156" t="inlineStr">
        <is>
          <t>SS26</t>
        </is>
      </c>
      <c r="O134" s="156" t="inlineStr">
        <is>
          <t>Seasonal</t>
        </is>
      </c>
      <c r="P134" s="156" t="inlineStr">
        <is>
          <t>Cafe</t>
        </is>
      </c>
      <c r="Q134" s="156" t="n"/>
      <c r="R134" s="156" t="n"/>
      <c r="S134" s="156" t="inlineStr">
        <is>
          <t>100% Piel</t>
        </is>
      </c>
      <c r="T134" s="156" t="inlineStr">
        <is>
          <t>Tenis Wrangler Coronel Víbora Café. Tenis de la marca Wrangler. Estilo WACA0038.</t>
        </is>
      </c>
      <c r="U134" s="156" t="inlineStr">
        <is>
          <t>México</t>
        </is>
      </c>
      <c r="V134" s="156" t="inlineStr">
        <is>
          <t>PRS</t>
        </is>
      </c>
      <c r="W134" s="51" t="inlineStr">
        <is>
          <t>53111900</t>
        </is>
      </c>
      <c r="X134" s="156" t="n"/>
      <c r="Y134" s="54" t="n">
        <v>603.02</v>
      </c>
      <c r="Z134" s="54" t="n">
        <v>1206.034483</v>
      </c>
      <c r="AA134" s="55">
        <f>IF(AND(A134="", B134="", E134=""), "", IF(AB134="", "Válido", IF((LEN(AB134)-LEN(SUBSTITUTE(AB134,"; ","")))/2+1&gt;(LEN(AB134)-LEN(SUBSTITUTE(AB134,"[Aviso]","")))/7, "Con Incidencias", "Válido")))</f>
        <v/>
      </c>
      <c r="AB134" s="56">
        <f>IF(AND(A134="", B134="", E134=""), "", TEXTJOIN("; ", TRUE, IF(OR(TRIM(A134&amp;"")="", ISNUMBER(SEARCH("FALTA", A134))), "UPC faltante/inválido", ""), IF(AND(A134&lt;&gt;"", IFERROR(_xlfn.XMATCH(A134,$A$2:$A$1063,0,1)&lt;&gt;_xlfn.XMATCH(A134,$A$2:$A$1063,0,-1),FALSE)), "Código de barras duplicado", ""), IF(AND(E134&lt;&gt;"", COUNTIF($E$2:$E$1063, E134)&gt;1), "SKU duplicado", ""), IF(OR(J134="", J134=""), "[Aviso] División no capturada ()", IF(ISNA(MATCH(J134, Criterios!$A$123:$A$126, 0)), "División no válida", "")), IF(OR(K134="", K134=""), "[Aviso] Categoría no capturada ()", IF(ISNA(MATCH(K134, Criterios!$A$81:$A$120, 0)), "Categoría no válida", IF(AND(J134&lt;&gt;"", J134&lt;&gt;"", J134&lt;&gt;VLOOKUP(K134, Criterios!$A$81:$B$120, 2, FALSE)), "División no coincide con Categoría", ""))), IF(OR(L134="", L134=""), "[Aviso] Género no capturado ()", IF(ISNA(MATCH(L134, Criterios!$B$123:$B$127, 0)), "Género no válido", "")), IF(OR(N134="", N134=""), "[Aviso] Temporada no capturada ()", IF(ISNA(MATCH(N134, Criterios!$C$123:$C$128, 0)), "Temporada no válida", "")), IF(OR(O134="", O134=""), "[Aviso] Ciclo de vida no capturado ()", IF(ISNA(MATCH(O134, Criterios!$D$123:$D$124, 0)), "Ciclo de vida no válido", ""))))</f>
        <v/>
      </c>
      <c r="AC134" s="56" t="n"/>
      <c r="AD134" s="51" t="n">
        <v>-1</v>
      </c>
      <c r="AE134" s="156" t="n"/>
      <c r="AF134" s="51" t="n">
        <v>0</v>
      </c>
      <c r="AG134" s="156" t="inlineStr">
        <is>
          <t>Nuevo – NetSuite con existencia</t>
        </is>
      </c>
      <c r="AH134" s="156" t="inlineStr">
        <is>
          <t>Género por validar; Stock negativo en sistema: revisar en conteo | Revisión 29/09/2026: Campos sin respaldo: R, X; Auditoría NetSuite 30/09/2026: llenado desde NetSuite [M,P,V,Y,S] | 01/10/2026: complementado desde Shopify Western Brothers (match por código de barras): WB Fit, WB Silueta</t>
        </is>
      </c>
      <c r="AI134" s="156" t="inlineStr">
        <is>
          <t>Sí</t>
        </is>
      </c>
      <c r="AJ134" s="156" t="inlineStr">
        <is>
          <t>WB OUTLET LERMA (-1)</t>
        </is>
      </c>
      <c r="AK134" s="155" t="inlineStr">
        <is>
          <t>ProductosCatalogoEstandar907.xlsx: fila 6052 [L,N,O,S,U,Y]; G1522_Extraccion_Articulos_NetSuite_2026-09-30.xlsx: fila 59487 [M,P,V,Y,S] | Shopify WB: producto 8626599690425 / variante 48347152023737</t>
        </is>
      </c>
      <c r="AL134" s="58" t="n"/>
      <c r="AM134" s="58" t="n">
        <v>1206.034483</v>
      </c>
      <c r="AN134" s="155" t="inlineStr">
        <is>
          <t>Shopify Western Brothers</t>
        </is>
      </c>
      <c r="AO134" s="59" t="n"/>
      <c r="AP134" s="59" t="n">
        <v>0</v>
      </c>
      <c r="AQ134" s="59" t="n"/>
      <c r="AR134" s="155" t="n"/>
    </row>
    <row r="135">
      <c r="A135" s="50" t="inlineStr">
        <is>
          <t>7506465083327</t>
        </is>
      </c>
      <c r="B135" s="51" t="inlineStr">
        <is>
          <t>112242</t>
        </is>
      </c>
      <c r="C135" s="156" t="inlineStr">
        <is>
          <t>Multimarca</t>
        </is>
      </c>
      <c r="D135" s="156" t="inlineStr">
        <is>
          <t>WACA0039</t>
        </is>
      </c>
      <c r="E135" s="156" t="inlineStr">
        <is>
          <t>WACA0039-26</t>
        </is>
      </c>
      <c r="F135" s="156" t="inlineStr">
        <is>
          <t>26</t>
        </is>
      </c>
      <c r="G135" s="156" t="inlineStr">
        <is>
          <t>8</t>
        </is>
      </c>
      <c r="H135" s="156" t="inlineStr">
        <is>
          <t>Wrangler</t>
        </is>
      </c>
      <c r="I135" s="156" t="inlineStr">
        <is>
          <t>Tenis Wrangler Coronel Víbora Negro</t>
        </is>
      </c>
      <c r="J135" s="156" t="inlineStr">
        <is>
          <t>Calzado</t>
        </is>
      </c>
      <c r="K135" s="156" t="inlineStr">
        <is>
          <t>Tenis</t>
        </is>
      </c>
      <c r="L135" s="156" t="inlineStr">
        <is>
          <t>Hombre</t>
        </is>
      </c>
      <c r="M135" s="156" t="inlineStr">
        <is>
          <t>Wrangler</t>
        </is>
      </c>
      <c r="N135" s="156" t="inlineStr">
        <is>
          <t>SS26</t>
        </is>
      </c>
      <c r="O135" s="156" t="inlineStr">
        <is>
          <t>Seasonal</t>
        </is>
      </c>
      <c r="P135" s="156" t="inlineStr">
        <is>
          <t>Negro</t>
        </is>
      </c>
      <c r="Q135" s="156" t="n"/>
      <c r="R135" s="156" t="n"/>
      <c r="S135" s="156" t="inlineStr">
        <is>
          <t>100% Piel</t>
        </is>
      </c>
      <c r="T135" s="156" t="inlineStr">
        <is>
          <t>Tenis Wrangler Coronel Víbora Negro. Tenis de la marca Wrangler. Estilo WACA0039.</t>
        </is>
      </c>
      <c r="U135" s="156" t="inlineStr">
        <is>
          <t>México</t>
        </is>
      </c>
      <c r="V135" s="156" t="inlineStr">
        <is>
          <t>PRS</t>
        </is>
      </c>
      <c r="W135" s="51" t="inlineStr">
        <is>
          <t>53111900</t>
        </is>
      </c>
      <c r="X135" s="156" t="n"/>
      <c r="Y135" s="54" t="n">
        <v>603.02</v>
      </c>
      <c r="Z135" s="54" t="n">
        <v>1206.034483</v>
      </c>
      <c r="AA135" s="55">
        <f>IF(AND(A135="", B135="", E135=""), "", IF(AB135="", "Válido", IF((LEN(AB135)-LEN(SUBSTITUTE(AB135,"; ","")))/2+1&gt;(LEN(AB135)-LEN(SUBSTITUTE(AB135,"[Aviso]","")))/7, "Con Incidencias", "Válido")))</f>
        <v/>
      </c>
      <c r="AB135" s="56">
        <f>IF(AND(A135="", B135="", E135=""), "", TEXTJOIN("; ", TRUE, IF(OR(TRIM(A135&amp;"")="", ISNUMBER(SEARCH("FALTA", A135))), "UPC faltante/inválido", ""), IF(AND(A135&lt;&gt;"", IFERROR(_xlfn.XMATCH(A135,$A$2:$A$1063,0,1)&lt;&gt;_xlfn.XMATCH(A135,$A$2:$A$1063,0,-1),FALSE)), "Código de barras duplicado", ""), IF(AND(E135&lt;&gt;"", COUNTIF($E$2:$E$1063, E135)&gt;1), "SKU duplicado", ""), IF(OR(J135="", J135=""), "[Aviso] División no capturada ()", IF(ISNA(MATCH(J135, Criterios!$A$123:$A$126, 0)), "División no válida", "")), IF(OR(K135="", K135=""), "[Aviso] Categoría no capturada ()", IF(ISNA(MATCH(K135, Criterios!$A$81:$A$120, 0)), "Categoría no válida", IF(AND(J135&lt;&gt;"", J135&lt;&gt;"", J135&lt;&gt;VLOOKUP(K135, Criterios!$A$81:$B$120, 2, FALSE)), "División no coincide con Categoría", ""))), IF(OR(L135="", L135=""), "[Aviso] Género no capturado ()", IF(ISNA(MATCH(L135, Criterios!$B$123:$B$127, 0)), "Género no válido", "")), IF(OR(N135="", N135=""), "[Aviso] Temporada no capturada ()", IF(ISNA(MATCH(N135, Criterios!$C$123:$C$128, 0)), "Temporada no válida", "")), IF(OR(O135="", O135=""), "[Aviso] Ciclo de vida no capturado ()", IF(ISNA(MATCH(O135, Criterios!$D$123:$D$124, 0)), "Ciclo de vida no válido", ""))))</f>
        <v/>
      </c>
      <c r="AC135" s="56" t="n"/>
      <c r="AD135" s="51" t="n">
        <v>0</v>
      </c>
      <c r="AE135" s="156" t="n"/>
      <c r="AF135" s="51" t="n">
        <v>0</v>
      </c>
      <c r="AG135" s="156" t="inlineStr">
        <is>
          <t>Nuevo – NetSuite sin existencia</t>
        </is>
      </c>
      <c r="AH135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35" s="156" t="inlineStr">
        <is>
          <t>No</t>
        </is>
      </c>
      <c r="AJ135" s="156" t="n"/>
      <c r="AK135" s="155" t="inlineStr">
        <is>
          <t>ProductosCatalogoEstandar907.xlsx: fila 6053 [L,N,O,S,U,Y]; G1522_Extraccion_Articulos_NetSuite_2026-09-30.xlsx: fila 59488 [M,P,V,Y,S] | Shopify WB: producto 8626599723193 / variante 48347153662137</t>
        </is>
      </c>
      <c r="AL135" s="58" t="n"/>
      <c r="AM135" s="58" t="n">
        <v>1206.034483</v>
      </c>
      <c r="AN135" s="155" t="inlineStr">
        <is>
          <t>Shopify Western Brothers</t>
        </is>
      </c>
      <c r="AO135" s="59" t="n"/>
      <c r="AP135" s="59" t="n">
        <v>0</v>
      </c>
      <c r="AQ135" s="59" t="n"/>
      <c r="AR135" s="155" t="n"/>
    </row>
    <row r="136">
      <c r="A136" s="50" t="inlineStr">
        <is>
          <t>7506465083334</t>
        </is>
      </c>
      <c r="B136" s="51" t="inlineStr">
        <is>
          <t>112243</t>
        </is>
      </c>
      <c r="C136" s="156" t="inlineStr">
        <is>
          <t>Multimarca</t>
        </is>
      </c>
      <c r="D136" s="156" t="inlineStr">
        <is>
          <t>WACA0039</t>
        </is>
      </c>
      <c r="E136" s="156" t="inlineStr">
        <is>
          <t>WACA0039-26.5</t>
        </is>
      </c>
      <c r="F136" s="156" t="inlineStr">
        <is>
          <t>26.5</t>
        </is>
      </c>
      <c r="G136" s="156" t="inlineStr">
        <is>
          <t>8.5</t>
        </is>
      </c>
      <c r="H136" s="156" t="inlineStr">
        <is>
          <t>Wrangler</t>
        </is>
      </c>
      <c r="I136" s="156" t="inlineStr">
        <is>
          <t>Tenis Wrangler Coronel Víbora Negro</t>
        </is>
      </c>
      <c r="J136" s="156" t="inlineStr">
        <is>
          <t>Calzado</t>
        </is>
      </c>
      <c r="K136" s="156" t="inlineStr">
        <is>
          <t>Tenis</t>
        </is>
      </c>
      <c r="L136" s="156" t="inlineStr">
        <is>
          <t>Hombre</t>
        </is>
      </c>
      <c r="M136" s="156" t="inlineStr">
        <is>
          <t>Wrangler</t>
        </is>
      </c>
      <c r="N136" s="156" t="inlineStr">
        <is>
          <t>SS26</t>
        </is>
      </c>
      <c r="O136" s="156" t="inlineStr">
        <is>
          <t>Seasonal</t>
        </is>
      </c>
      <c r="P136" s="156" t="inlineStr">
        <is>
          <t>Negro</t>
        </is>
      </c>
      <c r="Q136" s="156" t="n"/>
      <c r="R136" s="156" t="n"/>
      <c r="S136" s="156" t="inlineStr">
        <is>
          <t>100% Piel</t>
        </is>
      </c>
      <c r="T136" s="156" t="inlineStr">
        <is>
          <t>Tenis Wrangler Coronel Víbora Negro. Tenis de la marca Wrangler. Estilo WACA0039.</t>
        </is>
      </c>
      <c r="U136" s="156" t="inlineStr">
        <is>
          <t>México</t>
        </is>
      </c>
      <c r="V136" s="156" t="inlineStr">
        <is>
          <t>PRS</t>
        </is>
      </c>
      <c r="W136" s="51" t="inlineStr">
        <is>
          <t>53111900</t>
        </is>
      </c>
      <c r="X136" s="156" t="n"/>
      <c r="Y136" s="54" t="n">
        <v>603.02</v>
      </c>
      <c r="Z136" s="54" t="n">
        <v>1206.034483</v>
      </c>
      <c r="AA136" s="55">
        <f>IF(AND(A136="", B136="", E136=""), "", IF(AB136="", "Válido", IF((LEN(AB136)-LEN(SUBSTITUTE(AB136,"; ","")))/2+1&gt;(LEN(AB136)-LEN(SUBSTITUTE(AB136,"[Aviso]","")))/7, "Con Incidencias", "Válido")))</f>
        <v/>
      </c>
      <c r="AB136" s="56">
        <f>IF(AND(A136="", B136="", E136=""), "", TEXTJOIN("; ", TRUE, IF(OR(TRIM(A136&amp;"")="", ISNUMBER(SEARCH("FALTA", A136))), "UPC faltante/inválido", ""), IF(AND(A136&lt;&gt;"", IFERROR(_xlfn.XMATCH(A136,$A$2:$A$1063,0,1)&lt;&gt;_xlfn.XMATCH(A136,$A$2:$A$1063,0,-1),FALSE)), "Código de barras duplicado", ""), IF(AND(E136&lt;&gt;"", COUNTIF($E$2:$E$1063, E136)&gt;1), "SKU duplicado", ""), IF(OR(J136="", J136=""), "[Aviso] División no capturada ()", IF(ISNA(MATCH(J136, Criterios!$A$123:$A$126, 0)), "División no válida", "")), IF(OR(K136="", K136=""), "[Aviso] Categoría no capturada ()", IF(ISNA(MATCH(K136, Criterios!$A$81:$A$120, 0)), "Categoría no válida", IF(AND(J136&lt;&gt;"", J136&lt;&gt;"", J136&lt;&gt;VLOOKUP(K136, Criterios!$A$81:$B$120, 2, FALSE)), "División no coincide con Categoría", ""))), IF(OR(L136="", L136=""), "[Aviso] Género no capturado ()", IF(ISNA(MATCH(L136, Criterios!$B$123:$B$127, 0)), "Género no válido", "")), IF(OR(N136="", N136=""), "[Aviso] Temporada no capturada ()", IF(ISNA(MATCH(N136, Criterios!$C$123:$C$128, 0)), "Temporada no válida", "")), IF(OR(O136="", O136=""), "[Aviso] Ciclo de vida no capturado ()", IF(ISNA(MATCH(O136, Criterios!$D$123:$D$124, 0)), "Ciclo de vida no válido", ""))))</f>
        <v/>
      </c>
      <c r="AC136" s="56" t="n"/>
      <c r="AD136" s="51" t="n">
        <v>0</v>
      </c>
      <c r="AE136" s="156" t="n"/>
      <c r="AF136" s="51" t="n">
        <v>0</v>
      </c>
      <c r="AG136" s="156" t="inlineStr">
        <is>
          <t>Nuevo – NetSuite sin existencia</t>
        </is>
      </c>
      <c r="AH136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36" s="156" t="inlineStr">
        <is>
          <t>No</t>
        </is>
      </c>
      <c r="AJ136" s="156" t="n"/>
      <c r="AK136" s="155" t="inlineStr">
        <is>
          <t>ProductosCatalogoEstandar907.xlsx: fila 6054 [L,N,O,S,U,Y]; G1522_Extraccion_Articulos_NetSuite_2026-09-30.xlsx: fila 59489 [M,P,V,Y,S] | Shopify WB: producto 8626599723193 / variante 48347153694905</t>
        </is>
      </c>
      <c r="AL136" s="58" t="n"/>
      <c r="AM136" s="58" t="n">
        <v>1206.034483</v>
      </c>
      <c r="AN136" s="155" t="inlineStr">
        <is>
          <t>Shopify Western Brothers</t>
        </is>
      </c>
      <c r="AO136" s="59" t="n"/>
      <c r="AP136" s="59" t="n">
        <v>0</v>
      </c>
      <c r="AQ136" s="59" t="n"/>
      <c r="AR136" s="155" t="n"/>
    </row>
    <row r="137">
      <c r="A137" s="50" t="inlineStr">
        <is>
          <t>7506465083341</t>
        </is>
      </c>
      <c r="B137" s="51" t="inlineStr">
        <is>
          <t>112244</t>
        </is>
      </c>
      <c r="C137" s="156" t="inlineStr">
        <is>
          <t>Multimarca</t>
        </is>
      </c>
      <c r="D137" s="156" t="inlineStr">
        <is>
          <t>WACA0039</t>
        </is>
      </c>
      <c r="E137" s="156" t="inlineStr">
        <is>
          <t>WACA0039-27</t>
        </is>
      </c>
      <c r="F137" s="156" t="inlineStr">
        <is>
          <t>27</t>
        </is>
      </c>
      <c r="G137" s="156" t="inlineStr">
        <is>
          <t>9</t>
        </is>
      </c>
      <c r="H137" s="156" t="inlineStr">
        <is>
          <t>Wrangler</t>
        </is>
      </c>
      <c r="I137" s="156" t="inlineStr">
        <is>
          <t>Tenis Wrangler Coronel Víbora Negro</t>
        </is>
      </c>
      <c r="J137" s="156" t="inlineStr">
        <is>
          <t>Calzado</t>
        </is>
      </c>
      <c r="K137" s="156" t="inlineStr">
        <is>
          <t>Tenis</t>
        </is>
      </c>
      <c r="L137" s="156" t="inlineStr">
        <is>
          <t>Hombre</t>
        </is>
      </c>
      <c r="M137" s="156" t="inlineStr">
        <is>
          <t>Wrangler</t>
        </is>
      </c>
      <c r="N137" s="156" t="inlineStr">
        <is>
          <t>SS26</t>
        </is>
      </c>
      <c r="O137" s="156" t="inlineStr">
        <is>
          <t>Seasonal</t>
        </is>
      </c>
      <c r="P137" s="156" t="inlineStr">
        <is>
          <t>Negro</t>
        </is>
      </c>
      <c r="Q137" s="156" t="n"/>
      <c r="R137" s="156" t="n"/>
      <c r="S137" s="156" t="inlineStr">
        <is>
          <t>100% Piel</t>
        </is>
      </c>
      <c r="T137" s="156" t="inlineStr">
        <is>
          <t>Tenis Wrangler Coronel Víbora Negro. Tenis de la marca Wrangler. Estilo WACA0039.</t>
        </is>
      </c>
      <c r="U137" s="156" t="inlineStr">
        <is>
          <t>México</t>
        </is>
      </c>
      <c r="V137" s="156" t="inlineStr">
        <is>
          <t>PRS</t>
        </is>
      </c>
      <c r="W137" s="51" t="inlineStr">
        <is>
          <t>53111900</t>
        </is>
      </c>
      <c r="X137" s="156" t="n"/>
      <c r="Y137" s="54" t="n">
        <v>603.02</v>
      </c>
      <c r="Z137" s="54" t="n">
        <v>1206.034483</v>
      </c>
      <c r="AA137" s="55">
        <f>IF(AND(A137="", B137="", E137=""), "", IF(AB137="", "Válido", IF((LEN(AB137)-LEN(SUBSTITUTE(AB137,"; ","")))/2+1&gt;(LEN(AB137)-LEN(SUBSTITUTE(AB137,"[Aviso]","")))/7, "Con Incidencias", "Válido")))</f>
        <v/>
      </c>
      <c r="AB137" s="56">
        <f>IF(AND(A137="", B137="", E137=""), "", TEXTJOIN("; ", TRUE, IF(OR(TRIM(A137&amp;"")="", ISNUMBER(SEARCH("FALTA", A137))), "UPC faltante/inválido", ""), IF(AND(A137&lt;&gt;"", IFERROR(_xlfn.XMATCH(A137,$A$2:$A$1063,0,1)&lt;&gt;_xlfn.XMATCH(A137,$A$2:$A$1063,0,-1),FALSE)), "Código de barras duplicado", ""), IF(AND(E137&lt;&gt;"", COUNTIF($E$2:$E$1063, E137)&gt;1), "SKU duplicado", ""), IF(OR(J137="", J137=""), "[Aviso] División no capturada ()", IF(ISNA(MATCH(J137, Criterios!$A$123:$A$126, 0)), "División no válida", "")), IF(OR(K137="", K137=""), "[Aviso] Categoría no capturada ()", IF(ISNA(MATCH(K137, Criterios!$A$81:$A$120, 0)), "Categoría no válida", IF(AND(J137&lt;&gt;"", J137&lt;&gt;"", J137&lt;&gt;VLOOKUP(K137, Criterios!$A$81:$B$120, 2, FALSE)), "División no coincide con Categoría", ""))), IF(OR(L137="", L137=""), "[Aviso] Género no capturado ()", IF(ISNA(MATCH(L137, Criterios!$B$123:$B$127, 0)), "Género no válido", "")), IF(OR(N137="", N137=""), "[Aviso] Temporada no capturada ()", IF(ISNA(MATCH(N137, Criterios!$C$123:$C$128, 0)), "Temporada no válida", "")), IF(OR(O137="", O137=""), "[Aviso] Ciclo de vida no capturado ()", IF(ISNA(MATCH(O137, Criterios!$D$123:$D$124, 0)), "Ciclo de vida no válido", ""))))</f>
        <v/>
      </c>
      <c r="AC137" s="56" t="n"/>
      <c r="AD137" s="51" t="n">
        <v>0</v>
      </c>
      <c r="AE137" s="156" t="n"/>
      <c r="AF137" s="51" t="n">
        <v>0</v>
      </c>
      <c r="AG137" s="156" t="inlineStr">
        <is>
          <t>Nuevo – NetSuite sin existencia</t>
        </is>
      </c>
      <c r="AH137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37" s="156" t="inlineStr">
        <is>
          <t>No</t>
        </is>
      </c>
      <c r="AJ137" s="156" t="n"/>
      <c r="AK137" s="155" t="inlineStr">
        <is>
          <t>ProductosCatalogoEstandar907.xlsx: fila 6055 [L,N,O,S,U,Y]; G1522_Extraccion_Articulos_NetSuite_2026-09-30.xlsx: fila 59490 [M,P,V,Y,S] | Shopify WB: producto 8626599723193 / variante 48347153727673</t>
        </is>
      </c>
      <c r="AL137" s="58" t="n"/>
      <c r="AM137" s="58" t="n">
        <v>1206.034483</v>
      </c>
      <c r="AN137" s="155" t="inlineStr">
        <is>
          <t>Shopify Western Brothers</t>
        </is>
      </c>
      <c r="AO137" s="59" t="n"/>
      <c r="AP137" s="59" t="n">
        <v>0</v>
      </c>
      <c r="AQ137" s="59" t="n"/>
      <c r="AR137" s="155" t="n"/>
    </row>
    <row r="138">
      <c r="A138" s="50" t="inlineStr">
        <is>
          <t>7506465083358</t>
        </is>
      </c>
      <c r="B138" s="51" t="inlineStr">
        <is>
          <t>112245</t>
        </is>
      </c>
      <c r="C138" s="156" t="inlineStr">
        <is>
          <t>Multimarca</t>
        </is>
      </c>
      <c r="D138" s="156" t="inlineStr">
        <is>
          <t>WACA0039</t>
        </is>
      </c>
      <c r="E138" s="156" t="inlineStr">
        <is>
          <t>WACA0039-27.5</t>
        </is>
      </c>
      <c r="F138" s="156" t="inlineStr">
        <is>
          <t>27.5</t>
        </is>
      </c>
      <c r="G138" s="156" t="inlineStr">
        <is>
          <t>9.5</t>
        </is>
      </c>
      <c r="H138" s="156" t="inlineStr">
        <is>
          <t>Wrangler</t>
        </is>
      </c>
      <c r="I138" s="156" t="inlineStr">
        <is>
          <t>Tenis Wrangler Coronel Víbora Negro</t>
        </is>
      </c>
      <c r="J138" s="156" t="inlineStr">
        <is>
          <t>Calzado</t>
        </is>
      </c>
      <c r="K138" s="156" t="inlineStr">
        <is>
          <t>Tenis</t>
        </is>
      </c>
      <c r="L138" s="156" t="inlineStr">
        <is>
          <t>Hombre</t>
        </is>
      </c>
      <c r="M138" s="156" t="inlineStr">
        <is>
          <t>Wrangler</t>
        </is>
      </c>
      <c r="N138" s="156" t="inlineStr">
        <is>
          <t>SS26</t>
        </is>
      </c>
      <c r="O138" s="156" t="inlineStr">
        <is>
          <t>Seasonal</t>
        </is>
      </c>
      <c r="P138" s="156" t="inlineStr">
        <is>
          <t>Negro</t>
        </is>
      </c>
      <c r="Q138" s="156" t="n"/>
      <c r="R138" s="156" t="n"/>
      <c r="S138" s="156" t="inlineStr">
        <is>
          <t>100% Piel</t>
        </is>
      </c>
      <c r="T138" s="156" t="inlineStr">
        <is>
          <t>Tenis Wrangler Coronel Víbora Negro. Tenis de la marca Wrangler. Estilo WACA0039.</t>
        </is>
      </c>
      <c r="U138" s="156" t="inlineStr">
        <is>
          <t>México</t>
        </is>
      </c>
      <c r="V138" s="156" t="inlineStr">
        <is>
          <t>PRS</t>
        </is>
      </c>
      <c r="W138" s="51" t="inlineStr">
        <is>
          <t>53111900</t>
        </is>
      </c>
      <c r="X138" s="156" t="n"/>
      <c r="Y138" s="54" t="n">
        <v>603.02</v>
      </c>
      <c r="Z138" s="54" t="n">
        <v>1206.034483</v>
      </c>
      <c r="AA138" s="55">
        <f>IF(AND(A138="", B138="", E138=""), "", IF(AB138="", "Válido", IF((LEN(AB138)-LEN(SUBSTITUTE(AB138,"; ","")))/2+1&gt;(LEN(AB138)-LEN(SUBSTITUTE(AB138,"[Aviso]","")))/7, "Con Incidencias", "Válido")))</f>
        <v/>
      </c>
      <c r="AB138" s="56">
        <f>IF(AND(A138="", B138="", E138=""), "", TEXTJOIN("; ", TRUE, IF(OR(TRIM(A138&amp;"")="", ISNUMBER(SEARCH("FALTA", A138))), "UPC faltante/inválido", ""), IF(AND(A138&lt;&gt;"", IFERROR(_xlfn.XMATCH(A138,$A$2:$A$1063,0,1)&lt;&gt;_xlfn.XMATCH(A138,$A$2:$A$1063,0,-1),FALSE)), "Código de barras duplicado", ""), IF(AND(E138&lt;&gt;"", COUNTIF($E$2:$E$1063, E138)&gt;1), "SKU duplicado", ""), IF(OR(J138="", J138=""), "[Aviso] División no capturada ()", IF(ISNA(MATCH(J138, Criterios!$A$123:$A$126, 0)), "División no válida", "")), IF(OR(K138="", K138=""), "[Aviso] Categoría no capturada ()", IF(ISNA(MATCH(K138, Criterios!$A$81:$A$120, 0)), "Categoría no válida", IF(AND(J138&lt;&gt;"", J138&lt;&gt;"", J138&lt;&gt;VLOOKUP(K138, Criterios!$A$81:$B$120, 2, FALSE)), "División no coincide con Categoría", ""))), IF(OR(L138="", L138=""), "[Aviso] Género no capturado ()", IF(ISNA(MATCH(L138, Criterios!$B$123:$B$127, 0)), "Género no válido", "")), IF(OR(N138="", N138=""), "[Aviso] Temporada no capturada ()", IF(ISNA(MATCH(N138, Criterios!$C$123:$C$128, 0)), "Temporada no válida", "")), IF(OR(O138="", O138=""), "[Aviso] Ciclo de vida no capturado ()", IF(ISNA(MATCH(O138, Criterios!$D$123:$D$124, 0)), "Ciclo de vida no válido", ""))))</f>
        <v/>
      </c>
      <c r="AC138" s="56" t="n"/>
      <c r="AD138" s="51" t="n">
        <v>0</v>
      </c>
      <c r="AE138" s="156" t="n"/>
      <c r="AF138" s="51" t="n">
        <v>0</v>
      </c>
      <c r="AG138" s="156" t="inlineStr">
        <is>
          <t>Nuevo – NetSuite sin existencia</t>
        </is>
      </c>
      <c r="AH138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38" s="156" t="inlineStr">
        <is>
          <t>No</t>
        </is>
      </c>
      <c r="AJ138" s="156" t="n"/>
      <c r="AK138" s="155" t="inlineStr">
        <is>
          <t>ProductosCatalogoEstandar907.xlsx: fila 6056 [L,N,O,S,U,Y]; G1522_Extraccion_Articulos_NetSuite_2026-09-30.xlsx: fila 59491 [M,P,V,Y,S] | Shopify WB: producto 8626599723193 / variante 48347153760441</t>
        </is>
      </c>
      <c r="AL138" s="58" t="n"/>
      <c r="AM138" s="58" t="n">
        <v>1206.034483</v>
      </c>
      <c r="AN138" s="155" t="inlineStr">
        <is>
          <t>Shopify Western Brothers</t>
        </is>
      </c>
      <c r="AO138" s="59" t="n"/>
      <c r="AP138" s="59" t="n">
        <v>0</v>
      </c>
      <c r="AQ138" s="59" t="n"/>
      <c r="AR138" s="155" t="n"/>
    </row>
    <row r="139">
      <c r="A139" s="50" t="inlineStr">
        <is>
          <t>7506465083365</t>
        </is>
      </c>
      <c r="B139" s="51" t="inlineStr">
        <is>
          <t>112246</t>
        </is>
      </c>
      <c r="C139" s="156" t="inlineStr">
        <is>
          <t>Multimarca</t>
        </is>
      </c>
      <c r="D139" s="156" t="inlineStr">
        <is>
          <t>WACA0039</t>
        </is>
      </c>
      <c r="E139" s="156" t="inlineStr">
        <is>
          <t>WACA0039-28</t>
        </is>
      </c>
      <c r="F139" s="156" t="inlineStr">
        <is>
          <t>28</t>
        </is>
      </c>
      <c r="G139" s="156" t="inlineStr">
        <is>
          <t>10</t>
        </is>
      </c>
      <c r="H139" s="156" t="inlineStr">
        <is>
          <t>Wrangler</t>
        </is>
      </c>
      <c r="I139" s="156" t="inlineStr">
        <is>
          <t>Tenis Wrangler Coronel Víbora Negro</t>
        </is>
      </c>
      <c r="J139" s="156" t="inlineStr">
        <is>
          <t>Calzado</t>
        </is>
      </c>
      <c r="K139" s="156" t="inlineStr">
        <is>
          <t>Tenis</t>
        </is>
      </c>
      <c r="L139" s="156" t="inlineStr">
        <is>
          <t>Hombre</t>
        </is>
      </c>
      <c r="M139" s="156" t="inlineStr">
        <is>
          <t>Wrangler</t>
        </is>
      </c>
      <c r="N139" s="156" t="inlineStr">
        <is>
          <t>SS26</t>
        </is>
      </c>
      <c r="O139" s="156" t="inlineStr">
        <is>
          <t>Seasonal</t>
        </is>
      </c>
      <c r="P139" s="156" t="inlineStr">
        <is>
          <t>Negro</t>
        </is>
      </c>
      <c r="Q139" s="156" t="n"/>
      <c r="R139" s="156" t="n"/>
      <c r="S139" s="156" t="inlineStr">
        <is>
          <t>100% Piel</t>
        </is>
      </c>
      <c r="T139" s="156" t="inlineStr">
        <is>
          <t>Tenis Wrangler Coronel Víbora Negro. Tenis de la marca Wrangler. Estilo WACA0039.</t>
        </is>
      </c>
      <c r="U139" s="156" t="inlineStr">
        <is>
          <t>México</t>
        </is>
      </c>
      <c r="V139" s="156" t="inlineStr">
        <is>
          <t>PRS</t>
        </is>
      </c>
      <c r="W139" s="51" t="inlineStr">
        <is>
          <t>53111900</t>
        </is>
      </c>
      <c r="X139" s="156" t="n"/>
      <c r="Y139" s="54" t="n">
        <v>603.02</v>
      </c>
      <c r="Z139" s="54" t="n">
        <v>1206.034483</v>
      </c>
      <c r="AA139" s="55">
        <f>IF(AND(A139="", B139="", E139=""), "", IF(AB139="", "Válido", IF((LEN(AB139)-LEN(SUBSTITUTE(AB139,"; ","")))/2+1&gt;(LEN(AB139)-LEN(SUBSTITUTE(AB139,"[Aviso]","")))/7, "Con Incidencias", "Válido")))</f>
        <v/>
      </c>
      <c r="AB139" s="56">
        <f>IF(AND(A139="", B139="", E139=""), "", TEXTJOIN("; ", TRUE, IF(OR(TRIM(A139&amp;"")="", ISNUMBER(SEARCH("FALTA", A139))), "UPC faltante/inválido", ""), IF(AND(A139&lt;&gt;"", IFERROR(_xlfn.XMATCH(A139,$A$2:$A$1063,0,1)&lt;&gt;_xlfn.XMATCH(A139,$A$2:$A$1063,0,-1),FALSE)), "Código de barras duplicado", ""), IF(AND(E139&lt;&gt;"", COUNTIF($E$2:$E$1063, E139)&gt;1), "SKU duplicado", ""), IF(OR(J139="", J139=""), "[Aviso] División no capturada ()", IF(ISNA(MATCH(J139, Criterios!$A$123:$A$126, 0)), "División no válida", "")), IF(OR(K139="", K139=""), "[Aviso] Categoría no capturada ()", IF(ISNA(MATCH(K139, Criterios!$A$81:$A$120, 0)), "Categoría no válida", IF(AND(J139&lt;&gt;"", J139&lt;&gt;"", J139&lt;&gt;VLOOKUP(K139, Criterios!$A$81:$B$120, 2, FALSE)), "División no coincide con Categoría", ""))), IF(OR(L139="", L139=""), "[Aviso] Género no capturado ()", IF(ISNA(MATCH(L139, Criterios!$B$123:$B$127, 0)), "Género no válido", "")), IF(OR(N139="", N139=""), "[Aviso] Temporada no capturada ()", IF(ISNA(MATCH(N139, Criterios!$C$123:$C$128, 0)), "Temporada no válida", "")), IF(OR(O139="", O139=""), "[Aviso] Ciclo de vida no capturado ()", IF(ISNA(MATCH(O139, Criterios!$D$123:$D$124, 0)), "Ciclo de vida no válido", ""))))</f>
        <v/>
      </c>
      <c r="AC139" s="56" t="n"/>
      <c r="AD139" s="51" t="n">
        <v>0</v>
      </c>
      <c r="AE139" s="156" t="n"/>
      <c r="AF139" s="51" t="n">
        <v>0</v>
      </c>
      <c r="AG139" s="156" t="inlineStr">
        <is>
          <t>Nuevo – NetSuite sin existencia</t>
        </is>
      </c>
      <c r="AH139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39" s="156" t="inlineStr">
        <is>
          <t>No</t>
        </is>
      </c>
      <c r="AJ139" s="156" t="n"/>
      <c r="AK139" s="155" t="inlineStr">
        <is>
          <t>ProductosCatalogoEstandar907.xlsx: fila 6057 [L,N,O,S,U,Y]; G1522_Extraccion_Articulos_NetSuite_2026-09-30.xlsx: fila 59492 [M,P,V,Y,S] | Shopify WB: producto 8626599723193 / variante 48347153793209</t>
        </is>
      </c>
      <c r="AL139" s="58" t="n"/>
      <c r="AM139" s="58" t="n">
        <v>1206.034483</v>
      </c>
      <c r="AN139" s="155" t="inlineStr">
        <is>
          <t>Shopify Western Brothers</t>
        </is>
      </c>
      <c r="AO139" s="59" t="n"/>
      <c r="AP139" s="59" t="n">
        <v>0</v>
      </c>
      <c r="AQ139" s="59" t="n"/>
      <c r="AR139" s="155" t="n"/>
    </row>
    <row r="140">
      <c r="A140" s="50" t="inlineStr">
        <is>
          <t>7506465083372</t>
        </is>
      </c>
      <c r="B140" s="51" t="inlineStr">
        <is>
          <t>112247</t>
        </is>
      </c>
      <c r="C140" s="156" t="inlineStr">
        <is>
          <t>Multimarca</t>
        </is>
      </c>
      <c r="D140" s="156" t="inlineStr">
        <is>
          <t>WACA0039</t>
        </is>
      </c>
      <c r="E140" s="156" t="inlineStr">
        <is>
          <t>WACA0039-28.5</t>
        </is>
      </c>
      <c r="F140" s="156" t="inlineStr">
        <is>
          <t>28.5</t>
        </is>
      </c>
      <c r="G140" s="156" t="inlineStr">
        <is>
          <t>10.5</t>
        </is>
      </c>
      <c r="H140" s="156" t="inlineStr">
        <is>
          <t>Wrangler</t>
        </is>
      </c>
      <c r="I140" s="156" t="inlineStr">
        <is>
          <t>Tenis Wrangler Coronel Víbora Negro</t>
        </is>
      </c>
      <c r="J140" s="156" t="inlineStr">
        <is>
          <t>Calzado</t>
        </is>
      </c>
      <c r="K140" s="156" t="inlineStr">
        <is>
          <t>Tenis</t>
        </is>
      </c>
      <c r="L140" s="156" t="inlineStr">
        <is>
          <t>Hombre</t>
        </is>
      </c>
      <c r="M140" s="156" t="inlineStr">
        <is>
          <t>Wrangler</t>
        </is>
      </c>
      <c r="N140" s="156" t="inlineStr">
        <is>
          <t>SS26</t>
        </is>
      </c>
      <c r="O140" s="156" t="inlineStr">
        <is>
          <t>Seasonal</t>
        </is>
      </c>
      <c r="P140" s="156" t="inlineStr">
        <is>
          <t>Negro</t>
        </is>
      </c>
      <c r="Q140" s="156" t="n"/>
      <c r="R140" s="156" t="n"/>
      <c r="S140" s="156" t="inlineStr">
        <is>
          <t>100% Piel</t>
        </is>
      </c>
      <c r="T140" s="156" t="inlineStr">
        <is>
          <t>Tenis Wrangler Coronel Víbora Negro. Tenis de la marca Wrangler. Estilo WACA0039.</t>
        </is>
      </c>
      <c r="U140" s="156" t="inlineStr">
        <is>
          <t>México</t>
        </is>
      </c>
      <c r="V140" s="156" t="inlineStr">
        <is>
          <t>PRS</t>
        </is>
      </c>
      <c r="W140" s="51" t="inlineStr">
        <is>
          <t>53111900</t>
        </is>
      </c>
      <c r="X140" s="156" t="n"/>
      <c r="Y140" s="54" t="n">
        <v>603.02</v>
      </c>
      <c r="Z140" s="54" t="n">
        <v>1206.034483</v>
      </c>
      <c r="AA140" s="55">
        <f>IF(AND(A140="", B140="", E140=""), "", IF(AB140="", "Válido", IF((LEN(AB140)-LEN(SUBSTITUTE(AB140,"; ","")))/2+1&gt;(LEN(AB140)-LEN(SUBSTITUTE(AB140,"[Aviso]","")))/7, "Con Incidencias", "Válido")))</f>
        <v/>
      </c>
      <c r="AB140" s="56">
        <f>IF(AND(A140="", B140="", E140=""), "", TEXTJOIN("; ", TRUE, IF(OR(TRIM(A140&amp;"")="", ISNUMBER(SEARCH("FALTA", A140))), "UPC faltante/inválido", ""), IF(AND(A140&lt;&gt;"", IFERROR(_xlfn.XMATCH(A140,$A$2:$A$1063,0,1)&lt;&gt;_xlfn.XMATCH(A140,$A$2:$A$1063,0,-1),FALSE)), "Código de barras duplicado", ""), IF(AND(E140&lt;&gt;"", COUNTIF($E$2:$E$1063, E140)&gt;1), "SKU duplicado", ""), IF(OR(J140="", J140=""), "[Aviso] División no capturada ()", IF(ISNA(MATCH(J140, Criterios!$A$123:$A$126, 0)), "División no válida", "")), IF(OR(K140="", K140=""), "[Aviso] Categoría no capturada ()", IF(ISNA(MATCH(K140, Criterios!$A$81:$A$120, 0)), "Categoría no válida", IF(AND(J140&lt;&gt;"", J140&lt;&gt;"", J140&lt;&gt;VLOOKUP(K140, Criterios!$A$81:$B$120, 2, FALSE)), "División no coincide con Categoría", ""))), IF(OR(L140="", L140=""), "[Aviso] Género no capturado ()", IF(ISNA(MATCH(L140, Criterios!$B$123:$B$127, 0)), "Género no válido", "")), IF(OR(N140="", N140=""), "[Aviso] Temporada no capturada ()", IF(ISNA(MATCH(N140, Criterios!$C$123:$C$128, 0)), "Temporada no válida", "")), IF(OR(O140="", O140=""), "[Aviso] Ciclo de vida no capturado ()", IF(ISNA(MATCH(O140, Criterios!$D$123:$D$124, 0)), "Ciclo de vida no válido", ""))))</f>
        <v/>
      </c>
      <c r="AC140" s="56" t="n"/>
      <c r="AD140" s="51" t="n">
        <v>0</v>
      </c>
      <c r="AE140" s="156" t="n"/>
      <c r="AF140" s="51" t="n">
        <v>0</v>
      </c>
      <c r="AG140" s="156" t="inlineStr">
        <is>
          <t>Nuevo – NetSuite sin existencia</t>
        </is>
      </c>
      <c r="AH140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Fit, WB Silueta</t>
        </is>
      </c>
      <c r="AI140" s="156" t="inlineStr">
        <is>
          <t>No</t>
        </is>
      </c>
      <c r="AJ140" s="156" t="n"/>
      <c r="AK140" s="155" t="inlineStr">
        <is>
          <t>ProductosCatalogoEstandar907.xlsx: fila 6058 [L,N,O,S,U,Y]; G1522_Extraccion_Articulos_NetSuite_2026-09-30.xlsx: fila 59493 [M,P,V,Y,S] | Shopify WB: producto 8626599723193 / variante 48347153825977</t>
        </is>
      </c>
      <c r="AL140" s="58" t="n"/>
      <c r="AM140" s="58" t="n">
        <v>1206.034483</v>
      </c>
      <c r="AN140" s="155" t="inlineStr">
        <is>
          <t>Shopify Western Brothers</t>
        </is>
      </c>
      <c r="AO140" s="59" t="n"/>
      <c r="AP140" s="59" t="n">
        <v>0</v>
      </c>
      <c r="AQ140" s="59" t="n"/>
      <c r="AR140" s="155" t="n"/>
    </row>
    <row r="141">
      <c r="A141" s="50" t="inlineStr">
        <is>
          <t>7506012606757</t>
        </is>
      </c>
      <c r="B141" s="51" t="inlineStr">
        <is>
          <t>112191</t>
        </is>
      </c>
      <c r="C141" s="156" t="inlineStr">
        <is>
          <t>Multimarca</t>
        </is>
      </c>
      <c r="D141" s="156" t="inlineStr">
        <is>
          <t>WACA0211-1</t>
        </is>
      </c>
      <c r="E141" s="156" t="inlineStr">
        <is>
          <t>WACA0211-1-26</t>
        </is>
      </c>
      <c r="F141" s="156" t="inlineStr">
        <is>
          <t>26</t>
        </is>
      </c>
      <c r="G141" s="156" t="inlineStr">
        <is>
          <t>8</t>
        </is>
      </c>
      <c r="H141" s="156" t="inlineStr">
        <is>
          <t>Wrangler</t>
        </is>
      </c>
      <c r="I141" s="156" t="inlineStr">
        <is>
          <t>Botas Wrangler Guardabosques Beige</t>
        </is>
      </c>
      <c r="J141" s="156" t="inlineStr">
        <is>
          <t>Calzado</t>
        </is>
      </c>
      <c r="K141" s="156" t="inlineStr">
        <is>
          <t>Botas</t>
        </is>
      </c>
      <c r="L141" s="156" t="inlineStr">
        <is>
          <t>Hombre</t>
        </is>
      </c>
      <c r="M141" s="156" t="inlineStr">
        <is>
          <t>Wrangler</t>
        </is>
      </c>
      <c r="N141" s="156" t="inlineStr">
        <is>
          <t>SS26</t>
        </is>
      </c>
      <c r="O141" s="156" t="inlineStr">
        <is>
          <t>Seasonal</t>
        </is>
      </c>
      <c r="P141" s="156" t="inlineStr">
        <is>
          <t>Beige</t>
        </is>
      </c>
      <c r="Q141" s="156" t="n"/>
      <c r="R141" s="156" t="n"/>
      <c r="S141" s="156" t="inlineStr">
        <is>
          <t>100% Piel</t>
        </is>
      </c>
      <c r="T141" s="156" t="inlineStr">
        <is>
          <t>Botas Wrangler Guardabosques Beige. Bota de la marca Wrangler. Estilo WACA0211-1.</t>
        </is>
      </c>
      <c r="U141" s="156" t="inlineStr">
        <is>
          <t>México</t>
        </is>
      </c>
      <c r="V141" s="156" t="inlineStr">
        <is>
          <t>PRS</t>
        </is>
      </c>
      <c r="W141" s="51" t="inlineStr">
        <is>
          <t>53111500</t>
        </is>
      </c>
      <c r="X141" s="156" t="n"/>
      <c r="Y141" s="54" t="n">
        <v>818.54</v>
      </c>
      <c r="Z141" s="54" t="n">
        <v>1637.068966</v>
      </c>
      <c r="AA141" s="55">
        <f>IF(AND(A141="", B141="", E141=""), "", IF(AB141="", "Válido", IF((LEN(AB141)-LEN(SUBSTITUTE(AB141,"; ","")))/2+1&gt;(LEN(AB141)-LEN(SUBSTITUTE(AB141,"[Aviso]","")))/7, "Con Incidencias", "Válido")))</f>
        <v/>
      </c>
      <c r="AB141" s="56">
        <f>IF(AND(A141="", B141="", E141=""), "", TEXTJOIN("; ", TRUE, IF(OR(TRIM(A141&amp;"")="", ISNUMBER(SEARCH("FALTA", A141))), "UPC faltante/inválido", ""), IF(AND(A141&lt;&gt;"", IFERROR(_xlfn.XMATCH(A141,$A$2:$A$1063,0,1)&lt;&gt;_xlfn.XMATCH(A141,$A$2:$A$1063,0,-1),FALSE)), "Código de barras duplicado", ""), IF(AND(E141&lt;&gt;"", COUNTIF($E$2:$E$1063, E141)&gt;1), "SKU duplicado", ""), IF(OR(J141="", J141=""), "[Aviso] División no capturada ()", IF(ISNA(MATCH(J141, Criterios!$A$123:$A$126, 0)), "División no válida", "")), IF(OR(K141="", K141=""), "[Aviso] Categoría no capturada ()", IF(ISNA(MATCH(K141, Criterios!$A$81:$A$120, 0)), "Categoría no válida", IF(AND(J141&lt;&gt;"", J141&lt;&gt;"", J141&lt;&gt;VLOOKUP(K141, Criterios!$A$81:$B$120, 2, FALSE)), "División no coincide con Categoría", ""))), IF(OR(L141="", L141=""), "[Aviso] Género no capturado ()", IF(ISNA(MATCH(L141, Criterios!$B$123:$B$127, 0)), "Género no válido", "")), IF(OR(N141="", N141=""), "[Aviso] Temporada no capturada ()", IF(ISNA(MATCH(N141, Criterios!$C$123:$C$128, 0)), "Temporada no válida", "")), IF(OR(O141="", O141=""), "[Aviso] Ciclo de vida no capturado ()", IF(ISNA(MATCH(O141, Criterios!$D$123:$D$124, 0)), "Ciclo de vida no válido", ""))))</f>
        <v/>
      </c>
      <c r="AC141" s="56" t="n"/>
      <c r="AD141" s="51" t="n">
        <v>0</v>
      </c>
      <c r="AE141" s="156" t="n"/>
      <c r="AF141" s="51" t="n">
        <v>0</v>
      </c>
      <c r="AG141" s="156" t="inlineStr">
        <is>
          <t>Nuevo – NetSuite sin existencia</t>
        </is>
      </c>
      <c r="AH141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41" s="156" t="inlineStr">
        <is>
          <t>No</t>
        </is>
      </c>
      <c r="AJ141" s="156" t="n"/>
      <c r="AK141" s="155" t="inlineStr">
        <is>
          <t>ProductosCatalogoEstandar907.xlsx: fila 6059 [L,N,O,S,U,Y]; G1522_Extraccion_Articulos_NetSuite_2026-09-30.xlsx: fila 59437 [M,P,V,Y,S] | Shopify WB: producto 8626599461049 / variante 48347142095033</t>
        </is>
      </c>
      <c r="AL141" s="58" t="n"/>
      <c r="AM141" s="58" t="n">
        <v>1637.068966</v>
      </c>
      <c r="AN141" s="155" t="inlineStr">
        <is>
          <t>Shopify Western Brothers</t>
        </is>
      </c>
      <c r="AO141" s="59" t="n"/>
      <c r="AP141" s="59" t="n">
        <v>0</v>
      </c>
      <c r="AQ141" s="59" t="n"/>
      <c r="AR141" s="155" t="n"/>
    </row>
    <row r="142">
      <c r="A142" s="50" t="inlineStr">
        <is>
          <t>7506012606764</t>
        </is>
      </c>
      <c r="B142" s="51" t="inlineStr">
        <is>
          <t>112192</t>
        </is>
      </c>
      <c r="C142" s="156" t="inlineStr">
        <is>
          <t>Multimarca</t>
        </is>
      </c>
      <c r="D142" s="156" t="inlineStr">
        <is>
          <t>WACA0211-1</t>
        </is>
      </c>
      <c r="E142" s="156" t="inlineStr">
        <is>
          <t>WACA0211-1-26.5</t>
        </is>
      </c>
      <c r="F142" s="156" t="inlineStr">
        <is>
          <t>26.5</t>
        </is>
      </c>
      <c r="G142" s="156" t="inlineStr">
        <is>
          <t>8.5</t>
        </is>
      </c>
      <c r="H142" s="156" t="inlineStr">
        <is>
          <t>Wrangler</t>
        </is>
      </c>
      <c r="I142" s="156" t="inlineStr">
        <is>
          <t>Botas Wrangler Guardabosques Beige</t>
        </is>
      </c>
      <c r="J142" s="156" t="inlineStr">
        <is>
          <t>Calzado</t>
        </is>
      </c>
      <c r="K142" s="156" t="inlineStr">
        <is>
          <t>Botas</t>
        </is>
      </c>
      <c r="L142" s="156" t="inlineStr">
        <is>
          <t>Hombre</t>
        </is>
      </c>
      <c r="M142" s="156" t="inlineStr">
        <is>
          <t>Wrangler</t>
        </is>
      </c>
      <c r="N142" s="156" t="inlineStr">
        <is>
          <t>SS26</t>
        </is>
      </c>
      <c r="O142" s="156" t="inlineStr">
        <is>
          <t>Seasonal</t>
        </is>
      </c>
      <c r="P142" s="156" t="inlineStr">
        <is>
          <t>Beige</t>
        </is>
      </c>
      <c r="Q142" s="156" t="n"/>
      <c r="R142" s="156" t="n"/>
      <c r="S142" s="156" t="inlineStr">
        <is>
          <t>100% Piel</t>
        </is>
      </c>
      <c r="T142" s="156" t="inlineStr">
        <is>
          <t>Botas Wrangler Guardabosques Beige. Bota de la marca Wrangler. Estilo WACA0211-1.</t>
        </is>
      </c>
      <c r="U142" s="156" t="inlineStr">
        <is>
          <t>México</t>
        </is>
      </c>
      <c r="V142" s="156" t="inlineStr">
        <is>
          <t>PRS</t>
        </is>
      </c>
      <c r="W142" s="51" t="inlineStr">
        <is>
          <t>53111500</t>
        </is>
      </c>
      <c r="X142" s="156" t="n"/>
      <c r="Y142" s="54" t="n">
        <v>818.54</v>
      </c>
      <c r="Z142" s="54" t="n">
        <v>1637.068966</v>
      </c>
      <c r="AA142" s="55">
        <f>IF(AND(A142="", B142="", E142=""), "", IF(AB142="", "Válido", IF((LEN(AB142)-LEN(SUBSTITUTE(AB142,"; ","")))/2+1&gt;(LEN(AB142)-LEN(SUBSTITUTE(AB142,"[Aviso]","")))/7, "Con Incidencias", "Válido")))</f>
        <v/>
      </c>
      <c r="AB142" s="56">
        <f>IF(AND(A142="", B142="", E142=""), "", TEXTJOIN("; ", TRUE, IF(OR(TRIM(A142&amp;"")="", ISNUMBER(SEARCH("FALTA", A142))), "UPC faltante/inválido", ""), IF(AND(A142&lt;&gt;"", IFERROR(_xlfn.XMATCH(A142,$A$2:$A$1063,0,1)&lt;&gt;_xlfn.XMATCH(A142,$A$2:$A$1063,0,-1),FALSE)), "Código de barras duplicado", ""), IF(AND(E142&lt;&gt;"", COUNTIF($E$2:$E$1063, E142)&gt;1), "SKU duplicado", ""), IF(OR(J142="", J142=""), "[Aviso] División no capturada ()", IF(ISNA(MATCH(J142, Criterios!$A$123:$A$126, 0)), "División no válida", "")), IF(OR(K142="", K142=""), "[Aviso] Categoría no capturada ()", IF(ISNA(MATCH(K142, Criterios!$A$81:$A$120, 0)), "Categoría no válida", IF(AND(J142&lt;&gt;"", J142&lt;&gt;"", J142&lt;&gt;VLOOKUP(K142, Criterios!$A$81:$B$120, 2, FALSE)), "División no coincide con Categoría", ""))), IF(OR(L142="", L142=""), "[Aviso] Género no capturado ()", IF(ISNA(MATCH(L142, Criterios!$B$123:$B$127, 0)), "Género no válido", "")), IF(OR(N142="", N142=""), "[Aviso] Temporada no capturada ()", IF(ISNA(MATCH(N142, Criterios!$C$123:$C$128, 0)), "Temporada no válida", "")), IF(OR(O142="", O142=""), "[Aviso] Ciclo de vida no capturado ()", IF(ISNA(MATCH(O142, Criterios!$D$123:$D$124, 0)), "Ciclo de vida no válido", ""))))</f>
        <v/>
      </c>
      <c r="AC142" s="56" t="n"/>
      <c r="AD142" s="51" t="n">
        <v>0</v>
      </c>
      <c r="AE142" s="156" t="n"/>
      <c r="AF142" s="51" t="n">
        <v>0</v>
      </c>
      <c r="AG142" s="156" t="inlineStr">
        <is>
          <t>Nuevo – NetSuite sin existencia</t>
        </is>
      </c>
      <c r="AH142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42" s="156" t="inlineStr">
        <is>
          <t>No</t>
        </is>
      </c>
      <c r="AJ142" s="156" t="n"/>
      <c r="AK142" s="155" t="inlineStr">
        <is>
          <t>ProductosCatalogoEstandar907.xlsx: fila 6060 [L,N,O,S,U,Y]; G1522_Extraccion_Articulos_NetSuite_2026-09-30.xlsx: fila 59438 [M,P,V,Y,S] | Shopify WB: producto 8626599461049 / variante 48347142127801</t>
        </is>
      </c>
      <c r="AL142" s="58" t="n"/>
      <c r="AM142" s="58" t="n">
        <v>1637.068966</v>
      </c>
      <c r="AN142" s="155" t="inlineStr">
        <is>
          <t>Shopify Western Brothers</t>
        </is>
      </c>
      <c r="AO142" s="59" t="n"/>
      <c r="AP142" s="59" t="n">
        <v>0</v>
      </c>
      <c r="AQ142" s="59" t="n"/>
      <c r="AR142" s="155" t="n"/>
    </row>
    <row r="143">
      <c r="A143" s="50" t="inlineStr">
        <is>
          <t>7506012606771</t>
        </is>
      </c>
      <c r="B143" s="51" t="inlineStr">
        <is>
          <t>112193</t>
        </is>
      </c>
      <c r="C143" s="156" t="inlineStr">
        <is>
          <t>Multimarca</t>
        </is>
      </c>
      <c r="D143" s="156" t="inlineStr">
        <is>
          <t>WACA0211-1</t>
        </is>
      </c>
      <c r="E143" s="156" t="inlineStr">
        <is>
          <t>WACA0211-1-27</t>
        </is>
      </c>
      <c r="F143" s="156" t="inlineStr">
        <is>
          <t>27</t>
        </is>
      </c>
      <c r="G143" s="156" t="inlineStr">
        <is>
          <t>9</t>
        </is>
      </c>
      <c r="H143" s="156" t="inlineStr">
        <is>
          <t>Wrangler</t>
        </is>
      </c>
      <c r="I143" s="156" t="inlineStr">
        <is>
          <t>Botas Wrangler Guardabosques Beige</t>
        </is>
      </c>
      <c r="J143" s="156" t="inlineStr">
        <is>
          <t>Calzado</t>
        </is>
      </c>
      <c r="K143" s="156" t="inlineStr">
        <is>
          <t>Botas</t>
        </is>
      </c>
      <c r="L143" s="156" t="inlineStr">
        <is>
          <t>Hombre</t>
        </is>
      </c>
      <c r="M143" s="156" t="inlineStr">
        <is>
          <t>Wrangler</t>
        </is>
      </c>
      <c r="N143" s="156" t="inlineStr">
        <is>
          <t>SS26</t>
        </is>
      </c>
      <c r="O143" s="156" t="inlineStr">
        <is>
          <t>Seasonal</t>
        </is>
      </c>
      <c r="P143" s="156" t="inlineStr">
        <is>
          <t>Beige</t>
        </is>
      </c>
      <c r="Q143" s="156" t="n"/>
      <c r="R143" s="156" t="n"/>
      <c r="S143" s="156" t="inlineStr">
        <is>
          <t>100% Piel</t>
        </is>
      </c>
      <c r="T143" s="156" t="inlineStr">
        <is>
          <t>Botas Wrangler Guardabosques Beige. Bota de la marca Wrangler. Estilo WACA0211-1.</t>
        </is>
      </c>
      <c r="U143" s="156" t="inlineStr">
        <is>
          <t>México</t>
        </is>
      </c>
      <c r="V143" s="156" t="inlineStr">
        <is>
          <t>PRS</t>
        </is>
      </c>
      <c r="W143" s="51" t="inlineStr">
        <is>
          <t>53111500</t>
        </is>
      </c>
      <c r="X143" s="156" t="n"/>
      <c r="Y143" s="54" t="n">
        <v>818.54</v>
      </c>
      <c r="Z143" s="54" t="n">
        <v>1637.068966</v>
      </c>
      <c r="AA143" s="55">
        <f>IF(AND(A143="", B143="", E143=""), "", IF(AB143="", "Válido", IF((LEN(AB143)-LEN(SUBSTITUTE(AB143,"; ","")))/2+1&gt;(LEN(AB143)-LEN(SUBSTITUTE(AB143,"[Aviso]","")))/7, "Con Incidencias", "Válido")))</f>
        <v/>
      </c>
      <c r="AB143" s="56">
        <f>IF(AND(A143="", B143="", E143=""), "", TEXTJOIN("; ", TRUE, IF(OR(TRIM(A143&amp;"")="", ISNUMBER(SEARCH("FALTA", A143))), "UPC faltante/inválido", ""), IF(AND(A143&lt;&gt;"", IFERROR(_xlfn.XMATCH(A143,$A$2:$A$1063,0,1)&lt;&gt;_xlfn.XMATCH(A143,$A$2:$A$1063,0,-1),FALSE)), "Código de barras duplicado", ""), IF(AND(E143&lt;&gt;"", COUNTIF($E$2:$E$1063, E143)&gt;1), "SKU duplicado", ""), IF(OR(J143="", J143=""), "[Aviso] División no capturada ()", IF(ISNA(MATCH(J143, Criterios!$A$123:$A$126, 0)), "División no válida", "")), IF(OR(K143="", K143=""), "[Aviso] Categoría no capturada ()", IF(ISNA(MATCH(K143, Criterios!$A$81:$A$120, 0)), "Categoría no válida", IF(AND(J143&lt;&gt;"", J143&lt;&gt;"", J143&lt;&gt;VLOOKUP(K143, Criterios!$A$81:$B$120, 2, FALSE)), "División no coincide con Categoría", ""))), IF(OR(L143="", L143=""), "[Aviso] Género no capturado ()", IF(ISNA(MATCH(L143, Criterios!$B$123:$B$127, 0)), "Género no válido", "")), IF(OR(N143="", N143=""), "[Aviso] Temporada no capturada ()", IF(ISNA(MATCH(N143, Criterios!$C$123:$C$128, 0)), "Temporada no válida", "")), IF(OR(O143="", O143=""), "[Aviso] Ciclo de vida no capturado ()", IF(ISNA(MATCH(O143, Criterios!$D$123:$D$124, 0)), "Ciclo de vida no válido", ""))))</f>
        <v/>
      </c>
      <c r="AC143" s="56" t="n"/>
      <c r="AD143" s="51" t="n">
        <v>0</v>
      </c>
      <c r="AE143" s="156" t="n"/>
      <c r="AF143" s="51" t="n">
        <v>0</v>
      </c>
      <c r="AG143" s="156" t="inlineStr">
        <is>
          <t>Nuevo – NetSuite sin existencia</t>
        </is>
      </c>
      <c r="AH143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43" s="156" t="inlineStr">
        <is>
          <t>No</t>
        </is>
      </c>
      <c r="AJ143" s="156" t="n"/>
      <c r="AK143" s="155" t="inlineStr">
        <is>
          <t>ProductosCatalogoEstandar907.xlsx: fila 6061 [L,N,O,S,U,Y]; G1522_Extraccion_Articulos_NetSuite_2026-09-30.xlsx: fila 59439 [M,P,V,Y,S] | Shopify WB: producto 8626599461049 / variante 48347142160569</t>
        </is>
      </c>
      <c r="AL143" s="58" t="n"/>
      <c r="AM143" s="58" t="n">
        <v>1637.068966</v>
      </c>
      <c r="AN143" s="155" t="inlineStr">
        <is>
          <t>Shopify Western Brothers</t>
        </is>
      </c>
      <c r="AO143" s="59" t="n"/>
      <c r="AP143" s="59" t="n">
        <v>0</v>
      </c>
      <c r="AQ143" s="59" t="n"/>
      <c r="AR143" s="155" t="n"/>
    </row>
    <row r="144">
      <c r="A144" s="50" t="inlineStr">
        <is>
          <t>7506012606788</t>
        </is>
      </c>
      <c r="B144" s="51" t="inlineStr">
        <is>
          <t>112194</t>
        </is>
      </c>
      <c r="C144" s="156" t="inlineStr">
        <is>
          <t>Multimarca</t>
        </is>
      </c>
      <c r="D144" s="156" t="inlineStr">
        <is>
          <t>WACA0211-1</t>
        </is>
      </c>
      <c r="E144" s="156" t="inlineStr">
        <is>
          <t>WACA0211-1-27.5</t>
        </is>
      </c>
      <c r="F144" s="156" t="inlineStr">
        <is>
          <t>27.5</t>
        </is>
      </c>
      <c r="G144" s="156" t="inlineStr">
        <is>
          <t>9.5</t>
        </is>
      </c>
      <c r="H144" s="156" t="inlineStr">
        <is>
          <t>Wrangler</t>
        </is>
      </c>
      <c r="I144" s="156" t="inlineStr">
        <is>
          <t>Botas Wrangler Guardabosques Beige</t>
        </is>
      </c>
      <c r="J144" s="156" t="inlineStr">
        <is>
          <t>Calzado</t>
        </is>
      </c>
      <c r="K144" s="156" t="inlineStr">
        <is>
          <t>Botas</t>
        </is>
      </c>
      <c r="L144" s="156" t="inlineStr">
        <is>
          <t>Hombre</t>
        </is>
      </c>
      <c r="M144" s="156" t="inlineStr">
        <is>
          <t>Wrangler</t>
        </is>
      </c>
      <c r="N144" s="156" t="inlineStr">
        <is>
          <t>SS26</t>
        </is>
      </c>
      <c r="O144" s="156" t="inlineStr">
        <is>
          <t>Seasonal</t>
        </is>
      </c>
      <c r="P144" s="156" t="inlineStr">
        <is>
          <t>Beige</t>
        </is>
      </c>
      <c r="Q144" s="156" t="n"/>
      <c r="R144" s="156" t="n"/>
      <c r="S144" s="156" t="inlineStr">
        <is>
          <t>100% Piel</t>
        </is>
      </c>
      <c r="T144" s="156" t="inlineStr">
        <is>
          <t>Botas Wrangler Guardabosques Beige. Bota de la marca Wrangler. Estilo WACA0211-1.</t>
        </is>
      </c>
      <c r="U144" s="156" t="inlineStr">
        <is>
          <t>México</t>
        </is>
      </c>
      <c r="V144" s="156" t="inlineStr">
        <is>
          <t>PRS</t>
        </is>
      </c>
      <c r="W144" s="51" t="inlineStr">
        <is>
          <t>53111500</t>
        </is>
      </c>
      <c r="X144" s="156" t="n"/>
      <c r="Y144" s="54" t="n">
        <v>818.54</v>
      </c>
      <c r="Z144" s="54" t="n">
        <v>1637.068966</v>
      </c>
      <c r="AA144" s="55">
        <f>IF(AND(A144="", B144="", E144=""), "", IF(AB144="", "Válido", IF((LEN(AB144)-LEN(SUBSTITUTE(AB144,"; ","")))/2+1&gt;(LEN(AB144)-LEN(SUBSTITUTE(AB144,"[Aviso]","")))/7, "Con Incidencias", "Válido")))</f>
        <v/>
      </c>
      <c r="AB144" s="56">
        <f>IF(AND(A144="", B144="", E144=""), "", TEXTJOIN("; ", TRUE, IF(OR(TRIM(A144&amp;"")="", ISNUMBER(SEARCH("FALTA", A144))), "UPC faltante/inválido", ""), IF(AND(A144&lt;&gt;"", IFERROR(_xlfn.XMATCH(A144,$A$2:$A$1063,0,1)&lt;&gt;_xlfn.XMATCH(A144,$A$2:$A$1063,0,-1),FALSE)), "Código de barras duplicado", ""), IF(AND(E144&lt;&gt;"", COUNTIF($E$2:$E$1063, E144)&gt;1), "SKU duplicado", ""), IF(OR(J144="", J144=""), "[Aviso] División no capturada ()", IF(ISNA(MATCH(J144, Criterios!$A$123:$A$126, 0)), "División no válida", "")), IF(OR(K144="", K144=""), "[Aviso] Categoría no capturada ()", IF(ISNA(MATCH(K144, Criterios!$A$81:$A$120, 0)), "Categoría no válida", IF(AND(J144&lt;&gt;"", J144&lt;&gt;"", J144&lt;&gt;VLOOKUP(K144, Criterios!$A$81:$B$120, 2, FALSE)), "División no coincide con Categoría", ""))), IF(OR(L144="", L144=""), "[Aviso] Género no capturado ()", IF(ISNA(MATCH(L144, Criterios!$B$123:$B$127, 0)), "Género no válido", "")), IF(OR(N144="", N144=""), "[Aviso] Temporada no capturada ()", IF(ISNA(MATCH(N144, Criterios!$C$123:$C$128, 0)), "Temporada no válida", "")), IF(OR(O144="", O144=""), "[Aviso] Ciclo de vida no capturado ()", IF(ISNA(MATCH(O144, Criterios!$D$123:$D$124, 0)), "Ciclo de vida no válido", ""))))</f>
        <v/>
      </c>
      <c r="AC144" s="56" t="n"/>
      <c r="AD144" s="51" t="n">
        <v>0</v>
      </c>
      <c r="AE144" s="156" t="n"/>
      <c r="AF144" s="51" t="n">
        <v>0</v>
      </c>
      <c r="AG144" s="156" t="inlineStr">
        <is>
          <t>Nuevo – NetSuite sin existencia</t>
        </is>
      </c>
      <c r="AH144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44" s="156" t="inlineStr">
        <is>
          <t>No</t>
        </is>
      </c>
      <c r="AJ144" s="156" t="n"/>
      <c r="AK144" s="155" t="inlineStr">
        <is>
          <t>ProductosCatalogoEstandar907.xlsx: fila 6062 [L,N,O,S,U,Y]; G1522_Extraccion_Articulos_NetSuite_2026-09-30.xlsx: fila 59440 [M,P,V,Y,S] | Shopify WB: producto 8626599461049 / variante 48347142193337</t>
        </is>
      </c>
      <c r="AL144" s="58" t="n"/>
      <c r="AM144" s="58" t="n">
        <v>1637.068966</v>
      </c>
      <c r="AN144" s="155" t="inlineStr">
        <is>
          <t>Shopify Western Brothers</t>
        </is>
      </c>
      <c r="AO144" s="59" t="n"/>
      <c r="AP144" s="59" t="n">
        <v>0</v>
      </c>
      <c r="AQ144" s="59" t="n"/>
      <c r="AR144" s="155" t="n"/>
    </row>
    <row r="145">
      <c r="A145" s="50" t="inlineStr">
        <is>
          <t>7506012606795</t>
        </is>
      </c>
      <c r="B145" s="51" t="inlineStr">
        <is>
          <t>112195</t>
        </is>
      </c>
      <c r="C145" s="156" t="inlineStr">
        <is>
          <t>Multimarca</t>
        </is>
      </c>
      <c r="D145" s="156" t="inlineStr">
        <is>
          <t>WACA0211-1</t>
        </is>
      </c>
      <c r="E145" s="156" t="inlineStr">
        <is>
          <t>WACA0211-1-28</t>
        </is>
      </c>
      <c r="F145" s="156" t="inlineStr">
        <is>
          <t>28</t>
        </is>
      </c>
      <c r="G145" s="156" t="inlineStr">
        <is>
          <t>10</t>
        </is>
      </c>
      <c r="H145" s="156" t="inlineStr">
        <is>
          <t>Wrangler</t>
        </is>
      </c>
      <c r="I145" s="156" t="inlineStr">
        <is>
          <t>Botas Wrangler Guardabosques Beige</t>
        </is>
      </c>
      <c r="J145" s="156" t="inlineStr">
        <is>
          <t>Calzado</t>
        </is>
      </c>
      <c r="K145" s="156" t="inlineStr">
        <is>
          <t>Botas</t>
        </is>
      </c>
      <c r="L145" s="156" t="inlineStr">
        <is>
          <t>Hombre</t>
        </is>
      </c>
      <c r="M145" s="156" t="inlineStr">
        <is>
          <t>Wrangler</t>
        </is>
      </c>
      <c r="N145" s="156" t="inlineStr">
        <is>
          <t>SS26</t>
        </is>
      </c>
      <c r="O145" s="156" t="inlineStr">
        <is>
          <t>Seasonal</t>
        </is>
      </c>
      <c r="P145" s="156" t="inlineStr">
        <is>
          <t>Beige</t>
        </is>
      </c>
      <c r="Q145" s="156" t="n"/>
      <c r="R145" s="156" t="n"/>
      <c r="S145" s="156" t="inlineStr">
        <is>
          <t>100% Piel</t>
        </is>
      </c>
      <c r="T145" s="156" t="inlineStr">
        <is>
          <t>Botas Wrangler Guardabosques Beige. Bota de la marca Wrangler. Estilo WACA0211-1.</t>
        </is>
      </c>
      <c r="U145" s="156" t="inlineStr">
        <is>
          <t>México</t>
        </is>
      </c>
      <c r="V145" s="156" t="inlineStr">
        <is>
          <t>PRS</t>
        </is>
      </c>
      <c r="W145" s="51" t="inlineStr">
        <is>
          <t>53111500</t>
        </is>
      </c>
      <c r="X145" s="156" t="n"/>
      <c r="Y145" s="54" t="n">
        <v>818.54</v>
      </c>
      <c r="Z145" s="54" t="n">
        <v>1637.068966</v>
      </c>
      <c r="AA145" s="55">
        <f>IF(AND(A145="", B145="", E145=""), "", IF(AB145="", "Válido", IF((LEN(AB145)-LEN(SUBSTITUTE(AB145,"; ","")))/2+1&gt;(LEN(AB145)-LEN(SUBSTITUTE(AB145,"[Aviso]","")))/7, "Con Incidencias", "Válido")))</f>
        <v/>
      </c>
      <c r="AB145" s="56">
        <f>IF(AND(A145="", B145="", E145=""), "", TEXTJOIN("; ", TRUE, IF(OR(TRIM(A145&amp;"")="", ISNUMBER(SEARCH("FALTA", A145))), "UPC faltante/inválido", ""), IF(AND(A145&lt;&gt;"", IFERROR(_xlfn.XMATCH(A145,$A$2:$A$1063,0,1)&lt;&gt;_xlfn.XMATCH(A145,$A$2:$A$1063,0,-1),FALSE)), "Código de barras duplicado", ""), IF(AND(E145&lt;&gt;"", COUNTIF($E$2:$E$1063, E145)&gt;1), "SKU duplicado", ""), IF(OR(J145="", J145=""), "[Aviso] División no capturada ()", IF(ISNA(MATCH(J145, Criterios!$A$123:$A$126, 0)), "División no válida", "")), IF(OR(K145="", K145=""), "[Aviso] Categoría no capturada ()", IF(ISNA(MATCH(K145, Criterios!$A$81:$A$120, 0)), "Categoría no válida", IF(AND(J145&lt;&gt;"", J145&lt;&gt;"", J145&lt;&gt;VLOOKUP(K145, Criterios!$A$81:$B$120, 2, FALSE)), "División no coincide con Categoría", ""))), IF(OR(L145="", L145=""), "[Aviso] Género no capturado ()", IF(ISNA(MATCH(L145, Criterios!$B$123:$B$127, 0)), "Género no válido", "")), IF(OR(N145="", N145=""), "[Aviso] Temporada no capturada ()", IF(ISNA(MATCH(N145, Criterios!$C$123:$C$128, 0)), "Temporada no válida", "")), IF(OR(O145="", O145=""), "[Aviso] Ciclo de vida no capturado ()", IF(ISNA(MATCH(O145, Criterios!$D$123:$D$124, 0)), "Ciclo de vida no válido", ""))))</f>
        <v/>
      </c>
      <c r="AC145" s="56" t="n"/>
      <c r="AD145" s="51" t="n">
        <v>0</v>
      </c>
      <c r="AE145" s="156" t="n"/>
      <c r="AF145" s="51" t="n">
        <v>0</v>
      </c>
      <c r="AG145" s="156" t="inlineStr">
        <is>
          <t>Nuevo – NetSuite sin existencia</t>
        </is>
      </c>
      <c r="AH145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45" s="156" t="inlineStr">
        <is>
          <t>No</t>
        </is>
      </c>
      <c r="AJ145" s="156" t="n"/>
      <c r="AK145" s="155" t="inlineStr">
        <is>
          <t>ProductosCatalogoEstandar907.xlsx: fila 6063 [L,N,O,S,U,Y]; G1522_Extraccion_Articulos_NetSuite_2026-09-30.xlsx: fila 59441 [M,P,V,Y,S] | Shopify WB: producto 8626599461049 / variante 48347142226105</t>
        </is>
      </c>
      <c r="AL145" s="58" t="n"/>
      <c r="AM145" s="58" t="n">
        <v>1637.068966</v>
      </c>
      <c r="AN145" s="155" t="inlineStr">
        <is>
          <t>Shopify Western Brothers</t>
        </is>
      </c>
      <c r="AO145" s="59" t="n"/>
      <c r="AP145" s="59" t="n">
        <v>0</v>
      </c>
      <c r="AQ145" s="59" t="n"/>
      <c r="AR145" s="155" t="n"/>
    </row>
    <row r="146">
      <c r="A146" s="50" t="inlineStr">
        <is>
          <t>7506012606801</t>
        </is>
      </c>
      <c r="B146" s="51" t="inlineStr">
        <is>
          <t>112196</t>
        </is>
      </c>
      <c r="C146" s="156" t="inlineStr">
        <is>
          <t>Multimarca</t>
        </is>
      </c>
      <c r="D146" s="156" t="inlineStr">
        <is>
          <t>WACA0211-1</t>
        </is>
      </c>
      <c r="E146" s="156" t="inlineStr">
        <is>
          <t>WACA0211-1-28.5</t>
        </is>
      </c>
      <c r="F146" s="156" t="inlineStr">
        <is>
          <t>28.5</t>
        </is>
      </c>
      <c r="G146" s="156" t="inlineStr">
        <is>
          <t>10.5</t>
        </is>
      </c>
      <c r="H146" s="156" t="inlineStr">
        <is>
          <t>Wrangler</t>
        </is>
      </c>
      <c r="I146" s="156" t="inlineStr">
        <is>
          <t>Botas Wrangler Guardabosques Beige</t>
        </is>
      </c>
      <c r="J146" s="156" t="inlineStr">
        <is>
          <t>Calzado</t>
        </is>
      </c>
      <c r="K146" s="156" t="inlineStr">
        <is>
          <t>Botas</t>
        </is>
      </c>
      <c r="L146" s="156" t="inlineStr">
        <is>
          <t>Hombre</t>
        </is>
      </c>
      <c r="M146" s="156" t="inlineStr">
        <is>
          <t>Wrangler</t>
        </is>
      </c>
      <c r="N146" s="156" t="inlineStr">
        <is>
          <t>SS26</t>
        </is>
      </c>
      <c r="O146" s="156" t="inlineStr">
        <is>
          <t>Seasonal</t>
        </is>
      </c>
      <c r="P146" s="156" t="inlineStr">
        <is>
          <t>Beige</t>
        </is>
      </c>
      <c r="Q146" s="156" t="n"/>
      <c r="R146" s="156" t="n"/>
      <c r="S146" s="156" t="inlineStr">
        <is>
          <t>100% Piel</t>
        </is>
      </c>
      <c r="T146" s="156" t="inlineStr">
        <is>
          <t>Botas Wrangler Guardabosques Beige. Bota de la marca Wrangler. Estilo WACA0211-1.</t>
        </is>
      </c>
      <c r="U146" s="156" t="inlineStr">
        <is>
          <t>México</t>
        </is>
      </c>
      <c r="V146" s="156" t="inlineStr">
        <is>
          <t>PRS</t>
        </is>
      </c>
      <c r="W146" s="51" t="inlineStr">
        <is>
          <t>53111500</t>
        </is>
      </c>
      <c r="X146" s="156" t="n"/>
      <c r="Y146" s="54" t="n">
        <v>818.54</v>
      </c>
      <c r="Z146" s="54" t="n">
        <v>1637.068966</v>
      </c>
      <c r="AA146" s="55">
        <f>IF(AND(A146="", B146="", E146=""), "", IF(AB146="", "Válido", IF((LEN(AB146)-LEN(SUBSTITUTE(AB146,"; ","")))/2+1&gt;(LEN(AB146)-LEN(SUBSTITUTE(AB146,"[Aviso]","")))/7, "Con Incidencias", "Válido")))</f>
        <v/>
      </c>
      <c r="AB146" s="56">
        <f>IF(AND(A146="", B146="", E146=""), "", TEXTJOIN("; ", TRUE, IF(OR(TRIM(A146&amp;"")="", ISNUMBER(SEARCH("FALTA", A146))), "UPC faltante/inválido", ""), IF(AND(A146&lt;&gt;"", IFERROR(_xlfn.XMATCH(A146,$A$2:$A$1063,0,1)&lt;&gt;_xlfn.XMATCH(A146,$A$2:$A$1063,0,-1),FALSE)), "Código de barras duplicado", ""), IF(AND(E146&lt;&gt;"", COUNTIF($E$2:$E$1063, E146)&gt;1), "SKU duplicado", ""), IF(OR(J146="", J146=""), "[Aviso] División no capturada ()", IF(ISNA(MATCH(J146, Criterios!$A$123:$A$126, 0)), "División no válida", "")), IF(OR(K146="", K146=""), "[Aviso] Categoría no capturada ()", IF(ISNA(MATCH(K146, Criterios!$A$81:$A$120, 0)), "Categoría no válida", IF(AND(J146&lt;&gt;"", J146&lt;&gt;"", J146&lt;&gt;VLOOKUP(K146, Criterios!$A$81:$B$120, 2, FALSE)), "División no coincide con Categoría", ""))), IF(OR(L146="", L146=""), "[Aviso] Género no capturado ()", IF(ISNA(MATCH(L146, Criterios!$B$123:$B$127, 0)), "Género no válido", "")), IF(OR(N146="", N146=""), "[Aviso] Temporada no capturada ()", IF(ISNA(MATCH(N146, Criterios!$C$123:$C$128, 0)), "Temporada no válida", "")), IF(OR(O146="", O146=""), "[Aviso] Ciclo de vida no capturado ()", IF(ISNA(MATCH(O146, Criterios!$D$123:$D$124, 0)), "Ciclo de vida no válido", ""))))</f>
        <v/>
      </c>
      <c r="AC146" s="56" t="n"/>
      <c r="AD146" s="51" t="n">
        <v>1</v>
      </c>
      <c r="AE146" s="156" t="inlineStr">
        <is>
          <t>WB OUTLET LERMA (1)</t>
        </is>
      </c>
      <c r="AF146" s="51" t="n">
        <v>1</v>
      </c>
      <c r="AG146" s="156" t="inlineStr">
        <is>
          <t>Nuevo – NetSuite con existencia</t>
        </is>
      </c>
      <c r="AH146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46" s="156" t="inlineStr">
        <is>
          <t>No</t>
        </is>
      </c>
      <c r="AJ146" s="156" t="n"/>
      <c r="AK146" s="155" t="inlineStr">
        <is>
          <t>ProductosCatalogoEstandar907.xlsx: fila 6064 [L,N,O,S,U,Y]; G1522_Extraccion_Articulos_NetSuite_2026-09-30.xlsx: fila 59442 [M,P,V,Y,S] | Shopify WB: producto 8626599461049 / variante 48347142258873</t>
        </is>
      </c>
      <c r="AL146" s="58" t="n"/>
      <c r="AM146" s="58" t="n">
        <v>1637.068966</v>
      </c>
      <c r="AN146" s="155" t="inlineStr">
        <is>
          <t>Shopify Western Brothers</t>
        </is>
      </c>
      <c r="AO146" s="59" t="n"/>
      <c r="AP146" s="59" t="n">
        <v>1</v>
      </c>
      <c r="AQ146" s="59" t="n"/>
      <c r="AR146" s="155" t="inlineStr">
        <is>
          <t>Shopify Western Brothers › Western Brothers Outlet Lerma: 1</t>
        </is>
      </c>
    </row>
    <row r="147">
      <c r="A147" s="50" t="inlineStr">
        <is>
          <t>7506012606498</t>
        </is>
      </c>
      <c r="B147" s="51" t="inlineStr">
        <is>
          <t>112219</t>
        </is>
      </c>
      <c r="C147" s="156" t="inlineStr">
        <is>
          <t>Multimarca</t>
        </is>
      </c>
      <c r="D147" s="156" t="inlineStr">
        <is>
          <t>WACA0211-2</t>
        </is>
      </c>
      <c r="E147" s="156" t="inlineStr">
        <is>
          <t>WACA0211-2-26</t>
        </is>
      </c>
      <c r="F147" s="156" t="inlineStr">
        <is>
          <t>26</t>
        </is>
      </c>
      <c r="G147" s="156" t="inlineStr">
        <is>
          <t>8</t>
        </is>
      </c>
      <c r="H147" s="156" t="inlineStr">
        <is>
          <t>Wrangler</t>
        </is>
      </c>
      <c r="I147" s="156" t="inlineStr">
        <is>
          <t>Botas Wrangler Guardabosques Café</t>
        </is>
      </c>
      <c r="J147" s="156" t="inlineStr">
        <is>
          <t>Calzado</t>
        </is>
      </c>
      <c r="K147" s="156" t="inlineStr">
        <is>
          <t>Botas</t>
        </is>
      </c>
      <c r="L147" s="156" t="inlineStr">
        <is>
          <t>Hombre</t>
        </is>
      </c>
      <c r="M147" s="156" t="inlineStr">
        <is>
          <t>Wrangler</t>
        </is>
      </c>
      <c r="N147" s="156" t="inlineStr">
        <is>
          <t>SS26</t>
        </is>
      </c>
      <c r="O147" s="156" t="inlineStr">
        <is>
          <t>Seasonal</t>
        </is>
      </c>
      <c r="P147" s="156" t="inlineStr">
        <is>
          <t>Cafe</t>
        </is>
      </c>
      <c r="Q147" s="156" t="n"/>
      <c r="R147" s="156" t="n"/>
      <c r="S147" s="156" t="inlineStr">
        <is>
          <t>100% Piel</t>
        </is>
      </c>
      <c r="T147" s="156" t="inlineStr">
        <is>
          <t>Botas Wrangler Guardabosques Café. Bota de la marca Wrangler. Estilo WACA0211-2.</t>
        </is>
      </c>
      <c r="U147" s="156" t="inlineStr">
        <is>
          <t>México</t>
        </is>
      </c>
      <c r="V147" s="156" t="inlineStr">
        <is>
          <t>PRS</t>
        </is>
      </c>
      <c r="W147" s="51" t="inlineStr">
        <is>
          <t>53111500</t>
        </is>
      </c>
      <c r="X147" s="156" t="n"/>
      <c r="Y147" s="54" t="n">
        <v>818.54</v>
      </c>
      <c r="Z147" s="54" t="n">
        <v>1637.068966</v>
      </c>
      <c r="AA147" s="55">
        <f>IF(AND(A147="", B147="", E147=""), "", IF(AB147="", "Válido", IF((LEN(AB147)-LEN(SUBSTITUTE(AB147,"; ","")))/2+1&gt;(LEN(AB147)-LEN(SUBSTITUTE(AB147,"[Aviso]","")))/7, "Con Incidencias", "Válido")))</f>
        <v/>
      </c>
      <c r="AB147" s="56">
        <f>IF(AND(A147="", B147="", E147=""), "", TEXTJOIN("; ", TRUE, IF(OR(TRIM(A147&amp;"")="", ISNUMBER(SEARCH("FALTA", A147))), "UPC faltante/inválido", ""), IF(AND(A147&lt;&gt;"", IFERROR(_xlfn.XMATCH(A147,$A$2:$A$1063,0,1)&lt;&gt;_xlfn.XMATCH(A147,$A$2:$A$1063,0,-1),FALSE)), "Código de barras duplicado", ""), IF(AND(E147&lt;&gt;"", COUNTIF($E$2:$E$1063, E147)&gt;1), "SKU duplicado", ""), IF(OR(J147="", J147=""), "[Aviso] División no capturada ()", IF(ISNA(MATCH(J147, Criterios!$A$123:$A$126, 0)), "División no válida", "")), IF(OR(K147="", K147=""), "[Aviso] Categoría no capturada ()", IF(ISNA(MATCH(K147, Criterios!$A$81:$A$120, 0)), "Categoría no válida", IF(AND(J147&lt;&gt;"", J147&lt;&gt;"", J147&lt;&gt;VLOOKUP(K147, Criterios!$A$81:$B$120, 2, FALSE)), "División no coincide con Categoría", ""))), IF(OR(L147="", L147=""), "[Aviso] Género no capturado ()", IF(ISNA(MATCH(L147, Criterios!$B$123:$B$127, 0)), "Género no válido", "")), IF(OR(N147="", N147=""), "[Aviso] Temporada no capturada ()", IF(ISNA(MATCH(N147, Criterios!$C$123:$C$128, 0)), "Temporada no válida", "")), IF(OR(O147="", O147=""), "[Aviso] Ciclo de vida no capturado ()", IF(ISNA(MATCH(O147, Criterios!$D$123:$D$124, 0)), "Ciclo de vida no válido", ""))))</f>
        <v/>
      </c>
      <c r="AC147" s="56" t="n"/>
      <c r="AD147" s="51" t="n">
        <v>0</v>
      </c>
      <c r="AE147" s="156" t="n"/>
      <c r="AF147" s="51" t="n">
        <v>0</v>
      </c>
      <c r="AG147" s="156" t="inlineStr">
        <is>
          <t>Nuevo – NetSuite sin existencia</t>
        </is>
      </c>
      <c r="AH147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47" s="156" t="inlineStr">
        <is>
          <t>No</t>
        </is>
      </c>
      <c r="AJ147" s="156" t="n"/>
      <c r="AK147" s="155" t="inlineStr">
        <is>
          <t>ProductosCatalogoEstandar907.xlsx: fila 6065 [L,N,O,S,U,Y]; G1522_Extraccion_Articulos_NetSuite_2026-09-30.xlsx: fila 59465 [M,P,V,Y,S] | Shopify WB: producto 8626599624889 / variante 48347148583097</t>
        </is>
      </c>
      <c r="AL147" s="58" t="n"/>
      <c r="AM147" s="58" t="n">
        <v>1637.068966</v>
      </c>
      <c r="AN147" s="155" t="inlineStr">
        <is>
          <t>Shopify Western Brothers</t>
        </is>
      </c>
      <c r="AO147" s="59" t="n"/>
      <c r="AP147" s="59" t="n">
        <v>0</v>
      </c>
      <c r="AQ147" s="59" t="n"/>
      <c r="AR147" s="155" t="n"/>
    </row>
    <row r="148">
      <c r="A148" s="50" t="inlineStr">
        <is>
          <t>7506012606504</t>
        </is>
      </c>
      <c r="B148" s="51" t="inlineStr">
        <is>
          <t>112220</t>
        </is>
      </c>
      <c r="C148" s="156" t="inlineStr">
        <is>
          <t>Multimarca</t>
        </is>
      </c>
      <c r="D148" s="156" t="inlineStr">
        <is>
          <t>WACA0211-2</t>
        </is>
      </c>
      <c r="E148" s="156" t="inlineStr">
        <is>
          <t>WACA0211-2-26.5</t>
        </is>
      </c>
      <c r="F148" s="156" t="inlineStr">
        <is>
          <t>26.5</t>
        </is>
      </c>
      <c r="G148" s="156" t="inlineStr">
        <is>
          <t>8.5</t>
        </is>
      </c>
      <c r="H148" s="156" t="inlineStr">
        <is>
          <t>Wrangler</t>
        </is>
      </c>
      <c r="I148" s="156" t="inlineStr">
        <is>
          <t>Botas Wrangler Guardabosques Café</t>
        </is>
      </c>
      <c r="J148" s="156" t="inlineStr">
        <is>
          <t>Calzado</t>
        </is>
      </c>
      <c r="K148" s="156" t="inlineStr">
        <is>
          <t>Botas</t>
        </is>
      </c>
      <c r="L148" s="156" t="inlineStr">
        <is>
          <t>Hombre</t>
        </is>
      </c>
      <c r="M148" s="156" t="inlineStr">
        <is>
          <t>Wrangler</t>
        </is>
      </c>
      <c r="N148" s="156" t="inlineStr">
        <is>
          <t>SS26</t>
        </is>
      </c>
      <c r="O148" s="156" t="inlineStr">
        <is>
          <t>Seasonal</t>
        </is>
      </c>
      <c r="P148" s="156" t="inlineStr">
        <is>
          <t>Cafe</t>
        </is>
      </c>
      <c r="Q148" s="156" t="n"/>
      <c r="R148" s="156" t="n"/>
      <c r="S148" s="156" t="inlineStr">
        <is>
          <t>100% Piel</t>
        </is>
      </c>
      <c r="T148" s="156" t="inlineStr">
        <is>
          <t>Botas Wrangler Guardabosques Café. Bota de la marca Wrangler. Estilo WACA0211-2.</t>
        </is>
      </c>
      <c r="U148" s="156" t="inlineStr">
        <is>
          <t>México</t>
        </is>
      </c>
      <c r="V148" s="156" t="inlineStr">
        <is>
          <t>PRS</t>
        </is>
      </c>
      <c r="W148" s="51" t="inlineStr">
        <is>
          <t>53111500</t>
        </is>
      </c>
      <c r="X148" s="156" t="n"/>
      <c r="Y148" s="54" t="n">
        <v>818.54</v>
      </c>
      <c r="Z148" s="54" t="n">
        <v>1637.068966</v>
      </c>
      <c r="AA148" s="55">
        <f>IF(AND(A148="", B148="", E148=""), "", IF(AB148="", "Válido", IF((LEN(AB148)-LEN(SUBSTITUTE(AB148,"; ","")))/2+1&gt;(LEN(AB148)-LEN(SUBSTITUTE(AB148,"[Aviso]","")))/7, "Con Incidencias", "Válido")))</f>
        <v/>
      </c>
      <c r="AB148" s="56">
        <f>IF(AND(A148="", B148="", E148=""), "", TEXTJOIN("; ", TRUE, IF(OR(TRIM(A148&amp;"")="", ISNUMBER(SEARCH("FALTA", A148))), "UPC faltante/inválido", ""), IF(AND(A148&lt;&gt;"", IFERROR(_xlfn.XMATCH(A148,$A$2:$A$1063,0,1)&lt;&gt;_xlfn.XMATCH(A148,$A$2:$A$1063,0,-1),FALSE)), "Código de barras duplicado", ""), IF(AND(E148&lt;&gt;"", COUNTIF($E$2:$E$1063, E148)&gt;1), "SKU duplicado", ""), IF(OR(J148="", J148=""), "[Aviso] División no capturada ()", IF(ISNA(MATCH(J148, Criterios!$A$123:$A$126, 0)), "División no válida", "")), IF(OR(K148="", K148=""), "[Aviso] Categoría no capturada ()", IF(ISNA(MATCH(K148, Criterios!$A$81:$A$120, 0)), "Categoría no válida", IF(AND(J148&lt;&gt;"", J148&lt;&gt;"", J148&lt;&gt;VLOOKUP(K148, Criterios!$A$81:$B$120, 2, FALSE)), "División no coincide con Categoría", ""))), IF(OR(L148="", L148=""), "[Aviso] Género no capturado ()", IF(ISNA(MATCH(L148, Criterios!$B$123:$B$127, 0)), "Género no válido", "")), IF(OR(N148="", N148=""), "[Aviso] Temporada no capturada ()", IF(ISNA(MATCH(N148, Criterios!$C$123:$C$128, 0)), "Temporada no válida", "")), IF(OR(O148="", O148=""), "[Aviso] Ciclo de vida no capturado ()", IF(ISNA(MATCH(O148, Criterios!$D$123:$D$124, 0)), "Ciclo de vida no válido", ""))))</f>
        <v/>
      </c>
      <c r="AC148" s="56" t="n"/>
      <c r="AD148" s="51" t="n">
        <v>0</v>
      </c>
      <c r="AE148" s="156" t="n"/>
      <c r="AF148" s="51" t="n">
        <v>0</v>
      </c>
      <c r="AG148" s="156" t="inlineStr">
        <is>
          <t>Nuevo – NetSuite sin existencia</t>
        </is>
      </c>
      <c r="AH148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48" s="156" t="inlineStr">
        <is>
          <t>No</t>
        </is>
      </c>
      <c r="AJ148" s="156" t="n"/>
      <c r="AK148" s="155" t="inlineStr">
        <is>
          <t>ProductosCatalogoEstandar907.xlsx: fila 6066 [L,N,O,S,U,Y]; G1522_Extraccion_Articulos_NetSuite_2026-09-30.xlsx: fila 59466 [M,P,V,Y,S] | Shopify WB: producto 8626599624889 / variante 48347148615865</t>
        </is>
      </c>
      <c r="AL148" s="58" t="n"/>
      <c r="AM148" s="58" t="n">
        <v>1637.068966</v>
      </c>
      <c r="AN148" s="155" t="inlineStr">
        <is>
          <t>Shopify Western Brothers</t>
        </is>
      </c>
      <c r="AO148" s="59" t="n"/>
      <c r="AP148" s="59" t="n">
        <v>0</v>
      </c>
      <c r="AQ148" s="59" t="n"/>
      <c r="AR148" s="155" t="n"/>
    </row>
    <row r="149">
      <c r="A149" s="50" t="inlineStr">
        <is>
          <t>7506012606511</t>
        </is>
      </c>
      <c r="B149" s="51" t="inlineStr">
        <is>
          <t>112221</t>
        </is>
      </c>
      <c r="C149" s="156" t="inlineStr">
        <is>
          <t>Multimarca</t>
        </is>
      </c>
      <c r="D149" s="156" t="inlineStr">
        <is>
          <t>WACA0211-2</t>
        </is>
      </c>
      <c r="E149" s="156" t="inlineStr">
        <is>
          <t>WACA0211-2-27</t>
        </is>
      </c>
      <c r="F149" s="156" t="inlineStr">
        <is>
          <t>27</t>
        </is>
      </c>
      <c r="G149" s="156" t="inlineStr">
        <is>
          <t>9</t>
        </is>
      </c>
      <c r="H149" s="156" t="inlineStr">
        <is>
          <t>Wrangler</t>
        </is>
      </c>
      <c r="I149" s="156" t="inlineStr">
        <is>
          <t>Botas Wrangler Guardabosques Café</t>
        </is>
      </c>
      <c r="J149" s="156" t="inlineStr">
        <is>
          <t>Calzado</t>
        </is>
      </c>
      <c r="K149" s="156" t="inlineStr">
        <is>
          <t>Botas</t>
        </is>
      </c>
      <c r="L149" s="156" t="inlineStr">
        <is>
          <t>Hombre</t>
        </is>
      </c>
      <c r="M149" s="156" t="inlineStr">
        <is>
          <t>Wrangler</t>
        </is>
      </c>
      <c r="N149" s="156" t="inlineStr">
        <is>
          <t>SS26</t>
        </is>
      </c>
      <c r="O149" s="156" t="inlineStr">
        <is>
          <t>Seasonal</t>
        </is>
      </c>
      <c r="P149" s="156" t="inlineStr">
        <is>
          <t>Cafe</t>
        </is>
      </c>
      <c r="Q149" s="156" t="n"/>
      <c r="R149" s="156" t="n"/>
      <c r="S149" s="156" t="inlineStr">
        <is>
          <t>100% Piel</t>
        </is>
      </c>
      <c r="T149" s="156" t="inlineStr">
        <is>
          <t>Botas Wrangler Guardabosques Café. Bota de la marca Wrangler. Estilo WACA0211-2.</t>
        </is>
      </c>
      <c r="U149" s="156" t="inlineStr">
        <is>
          <t>México</t>
        </is>
      </c>
      <c r="V149" s="156" t="inlineStr">
        <is>
          <t>PRS</t>
        </is>
      </c>
      <c r="W149" s="51" t="inlineStr">
        <is>
          <t>53111500</t>
        </is>
      </c>
      <c r="X149" s="156" t="n"/>
      <c r="Y149" s="54" t="n">
        <v>818.54</v>
      </c>
      <c r="Z149" s="54" t="n">
        <v>1637.068966</v>
      </c>
      <c r="AA149" s="55">
        <f>IF(AND(A149="", B149="", E149=""), "", IF(AB149="", "Válido", IF((LEN(AB149)-LEN(SUBSTITUTE(AB149,"; ","")))/2+1&gt;(LEN(AB149)-LEN(SUBSTITUTE(AB149,"[Aviso]","")))/7, "Con Incidencias", "Válido")))</f>
        <v/>
      </c>
      <c r="AB149" s="56">
        <f>IF(AND(A149="", B149="", E149=""), "", TEXTJOIN("; ", TRUE, IF(OR(TRIM(A149&amp;"")="", ISNUMBER(SEARCH("FALTA", A149))), "UPC faltante/inválido", ""), IF(AND(A149&lt;&gt;"", IFERROR(_xlfn.XMATCH(A149,$A$2:$A$1063,0,1)&lt;&gt;_xlfn.XMATCH(A149,$A$2:$A$1063,0,-1),FALSE)), "Código de barras duplicado", ""), IF(AND(E149&lt;&gt;"", COUNTIF($E$2:$E$1063, E149)&gt;1), "SKU duplicado", ""), IF(OR(J149="", J149=""), "[Aviso] División no capturada ()", IF(ISNA(MATCH(J149, Criterios!$A$123:$A$126, 0)), "División no válida", "")), IF(OR(K149="", K149=""), "[Aviso] Categoría no capturada ()", IF(ISNA(MATCH(K149, Criterios!$A$81:$A$120, 0)), "Categoría no válida", IF(AND(J149&lt;&gt;"", J149&lt;&gt;"", J149&lt;&gt;VLOOKUP(K149, Criterios!$A$81:$B$120, 2, FALSE)), "División no coincide con Categoría", ""))), IF(OR(L149="", L149=""), "[Aviso] Género no capturado ()", IF(ISNA(MATCH(L149, Criterios!$B$123:$B$127, 0)), "Género no válido", "")), IF(OR(N149="", N149=""), "[Aviso] Temporada no capturada ()", IF(ISNA(MATCH(N149, Criterios!$C$123:$C$128, 0)), "Temporada no válida", "")), IF(OR(O149="", O149=""), "[Aviso] Ciclo de vida no capturado ()", IF(ISNA(MATCH(O149, Criterios!$D$123:$D$124, 0)), "Ciclo de vida no válido", ""))))</f>
        <v/>
      </c>
      <c r="AC149" s="56" t="n"/>
      <c r="AD149" s="51" t="n">
        <v>0</v>
      </c>
      <c r="AE149" s="156" t="n"/>
      <c r="AF149" s="51" t="n">
        <v>0</v>
      </c>
      <c r="AG149" s="156" t="inlineStr">
        <is>
          <t>Nuevo – NetSuite sin existencia</t>
        </is>
      </c>
      <c r="AH149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49" s="156" t="inlineStr">
        <is>
          <t>No</t>
        </is>
      </c>
      <c r="AJ149" s="156" t="n"/>
      <c r="AK149" s="155" t="inlineStr">
        <is>
          <t>ProductosCatalogoEstandar907.xlsx: fila 6067 [L,N,O,S,U,Y]; G1522_Extraccion_Articulos_NetSuite_2026-09-30.xlsx: fila 59467 [M,P,V,Y,S] | Shopify WB: producto 8626599624889 / variante 48347148648633</t>
        </is>
      </c>
      <c r="AL149" s="58" t="n"/>
      <c r="AM149" s="58" t="n">
        <v>1637.068966</v>
      </c>
      <c r="AN149" s="155" t="inlineStr">
        <is>
          <t>Shopify Western Brothers</t>
        </is>
      </c>
      <c r="AO149" s="59" t="n"/>
      <c r="AP149" s="59" t="n">
        <v>0</v>
      </c>
      <c r="AQ149" s="59" t="n"/>
      <c r="AR149" s="155" t="n"/>
    </row>
    <row r="150">
      <c r="A150" s="50" t="inlineStr">
        <is>
          <t>7506012606528</t>
        </is>
      </c>
      <c r="B150" s="51" t="inlineStr">
        <is>
          <t>112222</t>
        </is>
      </c>
      <c r="C150" s="156" t="inlineStr">
        <is>
          <t>Multimarca</t>
        </is>
      </c>
      <c r="D150" s="156" t="inlineStr">
        <is>
          <t>WACA0211-2</t>
        </is>
      </c>
      <c r="E150" s="156" t="inlineStr">
        <is>
          <t>WACA0211-2-27.5</t>
        </is>
      </c>
      <c r="F150" s="156" t="inlineStr">
        <is>
          <t>27.5</t>
        </is>
      </c>
      <c r="G150" s="156" t="inlineStr">
        <is>
          <t>9.5</t>
        </is>
      </c>
      <c r="H150" s="156" t="inlineStr">
        <is>
          <t>Wrangler</t>
        </is>
      </c>
      <c r="I150" s="156" t="inlineStr">
        <is>
          <t>Botas Wrangler Guardabosques Café</t>
        </is>
      </c>
      <c r="J150" s="156" t="inlineStr">
        <is>
          <t>Calzado</t>
        </is>
      </c>
      <c r="K150" s="156" t="inlineStr">
        <is>
          <t>Botas</t>
        </is>
      </c>
      <c r="L150" s="156" t="inlineStr">
        <is>
          <t>Hombre</t>
        </is>
      </c>
      <c r="M150" s="156" t="inlineStr">
        <is>
          <t>Wrangler</t>
        </is>
      </c>
      <c r="N150" s="156" t="inlineStr">
        <is>
          <t>SS26</t>
        </is>
      </c>
      <c r="O150" s="156" t="inlineStr">
        <is>
          <t>Seasonal</t>
        </is>
      </c>
      <c r="P150" s="156" t="inlineStr">
        <is>
          <t>Cafe</t>
        </is>
      </c>
      <c r="Q150" s="156" t="n"/>
      <c r="R150" s="156" t="n"/>
      <c r="S150" s="156" t="inlineStr">
        <is>
          <t>100% Piel</t>
        </is>
      </c>
      <c r="T150" s="156" t="inlineStr">
        <is>
          <t>Botas Wrangler Guardabosques Café. Bota de la marca Wrangler. Estilo WACA0211-2.</t>
        </is>
      </c>
      <c r="U150" s="156" t="inlineStr">
        <is>
          <t>México</t>
        </is>
      </c>
      <c r="V150" s="156" t="inlineStr">
        <is>
          <t>PRS</t>
        </is>
      </c>
      <c r="W150" s="51" t="inlineStr">
        <is>
          <t>53111500</t>
        </is>
      </c>
      <c r="X150" s="156" t="n"/>
      <c r="Y150" s="54" t="n">
        <v>818.54</v>
      </c>
      <c r="Z150" s="54" t="n">
        <v>1637.068966</v>
      </c>
      <c r="AA150" s="55">
        <f>IF(AND(A150="", B150="", E150=""), "", IF(AB150="", "Válido", IF((LEN(AB150)-LEN(SUBSTITUTE(AB150,"; ","")))/2+1&gt;(LEN(AB150)-LEN(SUBSTITUTE(AB150,"[Aviso]","")))/7, "Con Incidencias", "Válido")))</f>
        <v/>
      </c>
      <c r="AB150" s="56">
        <f>IF(AND(A150="", B150="", E150=""), "", TEXTJOIN("; ", TRUE, IF(OR(TRIM(A150&amp;"")="", ISNUMBER(SEARCH("FALTA", A150))), "UPC faltante/inválido", ""), IF(AND(A150&lt;&gt;"", IFERROR(_xlfn.XMATCH(A150,$A$2:$A$1063,0,1)&lt;&gt;_xlfn.XMATCH(A150,$A$2:$A$1063,0,-1),FALSE)), "Código de barras duplicado", ""), IF(AND(E150&lt;&gt;"", COUNTIF($E$2:$E$1063, E150)&gt;1), "SKU duplicado", ""), IF(OR(J150="", J150=""), "[Aviso] División no capturada ()", IF(ISNA(MATCH(J150, Criterios!$A$123:$A$126, 0)), "División no válida", "")), IF(OR(K150="", K150=""), "[Aviso] Categoría no capturada ()", IF(ISNA(MATCH(K150, Criterios!$A$81:$A$120, 0)), "Categoría no válida", IF(AND(J150&lt;&gt;"", J150&lt;&gt;"", J150&lt;&gt;VLOOKUP(K150, Criterios!$A$81:$B$120, 2, FALSE)), "División no coincide con Categoría", ""))), IF(OR(L150="", L150=""), "[Aviso] Género no capturado ()", IF(ISNA(MATCH(L150, Criterios!$B$123:$B$127, 0)), "Género no válido", "")), IF(OR(N150="", N150=""), "[Aviso] Temporada no capturada ()", IF(ISNA(MATCH(N150, Criterios!$C$123:$C$128, 0)), "Temporada no válida", "")), IF(OR(O150="", O150=""), "[Aviso] Ciclo de vida no capturado ()", IF(ISNA(MATCH(O150, Criterios!$D$123:$D$124, 0)), "Ciclo de vida no válido", ""))))</f>
        <v/>
      </c>
      <c r="AC150" s="56" t="n"/>
      <c r="AD150" s="51" t="n">
        <v>0</v>
      </c>
      <c r="AE150" s="156" t="n"/>
      <c r="AF150" s="51" t="n">
        <v>0</v>
      </c>
      <c r="AG150" s="156" t="inlineStr">
        <is>
          <t>Nuevo – NetSuite sin existencia</t>
        </is>
      </c>
      <c r="AH150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50" s="156" t="inlineStr">
        <is>
          <t>No</t>
        </is>
      </c>
      <c r="AJ150" s="156" t="n"/>
      <c r="AK150" s="155" t="inlineStr">
        <is>
          <t>ProductosCatalogoEstandar907.xlsx: fila 6068 [L,N,O,S,U,Y]; G1522_Extraccion_Articulos_NetSuite_2026-09-30.xlsx: fila 59468 [M,P,V,Y,S] | Shopify WB: producto 8626599624889 / variante 48347148681401</t>
        </is>
      </c>
      <c r="AL150" s="58" t="n"/>
      <c r="AM150" s="58" t="n">
        <v>1637.068966</v>
      </c>
      <c r="AN150" s="155" t="inlineStr">
        <is>
          <t>Shopify Western Brothers</t>
        </is>
      </c>
      <c r="AO150" s="59" t="n"/>
      <c r="AP150" s="59" t="n">
        <v>0</v>
      </c>
      <c r="AQ150" s="59" t="n"/>
      <c r="AR150" s="155" t="n"/>
    </row>
    <row r="151">
      <c r="A151" s="50" t="inlineStr">
        <is>
          <t>7506012606535</t>
        </is>
      </c>
      <c r="B151" s="51" t="inlineStr">
        <is>
          <t>112223</t>
        </is>
      </c>
      <c r="C151" s="156" t="inlineStr">
        <is>
          <t>Multimarca</t>
        </is>
      </c>
      <c r="D151" s="156" t="inlineStr">
        <is>
          <t>WACA0211-2</t>
        </is>
      </c>
      <c r="E151" s="156" t="inlineStr">
        <is>
          <t>WACA0211-2-28</t>
        </is>
      </c>
      <c r="F151" s="156" t="inlineStr">
        <is>
          <t>28</t>
        </is>
      </c>
      <c r="G151" s="156" t="inlineStr">
        <is>
          <t>10</t>
        </is>
      </c>
      <c r="H151" s="156" t="inlineStr">
        <is>
          <t>Wrangler</t>
        </is>
      </c>
      <c r="I151" s="156" t="inlineStr">
        <is>
          <t>Botas Wrangler Guardabosques Café</t>
        </is>
      </c>
      <c r="J151" s="156" t="inlineStr">
        <is>
          <t>Calzado</t>
        </is>
      </c>
      <c r="K151" s="156" t="inlineStr">
        <is>
          <t>Botas</t>
        </is>
      </c>
      <c r="L151" s="156" t="inlineStr">
        <is>
          <t>Hombre</t>
        </is>
      </c>
      <c r="M151" s="156" t="inlineStr">
        <is>
          <t>Wrangler</t>
        </is>
      </c>
      <c r="N151" s="156" t="inlineStr">
        <is>
          <t>SS26</t>
        </is>
      </c>
      <c r="O151" s="156" t="inlineStr">
        <is>
          <t>Seasonal</t>
        </is>
      </c>
      <c r="P151" s="156" t="inlineStr">
        <is>
          <t>Cafe</t>
        </is>
      </c>
      <c r="Q151" s="156" t="n"/>
      <c r="R151" s="156" t="n"/>
      <c r="S151" s="156" t="inlineStr">
        <is>
          <t>100% Piel</t>
        </is>
      </c>
      <c r="T151" s="156" t="inlineStr">
        <is>
          <t>Botas Wrangler Guardabosques Café. Bota de la marca Wrangler. Estilo WACA0211-2.</t>
        </is>
      </c>
      <c r="U151" s="156" t="inlineStr">
        <is>
          <t>México</t>
        </is>
      </c>
      <c r="V151" s="156" t="inlineStr">
        <is>
          <t>PRS</t>
        </is>
      </c>
      <c r="W151" s="51" t="inlineStr">
        <is>
          <t>53111500</t>
        </is>
      </c>
      <c r="X151" s="156" t="n"/>
      <c r="Y151" s="54" t="n">
        <v>818.54</v>
      </c>
      <c r="Z151" s="54" t="n">
        <v>1637.068966</v>
      </c>
      <c r="AA151" s="55">
        <f>IF(AND(A151="", B151="", E151=""), "", IF(AB151="", "Válido", IF((LEN(AB151)-LEN(SUBSTITUTE(AB151,"; ","")))/2+1&gt;(LEN(AB151)-LEN(SUBSTITUTE(AB151,"[Aviso]","")))/7, "Con Incidencias", "Válido")))</f>
        <v/>
      </c>
      <c r="AB151" s="56">
        <f>IF(AND(A151="", B151="", E151=""), "", TEXTJOIN("; ", TRUE, IF(OR(TRIM(A151&amp;"")="", ISNUMBER(SEARCH("FALTA", A151))), "UPC faltante/inválido", ""), IF(AND(A151&lt;&gt;"", IFERROR(_xlfn.XMATCH(A151,$A$2:$A$1063,0,1)&lt;&gt;_xlfn.XMATCH(A151,$A$2:$A$1063,0,-1),FALSE)), "Código de barras duplicado", ""), IF(AND(E151&lt;&gt;"", COUNTIF($E$2:$E$1063, E151)&gt;1), "SKU duplicado", ""), IF(OR(J151="", J151=""), "[Aviso] División no capturada ()", IF(ISNA(MATCH(J151, Criterios!$A$123:$A$126, 0)), "División no válida", "")), IF(OR(K151="", K151=""), "[Aviso] Categoría no capturada ()", IF(ISNA(MATCH(K151, Criterios!$A$81:$A$120, 0)), "Categoría no válida", IF(AND(J151&lt;&gt;"", J151&lt;&gt;"", J151&lt;&gt;VLOOKUP(K151, Criterios!$A$81:$B$120, 2, FALSE)), "División no coincide con Categoría", ""))), IF(OR(L151="", L151=""), "[Aviso] Género no capturado ()", IF(ISNA(MATCH(L151, Criterios!$B$123:$B$127, 0)), "Género no válido", "")), IF(OR(N151="", N151=""), "[Aviso] Temporada no capturada ()", IF(ISNA(MATCH(N151, Criterios!$C$123:$C$128, 0)), "Temporada no válida", "")), IF(OR(O151="", O151=""), "[Aviso] Ciclo de vida no capturado ()", IF(ISNA(MATCH(O151, Criterios!$D$123:$D$124, 0)), "Ciclo de vida no válido", ""))))</f>
        <v/>
      </c>
      <c r="AC151" s="56" t="n"/>
      <c r="AD151" s="51" t="n">
        <v>0</v>
      </c>
      <c r="AE151" s="156" t="n"/>
      <c r="AF151" s="51" t="n">
        <v>0</v>
      </c>
      <c r="AG151" s="156" t="inlineStr">
        <is>
          <t>Nuevo – NetSuite sin existencia</t>
        </is>
      </c>
      <c r="AH151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51" s="156" t="inlineStr">
        <is>
          <t>No</t>
        </is>
      </c>
      <c r="AJ151" s="156" t="n"/>
      <c r="AK151" s="155" t="inlineStr">
        <is>
          <t>ProductosCatalogoEstandar907.xlsx: fila 6069 [L,N,O,S,U,Y]; G1522_Extraccion_Articulos_NetSuite_2026-09-30.xlsx: fila 59469 [M,P,V,Y,S] | Shopify WB: producto 8626599624889 / variante 48347148714169</t>
        </is>
      </c>
      <c r="AL151" s="58" t="n"/>
      <c r="AM151" s="58" t="n">
        <v>1637.068966</v>
      </c>
      <c r="AN151" s="155" t="inlineStr">
        <is>
          <t>Shopify Western Brothers</t>
        </is>
      </c>
      <c r="AO151" s="59" t="n"/>
      <c r="AP151" s="59" t="n">
        <v>0</v>
      </c>
      <c r="AQ151" s="59" t="n"/>
      <c r="AR151" s="155" t="n"/>
    </row>
    <row r="152">
      <c r="A152" s="50" t="inlineStr">
        <is>
          <t>7506012606542</t>
        </is>
      </c>
      <c r="B152" s="51" t="inlineStr">
        <is>
          <t>112224</t>
        </is>
      </c>
      <c r="C152" s="156" t="inlineStr">
        <is>
          <t>Multimarca</t>
        </is>
      </c>
      <c r="D152" s="156" t="inlineStr">
        <is>
          <t>WACA0211-2</t>
        </is>
      </c>
      <c r="E152" s="156" t="inlineStr">
        <is>
          <t>WACA0211-2-28.5</t>
        </is>
      </c>
      <c r="F152" s="156" t="inlineStr">
        <is>
          <t>28.5</t>
        </is>
      </c>
      <c r="G152" s="156" t="inlineStr">
        <is>
          <t>10.5</t>
        </is>
      </c>
      <c r="H152" s="156" t="inlineStr">
        <is>
          <t>Wrangler</t>
        </is>
      </c>
      <c r="I152" s="156" t="inlineStr">
        <is>
          <t>Botas Wrangler Guardabosques Café</t>
        </is>
      </c>
      <c r="J152" s="156" t="inlineStr">
        <is>
          <t>Calzado</t>
        </is>
      </c>
      <c r="K152" s="156" t="inlineStr">
        <is>
          <t>Botas</t>
        </is>
      </c>
      <c r="L152" s="156" t="inlineStr">
        <is>
          <t>Hombre</t>
        </is>
      </c>
      <c r="M152" s="156" t="inlineStr">
        <is>
          <t>Wrangler</t>
        </is>
      </c>
      <c r="N152" s="156" t="inlineStr">
        <is>
          <t>SS26</t>
        </is>
      </c>
      <c r="O152" s="156" t="inlineStr">
        <is>
          <t>Seasonal</t>
        </is>
      </c>
      <c r="P152" s="156" t="inlineStr">
        <is>
          <t>Cafe</t>
        </is>
      </c>
      <c r="Q152" s="156" t="n"/>
      <c r="R152" s="156" t="n"/>
      <c r="S152" s="156" t="inlineStr">
        <is>
          <t>100% Piel</t>
        </is>
      </c>
      <c r="T152" s="156" t="inlineStr">
        <is>
          <t>Botas Wrangler Guardabosques Café. Bota de la marca Wrangler. Estilo WACA0211-2.</t>
        </is>
      </c>
      <c r="U152" s="156" t="inlineStr">
        <is>
          <t>México</t>
        </is>
      </c>
      <c r="V152" s="156" t="inlineStr">
        <is>
          <t>PRS</t>
        </is>
      </c>
      <c r="W152" s="51" t="inlineStr">
        <is>
          <t>53111500</t>
        </is>
      </c>
      <c r="X152" s="156" t="n"/>
      <c r="Y152" s="54" t="n">
        <v>818.54</v>
      </c>
      <c r="Z152" s="54" t="n">
        <v>1637.068966</v>
      </c>
      <c r="AA152" s="55">
        <f>IF(AND(A152="", B152="", E152=""), "", IF(AB152="", "Válido", IF((LEN(AB152)-LEN(SUBSTITUTE(AB152,"; ","")))/2+1&gt;(LEN(AB152)-LEN(SUBSTITUTE(AB152,"[Aviso]","")))/7, "Con Incidencias", "Válido")))</f>
        <v/>
      </c>
      <c r="AB152" s="56">
        <f>IF(AND(A152="", B152="", E152=""), "", TEXTJOIN("; ", TRUE, IF(OR(TRIM(A152&amp;"")="", ISNUMBER(SEARCH("FALTA", A152))), "UPC faltante/inválido", ""), IF(AND(A152&lt;&gt;"", IFERROR(_xlfn.XMATCH(A152,$A$2:$A$1063,0,1)&lt;&gt;_xlfn.XMATCH(A152,$A$2:$A$1063,0,-1),FALSE)), "Código de barras duplicado", ""), IF(AND(E152&lt;&gt;"", COUNTIF($E$2:$E$1063, E152)&gt;1), "SKU duplicado", ""), IF(OR(J152="", J152=""), "[Aviso] División no capturada ()", IF(ISNA(MATCH(J152, Criterios!$A$123:$A$126, 0)), "División no válida", "")), IF(OR(K152="", K152=""), "[Aviso] Categoría no capturada ()", IF(ISNA(MATCH(K152, Criterios!$A$81:$A$120, 0)), "Categoría no válida", IF(AND(J152&lt;&gt;"", J152&lt;&gt;"", J152&lt;&gt;VLOOKUP(K152, Criterios!$A$81:$B$120, 2, FALSE)), "División no coincide con Categoría", ""))), IF(OR(L152="", L152=""), "[Aviso] Género no capturado ()", IF(ISNA(MATCH(L152, Criterios!$B$123:$B$127, 0)), "Género no válido", "")), IF(OR(N152="", N152=""), "[Aviso] Temporada no capturada ()", IF(ISNA(MATCH(N152, Criterios!$C$123:$C$128, 0)), "Temporada no válida", "")), IF(OR(O152="", O152=""), "[Aviso] Ciclo de vida no capturado ()", IF(ISNA(MATCH(O152, Criterios!$D$123:$D$124, 0)), "Ciclo de vida no válido", ""))))</f>
        <v/>
      </c>
      <c r="AC152" s="56" t="n"/>
      <c r="AD152" s="51" t="n">
        <v>-1</v>
      </c>
      <c r="AE152" s="156" t="n"/>
      <c r="AF152" s="51" t="n">
        <v>0</v>
      </c>
      <c r="AG152" s="156" t="inlineStr">
        <is>
          <t>Nuevo – NetSuite con existencia</t>
        </is>
      </c>
      <c r="AH152" s="156" t="inlineStr">
        <is>
          <t>Género por validar; Stock negativo en sistema: revisar en conteo | Revisión 29/09/2026: Campos sin respaldo: R, X; Auditoría NetSuite 30/09/2026: llenado desde NetSuite [M,P,V,Y,S] | 01/10/2026: complementado desde Shopify Western Brothers (match por código de barras): WB Fit</t>
        </is>
      </c>
      <c r="AI152" s="156" t="inlineStr">
        <is>
          <t>Sí</t>
        </is>
      </c>
      <c r="AJ152" s="156" t="inlineStr">
        <is>
          <t>WB OUTLET LERMA (-1)</t>
        </is>
      </c>
      <c r="AK152" s="155" t="inlineStr">
        <is>
          <t>ProductosCatalogoEstandar907.xlsx: fila 6070 [L,N,O,S,U,Y]; G1522_Extraccion_Articulos_NetSuite_2026-09-30.xlsx: fila 59470 [M,P,V,Y,S] | Shopify WB: producto 8626599624889 / variante 48347148746937</t>
        </is>
      </c>
      <c r="AL152" s="58" t="n"/>
      <c r="AM152" s="58" t="n">
        <v>1637.068966</v>
      </c>
      <c r="AN152" s="155" t="inlineStr">
        <is>
          <t>Shopify Western Brothers</t>
        </is>
      </c>
      <c r="AO152" s="59" t="n"/>
      <c r="AP152" s="59" t="n">
        <v>0</v>
      </c>
      <c r="AQ152" s="59" t="n"/>
      <c r="AR152" s="155" t="n"/>
    </row>
    <row r="153">
      <c r="A153" s="50" t="inlineStr">
        <is>
          <t>7506012607273</t>
        </is>
      </c>
      <c r="B153" s="51" t="inlineStr">
        <is>
          <t>112207</t>
        </is>
      </c>
      <c r="C153" s="156" t="inlineStr">
        <is>
          <t>Multimarca</t>
        </is>
      </c>
      <c r="D153" s="156" t="inlineStr">
        <is>
          <t>WACA0212-1</t>
        </is>
      </c>
      <c r="E153" s="156" t="inlineStr">
        <is>
          <t>WACA0212-1-26</t>
        </is>
      </c>
      <c r="F153" s="156" t="inlineStr">
        <is>
          <t>26</t>
        </is>
      </c>
      <c r="G153" s="156" t="inlineStr">
        <is>
          <t>8</t>
        </is>
      </c>
      <c r="H153" s="156" t="inlineStr">
        <is>
          <t>Wrangler</t>
        </is>
      </c>
      <c r="I153" s="156" t="inlineStr">
        <is>
          <t>Botas Wrangler Sonora Negro</t>
        </is>
      </c>
      <c r="J153" s="156" t="inlineStr">
        <is>
          <t>Calzado</t>
        </is>
      </c>
      <c r="K153" s="156" t="inlineStr">
        <is>
          <t>Botas</t>
        </is>
      </c>
      <c r="L153" s="156" t="inlineStr">
        <is>
          <t>Hombre</t>
        </is>
      </c>
      <c r="M153" s="156" t="inlineStr">
        <is>
          <t>Wrangler</t>
        </is>
      </c>
      <c r="N153" s="156" t="inlineStr">
        <is>
          <t>SS26</t>
        </is>
      </c>
      <c r="O153" s="156" t="inlineStr">
        <is>
          <t>Seasonal</t>
        </is>
      </c>
      <c r="P153" s="156" t="inlineStr">
        <is>
          <t>Negro</t>
        </is>
      </c>
      <c r="Q153" s="156" t="n"/>
      <c r="R153" s="156" t="n"/>
      <c r="S153" s="156" t="inlineStr">
        <is>
          <t>100% Piel</t>
        </is>
      </c>
      <c r="T153" s="156" t="inlineStr">
        <is>
          <t>Botas Wrangler Sonora Negro. Bota de la marca Wrangler. Estilo WACA0212-1.</t>
        </is>
      </c>
      <c r="U153" s="156" t="inlineStr">
        <is>
          <t>México</t>
        </is>
      </c>
      <c r="V153" s="156" t="inlineStr">
        <is>
          <t>PRS</t>
        </is>
      </c>
      <c r="W153" s="51" t="inlineStr">
        <is>
          <t>53111500</t>
        </is>
      </c>
      <c r="X153" s="156" t="n"/>
      <c r="Y153" s="54" t="n">
        <v>818.54</v>
      </c>
      <c r="Z153" s="54" t="n">
        <v>1637.068966</v>
      </c>
      <c r="AA153" s="55">
        <f>IF(AND(A153="", B153="", E153=""), "", IF(AB153="", "Válido", IF((LEN(AB153)-LEN(SUBSTITUTE(AB153,"; ","")))/2+1&gt;(LEN(AB153)-LEN(SUBSTITUTE(AB153,"[Aviso]","")))/7, "Con Incidencias", "Válido")))</f>
        <v/>
      </c>
      <c r="AB153" s="56">
        <f>IF(AND(A153="", B153="", E153=""), "", TEXTJOIN("; ", TRUE, IF(OR(TRIM(A153&amp;"")="", ISNUMBER(SEARCH("FALTA", A153))), "UPC faltante/inválido", ""), IF(AND(A153&lt;&gt;"", IFERROR(_xlfn.XMATCH(A153,$A$2:$A$1063,0,1)&lt;&gt;_xlfn.XMATCH(A153,$A$2:$A$1063,0,-1),FALSE)), "Código de barras duplicado", ""), IF(AND(E153&lt;&gt;"", COUNTIF($E$2:$E$1063, E153)&gt;1), "SKU duplicado", ""), IF(OR(J153="", J153=""), "[Aviso] División no capturada ()", IF(ISNA(MATCH(J153, Criterios!$A$123:$A$126, 0)), "División no válida", "")), IF(OR(K153="", K153=""), "[Aviso] Categoría no capturada ()", IF(ISNA(MATCH(K153, Criterios!$A$81:$A$120, 0)), "Categoría no válida", IF(AND(J153&lt;&gt;"", J153&lt;&gt;"", J153&lt;&gt;VLOOKUP(K153, Criterios!$A$81:$B$120, 2, FALSE)), "División no coincide con Categoría", ""))), IF(OR(L153="", L153=""), "[Aviso] Género no capturado ()", IF(ISNA(MATCH(L153, Criterios!$B$123:$B$127, 0)), "Género no válido", "")), IF(OR(N153="", N153=""), "[Aviso] Temporada no capturada ()", IF(ISNA(MATCH(N153, Criterios!$C$123:$C$128, 0)), "Temporada no válida", "")), IF(OR(O153="", O153=""), "[Aviso] Ciclo de vida no capturado ()", IF(ISNA(MATCH(O153, Criterios!$D$123:$D$124, 0)), "Ciclo de vida no válido", ""))))</f>
        <v/>
      </c>
      <c r="AC153" s="56" t="n"/>
      <c r="AD153" s="51" t="n">
        <v>0</v>
      </c>
      <c r="AE153" s="156" t="n"/>
      <c r="AF153" s="51" t="n">
        <v>0</v>
      </c>
      <c r="AG153" s="156" t="inlineStr">
        <is>
          <t>Nuevo – NetSuite sin existencia</t>
        </is>
      </c>
      <c r="AH153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53" s="156" t="inlineStr">
        <is>
          <t>No</t>
        </is>
      </c>
      <c r="AJ153" s="156" t="n"/>
      <c r="AK153" s="155" t="inlineStr">
        <is>
          <t>ProductosCatalogoEstandar907.xlsx: fila 6071 [L,N,O,S,U,Y]; G1522_Extraccion_Articulos_NetSuite_2026-09-30.xlsx: fila 59453 [M,P,V,Y,S] | Shopify WB: producto 8626599526585 / variante 48347145142457</t>
        </is>
      </c>
      <c r="AL153" s="58" t="n"/>
      <c r="AM153" s="58" t="n">
        <v>1637.068966</v>
      </c>
      <c r="AN153" s="155" t="inlineStr">
        <is>
          <t>Shopify Western Brothers</t>
        </is>
      </c>
      <c r="AO153" s="59" t="n"/>
      <c r="AP153" s="59" t="n">
        <v>0</v>
      </c>
      <c r="AQ153" s="59" t="n"/>
      <c r="AR153" s="155" t="n"/>
    </row>
    <row r="154">
      <c r="A154" s="50" t="inlineStr">
        <is>
          <t>7506012607280</t>
        </is>
      </c>
      <c r="B154" s="51" t="inlineStr">
        <is>
          <t>112208</t>
        </is>
      </c>
      <c r="C154" s="156" t="inlineStr">
        <is>
          <t>Multimarca</t>
        </is>
      </c>
      <c r="D154" s="156" t="inlineStr">
        <is>
          <t>WACA0212-1</t>
        </is>
      </c>
      <c r="E154" s="156" t="inlineStr">
        <is>
          <t>WACA0212-1-26.5</t>
        </is>
      </c>
      <c r="F154" s="156" t="inlineStr">
        <is>
          <t>26.5</t>
        </is>
      </c>
      <c r="G154" s="156" t="inlineStr">
        <is>
          <t>8.5</t>
        </is>
      </c>
      <c r="H154" s="156" t="inlineStr">
        <is>
          <t>Wrangler</t>
        </is>
      </c>
      <c r="I154" s="156" t="inlineStr">
        <is>
          <t>Botas Wrangler Sonora Negro</t>
        </is>
      </c>
      <c r="J154" s="156" t="inlineStr">
        <is>
          <t>Calzado</t>
        </is>
      </c>
      <c r="K154" s="156" t="inlineStr">
        <is>
          <t>Botas</t>
        </is>
      </c>
      <c r="L154" s="156" t="inlineStr">
        <is>
          <t>Hombre</t>
        </is>
      </c>
      <c r="M154" s="156" t="inlineStr">
        <is>
          <t>Wrangler</t>
        </is>
      </c>
      <c r="N154" s="156" t="inlineStr">
        <is>
          <t>SS26</t>
        </is>
      </c>
      <c r="O154" s="156" t="inlineStr">
        <is>
          <t>Seasonal</t>
        </is>
      </c>
      <c r="P154" s="156" t="inlineStr">
        <is>
          <t>Negro</t>
        </is>
      </c>
      <c r="Q154" s="156" t="n"/>
      <c r="R154" s="156" t="n"/>
      <c r="S154" s="156" t="inlineStr">
        <is>
          <t>100% Piel</t>
        </is>
      </c>
      <c r="T154" s="156" t="inlineStr">
        <is>
          <t>Botas Wrangler Sonora Negro. Bota de la marca Wrangler. Estilo WACA0212-1.</t>
        </is>
      </c>
      <c r="U154" s="156" t="inlineStr">
        <is>
          <t>México</t>
        </is>
      </c>
      <c r="V154" s="156" t="inlineStr">
        <is>
          <t>PRS</t>
        </is>
      </c>
      <c r="W154" s="51" t="inlineStr">
        <is>
          <t>53111500</t>
        </is>
      </c>
      <c r="X154" s="156" t="n"/>
      <c r="Y154" s="54" t="n">
        <v>818.54</v>
      </c>
      <c r="Z154" s="54" t="n">
        <v>1637.068966</v>
      </c>
      <c r="AA154" s="55">
        <f>IF(AND(A154="", B154="", E154=""), "", IF(AB154="", "Válido", IF((LEN(AB154)-LEN(SUBSTITUTE(AB154,"; ","")))/2+1&gt;(LEN(AB154)-LEN(SUBSTITUTE(AB154,"[Aviso]","")))/7, "Con Incidencias", "Válido")))</f>
        <v/>
      </c>
      <c r="AB154" s="56">
        <f>IF(AND(A154="", B154="", E154=""), "", TEXTJOIN("; ", TRUE, IF(OR(TRIM(A154&amp;"")="", ISNUMBER(SEARCH("FALTA", A154))), "UPC faltante/inválido", ""), IF(AND(A154&lt;&gt;"", IFERROR(_xlfn.XMATCH(A154,$A$2:$A$1063,0,1)&lt;&gt;_xlfn.XMATCH(A154,$A$2:$A$1063,0,-1),FALSE)), "Código de barras duplicado", ""), IF(AND(E154&lt;&gt;"", COUNTIF($E$2:$E$1063, E154)&gt;1), "SKU duplicado", ""), IF(OR(J154="", J154=""), "[Aviso] División no capturada ()", IF(ISNA(MATCH(J154, Criterios!$A$123:$A$126, 0)), "División no válida", "")), IF(OR(K154="", K154=""), "[Aviso] Categoría no capturada ()", IF(ISNA(MATCH(K154, Criterios!$A$81:$A$120, 0)), "Categoría no válida", IF(AND(J154&lt;&gt;"", J154&lt;&gt;"", J154&lt;&gt;VLOOKUP(K154, Criterios!$A$81:$B$120, 2, FALSE)), "División no coincide con Categoría", ""))), IF(OR(L154="", L154=""), "[Aviso] Género no capturado ()", IF(ISNA(MATCH(L154, Criterios!$B$123:$B$127, 0)), "Género no válido", "")), IF(OR(N154="", N154=""), "[Aviso] Temporada no capturada ()", IF(ISNA(MATCH(N154, Criterios!$C$123:$C$128, 0)), "Temporada no válida", "")), IF(OR(O154="", O154=""), "[Aviso] Ciclo de vida no capturado ()", IF(ISNA(MATCH(O154, Criterios!$D$123:$D$124, 0)), "Ciclo de vida no válido", ""))))</f>
        <v/>
      </c>
      <c r="AC154" s="56" t="n"/>
      <c r="AD154" s="51" t="n">
        <v>0</v>
      </c>
      <c r="AE154" s="156" t="n"/>
      <c r="AF154" s="51" t="n">
        <v>0</v>
      </c>
      <c r="AG154" s="156" t="inlineStr">
        <is>
          <t>Nuevo – NetSuite sin existencia</t>
        </is>
      </c>
      <c r="AH154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54" s="156" t="inlineStr">
        <is>
          <t>No</t>
        </is>
      </c>
      <c r="AJ154" s="156" t="n"/>
      <c r="AK154" s="155" t="inlineStr">
        <is>
          <t>ProductosCatalogoEstandar907.xlsx: fila 6072 [L,N,O,S,U,Y]; G1522_Extraccion_Articulos_NetSuite_2026-09-30.xlsx: fila 59454 [M,P,V,Y,S] | Shopify WB: producto 8626599526585 / variante 48347145175225</t>
        </is>
      </c>
      <c r="AL154" s="58" t="n"/>
      <c r="AM154" s="58" t="n">
        <v>1637.068966</v>
      </c>
      <c r="AN154" s="155" t="inlineStr">
        <is>
          <t>Shopify Western Brothers</t>
        </is>
      </c>
      <c r="AO154" s="59" t="n"/>
      <c r="AP154" s="59" t="n">
        <v>0</v>
      </c>
      <c r="AQ154" s="59" t="n"/>
      <c r="AR154" s="155" t="n"/>
    </row>
    <row r="155">
      <c r="A155" s="50" t="inlineStr">
        <is>
          <t>7506012607297</t>
        </is>
      </c>
      <c r="B155" s="51" t="inlineStr">
        <is>
          <t>112209</t>
        </is>
      </c>
      <c r="C155" s="156" t="inlineStr">
        <is>
          <t>Multimarca</t>
        </is>
      </c>
      <c r="D155" s="156" t="inlineStr">
        <is>
          <t>WACA0212-1</t>
        </is>
      </c>
      <c r="E155" s="156" t="inlineStr">
        <is>
          <t>WACA0212-1-27</t>
        </is>
      </c>
      <c r="F155" s="156" t="inlineStr">
        <is>
          <t>27</t>
        </is>
      </c>
      <c r="G155" s="156" t="inlineStr">
        <is>
          <t>9</t>
        </is>
      </c>
      <c r="H155" s="156" t="inlineStr">
        <is>
          <t>Wrangler</t>
        </is>
      </c>
      <c r="I155" s="156" t="inlineStr">
        <is>
          <t>Botas Wrangler Sonora Negro</t>
        </is>
      </c>
      <c r="J155" s="156" t="inlineStr">
        <is>
          <t>Calzado</t>
        </is>
      </c>
      <c r="K155" s="156" t="inlineStr">
        <is>
          <t>Botas</t>
        </is>
      </c>
      <c r="L155" s="156" t="inlineStr">
        <is>
          <t>Hombre</t>
        </is>
      </c>
      <c r="M155" s="156" t="inlineStr">
        <is>
          <t>Wrangler</t>
        </is>
      </c>
      <c r="N155" s="156" t="inlineStr">
        <is>
          <t>SS26</t>
        </is>
      </c>
      <c r="O155" s="156" t="inlineStr">
        <is>
          <t>Seasonal</t>
        </is>
      </c>
      <c r="P155" s="156" t="inlineStr">
        <is>
          <t>Negro</t>
        </is>
      </c>
      <c r="Q155" s="156" t="n"/>
      <c r="R155" s="156" t="n"/>
      <c r="S155" s="156" t="inlineStr">
        <is>
          <t>100% Piel</t>
        </is>
      </c>
      <c r="T155" s="156" t="inlineStr">
        <is>
          <t>Botas Wrangler Sonora Negro. Bota de la marca Wrangler. Estilo WACA0212-1.</t>
        </is>
      </c>
      <c r="U155" s="156" t="inlineStr">
        <is>
          <t>México</t>
        </is>
      </c>
      <c r="V155" s="156" t="inlineStr">
        <is>
          <t>PRS</t>
        </is>
      </c>
      <c r="W155" s="51" t="inlineStr">
        <is>
          <t>53111500</t>
        </is>
      </c>
      <c r="X155" s="156" t="n"/>
      <c r="Y155" s="54" t="n">
        <v>818.54</v>
      </c>
      <c r="Z155" s="54" t="n">
        <v>1637.068966</v>
      </c>
      <c r="AA155" s="55">
        <f>IF(AND(A155="", B155="", E155=""), "", IF(AB155="", "Válido", IF((LEN(AB155)-LEN(SUBSTITUTE(AB155,"; ","")))/2+1&gt;(LEN(AB155)-LEN(SUBSTITUTE(AB155,"[Aviso]","")))/7, "Con Incidencias", "Válido")))</f>
        <v/>
      </c>
      <c r="AB155" s="56">
        <f>IF(AND(A155="", B155="", E155=""), "", TEXTJOIN("; ", TRUE, IF(OR(TRIM(A155&amp;"")="", ISNUMBER(SEARCH("FALTA", A155))), "UPC faltante/inválido", ""), IF(AND(A155&lt;&gt;"", IFERROR(_xlfn.XMATCH(A155,$A$2:$A$1063,0,1)&lt;&gt;_xlfn.XMATCH(A155,$A$2:$A$1063,0,-1),FALSE)), "Código de barras duplicado", ""), IF(AND(E155&lt;&gt;"", COUNTIF($E$2:$E$1063, E155)&gt;1), "SKU duplicado", ""), IF(OR(J155="", J155=""), "[Aviso] División no capturada ()", IF(ISNA(MATCH(J155, Criterios!$A$123:$A$126, 0)), "División no válida", "")), IF(OR(K155="", K155=""), "[Aviso] Categoría no capturada ()", IF(ISNA(MATCH(K155, Criterios!$A$81:$A$120, 0)), "Categoría no válida", IF(AND(J155&lt;&gt;"", J155&lt;&gt;"", J155&lt;&gt;VLOOKUP(K155, Criterios!$A$81:$B$120, 2, FALSE)), "División no coincide con Categoría", ""))), IF(OR(L155="", L155=""), "[Aviso] Género no capturado ()", IF(ISNA(MATCH(L155, Criterios!$B$123:$B$127, 0)), "Género no válido", "")), IF(OR(N155="", N155=""), "[Aviso] Temporada no capturada ()", IF(ISNA(MATCH(N155, Criterios!$C$123:$C$128, 0)), "Temporada no válida", "")), IF(OR(O155="", O155=""), "[Aviso] Ciclo de vida no capturado ()", IF(ISNA(MATCH(O155, Criterios!$D$123:$D$124, 0)), "Ciclo de vida no válido", ""))))</f>
        <v/>
      </c>
      <c r="AC155" s="56" t="n"/>
      <c r="AD155" s="51" t="n">
        <v>0</v>
      </c>
      <c r="AE155" s="156" t="n"/>
      <c r="AF155" s="51" t="n">
        <v>0</v>
      </c>
      <c r="AG155" s="156" t="inlineStr">
        <is>
          <t>Nuevo – NetSuite sin existencia</t>
        </is>
      </c>
      <c r="AH155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55" s="156" t="inlineStr">
        <is>
          <t>No</t>
        </is>
      </c>
      <c r="AJ155" s="156" t="n"/>
      <c r="AK155" s="155" t="inlineStr">
        <is>
          <t>ProductosCatalogoEstandar907.xlsx: fila 6073 [L,N,O,S,U,Y]; G1522_Extraccion_Articulos_NetSuite_2026-09-30.xlsx: fila 59455 [M,P,V,Y,S] | Shopify WB: producto 8626599526585 / variante 48347145207993</t>
        </is>
      </c>
      <c r="AL155" s="58" t="n"/>
      <c r="AM155" s="58" t="n">
        <v>1637.068966</v>
      </c>
      <c r="AN155" s="155" t="inlineStr">
        <is>
          <t>Shopify Western Brothers</t>
        </is>
      </c>
      <c r="AO155" s="59" t="n"/>
      <c r="AP155" s="59" t="n">
        <v>0</v>
      </c>
      <c r="AQ155" s="59" t="n"/>
      <c r="AR155" s="155" t="n"/>
    </row>
    <row r="156">
      <c r="A156" s="50" t="inlineStr">
        <is>
          <t>7506012607303</t>
        </is>
      </c>
      <c r="B156" s="51" t="inlineStr">
        <is>
          <t>112210</t>
        </is>
      </c>
      <c r="C156" s="156" t="inlineStr">
        <is>
          <t>Multimarca</t>
        </is>
      </c>
      <c r="D156" s="156" t="inlineStr">
        <is>
          <t>WACA0212-1</t>
        </is>
      </c>
      <c r="E156" s="156" t="inlineStr">
        <is>
          <t>WACA0212-1-27.5</t>
        </is>
      </c>
      <c r="F156" s="156" t="inlineStr">
        <is>
          <t>27.5</t>
        </is>
      </c>
      <c r="G156" s="156" t="inlineStr">
        <is>
          <t>9.5</t>
        </is>
      </c>
      <c r="H156" s="156" t="inlineStr">
        <is>
          <t>Wrangler</t>
        </is>
      </c>
      <c r="I156" s="156" t="inlineStr">
        <is>
          <t>Botas Wrangler Sonora Negro</t>
        </is>
      </c>
      <c r="J156" s="156" t="inlineStr">
        <is>
          <t>Calzado</t>
        </is>
      </c>
      <c r="K156" s="156" t="inlineStr">
        <is>
          <t>Botas</t>
        </is>
      </c>
      <c r="L156" s="156" t="inlineStr">
        <is>
          <t>Hombre</t>
        </is>
      </c>
      <c r="M156" s="156" t="inlineStr">
        <is>
          <t>Wrangler</t>
        </is>
      </c>
      <c r="N156" s="156" t="inlineStr">
        <is>
          <t>SS26</t>
        </is>
      </c>
      <c r="O156" s="156" t="inlineStr">
        <is>
          <t>Seasonal</t>
        </is>
      </c>
      <c r="P156" s="156" t="inlineStr">
        <is>
          <t>Negro</t>
        </is>
      </c>
      <c r="Q156" s="156" t="n"/>
      <c r="R156" s="156" t="n"/>
      <c r="S156" s="156" t="inlineStr">
        <is>
          <t>100% Piel</t>
        </is>
      </c>
      <c r="T156" s="156" t="inlineStr">
        <is>
          <t>Botas Wrangler Sonora Negro. Bota de la marca Wrangler. Estilo WACA0212-1.</t>
        </is>
      </c>
      <c r="U156" s="156" t="inlineStr">
        <is>
          <t>México</t>
        </is>
      </c>
      <c r="V156" s="156" t="inlineStr">
        <is>
          <t>PRS</t>
        </is>
      </c>
      <c r="W156" s="51" t="inlineStr">
        <is>
          <t>53111500</t>
        </is>
      </c>
      <c r="X156" s="156" t="n"/>
      <c r="Y156" s="54" t="n">
        <v>818.54</v>
      </c>
      <c r="Z156" s="54" t="n">
        <v>1637.068966</v>
      </c>
      <c r="AA156" s="55">
        <f>IF(AND(A156="", B156="", E156=""), "", IF(AB156="", "Válido", IF((LEN(AB156)-LEN(SUBSTITUTE(AB156,"; ","")))/2+1&gt;(LEN(AB156)-LEN(SUBSTITUTE(AB156,"[Aviso]","")))/7, "Con Incidencias", "Válido")))</f>
        <v/>
      </c>
      <c r="AB156" s="56">
        <f>IF(AND(A156="", B156="", E156=""), "", TEXTJOIN("; ", TRUE, IF(OR(TRIM(A156&amp;"")="", ISNUMBER(SEARCH("FALTA", A156))), "UPC faltante/inválido", ""), IF(AND(A156&lt;&gt;"", IFERROR(_xlfn.XMATCH(A156,$A$2:$A$1063,0,1)&lt;&gt;_xlfn.XMATCH(A156,$A$2:$A$1063,0,-1),FALSE)), "Código de barras duplicado", ""), IF(AND(E156&lt;&gt;"", COUNTIF($E$2:$E$1063, E156)&gt;1), "SKU duplicado", ""), IF(OR(J156="", J156=""), "[Aviso] División no capturada ()", IF(ISNA(MATCH(J156, Criterios!$A$123:$A$126, 0)), "División no válida", "")), IF(OR(K156="", K156=""), "[Aviso] Categoría no capturada ()", IF(ISNA(MATCH(K156, Criterios!$A$81:$A$120, 0)), "Categoría no válida", IF(AND(J156&lt;&gt;"", J156&lt;&gt;"", J156&lt;&gt;VLOOKUP(K156, Criterios!$A$81:$B$120, 2, FALSE)), "División no coincide con Categoría", ""))), IF(OR(L156="", L156=""), "[Aviso] Género no capturado ()", IF(ISNA(MATCH(L156, Criterios!$B$123:$B$127, 0)), "Género no válido", "")), IF(OR(N156="", N156=""), "[Aviso] Temporada no capturada ()", IF(ISNA(MATCH(N156, Criterios!$C$123:$C$128, 0)), "Temporada no válida", "")), IF(OR(O156="", O156=""), "[Aviso] Ciclo de vida no capturado ()", IF(ISNA(MATCH(O156, Criterios!$D$123:$D$124, 0)), "Ciclo de vida no válido", ""))))</f>
        <v/>
      </c>
      <c r="AC156" s="56" t="n"/>
      <c r="AD156" s="51" t="n">
        <v>0</v>
      </c>
      <c r="AE156" s="156" t="n"/>
      <c r="AF156" s="51" t="n">
        <v>0</v>
      </c>
      <c r="AG156" s="156" t="inlineStr">
        <is>
          <t>Nuevo – NetSuite sin existencia</t>
        </is>
      </c>
      <c r="AH156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56" s="156" t="inlineStr">
        <is>
          <t>No</t>
        </is>
      </c>
      <c r="AJ156" s="156" t="n"/>
      <c r="AK156" s="155" t="inlineStr">
        <is>
          <t>ProductosCatalogoEstandar907.xlsx: fila 6074 [L,N,O,S,U,Y]; G1522_Extraccion_Articulos_NetSuite_2026-09-30.xlsx: fila 59456 [M,P,V,Y,S] | Shopify WB: producto 8626599526585 / variante 48347145240761</t>
        </is>
      </c>
      <c r="AL156" s="58" t="n"/>
      <c r="AM156" s="58" t="n">
        <v>1637.068966</v>
      </c>
      <c r="AN156" s="155" t="inlineStr">
        <is>
          <t>Shopify Western Brothers</t>
        </is>
      </c>
      <c r="AO156" s="59" t="n"/>
      <c r="AP156" s="59" t="n">
        <v>0</v>
      </c>
      <c r="AQ156" s="59" t="n"/>
      <c r="AR156" s="155" t="n"/>
    </row>
    <row r="157">
      <c r="A157" s="50" t="inlineStr">
        <is>
          <t>7506012607310</t>
        </is>
      </c>
      <c r="B157" s="51" t="inlineStr">
        <is>
          <t>112211</t>
        </is>
      </c>
      <c r="C157" s="156" t="inlineStr">
        <is>
          <t>Multimarca</t>
        </is>
      </c>
      <c r="D157" s="156" t="inlineStr">
        <is>
          <t>WACA0212-1</t>
        </is>
      </c>
      <c r="E157" s="156" t="inlineStr">
        <is>
          <t>WACA0212-1-28</t>
        </is>
      </c>
      <c r="F157" s="156" t="inlineStr">
        <is>
          <t>28</t>
        </is>
      </c>
      <c r="G157" s="156" t="inlineStr">
        <is>
          <t>10</t>
        </is>
      </c>
      <c r="H157" s="156" t="inlineStr">
        <is>
          <t>Wrangler</t>
        </is>
      </c>
      <c r="I157" s="156" t="inlineStr">
        <is>
          <t>Botas Wrangler Sonora Negro</t>
        </is>
      </c>
      <c r="J157" s="156" t="inlineStr">
        <is>
          <t>Calzado</t>
        </is>
      </c>
      <c r="K157" s="156" t="inlineStr">
        <is>
          <t>Botas</t>
        </is>
      </c>
      <c r="L157" s="156" t="inlineStr">
        <is>
          <t>Hombre</t>
        </is>
      </c>
      <c r="M157" s="156" t="inlineStr">
        <is>
          <t>Wrangler</t>
        </is>
      </c>
      <c r="N157" s="156" t="inlineStr">
        <is>
          <t>SS26</t>
        </is>
      </c>
      <c r="O157" s="156" t="inlineStr">
        <is>
          <t>Seasonal</t>
        </is>
      </c>
      <c r="P157" s="156" t="inlineStr">
        <is>
          <t>Negro</t>
        </is>
      </c>
      <c r="Q157" s="156" t="n"/>
      <c r="R157" s="156" t="n"/>
      <c r="S157" s="156" t="inlineStr">
        <is>
          <t>100% Piel</t>
        </is>
      </c>
      <c r="T157" s="156" t="inlineStr">
        <is>
          <t>Botas Wrangler Sonora Negro. Bota de la marca Wrangler. Estilo WACA0212-1.</t>
        </is>
      </c>
      <c r="U157" s="156" t="inlineStr">
        <is>
          <t>México</t>
        </is>
      </c>
      <c r="V157" s="156" t="inlineStr">
        <is>
          <t>PRS</t>
        </is>
      </c>
      <c r="W157" s="51" t="inlineStr">
        <is>
          <t>53111500</t>
        </is>
      </c>
      <c r="X157" s="156" t="n"/>
      <c r="Y157" s="54" t="n">
        <v>818.54</v>
      </c>
      <c r="Z157" s="54" t="n">
        <v>1637.068966</v>
      </c>
      <c r="AA157" s="55">
        <f>IF(AND(A157="", B157="", E157=""), "", IF(AB157="", "Válido", IF((LEN(AB157)-LEN(SUBSTITUTE(AB157,"; ","")))/2+1&gt;(LEN(AB157)-LEN(SUBSTITUTE(AB157,"[Aviso]","")))/7, "Con Incidencias", "Válido")))</f>
        <v/>
      </c>
      <c r="AB157" s="56">
        <f>IF(AND(A157="", B157="", E157=""), "", TEXTJOIN("; ", TRUE, IF(OR(TRIM(A157&amp;"")="", ISNUMBER(SEARCH("FALTA", A157))), "UPC faltante/inválido", ""), IF(AND(A157&lt;&gt;"", IFERROR(_xlfn.XMATCH(A157,$A$2:$A$1063,0,1)&lt;&gt;_xlfn.XMATCH(A157,$A$2:$A$1063,0,-1),FALSE)), "Código de barras duplicado", ""), IF(AND(E157&lt;&gt;"", COUNTIF($E$2:$E$1063, E157)&gt;1), "SKU duplicado", ""), IF(OR(J157="", J157=""), "[Aviso] División no capturada ()", IF(ISNA(MATCH(J157, Criterios!$A$123:$A$126, 0)), "División no válida", "")), IF(OR(K157="", K157=""), "[Aviso] Categoría no capturada ()", IF(ISNA(MATCH(K157, Criterios!$A$81:$A$120, 0)), "Categoría no válida", IF(AND(J157&lt;&gt;"", J157&lt;&gt;"", J157&lt;&gt;VLOOKUP(K157, Criterios!$A$81:$B$120, 2, FALSE)), "División no coincide con Categoría", ""))), IF(OR(L157="", L157=""), "[Aviso] Género no capturado ()", IF(ISNA(MATCH(L157, Criterios!$B$123:$B$127, 0)), "Género no válido", "")), IF(OR(N157="", N157=""), "[Aviso] Temporada no capturada ()", IF(ISNA(MATCH(N157, Criterios!$C$123:$C$128, 0)), "Temporada no válida", "")), IF(OR(O157="", O157=""), "[Aviso] Ciclo de vida no capturado ()", IF(ISNA(MATCH(O157, Criterios!$D$123:$D$124, 0)), "Ciclo de vida no válido", ""))))</f>
        <v/>
      </c>
      <c r="AC157" s="56" t="n"/>
      <c r="AD157" s="51" t="n">
        <v>0</v>
      </c>
      <c r="AE157" s="156" t="n"/>
      <c r="AF157" s="51" t="n">
        <v>0</v>
      </c>
      <c r="AG157" s="156" t="inlineStr">
        <is>
          <t>Nuevo – NetSuite sin existencia</t>
        </is>
      </c>
      <c r="AH157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57" s="156" t="inlineStr">
        <is>
          <t>No</t>
        </is>
      </c>
      <c r="AJ157" s="156" t="n"/>
      <c r="AK157" s="155" t="inlineStr">
        <is>
          <t>ProductosCatalogoEstandar907.xlsx: fila 6075 [L,N,O,S,U,Y]; G1522_Extraccion_Articulos_NetSuite_2026-09-30.xlsx: fila 59457 [M,P,V,Y,S] | Shopify WB: producto 8626599526585 / variante 48347145273529</t>
        </is>
      </c>
      <c r="AL157" s="58" t="n"/>
      <c r="AM157" s="58" t="n">
        <v>1637.068966</v>
      </c>
      <c r="AN157" s="155" t="inlineStr">
        <is>
          <t>Shopify Western Brothers</t>
        </is>
      </c>
      <c r="AO157" s="59" t="n"/>
      <c r="AP157" s="59" t="n">
        <v>0</v>
      </c>
      <c r="AQ157" s="59" t="n"/>
      <c r="AR157" s="155" t="n"/>
    </row>
    <row r="158">
      <c r="A158" s="50" t="inlineStr">
        <is>
          <t>7506012607327</t>
        </is>
      </c>
      <c r="B158" s="51" t="inlineStr">
        <is>
          <t>112212</t>
        </is>
      </c>
      <c r="C158" s="156" t="inlineStr">
        <is>
          <t>Multimarca</t>
        </is>
      </c>
      <c r="D158" s="156" t="inlineStr">
        <is>
          <t>WACA0212-1</t>
        </is>
      </c>
      <c r="E158" s="156" t="inlineStr">
        <is>
          <t>WACA0212-1-28.5</t>
        </is>
      </c>
      <c r="F158" s="156" t="inlineStr">
        <is>
          <t>28.5</t>
        </is>
      </c>
      <c r="G158" s="156" t="inlineStr">
        <is>
          <t>10.5</t>
        </is>
      </c>
      <c r="H158" s="156" t="inlineStr">
        <is>
          <t>Wrangler</t>
        </is>
      </c>
      <c r="I158" s="156" t="inlineStr">
        <is>
          <t>Botas Wrangler Sonora Negro</t>
        </is>
      </c>
      <c r="J158" s="156" t="inlineStr">
        <is>
          <t>Calzado</t>
        </is>
      </c>
      <c r="K158" s="156" t="inlineStr">
        <is>
          <t>Botas</t>
        </is>
      </c>
      <c r="L158" s="156" t="inlineStr">
        <is>
          <t>Hombre</t>
        </is>
      </c>
      <c r="M158" s="156" t="inlineStr">
        <is>
          <t>Wrangler</t>
        </is>
      </c>
      <c r="N158" s="156" t="inlineStr">
        <is>
          <t>SS26</t>
        </is>
      </c>
      <c r="O158" s="156" t="inlineStr">
        <is>
          <t>Seasonal</t>
        </is>
      </c>
      <c r="P158" s="156" t="inlineStr">
        <is>
          <t>Negro</t>
        </is>
      </c>
      <c r="Q158" s="156" t="n"/>
      <c r="R158" s="156" t="n"/>
      <c r="S158" s="156" t="inlineStr">
        <is>
          <t>100% Piel</t>
        </is>
      </c>
      <c r="T158" s="156" t="inlineStr">
        <is>
          <t>Botas Wrangler Sonora Negro. Bota de la marca Wrangler. Estilo WACA0212-1.</t>
        </is>
      </c>
      <c r="U158" s="156" t="inlineStr">
        <is>
          <t>México</t>
        </is>
      </c>
      <c r="V158" s="156" t="inlineStr">
        <is>
          <t>PRS</t>
        </is>
      </c>
      <c r="W158" s="51" t="inlineStr">
        <is>
          <t>53111500</t>
        </is>
      </c>
      <c r="X158" s="156" t="n"/>
      <c r="Y158" s="54" t="n">
        <v>818.54</v>
      </c>
      <c r="Z158" s="54" t="n">
        <v>1637.068966</v>
      </c>
      <c r="AA158" s="55">
        <f>IF(AND(A158="", B158="", E158=""), "", IF(AB158="", "Válido", IF((LEN(AB158)-LEN(SUBSTITUTE(AB158,"; ","")))/2+1&gt;(LEN(AB158)-LEN(SUBSTITUTE(AB158,"[Aviso]","")))/7, "Con Incidencias", "Válido")))</f>
        <v/>
      </c>
      <c r="AB158" s="56">
        <f>IF(AND(A158="", B158="", E158=""), "", TEXTJOIN("; ", TRUE, IF(OR(TRIM(A158&amp;"")="", ISNUMBER(SEARCH("FALTA", A158))), "UPC faltante/inválido", ""), IF(AND(A158&lt;&gt;"", IFERROR(_xlfn.XMATCH(A158,$A$2:$A$1063,0,1)&lt;&gt;_xlfn.XMATCH(A158,$A$2:$A$1063,0,-1),FALSE)), "Código de barras duplicado", ""), IF(AND(E158&lt;&gt;"", COUNTIF($E$2:$E$1063, E158)&gt;1), "SKU duplicado", ""), IF(OR(J158="", J158=""), "[Aviso] División no capturada ()", IF(ISNA(MATCH(J158, Criterios!$A$123:$A$126, 0)), "División no válida", "")), IF(OR(K158="", K158=""), "[Aviso] Categoría no capturada ()", IF(ISNA(MATCH(K158, Criterios!$A$81:$A$120, 0)), "Categoría no válida", IF(AND(J158&lt;&gt;"", J158&lt;&gt;"", J158&lt;&gt;VLOOKUP(K158, Criterios!$A$81:$B$120, 2, FALSE)), "División no coincide con Categoría", ""))), IF(OR(L158="", L158=""), "[Aviso] Género no capturado ()", IF(ISNA(MATCH(L158, Criterios!$B$123:$B$127, 0)), "Género no válido", "")), IF(OR(N158="", N158=""), "[Aviso] Temporada no capturada ()", IF(ISNA(MATCH(N158, Criterios!$C$123:$C$128, 0)), "Temporada no válida", "")), IF(OR(O158="", O158=""), "[Aviso] Ciclo de vida no capturado ()", IF(ISNA(MATCH(O158, Criterios!$D$123:$D$124, 0)), "Ciclo de vida no válido", ""))))</f>
        <v/>
      </c>
      <c r="AC158" s="56" t="n"/>
      <c r="AD158" s="51" t="n">
        <v>0</v>
      </c>
      <c r="AE158" s="156" t="n"/>
      <c r="AF158" s="51" t="n">
        <v>0</v>
      </c>
      <c r="AG158" s="156" t="inlineStr">
        <is>
          <t>Nuevo – NetSuite sin existencia</t>
        </is>
      </c>
      <c r="AH158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58" s="156" t="inlineStr">
        <is>
          <t>No</t>
        </is>
      </c>
      <c r="AJ158" s="156" t="n"/>
      <c r="AK158" s="155" t="inlineStr">
        <is>
          <t>ProductosCatalogoEstandar907.xlsx: fila 6076 [L,N,O,S,U,Y]; G1522_Extraccion_Articulos_NetSuite_2026-09-30.xlsx: fila 59458 [M,P,V,Y,S] | Shopify WB: producto 8626599526585 / variante 48347145306297</t>
        </is>
      </c>
      <c r="AL158" s="58" t="n"/>
      <c r="AM158" s="58" t="n">
        <v>1637.068966</v>
      </c>
      <c r="AN158" s="155" t="inlineStr">
        <is>
          <t>Shopify Western Brothers</t>
        </is>
      </c>
      <c r="AO158" s="59" t="n"/>
      <c r="AP158" s="59" t="n">
        <v>0</v>
      </c>
      <c r="AQ158" s="59" t="n"/>
      <c r="AR158" s="155" t="n"/>
    </row>
    <row r="159">
      <c r="A159" s="50" t="inlineStr">
        <is>
          <t>7506012607402</t>
        </is>
      </c>
      <c r="B159" s="51" t="inlineStr">
        <is>
          <t>112230</t>
        </is>
      </c>
      <c r="C159" s="156" t="inlineStr">
        <is>
          <t>Multimarca</t>
        </is>
      </c>
      <c r="D159" s="156" t="inlineStr">
        <is>
          <t>WACA0212-2</t>
        </is>
      </c>
      <c r="E159" s="156" t="inlineStr">
        <is>
          <t>WACA0212-2-26</t>
        </is>
      </c>
      <c r="F159" s="156" t="inlineStr">
        <is>
          <t>26</t>
        </is>
      </c>
      <c r="G159" s="156" t="inlineStr">
        <is>
          <t>8</t>
        </is>
      </c>
      <c r="H159" s="156" t="inlineStr">
        <is>
          <t>Wrangler</t>
        </is>
      </c>
      <c r="I159" s="156" t="inlineStr">
        <is>
          <t>Botas Wrangler Sonora Café</t>
        </is>
      </c>
      <c r="J159" s="156" t="inlineStr">
        <is>
          <t>Calzado</t>
        </is>
      </c>
      <c r="K159" s="156" t="inlineStr">
        <is>
          <t>Botas</t>
        </is>
      </c>
      <c r="L159" s="156" t="inlineStr">
        <is>
          <t>Hombre</t>
        </is>
      </c>
      <c r="M159" s="156" t="inlineStr">
        <is>
          <t>Wrangler</t>
        </is>
      </c>
      <c r="N159" s="156" t="inlineStr">
        <is>
          <t>SS26</t>
        </is>
      </c>
      <c r="O159" s="156" t="inlineStr">
        <is>
          <t>Seasonal</t>
        </is>
      </c>
      <c r="P159" s="156" t="inlineStr">
        <is>
          <t>Cafe</t>
        </is>
      </c>
      <c r="Q159" s="156" t="n"/>
      <c r="R159" s="156" t="n"/>
      <c r="S159" s="156" t="inlineStr">
        <is>
          <t>100% Piel</t>
        </is>
      </c>
      <c r="T159" s="156" t="inlineStr">
        <is>
          <t>Botas Wrangler Sonora Café. Bota de la marca Wrangler. Estilo WACA0212-2.</t>
        </is>
      </c>
      <c r="U159" s="156" t="inlineStr">
        <is>
          <t>México</t>
        </is>
      </c>
      <c r="V159" s="156" t="inlineStr">
        <is>
          <t>PRS</t>
        </is>
      </c>
      <c r="W159" s="51" t="inlineStr">
        <is>
          <t>53111500</t>
        </is>
      </c>
      <c r="X159" s="156" t="n"/>
      <c r="Y159" s="54" t="n">
        <v>818.54</v>
      </c>
      <c r="Z159" s="54" t="n">
        <v>1637.068966</v>
      </c>
      <c r="AA159" s="55">
        <f>IF(AND(A159="", B159="", E159=""), "", IF(AB159="", "Válido", IF((LEN(AB159)-LEN(SUBSTITUTE(AB159,"; ","")))/2+1&gt;(LEN(AB159)-LEN(SUBSTITUTE(AB159,"[Aviso]","")))/7, "Con Incidencias", "Válido")))</f>
        <v/>
      </c>
      <c r="AB159" s="56">
        <f>IF(AND(A159="", B159="", E159=""), "", TEXTJOIN("; ", TRUE, IF(OR(TRIM(A159&amp;"")="", ISNUMBER(SEARCH("FALTA", A159))), "UPC faltante/inválido", ""), IF(AND(A159&lt;&gt;"", IFERROR(_xlfn.XMATCH(A159,$A$2:$A$1063,0,1)&lt;&gt;_xlfn.XMATCH(A159,$A$2:$A$1063,0,-1),FALSE)), "Código de barras duplicado", ""), IF(AND(E159&lt;&gt;"", COUNTIF($E$2:$E$1063, E159)&gt;1), "SKU duplicado", ""), IF(OR(J159="", J159=""), "[Aviso] División no capturada ()", IF(ISNA(MATCH(J159, Criterios!$A$123:$A$126, 0)), "División no válida", "")), IF(OR(K159="", K159=""), "[Aviso] Categoría no capturada ()", IF(ISNA(MATCH(K159, Criterios!$A$81:$A$120, 0)), "Categoría no válida", IF(AND(J159&lt;&gt;"", J159&lt;&gt;"", J159&lt;&gt;VLOOKUP(K159, Criterios!$A$81:$B$120, 2, FALSE)), "División no coincide con Categoría", ""))), IF(OR(L159="", L159=""), "[Aviso] Género no capturado ()", IF(ISNA(MATCH(L159, Criterios!$B$123:$B$127, 0)), "Género no válido", "")), IF(OR(N159="", N159=""), "[Aviso] Temporada no capturada ()", IF(ISNA(MATCH(N159, Criterios!$C$123:$C$128, 0)), "Temporada no válida", "")), IF(OR(O159="", O159=""), "[Aviso] Ciclo de vida no capturado ()", IF(ISNA(MATCH(O159, Criterios!$D$123:$D$124, 0)), "Ciclo de vida no válido", ""))))</f>
        <v/>
      </c>
      <c r="AC159" s="56" t="n"/>
      <c r="AD159" s="51" t="n">
        <v>0</v>
      </c>
      <c r="AE159" s="156" t="n"/>
      <c r="AF159" s="51" t="n">
        <v>0</v>
      </c>
      <c r="AG159" s="156" t="inlineStr">
        <is>
          <t>Nuevo – NetSuite sin existencia</t>
        </is>
      </c>
      <c r="AH159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59" s="156" t="inlineStr">
        <is>
          <t>No</t>
        </is>
      </c>
      <c r="AJ159" s="156" t="n"/>
      <c r="AK159" s="155" t="inlineStr">
        <is>
          <t>ProductosCatalogoEstandar907.xlsx: fila 6077 [L,N,O,S,U,Y]; G1522_Extraccion_Articulos_NetSuite_2026-09-30.xlsx: fila 59476 [M,P,V,Y,S] | Shopify WB: producto 8626599657657 / variante 48347150352569</t>
        </is>
      </c>
      <c r="AL159" s="58" t="n"/>
      <c r="AM159" s="58" t="n">
        <v>1637.068966</v>
      </c>
      <c r="AN159" s="155" t="inlineStr">
        <is>
          <t>Shopify Western Brothers</t>
        </is>
      </c>
      <c r="AO159" s="59" t="n"/>
      <c r="AP159" s="59" t="n">
        <v>0</v>
      </c>
      <c r="AQ159" s="59" t="n"/>
      <c r="AR159" s="155" t="n"/>
    </row>
    <row r="160">
      <c r="A160" s="50" t="inlineStr">
        <is>
          <t>7506012607419</t>
        </is>
      </c>
      <c r="B160" s="51" t="inlineStr">
        <is>
          <t>112231</t>
        </is>
      </c>
      <c r="C160" s="156" t="inlineStr">
        <is>
          <t>Multimarca</t>
        </is>
      </c>
      <c r="D160" s="156" t="inlineStr">
        <is>
          <t>WACA0212-2</t>
        </is>
      </c>
      <c r="E160" s="156" t="inlineStr">
        <is>
          <t>WACA0212-2-26.5</t>
        </is>
      </c>
      <c r="F160" s="156" t="inlineStr">
        <is>
          <t>26.5</t>
        </is>
      </c>
      <c r="G160" s="156" t="inlineStr">
        <is>
          <t>8.5</t>
        </is>
      </c>
      <c r="H160" s="156" t="inlineStr">
        <is>
          <t>Wrangler</t>
        </is>
      </c>
      <c r="I160" s="156" t="inlineStr">
        <is>
          <t>Botas Wrangler Sonora Café</t>
        </is>
      </c>
      <c r="J160" s="156" t="inlineStr">
        <is>
          <t>Calzado</t>
        </is>
      </c>
      <c r="K160" s="156" t="inlineStr">
        <is>
          <t>Botas</t>
        </is>
      </c>
      <c r="L160" s="156" t="inlineStr">
        <is>
          <t>Hombre</t>
        </is>
      </c>
      <c r="M160" s="156" t="inlineStr">
        <is>
          <t>Wrangler</t>
        </is>
      </c>
      <c r="N160" s="156" t="inlineStr">
        <is>
          <t>SS26</t>
        </is>
      </c>
      <c r="O160" s="156" t="inlineStr">
        <is>
          <t>Seasonal</t>
        </is>
      </c>
      <c r="P160" s="156" t="inlineStr">
        <is>
          <t>Cafe</t>
        </is>
      </c>
      <c r="Q160" s="156" t="n"/>
      <c r="R160" s="156" t="n"/>
      <c r="S160" s="156" t="inlineStr">
        <is>
          <t>100% Piel</t>
        </is>
      </c>
      <c r="T160" s="156" t="inlineStr">
        <is>
          <t>Botas Wrangler Sonora Café. Bota de la marca Wrangler. Estilo WACA0212-2.</t>
        </is>
      </c>
      <c r="U160" s="156" t="inlineStr">
        <is>
          <t>México</t>
        </is>
      </c>
      <c r="V160" s="156" t="inlineStr">
        <is>
          <t>PRS</t>
        </is>
      </c>
      <c r="W160" s="51" t="inlineStr">
        <is>
          <t>53111500</t>
        </is>
      </c>
      <c r="X160" s="156" t="n"/>
      <c r="Y160" s="54" t="n">
        <v>818.54</v>
      </c>
      <c r="Z160" s="54" t="n">
        <v>1637.068966</v>
      </c>
      <c r="AA160" s="55">
        <f>IF(AND(A160="", B160="", E160=""), "", IF(AB160="", "Válido", IF((LEN(AB160)-LEN(SUBSTITUTE(AB160,"; ","")))/2+1&gt;(LEN(AB160)-LEN(SUBSTITUTE(AB160,"[Aviso]","")))/7, "Con Incidencias", "Válido")))</f>
        <v/>
      </c>
      <c r="AB160" s="56">
        <f>IF(AND(A160="", B160="", E160=""), "", TEXTJOIN("; ", TRUE, IF(OR(TRIM(A160&amp;"")="", ISNUMBER(SEARCH("FALTA", A160))), "UPC faltante/inválido", ""), IF(AND(A160&lt;&gt;"", IFERROR(_xlfn.XMATCH(A160,$A$2:$A$1063,0,1)&lt;&gt;_xlfn.XMATCH(A160,$A$2:$A$1063,0,-1),FALSE)), "Código de barras duplicado", ""), IF(AND(E160&lt;&gt;"", COUNTIF($E$2:$E$1063, E160)&gt;1), "SKU duplicado", ""), IF(OR(J160="", J160=""), "[Aviso] División no capturada ()", IF(ISNA(MATCH(J160, Criterios!$A$123:$A$126, 0)), "División no válida", "")), IF(OR(K160="", K160=""), "[Aviso] Categoría no capturada ()", IF(ISNA(MATCH(K160, Criterios!$A$81:$A$120, 0)), "Categoría no válida", IF(AND(J160&lt;&gt;"", J160&lt;&gt;"", J160&lt;&gt;VLOOKUP(K160, Criterios!$A$81:$B$120, 2, FALSE)), "División no coincide con Categoría", ""))), IF(OR(L160="", L160=""), "[Aviso] Género no capturado ()", IF(ISNA(MATCH(L160, Criterios!$B$123:$B$127, 0)), "Género no válido", "")), IF(OR(N160="", N160=""), "[Aviso] Temporada no capturada ()", IF(ISNA(MATCH(N160, Criterios!$C$123:$C$128, 0)), "Temporada no válida", "")), IF(OR(O160="", O160=""), "[Aviso] Ciclo de vida no capturado ()", IF(ISNA(MATCH(O160, Criterios!$D$123:$D$124, 0)), "Ciclo de vida no válido", ""))))</f>
        <v/>
      </c>
      <c r="AC160" s="56" t="n"/>
      <c r="AD160" s="51" t="n">
        <v>0</v>
      </c>
      <c r="AE160" s="156" t="n"/>
      <c r="AF160" s="51" t="n">
        <v>0</v>
      </c>
      <c r="AG160" s="156" t="inlineStr">
        <is>
          <t>Nuevo – NetSuite sin existencia</t>
        </is>
      </c>
      <c r="AH160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60" s="156" t="inlineStr">
        <is>
          <t>No</t>
        </is>
      </c>
      <c r="AJ160" s="156" t="n"/>
      <c r="AK160" s="155" t="inlineStr">
        <is>
          <t>ProductosCatalogoEstandar907.xlsx: fila 6078 [L,N,O,S,U,Y]; G1522_Extraccion_Articulos_NetSuite_2026-09-30.xlsx: fila 59477 [M,P,V,Y,S] | Shopify WB: producto 8626599657657 / variante 48347150385337</t>
        </is>
      </c>
      <c r="AL160" s="58" t="n"/>
      <c r="AM160" s="58" t="n">
        <v>1637.068966</v>
      </c>
      <c r="AN160" s="155" t="inlineStr">
        <is>
          <t>Shopify Western Brothers</t>
        </is>
      </c>
      <c r="AO160" s="59" t="n"/>
      <c r="AP160" s="59" t="n">
        <v>0</v>
      </c>
      <c r="AQ160" s="59" t="n"/>
      <c r="AR160" s="155" t="n"/>
    </row>
    <row r="161">
      <c r="A161" s="50" t="inlineStr">
        <is>
          <t>7506012607426</t>
        </is>
      </c>
      <c r="B161" s="51" t="inlineStr">
        <is>
          <t>112232</t>
        </is>
      </c>
      <c r="C161" s="156" t="inlineStr">
        <is>
          <t>Multimarca</t>
        </is>
      </c>
      <c r="D161" s="156" t="inlineStr">
        <is>
          <t>WACA0212-2</t>
        </is>
      </c>
      <c r="E161" s="156" t="inlineStr">
        <is>
          <t>WACA0212-2-27</t>
        </is>
      </c>
      <c r="F161" s="156" t="inlineStr">
        <is>
          <t>27</t>
        </is>
      </c>
      <c r="G161" s="156" t="inlineStr">
        <is>
          <t>9</t>
        </is>
      </c>
      <c r="H161" s="156" t="inlineStr">
        <is>
          <t>Wrangler</t>
        </is>
      </c>
      <c r="I161" s="156" t="inlineStr">
        <is>
          <t>Botas Wrangler Sonora Café</t>
        </is>
      </c>
      <c r="J161" s="156" t="inlineStr">
        <is>
          <t>Calzado</t>
        </is>
      </c>
      <c r="K161" s="156" t="inlineStr">
        <is>
          <t>Botas</t>
        </is>
      </c>
      <c r="L161" s="156" t="inlineStr">
        <is>
          <t>Hombre</t>
        </is>
      </c>
      <c r="M161" s="156" t="inlineStr">
        <is>
          <t>Wrangler</t>
        </is>
      </c>
      <c r="N161" s="156" t="inlineStr">
        <is>
          <t>SS26</t>
        </is>
      </c>
      <c r="O161" s="156" t="inlineStr">
        <is>
          <t>Seasonal</t>
        </is>
      </c>
      <c r="P161" s="156" t="inlineStr">
        <is>
          <t>Cafe</t>
        </is>
      </c>
      <c r="Q161" s="156" t="n"/>
      <c r="R161" s="156" t="n"/>
      <c r="S161" s="156" t="inlineStr">
        <is>
          <t>100% Piel</t>
        </is>
      </c>
      <c r="T161" s="156" t="inlineStr">
        <is>
          <t>Botas Wrangler Sonora Café. Bota de la marca Wrangler. Estilo WACA0212-2.</t>
        </is>
      </c>
      <c r="U161" s="156" t="inlineStr">
        <is>
          <t>México</t>
        </is>
      </c>
      <c r="V161" s="156" t="inlineStr">
        <is>
          <t>PRS</t>
        </is>
      </c>
      <c r="W161" s="51" t="inlineStr">
        <is>
          <t>53111500</t>
        </is>
      </c>
      <c r="X161" s="156" t="n"/>
      <c r="Y161" s="54" t="n">
        <v>818.54</v>
      </c>
      <c r="Z161" s="54" t="n">
        <v>1637.068966</v>
      </c>
      <c r="AA161" s="55">
        <f>IF(AND(A161="", B161="", E161=""), "", IF(AB161="", "Válido", IF((LEN(AB161)-LEN(SUBSTITUTE(AB161,"; ","")))/2+1&gt;(LEN(AB161)-LEN(SUBSTITUTE(AB161,"[Aviso]","")))/7, "Con Incidencias", "Válido")))</f>
        <v/>
      </c>
      <c r="AB161" s="56">
        <f>IF(AND(A161="", B161="", E161=""), "", TEXTJOIN("; ", TRUE, IF(OR(TRIM(A161&amp;"")="", ISNUMBER(SEARCH("FALTA", A161))), "UPC faltante/inválido", ""), IF(AND(A161&lt;&gt;"", IFERROR(_xlfn.XMATCH(A161,$A$2:$A$1063,0,1)&lt;&gt;_xlfn.XMATCH(A161,$A$2:$A$1063,0,-1),FALSE)), "Código de barras duplicado", ""), IF(AND(E161&lt;&gt;"", COUNTIF($E$2:$E$1063, E161)&gt;1), "SKU duplicado", ""), IF(OR(J161="", J161=""), "[Aviso] División no capturada ()", IF(ISNA(MATCH(J161, Criterios!$A$123:$A$126, 0)), "División no válida", "")), IF(OR(K161="", K161=""), "[Aviso] Categoría no capturada ()", IF(ISNA(MATCH(K161, Criterios!$A$81:$A$120, 0)), "Categoría no válida", IF(AND(J161&lt;&gt;"", J161&lt;&gt;"", J161&lt;&gt;VLOOKUP(K161, Criterios!$A$81:$B$120, 2, FALSE)), "División no coincide con Categoría", ""))), IF(OR(L161="", L161=""), "[Aviso] Género no capturado ()", IF(ISNA(MATCH(L161, Criterios!$B$123:$B$127, 0)), "Género no válido", "")), IF(OR(N161="", N161=""), "[Aviso] Temporada no capturada ()", IF(ISNA(MATCH(N161, Criterios!$C$123:$C$128, 0)), "Temporada no válida", "")), IF(OR(O161="", O161=""), "[Aviso] Ciclo de vida no capturado ()", IF(ISNA(MATCH(O161, Criterios!$D$123:$D$124, 0)), "Ciclo de vida no válido", ""))))</f>
        <v/>
      </c>
      <c r="AC161" s="56" t="n"/>
      <c r="AD161" s="51" t="n">
        <v>0</v>
      </c>
      <c r="AE161" s="156" t="n"/>
      <c r="AF161" s="51" t="n">
        <v>0</v>
      </c>
      <c r="AG161" s="156" t="inlineStr">
        <is>
          <t>Nuevo – NetSuite sin existencia</t>
        </is>
      </c>
      <c r="AH161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61" s="156" t="inlineStr">
        <is>
          <t>No</t>
        </is>
      </c>
      <c r="AJ161" s="156" t="n"/>
      <c r="AK161" s="155" t="inlineStr">
        <is>
          <t>ProductosCatalogoEstandar907.xlsx: fila 6079 [L,N,O,S,U,Y]; G1522_Extraccion_Articulos_NetSuite_2026-09-30.xlsx: fila 59478 [M,P,V,Y,S] | Shopify WB: producto 8626599657657 / variante 48347150418105</t>
        </is>
      </c>
      <c r="AL161" s="58" t="n"/>
      <c r="AM161" s="58" t="n">
        <v>1637.068966</v>
      </c>
      <c r="AN161" s="155" t="inlineStr">
        <is>
          <t>Shopify Western Brothers</t>
        </is>
      </c>
      <c r="AO161" s="59" t="n"/>
      <c r="AP161" s="59" t="n">
        <v>0</v>
      </c>
      <c r="AQ161" s="59" t="n"/>
      <c r="AR161" s="155" t="n"/>
    </row>
    <row r="162">
      <c r="A162" s="50" t="inlineStr">
        <is>
          <t>7506012607433</t>
        </is>
      </c>
      <c r="B162" s="51" t="inlineStr">
        <is>
          <t>112233</t>
        </is>
      </c>
      <c r="C162" s="156" t="inlineStr">
        <is>
          <t>Multimarca</t>
        </is>
      </c>
      <c r="D162" s="156" t="inlineStr">
        <is>
          <t>WACA0212-2</t>
        </is>
      </c>
      <c r="E162" s="156" t="inlineStr">
        <is>
          <t>WACA0212-2-27.5</t>
        </is>
      </c>
      <c r="F162" s="156" t="inlineStr">
        <is>
          <t>27.5</t>
        </is>
      </c>
      <c r="G162" s="156" t="inlineStr">
        <is>
          <t>9.5</t>
        </is>
      </c>
      <c r="H162" s="156" t="inlineStr">
        <is>
          <t>Wrangler</t>
        </is>
      </c>
      <c r="I162" s="156" t="inlineStr">
        <is>
          <t>Botas Wrangler Sonora Café</t>
        </is>
      </c>
      <c r="J162" s="156" t="inlineStr">
        <is>
          <t>Calzado</t>
        </is>
      </c>
      <c r="K162" s="156" t="inlineStr">
        <is>
          <t>Botas</t>
        </is>
      </c>
      <c r="L162" s="156" t="inlineStr">
        <is>
          <t>Hombre</t>
        </is>
      </c>
      <c r="M162" s="156" t="inlineStr">
        <is>
          <t>Wrangler</t>
        </is>
      </c>
      <c r="N162" s="156" t="inlineStr">
        <is>
          <t>SS26</t>
        </is>
      </c>
      <c r="O162" s="156" t="inlineStr">
        <is>
          <t>Seasonal</t>
        </is>
      </c>
      <c r="P162" s="156" t="inlineStr">
        <is>
          <t>Cafe</t>
        </is>
      </c>
      <c r="Q162" s="156" t="n"/>
      <c r="R162" s="156" t="n"/>
      <c r="S162" s="156" t="inlineStr">
        <is>
          <t>100% Piel</t>
        </is>
      </c>
      <c r="T162" s="156" t="inlineStr">
        <is>
          <t>Botas Wrangler Sonora Café. Bota de la marca Wrangler. Estilo WACA0212-2.</t>
        </is>
      </c>
      <c r="U162" s="156" t="inlineStr">
        <is>
          <t>México</t>
        </is>
      </c>
      <c r="V162" s="156" t="inlineStr">
        <is>
          <t>PRS</t>
        </is>
      </c>
      <c r="W162" s="51" t="inlineStr">
        <is>
          <t>53111500</t>
        </is>
      </c>
      <c r="X162" s="156" t="n"/>
      <c r="Y162" s="54" t="n">
        <v>818.54</v>
      </c>
      <c r="Z162" s="54" t="n">
        <v>1637.068966</v>
      </c>
      <c r="AA162" s="55">
        <f>IF(AND(A162="", B162="", E162=""), "", IF(AB162="", "Válido", IF((LEN(AB162)-LEN(SUBSTITUTE(AB162,"; ","")))/2+1&gt;(LEN(AB162)-LEN(SUBSTITUTE(AB162,"[Aviso]","")))/7, "Con Incidencias", "Válido")))</f>
        <v/>
      </c>
      <c r="AB162" s="56">
        <f>IF(AND(A162="", B162="", E162=""), "", TEXTJOIN("; ", TRUE, IF(OR(TRIM(A162&amp;"")="", ISNUMBER(SEARCH("FALTA", A162))), "UPC faltante/inválido", ""), IF(AND(A162&lt;&gt;"", IFERROR(_xlfn.XMATCH(A162,$A$2:$A$1063,0,1)&lt;&gt;_xlfn.XMATCH(A162,$A$2:$A$1063,0,-1),FALSE)), "Código de barras duplicado", ""), IF(AND(E162&lt;&gt;"", COUNTIF($E$2:$E$1063, E162)&gt;1), "SKU duplicado", ""), IF(OR(J162="", J162=""), "[Aviso] División no capturada ()", IF(ISNA(MATCH(J162, Criterios!$A$123:$A$126, 0)), "División no válida", "")), IF(OR(K162="", K162=""), "[Aviso] Categoría no capturada ()", IF(ISNA(MATCH(K162, Criterios!$A$81:$A$120, 0)), "Categoría no válida", IF(AND(J162&lt;&gt;"", J162&lt;&gt;"", J162&lt;&gt;VLOOKUP(K162, Criterios!$A$81:$B$120, 2, FALSE)), "División no coincide con Categoría", ""))), IF(OR(L162="", L162=""), "[Aviso] Género no capturado ()", IF(ISNA(MATCH(L162, Criterios!$B$123:$B$127, 0)), "Género no válido", "")), IF(OR(N162="", N162=""), "[Aviso] Temporada no capturada ()", IF(ISNA(MATCH(N162, Criterios!$C$123:$C$128, 0)), "Temporada no válida", "")), IF(OR(O162="", O162=""), "[Aviso] Ciclo de vida no capturado ()", IF(ISNA(MATCH(O162, Criterios!$D$123:$D$124, 0)), "Ciclo de vida no válido", ""))))</f>
        <v/>
      </c>
      <c r="AC162" s="56" t="n"/>
      <c r="AD162" s="51" t="n">
        <v>0</v>
      </c>
      <c r="AE162" s="156" t="n"/>
      <c r="AF162" s="51" t="n">
        <v>0</v>
      </c>
      <c r="AG162" s="156" t="inlineStr">
        <is>
          <t>Nuevo – NetSuite sin existencia</t>
        </is>
      </c>
      <c r="AH162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62" s="156" t="inlineStr">
        <is>
          <t>No</t>
        </is>
      </c>
      <c r="AJ162" s="156" t="n"/>
      <c r="AK162" s="155" t="inlineStr">
        <is>
          <t>ProductosCatalogoEstandar907.xlsx: fila 6080 [L,N,O,S,U,Y]; G1522_Extraccion_Articulos_NetSuite_2026-09-30.xlsx: fila 59479 [M,P,V,Y,S] | Shopify WB: producto 8626599657657 / variante 48347150450873</t>
        </is>
      </c>
      <c r="AL162" s="58" t="n"/>
      <c r="AM162" s="58" t="n">
        <v>1637.068966</v>
      </c>
      <c r="AN162" s="155" t="inlineStr">
        <is>
          <t>Shopify Western Brothers</t>
        </is>
      </c>
      <c r="AO162" s="59" t="n"/>
      <c r="AP162" s="59" t="n">
        <v>0</v>
      </c>
      <c r="AQ162" s="59" t="n"/>
      <c r="AR162" s="155" t="n"/>
    </row>
    <row r="163">
      <c r="A163" s="50" t="inlineStr">
        <is>
          <t>7506012607440</t>
        </is>
      </c>
      <c r="B163" s="51" t="inlineStr">
        <is>
          <t>112234</t>
        </is>
      </c>
      <c r="C163" s="156" t="inlineStr">
        <is>
          <t>Multimarca</t>
        </is>
      </c>
      <c r="D163" s="156" t="inlineStr">
        <is>
          <t>WACA0212-2</t>
        </is>
      </c>
      <c r="E163" s="156" t="inlineStr">
        <is>
          <t>WACA0212-2-28</t>
        </is>
      </c>
      <c r="F163" s="156" t="inlineStr">
        <is>
          <t>28</t>
        </is>
      </c>
      <c r="G163" s="156" t="inlineStr">
        <is>
          <t>10</t>
        </is>
      </c>
      <c r="H163" s="156" t="inlineStr">
        <is>
          <t>Wrangler</t>
        </is>
      </c>
      <c r="I163" s="156" t="inlineStr">
        <is>
          <t>Botas Wrangler Sonora Café</t>
        </is>
      </c>
      <c r="J163" s="156" t="inlineStr">
        <is>
          <t>Calzado</t>
        </is>
      </c>
      <c r="K163" s="156" t="inlineStr">
        <is>
          <t>Botas</t>
        </is>
      </c>
      <c r="L163" s="156" t="inlineStr">
        <is>
          <t>Hombre</t>
        </is>
      </c>
      <c r="M163" s="156" t="inlineStr">
        <is>
          <t>Wrangler</t>
        </is>
      </c>
      <c r="N163" s="156" t="inlineStr">
        <is>
          <t>SS26</t>
        </is>
      </c>
      <c r="O163" s="156" t="inlineStr">
        <is>
          <t>Seasonal</t>
        </is>
      </c>
      <c r="P163" s="156" t="inlineStr">
        <is>
          <t>Cafe</t>
        </is>
      </c>
      <c r="Q163" s="156" t="n"/>
      <c r="R163" s="156" t="n"/>
      <c r="S163" s="156" t="inlineStr">
        <is>
          <t>100% Piel</t>
        </is>
      </c>
      <c r="T163" s="156" t="inlineStr">
        <is>
          <t>Botas Wrangler Sonora Café. Bota de la marca Wrangler. Estilo WACA0212-2.</t>
        </is>
      </c>
      <c r="U163" s="156" t="inlineStr">
        <is>
          <t>México</t>
        </is>
      </c>
      <c r="V163" s="156" t="inlineStr">
        <is>
          <t>PRS</t>
        </is>
      </c>
      <c r="W163" s="51" t="inlineStr">
        <is>
          <t>53111500</t>
        </is>
      </c>
      <c r="X163" s="156" t="n"/>
      <c r="Y163" s="54" t="n">
        <v>818.54</v>
      </c>
      <c r="Z163" s="54" t="n">
        <v>1637.068966</v>
      </c>
      <c r="AA163" s="55">
        <f>IF(AND(A163="", B163="", E163=""), "", IF(AB163="", "Válido", IF((LEN(AB163)-LEN(SUBSTITUTE(AB163,"; ","")))/2+1&gt;(LEN(AB163)-LEN(SUBSTITUTE(AB163,"[Aviso]","")))/7, "Con Incidencias", "Válido")))</f>
        <v/>
      </c>
      <c r="AB163" s="56">
        <f>IF(AND(A163="", B163="", E163=""), "", TEXTJOIN("; ", TRUE, IF(OR(TRIM(A163&amp;"")="", ISNUMBER(SEARCH("FALTA", A163))), "UPC faltante/inválido", ""), IF(AND(A163&lt;&gt;"", IFERROR(_xlfn.XMATCH(A163,$A$2:$A$1063,0,1)&lt;&gt;_xlfn.XMATCH(A163,$A$2:$A$1063,0,-1),FALSE)), "Código de barras duplicado", ""), IF(AND(E163&lt;&gt;"", COUNTIF($E$2:$E$1063, E163)&gt;1), "SKU duplicado", ""), IF(OR(J163="", J163=""), "[Aviso] División no capturada ()", IF(ISNA(MATCH(J163, Criterios!$A$123:$A$126, 0)), "División no válida", "")), IF(OR(K163="", K163=""), "[Aviso] Categoría no capturada ()", IF(ISNA(MATCH(K163, Criterios!$A$81:$A$120, 0)), "Categoría no válida", IF(AND(J163&lt;&gt;"", J163&lt;&gt;"", J163&lt;&gt;VLOOKUP(K163, Criterios!$A$81:$B$120, 2, FALSE)), "División no coincide con Categoría", ""))), IF(OR(L163="", L163=""), "[Aviso] Género no capturado ()", IF(ISNA(MATCH(L163, Criterios!$B$123:$B$127, 0)), "Género no válido", "")), IF(OR(N163="", N163=""), "[Aviso] Temporada no capturada ()", IF(ISNA(MATCH(N163, Criterios!$C$123:$C$128, 0)), "Temporada no válida", "")), IF(OR(O163="", O163=""), "[Aviso] Ciclo de vida no capturado ()", IF(ISNA(MATCH(O163, Criterios!$D$123:$D$124, 0)), "Ciclo de vida no válido", ""))))</f>
        <v/>
      </c>
      <c r="AC163" s="56" t="n"/>
      <c r="AD163" s="51" t="n">
        <v>0</v>
      </c>
      <c r="AE163" s="156" t="n"/>
      <c r="AF163" s="51" t="n">
        <v>0</v>
      </c>
      <c r="AG163" s="156" t="inlineStr">
        <is>
          <t>Nuevo – NetSuite con existencia</t>
        </is>
      </c>
      <c r="AH163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63" s="156" t="inlineStr">
        <is>
          <t>No</t>
        </is>
      </c>
      <c r="AJ163" s="156" t="n"/>
      <c r="AK163" s="155" t="inlineStr">
        <is>
          <t>ProductosCatalogoEstandar907.xlsx: fila 6081 [L,N,O,S,U,Y]; G1522_Extraccion_Articulos_NetSuite_2026-09-30.xlsx: fila 59480 [M,P,V,Y,S] | Shopify WB: producto 8626599657657 / variante 48347150483641</t>
        </is>
      </c>
      <c r="AL163" s="58" t="n"/>
      <c r="AM163" s="58" t="n">
        <v>1637.068966</v>
      </c>
      <c r="AN163" s="155" t="inlineStr">
        <is>
          <t>Shopify Western Brothers</t>
        </is>
      </c>
      <c r="AO163" s="59" t="n"/>
      <c r="AP163" s="59" t="n">
        <v>0</v>
      </c>
      <c r="AQ163" s="59" t="n"/>
      <c r="AR163" s="155" t="n"/>
    </row>
    <row r="164">
      <c r="A164" s="50" t="inlineStr">
        <is>
          <t>7506012607457</t>
        </is>
      </c>
      <c r="B164" s="51" t="inlineStr">
        <is>
          <t>112235</t>
        </is>
      </c>
      <c r="C164" s="156" t="inlineStr">
        <is>
          <t>Multimarca</t>
        </is>
      </c>
      <c r="D164" s="156" t="inlineStr">
        <is>
          <t>WACA0212-2</t>
        </is>
      </c>
      <c r="E164" s="156" t="inlineStr">
        <is>
          <t>WACA0212-2-28.5</t>
        </is>
      </c>
      <c r="F164" s="156" t="inlineStr">
        <is>
          <t>28.5</t>
        </is>
      </c>
      <c r="G164" s="156" t="inlineStr">
        <is>
          <t>10.5</t>
        </is>
      </c>
      <c r="H164" s="156" t="inlineStr">
        <is>
          <t>Wrangler</t>
        </is>
      </c>
      <c r="I164" s="156" t="inlineStr">
        <is>
          <t>Botas Wrangler Sonora Café</t>
        </is>
      </c>
      <c r="J164" s="156" t="inlineStr">
        <is>
          <t>Calzado</t>
        </is>
      </c>
      <c r="K164" s="156" t="inlineStr">
        <is>
          <t>Botas</t>
        </is>
      </c>
      <c r="L164" s="156" t="inlineStr">
        <is>
          <t>Hombre</t>
        </is>
      </c>
      <c r="M164" s="156" t="inlineStr">
        <is>
          <t>Wrangler</t>
        </is>
      </c>
      <c r="N164" s="156" t="inlineStr">
        <is>
          <t>SS26</t>
        </is>
      </c>
      <c r="O164" s="156" t="inlineStr">
        <is>
          <t>Seasonal</t>
        </is>
      </c>
      <c r="P164" s="156" t="inlineStr">
        <is>
          <t>Cafe</t>
        </is>
      </c>
      <c r="Q164" s="156" t="n"/>
      <c r="R164" s="156" t="n"/>
      <c r="S164" s="156" t="inlineStr">
        <is>
          <t>100% Piel</t>
        </is>
      </c>
      <c r="T164" s="156" t="inlineStr">
        <is>
          <t>Botas Wrangler Sonora Café. Bota de la marca Wrangler. Estilo WACA0212-2.</t>
        </is>
      </c>
      <c r="U164" s="156" t="inlineStr">
        <is>
          <t>México</t>
        </is>
      </c>
      <c r="V164" s="156" t="inlineStr">
        <is>
          <t>PRS</t>
        </is>
      </c>
      <c r="W164" s="51" t="inlineStr">
        <is>
          <t>53111500</t>
        </is>
      </c>
      <c r="X164" s="156" t="n"/>
      <c r="Y164" s="54" t="n">
        <v>818.54</v>
      </c>
      <c r="Z164" s="54" t="n">
        <v>1637.068966</v>
      </c>
      <c r="AA164" s="55">
        <f>IF(AND(A164="", B164="", E164=""), "", IF(AB164="", "Válido", IF((LEN(AB164)-LEN(SUBSTITUTE(AB164,"; ","")))/2+1&gt;(LEN(AB164)-LEN(SUBSTITUTE(AB164,"[Aviso]","")))/7, "Con Incidencias", "Válido")))</f>
        <v/>
      </c>
      <c r="AB164" s="56">
        <f>IF(AND(A164="", B164="", E164=""), "", TEXTJOIN("; ", TRUE, IF(OR(TRIM(A164&amp;"")="", ISNUMBER(SEARCH("FALTA", A164))), "UPC faltante/inválido", ""), IF(AND(A164&lt;&gt;"", IFERROR(_xlfn.XMATCH(A164,$A$2:$A$1063,0,1)&lt;&gt;_xlfn.XMATCH(A164,$A$2:$A$1063,0,-1),FALSE)), "Código de barras duplicado", ""), IF(AND(E164&lt;&gt;"", COUNTIF($E$2:$E$1063, E164)&gt;1), "SKU duplicado", ""), IF(OR(J164="", J164=""), "[Aviso] División no capturada ()", IF(ISNA(MATCH(J164, Criterios!$A$123:$A$126, 0)), "División no válida", "")), IF(OR(K164="", K164=""), "[Aviso] Categoría no capturada ()", IF(ISNA(MATCH(K164, Criterios!$A$81:$A$120, 0)), "Categoría no válida", IF(AND(J164&lt;&gt;"", J164&lt;&gt;"", J164&lt;&gt;VLOOKUP(K164, Criterios!$A$81:$B$120, 2, FALSE)), "División no coincide con Categoría", ""))), IF(OR(L164="", L164=""), "[Aviso] Género no capturado ()", IF(ISNA(MATCH(L164, Criterios!$B$123:$B$127, 0)), "Género no válido", "")), IF(OR(N164="", N164=""), "[Aviso] Temporada no capturada ()", IF(ISNA(MATCH(N164, Criterios!$C$123:$C$128, 0)), "Temporada no válida", "")), IF(OR(O164="", O164=""), "[Aviso] Ciclo de vida no capturado ()", IF(ISNA(MATCH(O164, Criterios!$D$123:$D$124, 0)), "Ciclo de vida no válido", ""))))</f>
        <v/>
      </c>
      <c r="AC164" s="56" t="n"/>
      <c r="AD164" s="51" t="n">
        <v>1</v>
      </c>
      <c r="AE164" s="156" t="inlineStr">
        <is>
          <t>WB OUTLET LERMA (1)</t>
        </is>
      </c>
      <c r="AF164" s="51" t="n">
        <v>1</v>
      </c>
      <c r="AG164" s="156" t="inlineStr">
        <is>
          <t>Nuevo – NetSuite con existencia</t>
        </is>
      </c>
      <c r="AH164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64" s="156" t="inlineStr">
        <is>
          <t>No</t>
        </is>
      </c>
      <c r="AJ164" s="156" t="n"/>
      <c r="AK164" s="155" t="inlineStr">
        <is>
          <t>ProductosCatalogoEstandar907.xlsx: fila 6082 [L,N,O,S,U,Y]; G1522_Extraccion_Articulos_NetSuite_2026-09-30.xlsx: fila 59481 [M,P,V,Y,S] | Shopify WB: producto 8626599657657 / variante 48347150516409</t>
        </is>
      </c>
      <c r="AL164" s="58" t="n"/>
      <c r="AM164" s="58" t="n">
        <v>1637.068966</v>
      </c>
      <c r="AN164" s="155" t="inlineStr">
        <is>
          <t>Shopify Western Brothers</t>
        </is>
      </c>
      <c r="AO164" s="59" t="n"/>
      <c r="AP164" s="59" t="n">
        <v>1</v>
      </c>
      <c r="AQ164" s="59" t="n"/>
      <c r="AR164" s="155" t="inlineStr">
        <is>
          <t>Shopify Western Brothers › Western Brothers Outlet Lerma: 1</t>
        </is>
      </c>
    </row>
    <row r="165">
      <c r="A165" s="50" t="inlineStr">
        <is>
          <t>7506012607532</t>
        </is>
      </c>
      <c r="B165" s="51" t="inlineStr">
        <is>
          <t>117094</t>
        </is>
      </c>
      <c r="C165" s="156" t="inlineStr">
        <is>
          <t>Multimarca</t>
        </is>
      </c>
      <c r="D165" s="156" t="inlineStr">
        <is>
          <t>WACA0213</t>
        </is>
      </c>
      <c r="E165" s="156" t="inlineStr">
        <is>
          <t>WACA0213-26</t>
        </is>
      </c>
      <c r="F165" s="156" t="inlineStr">
        <is>
          <t>26</t>
        </is>
      </c>
      <c r="G165" s="156" t="inlineStr">
        <is>
          <t>8</t>
        </is>
      </c>
      <c r="H165" s="156" t="inlineStr">
        <is>
          <t>Wrangler</t>
        </is>
      </c>
      <c r="I165" s="156" t="inlineStr">
        <is>
          <t>Botas Wrangler Coyote Cafe</t>
        </is>
      </c>
      <c r="J165" s="156" t="inlineStr">
        <is>
          <t>Calzado</t>
        </is>
      </c>
      <c r="K165" s="156" t="inlineStr">
        <is>
          <t>Botas</t>
        </is>
      </c>
      <c r="L165" s="156" t="inlineStr">
        <is>
          <t>Hombre</t>
        </is>
      </c>
      <c r="M165" s="156" t="inlineStr">
        <is>
          <t>Wrangler</t>
        </is>
      </c>
      <c r="N165" s="156" t="inlineStr">
        <is>
          <t>SS26</t>
        </is>
      </c>
      <c r="O165" s="156" t="inlineStr">
        <is>
          <t>Seasonal</t>
        </is>
      </c>
      <c r="P165" s="156" t="inlineStr">
        <is>
          <t>Cafe</t>
        </is>
      </c>
      <c r="Q165" s="156" t="n"/>
      <c r="R165" s="156" t="n"/>
      <c r="S165" s="156" t="inlineStr">
        <is>
          <t>100% Piel</t>
        </is>
      </c>
      <c r="T165" s="156" t="inlineStr">
        <is>
          <t>Botas Wrangler Coyote Cafe. Bota de la marca Wrangler. Estilo WACA0213.</t>
        </is>
      </c>
      <c r="U165" s="156" t="inlineStr">
        <is>
          <t>México</t>
        </is>
      </c>
      <c r="V165" s="156" t="inlineStr">
        <is>
          <t>PRS</t>
        </is>
      </c>
      <c r="W165" s="51" t="inlineStr">
        <is>
          <t>53111500</t>
        </is>
      </c>
      <c r="X165" s="156" t="n"/>
      <c r="Y165" s="54" t="n">
        <v>680.61</v>
      </c>
      <c r="Z165" s="54" t="n">
        <v>1378.448276</v>
      </c>
      <c r="AA165" s="55">
        <f>IF(AND(A165="", B165="", E165=""), "", IF(AB165="", "Válido", IF((LEN(AB165)-LEN(SUBSTITUTE(AB165,"; ","")))/2+1&gt;(LEN(AB165)-LEN(SUBSTITUTE(AB165,"[Aviso]","")))/7, "Con Incidencias", "Válido")))</f>
        <v/>
      </c>
      <c r="AB165" s="56">
        <f>IF(AND(A165="", B165="", E165=""), "", TEXTJOIN("; ", TRUE, IF(OR(TRIM(A165&amp;"")="", ISNUMBER(SEARCH("FALTA", A165))), "UPC faltante/inválido", ""), IF(AND(A165&lt;&gt;"", IFERROR(_xlfn.XMATCH(A165,$A$2:$A$1063,0,1)&lt;&gt;_xlfn.XMATCH(A165,$A$2:$A$1063,0,-1),FALSE)), "Código de barras duplicado", ""), IF(AND(E165&lt;&gt;"", COUNTIF($E$2:$E$1063, E165)&gt;1), "SKU duplicado", ""), IF(OR(J165="", J165=""), "[Aviso] División no capturada ()", IF(ISNA(MATCH(J165, Criterios!$A$123:$A$126, 0)), "División no válida", "")), IF(OR(K165="", K165=""), "[Aviso] Categoría no capturada ()", IF(ISNA(MATCH(K165, Criterios!$A$81:$A$120, 0)), "Categoría no válida", IF(AND(J165&lt;&gt;"", J165&lt;&gt;"", J165&lt;&gt;VLOOKUP(K165, Criterios!$A$81:$B$120, 2, FALSE)), "División no coincide con Categoría", ""))), IF(OR(L165="", L165=""), "[Aviso] Género no capturado ()", IF(ISNA(MATCH(L165, Criterios!$B$123:$B$127, 0)), "Género no válido", "")), IF(OR(N165="", N165=""), "[Aviso] Temporada no capturada ()", IF(ISNA(MATCH(N165, Criterios!$C$123:$C$128, 0)), "Temporada no válida", "")), IF(OR(O165="", O165=""), "[Aviso] Ciclo de vida no capturado ()", IF(ISNA(MATCH(O165, Criterios!$D$123:$D$124, 0)), "Ciclo de vida no válido", ""))))</f>
        <v/>
      </c>
      <c r="AC165" s="56" t="n"/>
      <c r="AD165" s="51" t="n">
        <v>0</v>
      </c>
      <c r="AE165" s="156" t="n"/>
      <c r="AF165" s="51" t="n">
        <v>0</v>
      </c>
      <c r="AG165" s="156" t="inlineStr">
        <is>
          <t>Nuevo – NetSuite sin existencia</t>
        </is>
      </c>
      <c r="AH165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65" s="156" t="inlineStr">
        <is>
          <t>No</t>
        </is>
      </c>
      <c r="AJ165" s="156" t="n"/>
      <c r="AK165" s="155" t="inlineStr">
        <is>
          <t>ProductosCatalogoEstandar907.xlsx: fila 6083 [L,N,O,S,U,Y]; G1522_Extraccion_Articulos_NetSuite_2026-09-30.xlsx: fila 63732 [M,P,V,Y,S] | Shopify WB: producto 8643359735993 / variante 48505359401145</t>
        </is>
      </c>
      <c r="AL165" s="58" t="n"/>
      <c r="AM165" s="58" t="n">
        <v>1378.448276</v>
      </c>
      <c r="AN165" s="155" t="inlineStr">
        <is>
          <t>Shopify Western Brothers</t>
        </is>
      </c>
      <c r="AO165" s="59" t="n"/>
      <c r="AP165" s="59" t="n">
        <v>0</v>
      </c>
      <c r="AQ165" s="59" t="n"/>
      <c r="AR165" s="155" t="n"/>
    </row>
    <row r="166">
      <c r="A166" s="50" t="inlineStr">
        <is>
          <t>7506012607549</t>
        </is>
      </c>
      <c r="B166" s="51" t="inlineStr">
        <is>
          <t>117095</t>
        </is>
      </c>
      <c r="C166" s="156" t="inlineStr">
        <is>
          <t>Multimarca</t>
        </is>
      </c>
      <c r="D166" s="156" t="inlineStr">
        <is>
          <t>WACA0213</t>
        </is>
      </c>
      <c r="E166" s="156" t="inlineStr">
        <is>
          <t>WACA0213-26.5</t>
        </is>
      </c>
      <c r="F166" s="156" t="inlineStr">
        <is>
          <t>26.5</t>
        </is>
      </c>
      <c r="G166" s="156" t="inlineStr">
        <is>
          <t>8.5</t>
        </is>
      </c>
      <c r="H166" s="156" t="inlineStr">
        <is>
          <t>Wrangler</t>
        </is>
      </c>
      <c r="I166" s="156" t="inlineStr">
        <is>
          <t>Botas Wrangler Coyote Cafe</t>
        </is>
      </c>
      <c r="J166" s="156" t="inlineStr">
        <is>
          <t>Calzado</t>
        </is>
      </c>
      <c r="K166" s="156" t="inlineStr">
        <is>
          <t>Botas</t>
        </is>
      </c>
      <c r="L166" s="156" t="inlineStr">
        <is>
          <t>Hombre</t>
        </is>
      </c>
      <c r="M166" s="156" t="inlineStr">
        <is>
          <t>Wrangler</t>
        </is>
      </c>
      <c r="N166" s="156" t="inlineStr">
        <is>
          <t>SS26</t>
        </is>
      </c>
      <c r="O166" s="156" t="inlineStr">
        <is>
          <t>Seasonal</t>
        </is>
      </c>
      <c r="P166" s="156" t="inlineStr">
        <is>
          <t>Cafe</t>
        </is>
      </c>
      <c r="Q166" s="156" t="n"/>
      <c r="R166" s="156" t="n"/>
      <c r="S166" s="156" t="inlineStr">
        <is>
          <t>100% Piel</t>
        </is>
      </c>
      <c r="T166" s="156" t="inlineStr">
        <is>
          <t>Botas Wrangler Coyote Cafe. Bota de la marca Wrangler. Estilo WACA0213.</t>
        </is>
      </c>
      <c r="U166" s="156" t="inlineStr">
        <is>
          <t>México</t>
        </is>
      </c>
      <c r="V166" s="156" t="inlineStr">
        <is>
          <t>PRS</t>
        </is>
      </c>
      <c r="W166" s="51" t="inlineStr">
        <is>
          <t>53111500</t>
        </is>
      </c>
      <c r="X166" s="156" t="n"/>
      <c r="Y166" s="54" t="n">
        <v>680.61</v>
      </c>
      <c r="Z166" s="54" t="n">
        <v>1378.448276</v>
      </c>
      <c r="AA166" s="55">
        <f>IF(AND(A166="", B166="", E166=""), "", IF(AB166="", "Válido", IF((LEN(AB166)-LEN(SUBSTITUTE(AB166,"; ","")))/2+1&gt;(LEN(AB166)-LEN(SUBSTITUTE(AB166,"[Aviso]","")))/7, "Con Incidencias", "Válido")))</f>
        <v/>
      </c>
      <c r="AB166" s="56">
        <f>IF(AND(A166="", B166="", E166=""), "", TEXTJOIN("; ", TRUE, IF(OR(TRIM(A166&amp;"")="", ISNUMBER(SEARCH("FALTA", A166))), "UPC faltante/inválido", ""), IF(AND(A166&lt;&gt;"", IFERROR(_xlfn.XMATCH(A166,$A$2:$A$1063,0,1)&lt;&gt;_xlfn.XMATCH(A166,$A$2:$A$1063,0,-1),FALSE)), "Código de barras duplicado", ""), IF(AND(E166&lt;&gt;"", COUNTIF($E$2:$E$1063, E166)&gt;1), "SKU duplicado", ""), IF(OR(J166="", J166=""), "[Aviso] División no capturada ()", IF(ISNA(MATCH(J166, Criterios!$A$123:$A$126, 0)), "División no válida", "")), IF(OR(K166="", K166=""), "[Aviso] Categoría no capturada ()", IF(ISNA(MATCH(K166, Criterios!$A$81:$A$120, 0)), "Categoría no válida", IF(AND(J166&lt;&gt;"", J166&lt;&gt;"", J166&lt;&gt;VLOOKUP(K166, Criterios!$A$81:$B$120, 2, FALSE)), "División no coincide con Categoría", ""))), IF(OR(L166="", L166=""), "[Aviso] Género no capturado ()", IF(ISNA(MATCH(L166, Criterios!$B$123:$B$127, 0)), "Género no válido", "")), IF(OR(N166="", N166=""), "[Aviso] Temporada no capturada ()", IF(ISNA(MATCH(N166, Criterios!$C$123:$C$128, 0)), "Temporada no válida", "")), IF(OR(O166="", O166=""), "[Aviso] Ciclo de vida no capturado ()", IF(ISNA(MATCH(O166, Criterios!$D$123:$D$124, 0)), "Ciclo de vida no válido", ""))))</f>
        <v/>
      </c>
      <c r="AC166" s="56" t="n"/>
      <c r="AD166" s="51" t="n">
        <v>0</v>
      </c>
      <c r="AE166" s="156" t="n"/>
      <c r="AF166" s="51" t="n">
        <v>0</v>
      </c>
      <c r="AG166" s="156" t="inlineStr">
        <is>
          <t>Nuevo – NetSuite sin existencia</t>
        </is>
      </c>
      <c r="AH166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66" s="156" t="inlineStr">
        <is>
          <t>No</t>
        </is>
      </c>
      <c r="AJ166" s="156" t="n"/>
      <c r="AK166" s="155" t="inlineStr">
        <is>
          <t>ProductosCatalogoEstandar907.xlsx: fila 6084 [L,N,O,S,U,Y]; G1522_Extraccion_Articulos_NetSuite_2026-09-30.xlsx: fila 63733 [M,P,V,Y,S] | Shopify WB: producto 8643359735993 / variante 48505359433913</t>
        </is>
      </c>
      <c r="AL166" s="58" t="n"/>
      <c r="AM166" s="58" t="n">
        <v>1378.448276</v>
      </c>
      <c r="AN166" s="155" t="inlineStr">
        <is>
          <t>Shopify Western Brothers</t>
        </is>
      </c>
      <c r="AO166" s="59" t="n"/>
      <c r="AP166" s="59" t="n">
        <v>0</v>
      </c>
      <c r="AQ166" s="59" t="n"/>
      <c r="AR166" s="155" t="n"/>
    </row>
    <row r="167">
      <c r="A167" s="50" t="inlineStr">
        <is>
          <t>7506012607556</t>
        </is>
      </c>
      <c r="B167" s="51" t="inlineStr">
        <is>
          <t>117096</t>
        </is>
      </c>
      <c r="C167" s="156" t="inlineStr">
        <is>
          <t>Multimarca</t>
        </is>
      </c>
      <c r="D167" s="156" t="inlineStr">
        <is>
          <t>WACA0213</t>
        </is>
      </c>
      <c r="E167" s="156" t="inlineStr">
        <is>
          <t>WACA0213-27</t>
        </is>
      </c>
      <c r="F167" s="156" t="inlineStr">
        <is>
          <t>27</t>
        </is>
      </c>
      <c r="G167" s="156" t="inlineStr">
        <is>
          <t>9</t>
        </is>
      </c>
      <c r="H167" s="156" t="inlineStr">
        <is>
          <t>Wrangler</t>
        </is>
      </c>
      <c r="I167" s="156" t="inlineStr">
        <is>
          <t>Botas Wrangler Coyote Cafe</t>
        </is>
      </c>
      <c r="J167" s="156" t="inlineStr">
        <is>
          <t>Calzado</t>
        </is>
      </c>
      <c r="K167" s="156" t="inlineStr">
        <is>
          <t>Botas</t>
        </is>
      </c>
      <c r="L167" s="156" t="inlineStr">
        <is>
          <t>Hombre</t>
        </is>
      </c>
      <c r="M167" s="156" t="inlineStr">
        <is>
          <t>Wrangler</t>
        </is>
      </c>
      <c r="N167" s="156" t="inlineStr">
        <is>
          <t>SS26</t>
        </is>
      </c>
      <c r="O167" s="156" t="inlineStr">
        <is>
          <t>Seasonal</t>
        </is>
      </c>
      <c r="P167" s="156" t="inlineStr">
        <is>
          <t>Cafe</t>
        </is>
      </c>
      <c r="Q167" s="156" t="n"/>
      <c r="R167" s="156" t="n"/>
      <c r="S167" s="156" t="inlineStr">
        <is>
          <t>100% Piel</t>
        </is>
      </c>
      <c r="T167" s="156" t="inlineStr">
        <is>
          <t>Botas Wrangler Coyote Cafe. Bota de la marca Wrangler. Estilo WACA0213.</t>
        </is>
      </c>
      <c r="U167" s="156" t="inlineStr">
        <is>
          <t>México</t>
        </is>
      </c>
      <c r="V167" s="156" t="inlineStr">
        <is>
          <t>PRS</t>
        </is>
      </c>
      <c r="W167" s="51" t="inlineStr">
        <is>
          <t>53111500</t>
        </is>
      </c>
      <c r="X167" s="156" t="n"/>
      <c r="Y167" s="54" t="n">
        <v>680.61</v>
      </c>
      <c r="Z167" s="54" t="n">
        <v>1378.448276</v>
      </c>
      <c r="AA167" s="55">
        <f>IF(AND(A167="", B167="", E167=""), "", IF(AB167="", "Válido", IF((LEN(AB167)-LEN(SUBSTITUTE(AB167,"; ","")))/2+1&gt;(LEN(AB167)-LEN(SUBSTITUTE(AB167,"[Aviso]","")))/7, "Con Incidencias", "Válido")))</f>
        <v/>
      </c>
      <c r="AB167" s="56">
        <f>IF(AND(A167="", B167="", E167=""), "", TEXTJOIN("; ", TRUE, IF(OR(TRIM(A167&amp;"")="", ISNUMBER(SEARCH("FALTA", A167))), "UPC faltante/inválido", ""), IF(AND(A167&lt;&gt;"", IFERROR(_xlfn.XMATCH(A167,$A$2:$A$1063,0,1)&lt;&gt;_xlfn.XMATCH(A167,$A$2:$A$1063,0,-1),FALSE)), "Código de barras duplicado", ""), IF(AND(E167&lt;&gt;"", COUNTIF($E$2:$E$1063, E167)&gt;1), "SKU duplicado", ""), IF(OR(J167="", J167=""), "[Aviso] División no capturada ()", IF(ISNA(MATCH(J167, Criterios!$A$123:$A$126, 0)), "División no válida", "")), IF(OR(K167="", K167=""), "[Aviso] Categoría no capturada ()", IF(ISNA(MATCH(K167, Criterios!$A$81:$A$120, 0)), "Categoría no válida", IF(AND(J167&lt;&gt;"", J167&lt;&gt;"", J167&lt;&gt;VLOOKUP(K167, Criterios!$A$81:$B$120, 2, FALSE)), "División no coincide con Categoría", ""))), IF(OR(L167="", L167=""), "[Aviso] Género no capturado ()", IF(ISNA(MATCH(L167, Criterios!$B$123:$B$127, 0)), "Género no válido", "")), IF(OR(N167="", N167=""), "[Aviso] Temporada no capturada ()", IF(ISNA(MATCH(N167, Criterios!$C$123:$C$128, 0)), "Temporada no válida", "")), IF(OR(O167="", O167=""), "[Aviso] Ciclo de vida no capturado ()", IF(ISNA(MATCH(O167, Criterios!$D$123:$D$124, 0)), "Ciclo de vida no válido", ""))))</f>
        <v/>
      </c>
      <c r="AC167" s="56" t="n"/>
      <c r="AD167" s="51" t="n">
        <v>0</v>
      </c>
      <c r="AE167" s="156" t="n"/>
      <c r="AF167" s="51" t="n">
        <v>0</v>
      </c>
      <c r="AG167" s="156" t="inlineStr">
        <is>
          <t>Nuevo – NetSuite sin existencia</t>
        </is>
      </c>
      <c r="AH167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67" s="156" t="inlineStr">
        <is>
          <t>No</t>
        </is>
      </c>
      <c r="AJ167" s="156" t="n"/>
      <c r="AK167" s="155" t="inlineStr">
        <is>
          <t>ProductosCatalogoEstandar907.xlsx: fila 6085 [L,N,O,S,U,Y]; G1522_Extraccion_Articulos_NetSuite_2026-09-30.xlsx: fila 63734 [M,P,V,Y,S] | Shopify WB: producto 8643359735993 / variante 48505359466681</t>
        </is>
      </c>
      <c r="AL167" s="58" t="n"/>
      <c r="AM167" s="58" t="n">
        <v>1378.448276</v>
      </c>
      <c r="AN167" s="155" t="inlineStr">
        <is>
          <t>Shopify Western Brothers</t>
        </is>
      </c>
      <c r="AO167" s="59" t="n"/>
      <c r="AP167" s="59" t="n">
        <v>0</v>
      </c>
      <c r="AQ167" s="59" t="n"/>
      <c r="AR167" s="155" t="n"/>
    </row>
    <row r="168">
      <c r="A168" s="50" t="inlineStr">
        <is>
          <t>7506012607563</t>
        </is>
      </c>
      <c r="B168" s="51" t="inlineStr">
        <is>
          <t>117097</t>
        </is>
      </c>
      <c r="C168" s="156" t="inlineStr">
        <is>
          <t>Multimarca</t>
        </is>
      </c>
      <c r="D168" s="156" t="inlineStr">
        <is>
          <t>WACA0213</t>
        </is>
      </c>
      <c r="E168" s="156" t="inlineStr">
        <is>
          <t>WACA0213-27.5</t>
        </is>
      </c>
      <c r="F168" s="156" t="inlineStr">
        <is>
          <t>27.5</t>
        </is>
      </c>
      <c r="G168" s="156" t="inlineStr">
        <is>
          <t>9.5</t>
        </is>
      </c>
      <c r="H168" s="156" t="inlineStr">
        <is>
          <t>Wrangler</t>
        </is>
      </c>
      <c r="I168" s="156" t="inlineStr">
        <is>
          <t>Botas Wrangler Coyote Cafe</t>
        </is>
      </c>
      <c r="J168" s="156" t="inlineStr">
        <is>
          <t>Calzado</t>
        </is>
      </c>
      <c r="K168" s="156" t="inlineStr">
        <is>
          <t>Botas</t>
        </is>
      </c>
      <c r="L168" s="156" t="inlineStr">
        <is>
          <t>Hombre</t>
        </is>
      </c>
      <c r="M168" s="156" t="inlineStr">
        <is>
          <t>Wrangler</t>
        </is>
      </c>
      <c r="N168" s="156" t="inlineStr">
        <is>
          <t>SS26</t>
        </is>
      </c>
      <c r="O168" s="156" t="inlineStr">
        <is>
          <t>Seasonal</t>
        </is>
      </c>
      <c r="P168" s="156" t="inlineStr">
        <is>
          <t>Cafe</t>
        </is>
      </c>
      <c r="Q168" s="156" t="n"/>
      <c r="R168" s="156" t="n"/>
      <c r="S168" s="156" t="inlineStr">
        <is>
          <t>100% Piel</t>
        </is>
      </c>
      <c r="T168" s="156" t="inlineStr">
        <is>
          <t>Botas Wrangler Coyote Cafe. Bota de la marca Wrangler. Estilo WACA0213.</t>
        </is>
      </c>
      <c r="U168" s="156" t="inlineStr">
        <is>
          <t>México</t>
        </is>
      </c>
      <c r="V168" s="156" t="inlineStr">
        <is>
          <t>PRS</t>
        </is>
      </c>
      <c r="W168" s="51" t="inlineStr">
        <is>
          <t>53111500</t>
        </is>
      </c>
      <c r="X168" s="156" t="n"/>
      <c r="Y168" s="54" t="n">
        <v>680.61</v>
      </c>
      <c r="Z168" s="54" t="n">
        <v>1378.448276</v>
      </c>
      <c r="AA168" s="55">
        <f>IF(AND(A168="", B168="", E168=""), "", IF(AB168="", "Válido", IF((LEN(AB168)-LEN(SUBSTITUTE(AB168,"; ","")))/2+1&gt;(LEN(AB168)-LEN(SUBSTITUTE(AB168,"[Aviso]","")))/7, "Con Incidencias", "Válido")))</f>
        <v/>
      </c>
      <c r="AB168" s="56">
        <f>IF(AND(A168="", B168="", E168=""), "", TEXTJOIN("; ", TRUE, IF(OR(TRIM(A168&amp;"")="", ISNUMBER(SEARCH("FALTA", A168))), "UPC faltante/inválido", ""), IF(AND(A168&lt;&gt;"", IFERROR(_xlfn.XMATCH(A168,$A$2:$A$1063,0,1)&lt;&gt;_xlfn.XMATCH(A168,$A$2:$A$1063,0,-1),FALSE)), "Código de barras duplicado", ""), IF(AND(E168&lt;&gt;"", COUNTIF($E$2:$E$1063, E168)&gt;1), "SKU duplicado", ""), IF(OR(J168="", J168=""), "[Aviso] División no capturada ()", IF(ISNA(MATCH(J168, Criterios!$A$123:$A$126, 0)), "División no válida", "")), IF(OR(K168="", K168=""), "[Aviso] Categoría no capturada ()", IF(ISNA(MATCH(K168, Criterios!$A$81:$A$120, 0)), "Categoría no válida", IF(AND(J168&lt;&gt;"", J168&lt;&gt;"", J168&lt;&gt;VLOOKUP(K168, Criterios!$A$81:$B$120, 2, FALSE)), "División no coincide con Categoría", ""))), IF(OR(L168="", L168=""), "[Aviso] Género no capturado ()", IF(ISNA(MATCH(L168, Criterios!$B$123:$B$127, 0)), "Género no válido", "")), IF(OR(N168="", N168=""), "[Aviso] Temporada no capturada ()", IF(ISNA(MATCH(N168, Criterios!$C$123:$C$128, 0)), "Temporada no válida", "")), IF(OR(O168="", O168=""), "[Aviso] Ciclo de vida no capturado ()", IF(ISNA(MATCH(O168, Criterios!$D$123:$D$124, 0)), "Ciclo de vida no válido", ""))))</f>
        <v/>
      </c>
      <c r="AC168" s="56" t="n"/>
      <c r="AD168" s="51" t="n">
        <v>0</v>
      </c>
      <c r="AE168" s="156" t="n"/>
      <c r="AF168" s="51" t="n">
        <v>0</v>
      </c>
      <c r="AG168" s="156" t="inlineStr">
        <is>
          <t>Nuevo – NetSuite sin existencia</t>
        </is>
      </c>
      <c r="AH168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68" s="156" t="inlineStr">
        <is>
          <t>No</t>
        </is>
      </c>
      <c r="AJ168" s="156" t="n"/>
      <c r="AK168" s="155" t="inlineStr">
        <is>
          <t>ProductosCatalogoEstandar907.xlsx: fila 6086 [L,N,O,S,U,Y]; G1522_Extraccion_Articulos_NetSuite_2026-09-30.xlsx: fila 63735 [M,P,V,Y,S] | Shopify WB: producto 8643359735993 / variante 48505359499449</t>
        </is>
      </c>
      <c r="AL168" s="58" t="n"/>
      <c r="AM168" s="58" t="n">
        <v>1378.448276</v>
      </c>
      <c r="AN168" s="155" t="inlineStr">
        <is>
          <t>Shopify Western Brothers</t>
        </is>
      </c>
      <c r="AO168" s="59" t="n"/>
      <c r="AP168" s="59" t="n">
        <v>0</v>
      </c>
      <c r="AQ168" s="59" t="n"/>
      <c r="AR168" s="155" t="n"/>
    </row>
    <row r="169">
      <c r="A169" s="50" t="inlineStr">
        <is>
          <t>7506012607570</t>
        </is>
      </c>
      <c r="B169" s="51" t="inlineStr">
        <is>
          <t>117098</t>
        </is>
      </c>
      <c r="C169" s="156" t="inlineStr">
        <is>
          <t>Multimarca</t>
        </is>
      </c>
      <c r="D169" s="156" t="inlineStr">
        <is>
          <t>WACA0213</t>
        </is>
      </c>
      <c r="E169" s="156" t="inlineStr">
        <is>
          <t>WACA0213-28</t>
        </is>
      </c>
      <c r="F169" s="156" t="inlineStr">
        <is>
          <t>28</t>
        </is>
      </c>
      <c r="G169" s="156" t="inlineStr">
        <is>
          <t>10</t>
        </is>
      </c>
      <c r="H169" s="156" t="inlineStr">
        <is>
          <t>Wrangler</t>
        </is>
      </c>
      <c r="I169" s="156" t="inlineStr">
        <is>
          <t>Botas Wrangler Coyote Cafe</t>
        </is>
      </c>
      <c r="J169" s="156" t="inlineStr">
        <is>
          <t>Calzado</t>
        </is>
      </c>
      <c r="K169" s="156" t="inlineStr">
        <is>
          <t>Botas</t>
        </is>
      </c>
      <c r="L169" s="156" t="inlineStr">
        <is>
          <t>Hombre</t>
        </is>
      </c>
      <c r="M169" s="156" t="inlineStr">
        <is>
          <t>Wrangler</t>
        </is>
      </c>
      <c r="N169" s="156" t="inlineStr">
        <is>
          <t>SS26</t>
        </is>
      </c>
      <c r="O169" s="156" t="inlineStr">
        <is>
          <t>Seasonal</t>
        </is>
      </c>
      <c r="P169" s="156" t="inlineStr">
        <is>
          <t>Cafe</t>
        </is>
      </c>
      <c r="Q169" s="156" t="n"/>
      <c r="R169" s="156" t="n"/>
      <c r="S169" s="156" t="inlineStr">
        <is>
          <t>100% Piel</t>
        </is>
      </c>
      <c r="T169" s="156" t="inlineStr">
        <is>
          <t>Botas Wrangler Coyote Cafe. Bota de la marca Wrangler. Estilo WACA0213.</t>
        </is>
      </c>
      <c r="U169" s="156" t="inlineStr">
        <is>
          <t>México</t>
        </is>
      </c>
      <c r="V169" s="156" t="inlineStr">
        <is>
          <t>PRS</t>
        </is>
      </c>
      <c r="W169" s="51" t="inlineStr">
        <is>
          <t>53111500</t>
        </is>
      </c>
      <c r="X169" s="156" t="n"/>
      <c r="Y169" s="54" t="n">
        <v>680.61</v>
      </c>
      <c r="Z169" s="54" t="n">
        <v>1378.448276</v>
      </c>
      <c r="AA169" s="55">
        <f>IF(AND(A169="", B169="", E169=""), "", IF(AB169="", "Válido", IF((LEN(AB169)-LEN(SUBSTITUTE(AB169,"; ","")))/2+1&gt;(LEN(AB169)-LEN(SUBSTITUTE(AB169,"[Aviso]","")))/7, "Con Incidencias", "Válido")))</f>
        <v/>
      </c>
      <c r="AB169" s="56">
        <f>IF(AND(A169="", B169="", E169=""), "", TEXTJOIN("; ", TRUE, IF(OR(TRIM(A169&amp;"")="", ISNUMBER(SEARCH("FALTA", A169))), "UPC faltante/inválido", ""), IF(AND(A169&lt;&gt;"", IFERROR(_xlfn.XMATCH(A169,$A$2:$A$1063,0,1)&lt;&gt;_xlfn.XMATCH(A169,$A$2:$A$1063,0,-1),FALSE)), "Código de barras duplicado", ""), IF(AND(E169&lt;&gt;"", COUNTIF($E$2:$E$1063, E169)&gt;1), "SKU duplicado", ""), IF(OR(J169="", J169=""), "[Aviso] División no capturada ()", IF(ISNA(MATCH(J169, Criterios!$A$123:$A$126, 0)), "División no válida", "")), IF(OR(K169="", K169=""), "[Aviso] Categoría no capturada ()", IF(ISNA(MATCH(K169, Criterios!$A$81:$A$120, 0)), "Categoría no válida", IF(AND(J169&lt;&gt;"", J169&lt;&gt;"", J169&lt;&gt;VLOOKUP(K169, Criterios!$A$81:$B$120, 2, FALSE)), "División no coincide con Categoría", ""))), IF(OR(L169="", L169=""), "[Aviso] Género no capturado ()", IF(ISNA(MATCH(L169, Criterios!$B$123:$B$127, 0)), "Género no válido", "")), IF(OR(N169="", N169=""), "[Aviso] Temporada no capturada ()", IF(ISNA(MATCH(N169, Criterios!$C$123:$C$128, 0)), "Temporada no válida", "")), IF(OR(O169="", O169=""), "[Aviso] Ciclo de vida no capturado ()", IF(ISNA(MATCH(O169, Criterios!$D$123:$D$124, 0)), "Ciclo de vida no válido", ""))))</f>
        <v/>
      </c>
      <c r="AC169" s="56" t="n"/>
      <c r="AD169" s="51" t="n">
        <v>1</v>
      </c>
      <c r="AE169" s="156" t="inlineStr">
        <is>
          <t>WB OUTLET LERMA (1)</t>
        </is>
      </c>
      <c r="AF169" s="51" t="n">
        <v>1</v>
      </c>
      <c r="AG169" s="156" t="inlineStr">
        <is>
          <t>Nuevo – NetSuite con existencia</t>
        </is>
      </c>
      <c r="AH169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69" s="156" t="inlineStr">
        <is>
          <t>No</t>
        </is>
      </c>
      <c r="AJ169" s="156" t="n"/>
      <c r="AK169" s="155" t="inlineStr">
        <is>
          <t>ProductosCatalogoEstandar907.xlsx: fila 6087 [L,N,O,S,U,Y]; G1522_Extraccion_Articulos_NetSuite_2026-09-30.xlsx: fila 63736 [M,P,V,Y,S] | Shopify WB: producto 8643359735993 / variante 48505359532217</t>
        </is>
      </c>
      <c r="AL169" s="58" t="n"/>
      <c r="AM169" s="58" t="n">
        <v>1378.448276</v>
      </c>
      <c r="AN169" s="155" t="inlineStr">
        <is>
          <t>Shopify Western Brothers</t>
        </is>
      </c>
      <c r="AO169" s="59" t="n"/>
      <c r="AP169" s="59" t="n">
        <v>0</v>
      </c>
      <c r="AQ169" s="59" t="n"/>
      <c r="AR169" s="155" t="n"/>
    </row>
    <row r="170">
      <c r="A170" s="50" t="inlineStr">
        <is>
          <t>7506012607587</t>
        </is>
      </c>
      <c r="B170" s="51" t="inlineStr">
        <is>
          <t>117099</t>
        </is>
      </c>
      <c r="C170" s="156" t="inlineStr">
        <is>
          <t>Multimarca</t>
        </is>
      </c>
      <c r="D170" s="156" t="inlineStr">
        <is>
          <t>WACA0213</t>
        </is>
      </c>
      <c r="E170" s="156" t="inlineStr">
        <is>
          <t>WACA0213-28.5</t>
        </is>
      </c>
      <c r="F170" s="156" t="inlineStr">
        <is>
          <t>28.5</t>
        </is>
      </c>
      <c r="G170" s="156" t="inlineStr">
        <is>
          <t>10.5</t>
        </is>
      </c>
      <c r="H170" s="156" t="inlineStr">
        <is>
          <t>Wrangler</t>
        </is>
      </c>
      <c r="I170" s="156" t="inlineStr">
        <is>
          <t>Botas Wrangler Coyote Cafe</t>
        </is>
      </c>
      <c r="J170" s="156" t="inlineStr">
        <is>
          <t>Calzado</t>
        </is>
      </c>
      <c r="K170" s="156" t="inlineStr">
        <is>
          <t>Botas</t>
        </is>
      </c>
      <c r="L170" s="156" t="inlineStr">
        <is>
          <t>Hombre</t>
        </is>
      </c>
      <c r="M170" s="156" t="inlineStr">
        <is>
          <t>Wrangler</t>
        </is>
      </c>
      <c r="N170" s="156" t="inlineStr">
        <is>
          <t>SS26</t>
        </is>
      </c>
      <c r="O170" s="156" t="inlineStr">
        <is>
          <t>Seasonal</t>
        </is>
      </c>
      <c r="P170" s="156" t="inlineStr">
        <is>
          <t>Cafe</t>
        </is>
      </c>
      <c r="Q170" s="156" t="n"/>
      <c r="R170" s="156" t="n"/>
      <c r="S170" s="156" t="inlineStr">
        <is>
          <t>100% Piel</t>
        </is>
      </c>
      <c r="T170" s="156" t="inlineStr">
        <is>
          <t>Botas Wrangler Coyote Cafe. Bota de la marca Wrangler. Estilo WACA0213.</t>
        </is>
      </c>
      <c r="U170" s="156" t="inlineStr">
        <is>
          <t>México</t>
        </is>
      </c>
      <c r="V170" s="156" t="inlineStr">
        <is>
          <t>PRS</t>
        </is>
      </c>
      <c r="W170" s="51" t="inlineStr">
        <is>
          <t>53111500</t>
        </is>
      </c>
      <c r="X170" s="156" t="n"/>
      <c r="Y170" s="54" t="n">
        <v>680.61</v>
      </c>
      <c r="Z170" s="54" t="n">
        <v>1378.448276</v>
      </c>
      <c r="AA170" s="55">
        <f>IF(AND(A170="", B170="", E170=""), "", IF(AB170="", "Válido", IF((LEN(AB170)-LEN(SUBSTITUTE(AB170,"; ","")))/2+1&gt;(LEN(AB170)-LEN(SUBSTITUTE(AB170,"[Aviso]","")))/7, "Con Incidencias", "Válido")))</f>
        <v/>
      </c>
      <c r="AB170" s="56">
        <f>IF(AND(A170="", B170="", E170=""), "", TEXTJOIN("; ", TRUE, IF(OR(TRIM(A170&amp;"")="", ISNUMBER(SEARCH("FALTA", A170))), "UPC faltante/inválido", ""), IF(AND(A170&lt;&gt;"", IFERROR(_xlfn.XMATCH(A170,$A$2:$A$1063,0,1)&lt;&gt;_xlfn.XMATCH(A170,$A$2:$A$1063,0,-1),FALSE)), "Código de barras duplicado", ""), IF(AND(E170&lt;&gt;"", COUNTIF($E$2:$E$1063, E170)&gt;1), "SKU duplicado", ""), IF(OR(J170="", J170=""), "[Aviso] División no capturada ()", IF(ISNA(MATCH(J170, Criterios!$A$123:$A$126, 0)), "División no válida", "")), IF(OR(K170="", K170=""), "[Aviso] Categoría no capturada ()", IF(ISNA(MATCH(K170, Criterios!$A$81:$A$120, 0)), "Categoría no válida", IF(AND(J170&lt;&gt;"", J170&lt;&gt;"", J170&lt;&gt;VLOOKUP(K170, Criterios!$A$81:$B$120, 2, FALSE)), "División no coincide con Categoría", ""))), IF(OR(L170="", L170=""), "[Aviso] Género no capturado ()", IF(ISNA(MATCH(L170, Criterios!$B$123:$B$127, 0)), "Género no válido", "")), IF(OR(N170="", N170=""), "[Aviso] Temporada no capturada ()", IF(ISNA(MATCH(N170, Criterios!$C$123:$C$128, 0)), "Temporada no válida", "")), IF(OR(O170="", O170=""), "[Aviso] Ciclo de vida no capturado ()", IF(ISNA(MATCH(O170, Criterios!$D$123:$D$124, 0)), "Ciclo de vida no válido", ""))))</f>
        <v/>
      </c>
      <c r="AC170" s="56" t="n"/>
      <c r="AD170" s="51" t="n">
        <v>1</v>
      </c>
      <c r="AE170" s="156" t="inlineStr">
        <is>
          <t>WB OUTLET LERMA (1)</t>
        </is>
      </c>
      <c r="AF170" s="51" t="n">
        <v>1</v>
      </c>
      <c r="AG170" s="156" t="inlineStr">
        <is>
          <t>Nuevo – NetSuite con existencia</t>
        </is>
      </c>
      <c r="AH170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70" s="156" t="inlineStr">
        <is>
          <t>No</t>
        </is>
      </c>
      <c r="AJ170" s="156" t="n"/>
      <c r="AK170" s="155" t="inlineStr">
        <is>
          <t>ProductosCatalogoEstandar907.xlsx: fila 6088 [L,N,O,S,U,Y]; G1522_Extraccion_Articulos_NetSuite_2026-09-30.xlsx: fila 63737 [M,P,V,Y,S] | Shopify WB: producto 8643359735993 / variante 48505359564985</t>
        </is>
      </c>
      <c r="AL170" s="58" t="n"/>
      <c r="AM170" s="58" t="n">
        <v>1378.448276</v>
      </c>
      <c r="AN170" s="155" t="inlineStr">
        <is>
          <t>Shopify Western Brothers</t>
        </is>
      </c>
      <c r="AO170" s="59" t="n"/>
      <c r="AP170" s="59" t="n">
        <v>1</v>
      </c>
      <c r="AQ170" s="59" t="n"/>
      <c r="AR170" s="155" t="inlineStr">
        <is>
          <t>Shopify Western Brothers › Western Brothers Outlet Lerma: 1</t>
        </is>
      </c>
    </row>
    <row r="171">
      <c r="A171" s="50" t="inlineStr">
        <is>
          <t>7506012603183</t>
        </is>
      </c>
      <c r="B171" s="51" t="inlineStr">
        <is>
          <t>112213</t>
        </is>
      </c>
      <c r="C171" s="156" t="inlineStr">
        <is>
          <t>Multimarca</t>
        </is>
      </c>
      <c r="D171" s="156" t="inlineStr">
        <is>
          <t>WACB0108</t>
        </is>
      </c>
      <c r="E171" s="156" t="inlineStr">
        <is>
          <t>WACB0108-26</t>
        </is>
      </c>
      <c r="F171" s="156" t="inlineStr">
        <is>
          <t>26</t>
        </is>
      </c>
      <c r="G171" s="156" t="inlineStr">
        <is>
          <t>8</t>
        </is>
      </c>
      <c r="H171" s="156" t="inlineStr">
        <is>
          <t>Wrangler</t>
        </is>
      </c>
      <c r="I171" s="156" t="inlineStr">
        <is>
          <t>Botas Wrangler Leyenda Café</t>
        </is>
      </c>
      <c r="J171" s="156" t="inlineStr">
        <is>
          <t>Calzado</t>
        </is>
      </c>
      <c r="K171" s="156" t="inlineStr">
        <is>
          <t>Botas</t>
        </is>
      </c>
      <c r="L171" s="156" t="inlineStr">
        <is>
          <t>Hombre</t>
        </is>
      </c>
      <c r="M171" s="156" t="inlineStr">
        <is>
          <t>Wrangler</t>
        </is>
      </c>
      <c r="N171" s="156" t="inlineStr">
        <is>
          <t>SS26</t>
        </is>
      </c>
      <c r="O171" s="156" t="inlineStr">
        <is>
          <t>Seasonal</t>
        </is>
      </c>
      <c r="P171" s="156" t="inlineStr">
        <is>
          <t>Cafe</t>
        </is>
      </c>
      <c r="Q171" s="156" t="n"/>
      <c r="R171" s="156" t="n"/>
      <c r="S171" s="156" t="inlineStr">
        <is>
          <t>100% Piel</t>
        </is>
      </c>
      <c r="T171" s="156" t="inlineStr">
        <is>
          <t>Botas Wrangler Leyenda Café. Bota de la marca Wrangler. Estilo WACB0108.</t>
        </is>
      </c>
      <c r="U171" s="156" t="inlineStr">
        <is>
          <t>México</t>
        </is>
      </c>
      <c r="V171" s="156" t="inlineStr">
        <is>
          <t>PRS</t>
        </is>
      </c>
      <c r="W171" s="51" t="inlineStr">
        <is>
          <t>53111500</t>
        </is>
      </c>
      <c r="X171" s="156" t="n"/>
      <c r="Y171" s="54" t="n">
        <v>1421.99</v>
      </c>
      <c r="Z171" s="54" t="n">
        <v>2843.965517</v>
      </c>
      <c r="AA171" s="55">
        <f>IF(AND(A171="", B171="", E171=""), "", IF(AB171="", "Válido", IF((LEN(AB171)-LEN(SUBSTITUTE(AB171,"; ","")))/2+1&gt;(LEN(AB171)-LEN(SUBSTITUTE(AB171,"[Aviso]","")))/7, "Con Incidencias", "Válido")))</f>
        <v/>
      </c>
      <c r="AB171" s="56">
        <f>IF(AND(A171="", B171="", E171=""), "", TEXTJOIN("; ", TRUE, IF(OR(TRIM(A171&amp;"")="", ISNUMBER(SEARCH("FALTA", A171))), "UPC faltante/inválido", ""), IF(AND(A171&lt;&gt;"", IFERROR(_xlfn.XMATCH(A171,$A$2:$A$1063,0,1)&lt;&gt;_xlfn.XMATCH(A171,$A$2:$A$1063,0,-1),FALSE)), "Código de barras duplicado", ""), IF(AND(E171&lt;&gt;"", COUNTIF($E$2:$E$1063, E171)&gt;1), "SKU duplicado", ""), IF(OR(J171="", J171=""), "[Aviso] División no capturada ()", IF(ISNA(MATCH(J171, Criterios!$A$123:$A$126, 0)), "División no válida", "")), IF(OR(K171="", K171=""), "[Aviso] Categoría no capturada ()", IF(ISNA(MATCH(K171, Criterios!$A$81:$A$120, 0)), "Categoría no válida", IF(AND(J171&lt;&gt;"", J171&lt;&gt;"", J171&lt;&gt;VLOOKUP(K171, Criterios!$A$81:$B$120, 2, FALSE)), "División no coincide con Categoría", ""))), IF(OR(L171="", L171=""), "[Aviso] Género no capturado ()", IF(ISNA(MATCH(L171, Criterios!$B$123:$B$127, 0)), "Género no válido", "")), IF(OR(N171="", N171=""), "[Aviso] Temporada no capturada ()", IF(ISNA(MATCH(N171, Criterios!$C$123:$C$128, 0)), "Temporada no válida", "")), IF(OR(O171="", O171=""), "[Aviso] Ciclo de vida no capturado ()", IF(ISNA(MATCH(O171, Criterios!$D$123:$D$124, 0)), "Ciclo de vida no válido", ""))))</f>
        <v/>
      </c>
      <c r="AC171" s="56" t="n"/>
      <c r="AD171" s="51" t="n">
        <v>0</v>
      </c>
      <c r="AE171" s="156" t="n"/>
      <c r="AF171" s="51" t="n">
        <v>0</v>
      </c>
      <c r="AG171" s="156" t="inlineStr">
        <is>
          <t>Nuevo – NetSuite sin existencia</t>
        </is>
      </c>
      <c r="AH171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71" s="156" t="inlineStr">
        <is>
          <t>No</t>
        </is>
      </c>
      <c r="AJ171" s="156" t="n"/>
      <c r="AK171" s="155" t="inlineStr">
        <is>
          <t>ProductosCatalogoEstandar907.xlsx: fila 6089 [L,N,O,S,U,Y]; G1522_Extraccion_Articulos_NetSuite_2026-09-30.xlsx: fila 59459 [M,P,V,Y,S] | Shopify WB: producto 8626599559353 / variante 48347147075769</t>
        </is>
      </c>
      <c r="AL171" s="58" t="n"/>
      <c r="AM171" s="58" t="n">
        <v>2843.965517</v>
      </c>
      <c r="AN171" s="155" t="inlineStr">
        <is>
          <t>Shopify Western Brothers</t>
        </is>
      </c>
      <c r="AO171" s="59" t="n"/>
      <c r="AP171" s="59" t="n">
        <v>0</v>
      </c>
      <c r="AQ171" s="59" t="n"/>
      <c r="AR171" s="155" t="n"/>
    </row>
    <row r="172">
      <c r="A172" s="50" t="inlineStr">
        <is>
          <t>7506012603190</t>
        </is>
      </c>
      <c r="B172" s="51" t="inlineStr">
        <is>
          <t>112214</t>
        </is>
      </c>
      <c r="C172" s="156" t="inlineStr">
        <is>
          <t>Multimarca</t>
        </is>
      </c>
      <c r="D172" s="156" t="inlineStr">
        <is>
          <t>WACB0108</t>
        </is>
      </c>
      <c r="E172" s="156" t="inlineStr">
        <is>
          <t>WACB0108-26.5</t>
        </is>
      </c>
      <c r="F172" s="156" t="inlineStr">
        <is>
          <t>26.5</t>
        </is>
      </c>
      <c r="G172" s="156" t="inlineStr">
        <is>
          <t>8.5</t>
        </is>
      </c>
      <c r="H172" s="156" t="inlineStr">
        <is>
          <t>Wrangler</t>
        </is>
      </c>
      <c r="I172" s="156" t="inlineStr">
        <is>
          <t>Botas Wrangler Leyenda Café</t>
        </is>
      </c>
      <c r="J172" s="156" t="inlineStr">
        <is>
          <t>Calzado</t>
        </is>
      </c>
      <c r="K172" s="156" t="inlineStr">
        <is>
          <t>Botas</t>
        </is>
      </c>
      <c r="L172" s="156" t="inlineStr">
        <is>
          <t>Hombre</t>
        </is>
      </c>
      <c r="M172" s="156" t="inlineStr">
        <is>
          <t>Wrangler</t>
        </is>
      </c>
      <c r="N172" s="156" t="inlineStr">
        <is>
          <t>SS26</t>
        </is>
      </c>
      <c r="O172" s="156" t="inlineStr">
        <is>
          <t>Seasonal</t>
        </is>
      </c>
      <c r="P172" s="156" t="inlineStr">
        <is>
          <t>Cafe</t>
        </is>
      </c>
      <c r="Q172" s="156" t="n"/>
      <c r="R172" s="156" t="n"/>
      <c r="S172" s="156" t="inlineStr">
        <is>
          <t>100% Piel</t>
        </is>
      </c>
      <c r="T172" s="156" t="inlineStr">
        <is>
          <t>Botas Wrangler Leyenda Café. Bota de la marca Wrangler. Estilo WACB0108.</t>
        </is>
      </c>
      <c r="U172" s="156" t="inlineStr">
        <is>
          <t>México</t>
        </is>
      </c>
      <c r="V172" s="156" t="inlineStr">
        <is>
          <t>PRS</t>
        </is>
      </c>
      <c r="W172" s="51" t="inlineStr">
        <is>
          <t>53111500</t>
        </is>
      </c>
      <c r="X172" s="156" t="n"/>
      <c r="Y172" s="54" t="n">
        <v>1421.99</v>
      </c>
      <c r="Z172" s="54" t="n">
        <v>2843.965517</v>
      </c>
      <c r="AA172" s="55">
        <f>IF(AND(A172="", B172="", E172=""), "", IF(AB172="", "Válido", IF((LEN(AB172)-LEN(SUBSTITUTE(AB172,"; ","")))/2+1&gt;(LEN(AB172)-LEN(SUBSTITUTE(AB172,"[Aviso]","")))/7, "Con Incidencias", "Válido")))</f>
        <v/>
      </c>
      <c r="AB172" s="56">
        <f>IF(AND(A172="", B172="", E172=""), "", TEXTJOIN("; ", TRUE, IF(OR(TRIM(A172&amp;"")="", ISNUMBER(SEARCH("FALTA", A172))), "UPC faltante/inválido", ""), IF(AND(A172&lt;&gt;"", IFERROR(_xlfn.XMATCH(A172,$A$2:$A$1063,0,1)&lt;&gt;_xlfn.XMATCH(A172,$A$2:$A$1063,0,-1),FALSE)), "Código de barras duplicado", ""), IF(AND(E172&lt;&gt;"", COUNTIF($E$2:$E$1063, E172)&gt;1), "SKU duplicado", ""), IF(OR(J172="", J172=""), "[Aviso] División no capturada ()", IF(ISNA(MATCH(J172, Criterios!$A$123:$A$126, 0)), "División no válida", "")), IF(OR(K172="", K172=""), "[Aviso] Categoría no capturada ()", IF(ISNA(MATCH(K172, Criterios!$A$81:$A$120, 0)), "Categoría no válida", IF(AND(J172&lt;&gt;"", J172&lt;&gt;"", J172&lt;&gt;VLOOKUP(K172, Criterios!$A$81:$B$120, 2, FALSE)), "División no coincide con Categoría", ""))), IF(OR(L172="", L172=""), "[Aviso] Género no capturado ()", IF(ISNA(MATCH(L172, Criterios!$B$123:$B$127, 0)), "Género no válido", "")), IF(OR(N172="", N172=""), "[Aviso] Temporada no capturada ()", IF(ISNA(MATCH(N172, Criterios!$C$123:$C$128, 0)), "Temporada no válida", "")), IF(OR(O172="", O172=""), "[Aviso] Ciclo de vida no capturado ()", IF(ISNA(MATCH(O172, Criterios!$D$123:$D$124, 0)), "Ciclo de vida no válido", ""))))</f>
        <v/>
      </c>
      <c r="AC172" s="56" t="n"/>
      <c r="AD172" s="51" t="n">
        <v>0</v>
      </c>
      <c r="AE172" s="156" t="n"/>
      <c r="AF172" s="51" t="n">
        <v>0</v>
      </c>
      <c r="AG172" s="156" t="inlineStr">
        <is>
          <t>Nuevo – NetSuite sin existencia</t>
        </is>
      </c>
      <c r="AH172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72" s="156" t="inlineStr">
        <is>
          <t>No</t>
        </is>
      </c>
      <c r="AJ172" s="156" t="n"/>
      <c r="AK172" s="155" t="inlineStr">
        <is>
          <t>ProductosCatalogoEstandar907.xlsx: fila 6090 [L,N,O,S,U,Y]; G1522_Extraccion_Articulos_NetSuite_2026-09-30.xlsx: fila 59460 [M,P,V,Y,S] | Shopify WB: producto 8626599559353 / variante 48347147108537</t>
        </is>
      </c>
      <c r="AL172" s="58" t="n"/>
      <c r="AM172" s="58" t="n">
        <v>2843.965517</v>
      </c>
      <c r="AN172" s="155" t="inlineStr">
        <is>
          <t>Shopify Western Brothers</t>
        </is>
      </c>
      <c r="AO172" s="59" t="n"/>
      <c r="AP172" s="59" t="n">
        <v>0</v>
      </c>
      <c r="AQ172" s="59" t="n"/>
      <c r="AR172" s="155" t="n"/>
    </row>
    <row r="173">
      <c r="A173" s="50" t="inlineStr">
        <is>
          <t>7506012603206</t>
        </is>
      </c>
      <c r="B173" s="51" t="inlineStr">
        <is>
          <t>112215</t>
        </is>
      </c>
      <c r="C173" s="156" t="inlineStr">
        <is>
          <t>Multimarca</t>
        </is>
      </c>
      <c r="D173" s="156" t="inlineStr">
        <is>
          <t>WACB0108</t>
        </is>
      </c>
      <c r="E173" s="156" t="inlineStr">
        <is>
          <t>WACB0108-27</t>
        </is>
      </c>
      <c r="F173" s="156" t="inlineStr">
        <is>
          <t>27</t>
        </is>
      </c>
      <c r="G173" s="156" t="inlineStr">
        <is>
          <t>9</t>
        </is>
      </c>
      <c r="H173" s="156" t="inlineStr">
        <is>
          <t>Wrangler</t>
        </is>
      </c>
      <c r="I173" s="156" t="inlineStr">
        <is>
          <t>Botas Wrangler Leyenda Café</t>
        </is>
      </c>
      <c r="J173" s="156" t="inlineStr">
        <is>
          <t>Calzado</t>
        </is>
      </c>
      <c r="K173" s="156" t="inlineStr">
        <is>
          <t>Botas</t>
        </is>
      </c>
      <c r="L173" s="156" t="inlineStr">
        <is>
          <t>Hombre</t>
        </is>
      </c>
      <c r="M173" s="156" t="inlineStr">
        <is>
          <t>Wrangler</t>
        </is>
      </c>
      <c r="N173" s="156" t="inlineStr">
        <is>
          <t>SS26</t>
        </is>
      </c>
      <c r="O173" s="156" t="inlineStr">
        <is>
          <t>Seasonal</t>
        </is>
      </c>
      <c r="P173" s="156" t="inlineStr">
        <is>
          <t>Cafe</t>
        </is>
      </c>
      <c r="Q173" s="156" t="n"/>
      <c r="R173" s="156" t="n"/>
      <c r="S173" s="156" t="inlineStr">
        <is>
          <t>100% Piel</t>
        </is>
      </c>
      <c r="T173" s="156" t="inlineStr">
        <is>
          <t>Botas Wrangler Leyenda Café. Bota de la marca Wrangler. Estilo WACB0108.</t>
        </is>
      </c>
      <c r="U173" s="156" t="inlineStr">
        <is>
          <t>México</t>
        </is>
      </c>
      <c r="V173" s="156" t="inlineStr">
        <is>
          <t>PRS</t>
        </is>
      </c>
      <c r="W173" s="51" t="inlineStr">
        <is>
          <t>53111500</t>
        </is>
      </c>
      <c r="X173" s="156" t="n"/>
      <c r="Y173" s="54" t="n">
        <v>1421.99</v>
      </c>
      <c r="Z173" s="54" t="n">
        <v>2843.965517</v>
      </c>
      <c r="AA173" s="55">
        <f>IF(AND(A173="", B173="", E173=""), "", IF(AB173="", "Válido", IF((LEN(AB173)-LEN(SUBSTITUTE(AB173,"; ","")))/2+1&gt;(LEN(AB173)-LEN(SUBSTITUTE(AB173,"[Aviso]","")))/7, "Con Incidencias", "Válido")))</f>
        <v/>
      </c>
      <c r="AB173" s="56">
        <f>IF(AND(A173="", B173="", E173=""), "", TEXTJOIN("; ", TRUE, IF(OR(TRIM(A173&amp;"")="", ISNUMBER(SEARCH("FALTA", A173))), "UPC faltante/inválido", ""), IF(AND(A173&lt;&gt;"", IFERROR(_xlfn.XMATCH(A173,$A$2:$A$1063,0,1)&lt;&gt;_xlfn.XMATCH(A173,$A$2:$A$1063,0,-1),FALSE)), "Código de barras duplicado", ""), IF(AND(E173&lt;&gt;"", COUNTIF($E$2:$E$1063, E173)&gt;1), "SKU duplicado", ""), IF(OR(J173="", J173=""), "[Aviso] División no capturada ()", IF(ISNA(MATCH(J173, Criterios!$A$123:$A$126, 0)), "División no válida", "")), IF(OR(K173="", K173=""), "[Aviso] Categoría no capturada ()", IF(ISNA(MATCH(K173, Criterios!$A$81:$A$120, 0)), "Categoría no válida", IF(AND(J173&lt;&gt;"", J173&lt;&gt;"", J173&lt;&gt;VLOOKUP(K173, Criterios!$A$81:$B$120, 2, FALSE)), "División no coincide con Categoría", ""))), IF(OR(L173="", L173=""), "[Aviso] Género no capturado ()", IF(ISNA(MATCH(L173, Criterios!$B$123:$B$127, 0)), "Género no válido", "")), IF(OR(N173="", N173=""), "[Aviso] Temporada no capturada ()", IF(ISNA(MATCH(N173, Criterios!$C$123:$C$128, 0)), "Temporada no válida", "")), IF(OR(O173="", O173=""), "[Aviso] Ciclo de vida no capturado ()", IF(ISNA(MATCH(O173, Criterios!$D$123:$D$124, 0)), "Ciclo de vida no válido", ""))))</f>
        <v/>
      </c>
      <c r="AC173" s="56" t="n"/>
      <c r="AD173" s="51" t="n">
        <v>1</v>
      </c>
      <c r="AE173" s="156" t="inlineStr">
        <is>
          <t>WB OUTLET LERMA (1)</t>
        </is>
      </c>
      <c r="AF173" s="51" t="n">
        <v>1</v>
      </c>
      <c r="AG173" s="156" t="inlineStr">
        <is>
          <t>Nuevo – NetSuite con existencia</t>
        </is>
      </c>
      <c r="AH173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73" s="156" t="inlineStr">
        <is>
          <t>No</t>
        </is>
      </c>
      <c r="AJ173" s="156" t="n"/>
      <c r="AK173" s="155" t="inlineStr">
        <is>
          <t>ProductosCatalogoEstandar907.xlsx: fila 6091 [L,N,O,S,U,Y]; G1522_Extraccion_Articulos_NetSuite_2026-09-30.xlsx: fila 59461 [M,P,V,Y,S] | Shopify WB: producto 8626599559353 / variante 48347147141305</t>
        </is>
      </c>
      <c r="AL173" s="58" t="n"/>
      <c r="AM173" s="58" t="n">
        <v>2843.965517</v>
      </c>
      <c r="AN173" s="155" t="inlineStr">
        <is>
          <t>Shopify Western Brothers</t>
        </is>
      </c>
      <c r="AO173" s="59" t="n"/>
      <c r="AP173" s="59" t="n">
        <v>1</v>
      </c>
      <c r="AQ173" s="59" t="n"/>
      <c r="AR173" s="155" t="inlineStr">
        <is>
          <t>Shopify Western Brothers › Western Brothers Outlet Lerma: 1</t>
        </is>
      </c>
    </row>
    <row r="174">
      <c r="A174" s="50" t="inlineStr">
        <is>
          <t>7506012603213</t>
        </is>
      </c>
      <c r="B174" s="51" t="inlineStr">
        <is>
          <t>112216</t>
        </is>
      </c>
      <c r="C174" s="156" t="inlineStr">
        <is>
          <t>Multimarca</t>
        </is>
      </c>
      <c r="D174" s="156" t="inlineStr">
        <is>
          <t>WACB0108</t>
        </is>
      </c>
      <c r="E174" s="156" t="inlineStr">
        <is>
          <t>WACB0108-27.5</t>
        </is>
      </c>
      <c r="F174" s="156" t="inlineStr">
        <is>
          <t>27.5</t>
        </is>
      </c>
      <c r="G174" s="156" t="inlineStr">
        <is>
          <t>9.5</t>
        </is>
      </c>
      <c r="H174" s="156" t="inlineStr">
        <is>
          <t>Wrangler</t>
        </is>
      </c>
      <c r="I174" s="156" t="inlineStr">
        <is>
          <t>Botas Wrangler Leyenda Café</t>
        </is>
      </c>
      <c r="J174" s="156" t="inlineStr">
        <is>
          <t>Calzado</t>
        </is>
      </c>
      <c r="K174" s="156" t="inlineStr">
        <is>
          <t>Botas</t>
        </is>
      </c>
      <c r="L174" s="156" t="inlineStr">
        <is>
          <t>Hombre</t>
        </is>
      </c>
      <c r="M174" s="156" t="inlineStr">
        <is>
          <t>Wrangler</t>
        </is>
      </c>
      <c r="N174" s="156" t="inlineStr">
        <is>
          <t>SS26</t>
        </is>
      </c>
      <c r="O174" s="156" t="inlineStr">
        <is>
          <t>Seasonal</t>
        </is>
      </c>
      <c r="P174" s="156" t="inlineStr">
        <is>
          <t>Cafe</t>
        </is>
      </c>
      <c r="Q174" s="156" t="n"/>
      <c r="R174" s="156" t="n"/>
      <c r="S174" s="156" t="inlineStr">
        <is>
          <t>100% Piel</t>
        </is>
      </c>
      <c r="T174" s="156" t="inlineStr">
        <is>
          <t>Botas Wrangler Leyenda Café. Bota de la marca Wrangler. Estilo WACB0108.</t>
        </is>
      </c>
      <c r="U174" s="156" t="inlineStr">
        <is>
          <t>México</t>
        </is>
      </c>
      <c r="V174" s="156" t="inlineStr">
        <is>
          <t>PRS</t>
        </is>
      </c>
      <c r="W174" s="51" t="inlineStr">
        <is>
          <t>53111500</t>
        </is>
      </c>
      <c r="X174" s="156" t="n"/>
      <c r="Y174" s="54" t="n">
        <v>1421.99</v>
      </c>
      <c r="Z174" s="54" t="n">
        <v>2843.965517</v>
      </c>
      <c r="AA174" s="55">
        <f>IF(AND(A174="", B174="", E174=""), "", IF(AB174="", "Válido", IF((LEN(AB174)-LEN(SUBSTITUTE(AB174,"; ","")))/2+1&gt;(LEN(AB174)-LEN(SUBSTITUTE(AB174,"[Aviso]","")))/7, "Con Incidencias", "Válido")))</f>
        <v/>
      </c>
      <c r="AB174" s="56">
        <f>IF(AND(A174="", B174="", E174=""), "", TEXTJOIN("; ", TRUE, IF(OR(TRIM(A174&amp;"")="", ISNUMBER(SEARCH("FALTA", A174))), "UPC faltante/inválido", ""), IF(AND(A174&lt;&gt;"", IFERROR(_xlfn.XMATCH(A174,$A$2:$A$1063,0,1)&lt;&gt;_xlfn.XMATCH(A174,$A$2:$A$1063,0,-1),FALSE)), "Código de barras duplicado", ""), IF(AND(E174&lt;&gt;"", COUNTIF($E$2:$E$1063, E174)&gt;1), "SKU duplicado", ""), IF(OR(J174="", J174=""), "[Aviso] División no capturada ()", IF(ISNA(MATCH(J174, Criterios!$A$123:$A$126, 0)), "División no válida", "")), IF(OR(K174="", K174=""), "[Aviso] Categoría no capturada ()", IF(ISNA(MATCH(K174, Criterios!$A$81:$A$120, 0)), "Categoría no válida", IF(AND(J174&lt;&gt;"", J174&lt;&gt;"", J174&lt;&gt;VLOOKUP(K174, Criterios!$A$81:$B$120, 2, FALSE)), "División no coincide con Categoría", ""))), IF(OR(L174="", L174=""), "[Aviso] Género no capturado ()", IF(ISNA(MATCH(L174, Criterios!$B$123:$B$127, 0)), "Género no válido", "")), IF(OR(N174="", N174=""), "[Aviso] Temporada no capturada ()", IF(ISNA(MATCH(N174, Criterios!$C$123:$C$128, 0)), "Temporada no válida", "")), IF(OR(O174="", O174=""), "[Aviso] Ciclo de vida no capturado ()", IF(ISNA(MATCH(O174, Criterios!$D$123:$D$124, 0)), "Ciclo de vida no válido", ""))))</f>
        <v/>
      </c>
      <c r="AC174" s="56" t="n"/>
      <c r="AD174" s="51" t="n">
        <v>0</v>
      </c>
      <c r="AE174" s="156" t="n"/>
      <c r="AF174" s="51" t="n">
        <v>0</v>
      </c>
      <c r="AG174" s="156" t="inlineStr">
        <is>
          <t>Nuevo – NetSuite sin existencia</t>
        </is>
      </c>
      <c r="AH174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74" s="156" t="inlineStr">
        <is>
          <t>No</t>
        </is>
      </c>
      <c r="AJ174" s="156" t="n"/>
      <c r="AK174" s="155" t="inlineStr">
        <is>
          <t>ProductosCatalogoEstandar907.xlsx: fila 6092 [L,N,O,S,U,Y]; G1522_Extraccion_Articulos_NetSuite_2026-09-30.xlsx: fila 59462 [M,P,V,Y,S] | Shopify WB: producto 8626599559353 / variante 48347147174073</t>
        </is>
      </c>
      <c r="AL174" s="58" t="n"/>
      <c r="AM174" s="58" t="n">
        <v>2843.965517</v>
      </c>
      <c r="AN174" s="155" t="inlineStr">
        <is>
          <t>Shopify Western Brothers</t>
        </is>
      </c>
      <c r="AO174" s="59" t="n"/>
      <c r="AP174" s="59" t="n">
        <v>0</v>
      </c>
      <c r="AQ174" s="59" t="n"/>
      <c r="AR174" s="155" t="n"/>
    </row>
    <row r="175">
      <c r="A175" s="50" t="inlineStr">
        <is>
          <t>7506012603220</t>
        </is>
      </c>
      <c r="B175" s="51" t="inlineStr">
        <is>
          <t>112217</t>
        </is>
      </c>
      <c r="C175" s="156" t="inlineStr">
        <is>
          <t>Multimarca</t>
        </is>
      </c>
      <c r="D175" s="156" t="inlineStr">
        <is>
          <t>WACB0108</t>
        </is>
      </c>
      <c r="E175" s="156" t="inlineStr">
        <is>
          <t>WACB0108-28</t>
        </is>
      </c>
      <c r="F175" s="156" t="inlineStr">
        <is>
          <t>28</t>
        </is>
      </c>
      <c r="G175" s="156" t="inlineStr">
        <is>
          <t>10</t>
        </is>
      </c>
      <c r="H175" s="156" t="inlineStr">
        <is>
          <t>Wrangler</t>
        </is>
      </c>
      <c r="I175" s="156" t="inlineStr">
        <is>
          <t>Botas Wrangler Leyenda Café</t>
        </is>
      </c>
      <c r="J175" s="156" t="inlineStr">
        <is>
          <t>Calzado</t>
        </is>
      </c>
      <c r="K175" s="156" t="inlineStr">
        <is>
          <t>Botas</t>
        </is>
      </c>
      <c r="L175" s="156" t="inlineStr">
        <is>
          <t>Hombre</t>
        </is>
      </c>
      <c r="M175" s="156" t="inlineStr">
        <is>
          <t>Wrangler</t>
        </is>
      </c>
      <c r="N175" s="156" t="inlineStr">
        <is>
          <t>SS26</t>
        </is>
      </c>
      <c r="O175" s="156" t="inlineStr">
        <is>
          <t>Seasonal</t>
        </is>
      </c>
      <c r="P175" s="156" t="inlineStr">
        <is>
          <t>Cafe</t>
        </is>
      </c>
      <c r="Q175" s="156" t="n"/>
      <c r="R175" s="156" t="n"/>
      <c r="S175" s="156" t="inlineStr">
        <is>
          <t>100% Piel</t>
        </is>
      </c>
      <c r="T175" s="156" t="inlineStr">
        <is>
          <t>Botas Wrangler Leyenda Café. Bota de la marca Wrangler. Estilo WACB0108.</t>
        </is>
      </c>
      <c r="U175" s="156" t="inlineStr">
        <is>
          <t>México</t>
        </is>
      </c>
      <c r="V175" s="156" t="inlineStr">
        <is>
          <t>PRS</t>
        </is>
      </c>
      <c r="W175" s="51" t="inlineStr">
        <is>
          <t>53111500</t>
        </is>
      </c>
      <c r="X175" s="156" t="n"/>
      <c r="Y175" s="54" t="n">
        <v>1421.99</v>
      </c>
      <c r="Z175" s="54" t="n">
        <v>2843.965517</v>
      </c>
      <c r="AA175" s="55">
        <f>IF(AND(A175="", B175="", E175=""), "", IF(AB175="", "Válido", IF((LEN(AB175)-LEN(SUBSTITUTE(AB175,"; ","")))/2+1&gt;(LEN(AB175)-LEN(SUBSTITUTE(AB175,"[Aviso]","")))/7, "Con Incidencias", "Válido")))</f>
        <v/>
      </c>
      <c r="AB175" s="56">
        <f>IF(AND(A175="", B175="", E175=""), "", TEXTJOIN("; ", TRUE, IF(OR(TRIM(A175&amp;"")="", ISNUMBER(SEARCH("FALTA", A175))), "UPC faltante/inválido", ""), IF(AND(A175&lt;&gt;"", IFERROR(_xlfn.XMATCH(A175,$A$2:$A$1063,0,1)&lt;&gt;_xlfn.XMATCH(A175,$A$2:$A$1063,0,-1),FALSE)), "Código de barras duplicado", ""), IF(AND(E175&lt;&gt;"", COUNTIF($E$2:$E$1063, E175)&gt;1), "SKU duplicado", ""), IF(OR(J175="", J175=""), "[Aviso] División no capturada ()", IF(ISNA(MATCH(J175, Criterios!$A$123:$A$126, 0)), "División no válida", "")), IF(OR(K175="", K175=""), "[Aviso] Categoría no capturada ()", IF(ISNA(MATCH(K175, Criterios!$A$81:$A$120, 0)), "Categoría no válida", IF(AND(J175&lt;&gt;"", J175&lt;&gt;"", J175&lt;&gt;VLOOKUP(K175, Criterios!$A$81:$B$120, 2, FALSE)), "División no coincide con Categoría", ""))), IF(OR(L175="", L175=""), "[Aviso] Género no capturado ()", IF(ISNA(MATCH(L175, Criterios!$B$123:$B$127, 0)), "Género no válido", "")), IF(OR(N175="", N175=""), "[Aviso] Temporada no capturada ()", IF(ISNA(MATCH(N175, Criterios!$C$123:$C$128, 0)), "Temporada no válida", "")), IF(OR(O175="", O175=""), "[Aviso] Ciclo de vida no capturado ()", IF(ISNA(MATCH(O175, Criterios!$D$123:$D$124, 0)), "Ciclo de vida no válido", ""))))</f>
        <v/>
      </c>
      <c r="AC175" s="56" t="n"/>
      <c r="AD175" s="51" t="n">
        <v>2</v>
      </c>
      <c r="AE175" s="156" t="inlineStr">
        <is>
          <t>WB OUTLET LERMA (2)</t>
        </is>
      </c>
      <c r="AF175" s="51" t="n">
        <v>2</v>
      </c>
      <c r="AG175" s="156" t="inlineStr">
        <is>
          <t>Nuevo – NetSuite con existencia</t>
        </is>
      </c>
      <c r="AH175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75" s="156" t="inlineStr">
        <is>
          <t>No</t>
        </is>
      </c>
      <c r="AJ175" s="156" t="n"/>
      <c r="AK175" s="155" t="inlineStr">
        <is>
          <t>ProductosCatalogoEstandar907.xlsx: fila 6093 [L,N,O,S,U,Y]; G1522_Extraccion_Articulos_NetSuite_2026-09-30.xlsx: fila 59463 [M,P,V,Y,S] | Shopify WB: producto 8626599559353 / variante 48347147206841</t>
        </is>
      </c>
      <c r="AL175" s="58" t="n"/>
      <c r="AM175" s="58" t="n">
        <v>2843.965517</v>
      </c>
      <c r="AN175" s="155" t="inlineStr">
        <is>
          <t>Shopify Western Brothers</t>
        </is>
      </c>
      <c r="AO175" s="59" t="n"/>
      <c r="AP175" s="59" t="n">
        <v>2</v>
      </c>
      <c r="AQ175" s="59" t="n"/>
      <c r="AR175" s="155" t="inlineStr">
        <is>
          <t>Shopify Western Brothers › Western Brothers Outlet Lerma: 2</t>
        </is>
      </c>
    </row>
    <row r="176">
      <c r="A176" s="50" t="inlineStr">
        <is>
          <t>7506012603237</t>
        </is>
      </c>
      <c r="B176" s="51" t="inlineStr">
        <is>
          <t>112218</t>
        </is>
      </c>
      <c r="C176" s="156" t="inlineStr">
        <is>
          <t>Multimarca</t>
        </is>
      </c>
      <c r="D176" s="156" t="inlineStr">
        <is>
          <t>WACB0108</t>
        </is>
      </c>
      <c r="E176" s="156" t="inlineStr">
        <is>
          <t>WACB0108-28.5</t>
        </is>
      </c>
      <c r="F176" s="156" t="inlineStr">
        <is>
          <t>28.5</t>
        </is>
      </c>
      <c r="G176" s="156" t="inlineStr">
        <is>
          <t>10.5</t>
        </is>
      </c>
      <c r="H176" s="156" t="inlineStr">
        <is>
          <t>Wrangler</t>
        </is>
      </c>
      <c r="I176" s="156" t="inlineStr">
        <is>
          <t>Botas Wrangler Leyenda Café</t>
        </is>
      </c>
      <c r="J176" s="156" t="inlineStr">
        <is>
          <t>Calzado</t>
        </is>
      </c>
      <c r="K176" s="156" t="inlineStr">
        <is>
          <t>Botas</t>
        </is>
      </c>
      <c r="L176" s="156" t="inlineStr">
        <is>
          <t>Hombre</t>
        </is>
      </c>
      <c r="M176" s="156" t="inlineStr">
        <is>
          <t>Wrangler</t>
        </is>
      </c>
      <c r="N176" s="156" t="inlineStr">
        <is>
          <t>SS26</t>
        </is>
      </c>
      <c r="O176" s="156" t="inlineStr">
        <is>
          <t>Seasonal</t>
        </is>
      </c>
      <c r="P176" s="156" t="inlineStr">
        <is>
          <t>Cafe</t>
        </is>
      </c>
      <c r="Q176" s="156" t="n"/>
      <c r="R176" s="156" t="n"/>
      <c r="S176" s="156" t="inlineStr">
        <is>
          <t>100% Piel</t>
        </is>
      </c>
      <c r="T176" s="156" t="inlineStr">
        <is>
          <t>Botas Wrangler Leyenda Café. Bota de la marca Wrangler. Estilo WACB0108.</t>
        </is>
      </c>
      <c r="U176" s="156" t="inlineStr">
        <is>
          <t>México</t>
        </is>
      </c>
      <c r="V176" s="156" t="inlineStr">
        <is>
          <t>PRS</t>
        </is>
      </c>
      <c r="W176" s="51" t="inlineStr">
        <is>
          <t>53111500</t>
        </is>
      </c>
      <c r="X176" s="156" t="n"/>
      <c r="Y176" s="54" t="n">
        <v>1421.99</v>
      </c>
      <c r="Z176" s="54" t="n">
        <v>2843.965517</v>
      </c>
      <c r="AA176" s="55">
        <f>IF(AND(A176="", B176="", E176=""), "", IF(AB176="", "Válido", IF((LEN(AB176)-LEN(SUBSTITUTE(AB176,"; ","")))/2+1&gt;(LEN(AB176)-LEN(SUBSTITUTE(AB176,"[Aviso]","")))/7, "Con Incidencias", "Válido")))</f>
        <v/>
      </c>
      <c r="AB176" s="56">
        <f>IF(AND(A176="", B176="", E176=""), "", TEXTJOIN("; ", TRUE, IF(OR(TRIM(A176&amp;"")="", ISNUMBER(SEARCH("FALTA", A176))), "UPC faltante/inválido", ""), IF(AND(A176&lt;&gt;"", IFERROR(_xlfn.XMATCH(A176,$A$2:$A$1063,0,1)&lt;&gt;_xlfn.XMATCH(A176,$A$2:$A$1063,0,-1),FALSE)), "Código de barras duplicado", ""), IF(AND(E176&lt;&gt;"", COUNTIF($E$2:$E$1063, E176)&gt;1), "SKU duplicado", ""), IF(OR(J176="", J176=""), "[Aviso] División no capturada ()", IF(ISNA(MATCH(J176, Criterios!$A$123:$A$126, 0)), "División no válida", "")), IF(OR(K176="", K176=""), "[Aviso] Categoría no capturada ()", IF(ISNA(MATCH(K176, Criterios!$A$81:$A$120, 0)), "Categoría no válida", IF(AND(J176&lt;&gt;"", J176&lt;&gt;"", J176&lt;&gt;VLOOKUP(K176, Criterios!$A$81:$B$120, 2, FALSE)), "División no coincide con Categoría", ""))), IF(OR(L176="", L176=""), "[Aviso] Género no capturado ()", IF(ISNA(MATCH(L176, Criterios!$B$123:$B$127, 0)), "Género no válido", "")), IF(OR(N176="", N176=""), "[Aviso] Temporada no capturada ()", IF(ISNA(MATCH(N176, Criterios!$C$123:$C$128, 0)), "Temporada no válida", "")), IF(OR(O176="", O176=""), "[Aviso] Ciclo de vida no capturado ()", IF(ISNA(MATCH(O176, Criterios!$D$123:$D$124, 0)), "Ciclo de vida no válido", ""))))</f>
        <v/>
      </c>
      <c r="AC176" s="56" t="n"/>
      <c r="AD176" s="51" t="n">
        <v>2</v>
      </c>
      <c r="AE176" s="156" t="inlineStr">
        <is>
          <t>WB OUTLET LERMA (2)</t>
        </is>
      </c>
      <c r="AF176" s="51" t="n">
        <v>2</v>
      </c>
      <c r="AG176" s="156" t="inlineStr">
        <is>
          <t>Nuevo – NetSuite con existencia</t>
        </is>
      </c>
      <c r="AH176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76" s="156" t="inlineStr">
        <is>
          <t>No</t>
        </is>
      </c>
      <c r="AJ176" s="156" t="n"/>
      <c r="AK176" s="155" t="inlineStr">
        <is>
          <t>ProductosCatalogoEstandar907.xlsx: fila 6094 [L,N,O,S,U,Y]; G1522_Extraccion_Articulos_NetSuite_2026-09-30.xlsx: fila 59464 [M,P,V,Y,S] | Shopify WB: producto 8626599559353 / variante 48347147239609</t>
        </is>
      </c>
      <c r="AL176" s="58" t="n"/>
      <c r="AM176" s="58" t="n">
        <v>2843.965517</v>
      </c>
      <c r="AN176" s="155" t="inlineStr">
        <is>
          <t>Shopify Western Brothers</t>
        </is>
      </c>
      <c r="AO176" s="59" t="n"/>
      <c r="AP176" s="59" t="n">
        <v>2</v>
      </c>
      <c r="AQ176" s="59" t="n"/>
      <c r="AR176" s="155" t="inlineStr">
        <is>
          <t>Shopify Western Brothers › Western Brothers Outlet Lerma: 2</t>
        </is>
      </c>
    </row>
    <row r="177">
      <c r="A177" s="50" t="inlineStr">
        <is>
          <t>7506012604647</t>
        </is>
      </c>
      <c r="B177" s="51" t="inlineStr">
        <is>
          <t>112202</t>
        </is>
      </c>
      <c r="C177" s="156" t="inlineStr">
        <is>
          <t>Multimarca</t>
        </is>
      </c>
      <c r="D177" s="156" t="inlineStr">
        <is>
          <t>WADC0214</t>
        </is>
      </c>
      <c r="E177" s="156" t="inlineStr">
        <is>
          <t>WADC0214-23</t>
        </is>
      </c>
      <c r="F177" s="156" t="inlineStr">
        <is>
          <t>23</t>
        </is>
      </c>
      <c r="G177" s="156" t="inlineStr">
        <is>
          <t>5</t>
        </is>
      </c>
      <c r="H177" s="156" t="inlineStr">
        <is>
          <t>Wrangler</t>
        </is>
      </c>
      <c r="I177" s="156" t="inlineStr">
        <is>
          <t>Botas Wrangler Estrella Negro</t>
        </is>
      </c>
      <c r="J177" s="156" t="inlineStr">
        <is>
          <t>Calzado</t>
        </is>
      </c>
      <c r="K177" s="156" t="inlineStr">
        <is>
          <t>Botas</t>
        </is>
      </c>
      <c r="L177" s="156" t="inlineStr">
        <is>
          <t>Mujer</t>
        </is>
      </c>
      <c r="M177" s="156" t="inlineStr">
        <is>
          <t>Wrangler</t>
        </is>
      </c>
      <c r="N177" s="156" t="inlineStr">
        <is>
          <t>SS26</t>
        </is>
      </c>
      <c r="O177" s="156" t="inlineStr">
        <is>
          <t>Seasonal</t>
        </is>
      </c>
      <c r="P177" s="156" t="inlineStr">
        <is>
          <t>Negro</t>
        </is>
      </c>
      <c r="Q177" s="156" t="n"/>
      <c r="R177" s="156" t="n"/>
      <c r="S177" s="156" t="inlineStr">
        <is>
          <t>100% Piel</t>
        </is>
      </c>
      <c r="T177" s="156" t="inlineStr">
        <is>
          <t>Botas Wrangler Estrella Negro. Bota de la marca Wrangler. Estilo WADC0214.</t>
        </is>
      </c>
      <c r="U177" s="156" t="inlineStr">
        <is>
          <t>México</t>
        </is>
      </c>
      <c r="V177" s="156" t="inlineStr">
        <is>
          <t>PRS</t>
        </is>
      </c>
      <c r="W177" s="51" t="inlineStr">
        <is>
          <t>53111500</t>
        </is>
      </c>
      <c r="X177" s="156" t="n"/>
      <c r="Y177" s="54" t="n">
        <v>818.54</v>
      </c>
      <c r="Z177" s="54" t="n">
        <v>1637.068966</v>
      </c>
      <c r="AA177" s="55">
        <f>IF(AND(A177="", B177="", E177=""), "", IF(AB177="", "Válido", IF((LEN(AB177)-LEN(SUBSTITUTE(AB177,"; ","")))/2+1&gt;(LEN(AB177)-LEN(SUBSTITUTE(AB177,"[Aviso]","")))/7, "Con Incidencias", "Válido")))</f>
        <v/>
      </c>
      <c r="AB177" s="56">
        <f>IF(AND(A177="", B177="", E177=""), "", TEXTJOIN("; ", TRUE, IF(OR(TRIM(A177&amp;"")="", ISNUMBER(SEARCH("FALTA", A177))), "UPC faltante/inválido", ""), IF(AND(A177&lt;&gt;"", IFERROR(_xlfn.XMATCH(A177,$A$2:$A$1063,0,1)&lt;&gt;_xlfn.XMATCH(A177,$A$2:$A$1063,0,-1),FALSE)), "Código de barras duplicado", ""), IF(AND(E177&lt;&gt;"", COUNTIF($E$2:$E$1063, E177)&gt;1), "SKU duplicado", ""), IF(OR(J177="", J177=""), "[Aviso] División no capturada ()", IF(ISNA(MATCH(J177, Criterios!$A$123:$A$126, 0)), "División no válida", "")), IF(OR(K177="", K177=""), "[Aviso] Categoría no capturada ()", IF(ISNA(MATCH(K177, Criterios!$A$81:$A$120, 0)), "Categoría no válida", IF(AND(J177&lt;&gt;"", J177&lt;&gt;"", J177&lt;&gt;VLOOKUP(K177, Criterios!$A$81:$B$120, 2, FALSE)), "División no coincide con Categoría", ""))), IF(OR(L177="", L177=""), "[Aviso] Género no capturado ()", IF(ISNA(MATCH(L177, Criterios!$B$123:$B$127, 0)), "Género no válido", "")), IF(OR(N177="", N177=""), "[Aviso] Temporada no capturada ()", IF(ISNA(MATCH(N177, Criterios!$C$123:$C$128, 0)), "Temporada no válida", "")), IF(OR(O177="", O177=""), "[Aviso] Ciclo de vida no capturado ()", IF(ISNA(MATCH(O177, Criterios!$D$123:$D$124, 0)), "Ciclo de vida no válido", ""))))</f>
        <v/>
      </c>
      <c r="AC177" s="56" t="n"/>
      <c r="AD177" s="51" t="n">
        <v>0</v>
      </c>
      <c r="AE177" s="156" t="n"/>
      <c r="AF177" s="51" t="n">
        <v>0</v>
      </c>
      <c r="AG177" s="156" t="inlineStr">
        <is>
          <t>Nuevo – NetSuite sin existencia</t>
        </is>
      </c>
      <c r="AH177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77" s="156" t="inlineStr">
        <is>
          <t>No</t>
        </is>
      </c>
      <c r="AJ177" s="156" t="n"/>
      <c r="AK177" s="155" t="inlineStr">
        <is>
          <t>ProductosCatalogoEstandar907.xlsx: fila 6095 [L,N,O,S,U,Y]; G1522_Extraccion_Articulos_NetSuite_2026-09-30.xlsx: fila 59448 [M,P,V,Y,S] | Shopify WB: producto 8626599493817 / variante 48347143766201</t>
        </is>
      </c>
      <c r="AL177" s="58" t="n"/>
      <c r="AM177" s="58" t="n">
        <v>1637.068966</v>
      </c>
      <c r="AN177" s="155" t="inlineStr">
        <is>
          <t>Shopify Western Brothers</t>
        </is>
      </c>
      <c r="AO177" s="59" t="n"/>
      <c r="AP177" s="59" t="n">
        <v>0</v>
      </c>
      <c r="AQ177" s="59" t="n"/>
      <c r="AR177" s="155" t="n"/>
    </row>
    <row r="178">
      <c r="A178" s="50" t="inlineStr">
        <is>
          <t>7506012604654</t>
        </is>
      </c>
      <c r="B178" s="51" t="inlineStr">
        <is>
          <t>112203</t>
        </is>
      </c>
      <c r="C178" s="156" t="inlineStr">
        <is>
          <t>Multimarca</t>
        </is>
      </c>
      <c r="D178" s="156" t="inlineStr">
        <is>
          <t>WADC0214</t>
        </is>
      </c>
      <c r="E178" s="156" t="inlineStr">
        <is>
          <t>WADC0214-23.5</t>
        </is>
      </c>
      <c r="F178" s="156" t="inlineStr">
        <is>
          <t>23.5</t>
        </is>
      </c>
      <c r="G178" s="156" t="inlineStr">
        <is>
          <t>5.5</t>
        </is>
      </c>
      <c r="H178" s="156" t="inlineStr">
        <is>
          <t>Wrangler</t>
        </is>
      </c>
      <c r="I178" s="156" t="inlineStr">
        <is>
          <t>Botas Wrangler Estrella Negro</t>
        </is>
      </c>
      <c r="J178" s="156" t="inlineStr">
        <is>
          <t>Calzado</t>
        </is>
      </c>
      <c r="K178" s="156" t="inlineStr">
        <is>
          <t>Botas</t>
        </is>
      </c>
      <c r="L178" s="156" t="inlineStr">
        <is>
          <t>Mujer</t>
        </is>
      </c>
      <c r="M178" s="156" t="inlineStr">
        <is>
          <t>Wrangler</t>
        </is>
      </c>
      <c r="N178" s="156" t="inlineStr">
        <is>
          <t>SS26</t>
        </is>
      </c>
      <c r="O178" s="156" t="inlineStr">
        <is>
          <t>Seasonal</t>
        </is>
      </c>
      <c r="P178" s="156" t="inlineStr">
        <is>
          <t>Negro</t>
        </is>
      </c>
      <c r="Q178" s="156" t="n"/>
      <c r="R178" s="156" t="n"/>
      <c r="S178" s="156" t="inlineStr">
        <is>
          <t>100% Piel</t>
        </is>
      </c>
      <c r="T178" s="156" t="inlineStr">
        <is>
          <t>Botas Wrangler Estrella Negro. Bota de la marca Wrangler. Estilo WADC0214.</t>
        </is>
      </c>
      <c r="U178" s="156" t="inlineStr">
        <is>
          <t>México</t>
        </is>
      </c>
      <c r="V178" s="156" t="inlineStr">
        <is>
          <t>PRS</t>
        </is>
      </c>
      <c r="W178" s="51" t="inlineStr">
        <is>
          <t>53111500</t>
        </is>
      </c>
      <c r="X178" s="156" t="n"/>
      <c r="Y178" s="54" t="n">
        <v>818.54</v>
      </c>
      <c r="Z178" s="54" t="n">
        <v>1637.068966</v>
      </c>
      <c r="AA178" s="55">
        <f>IF(AND(A178="", B178="", E178=""), "", IF(AB178="", "Válido", IF((LEN(AB178)-LEN(SUBSTITUTE(AB178,"; ","")))/2+1&gt;(LEN(AB178)-LEN(SUBSTITUTE(AB178,"[Aviso]","")))/7, "Con Incidencias", "Válido")))</f>
        <v/>
      </c>
      <c r="AB178" s="56">
        <f>IF(AND(A178="", B178="", E178=""), "", TEXTJOIN("; ", TRUE, IF(OR(TRIM(A178&amp;"")="", ISNUMBER(SEARCH("FALTA", A178))), "UPC faltante/inválido", ""), IF(AND(A178&lt;&gt;"", IFERROR(_xlfn.XMATCH(A178,$A$2:$A$1063,0,1)&lt;&gt;_xlfn.XMATCH(A178,$A$2:$A$1063,0,-1),FALSE)), "Código de barras duplicado", ""), IF(AND(E178&lt;&gt;"", COUNTIF($E$2:$E$1063, E178)&gt;1), "SKU duplicado", ""), IF(OR(J178="", J178=""), "[Aviso] División no capturada ()", IF(ISNA(MATCH(J178, Criterios!$A$123:$A$126, 0)), "División no válida", "")), IF(OR(K178="", K178=""), "[Aviso] Categoría no capturada ()", IF(ISNA(MATCH(K178, Criterios!$A$81:$A$120, 0)), "Categoría no válida", IF(AND(J178&lt;&gt;"", J178&lt;&gt;"", J178&lt;&gt;VLOOKUP(K178, Criterios!$A$81:$B$120, 2, FALSE)), "División no coincide con Categoría", ""))), IF(OR(L178="", L178=""), "[Aviso] Género no capturado ()", IF(ISNA(MATCH(L178, Criterios!$B$123:$B$127, 0)), "Género no válido", "")), IF(OR(N178="", N178=""), "[Aviso] Temporada no capturada ()", IF(ISNA(MATCH(N178, Criterios!$C$123:$C$128, 0)), "Temporada no válida", "")), IF(OR(O178="", O178=""), "[Aviso] Ciclo de vida no capturado ()", IF(ISNA(MATCH(O178, Criterios!$D$123:$D$124, 0)), "Ciclo de vida no válido", ""))))</f>
        <v/>
      </c>
      <c r="AC178" s="56" t="n"/>
      <c r="AD178" s="51" t="n">
        <v>0</v>
      </c>
      <c r="AE178" s="156" t="n"/>
      <c r="AF178" s="51" t="n">
        <v>0</v>
      </c>
      <c r="AG178" s="156" t="inlineStr">
        <is>
          <t>Nuevo – NetSuite sin existencia</t>
        </is>
      </c>
      <c r="AH178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78" s="156" t="inlineStr">
        <is>
          <t>No</t>
        </is>
      </c>
      <c r="AJ178" s="156" t="n"/>
      <c r="AK178" s="155" t="inlineStr">
        <is>
          <t>ProductosCatalogoEstandar907.xlsx: fila 6096 [L,N,O,S,U,Y]; G1522_Extraccion_Articulos_NetSuite_2026-09-30.xlsx: fila 59449 [M,P,V,Y,S] | Shopify WB: producto 8626599493817 / variante 48347143798969</t>
        </is>
      </c>
      <c r="AL178" s="58" t="n"/>
      <c r="AM178" s="58" t="n">
        <v>1637.068966</v>
      </c>
      <c r="AN178" s="155" t="inlineStr">
        <is>
          <t>Shopify Western Brothers</t>
        </is>
      </c>
      <c r="AO178" s="59" t="n"/>
      <c r="AP178" s="59" t="n">
        <v>0</v>
      </c>
      <c r="AQ178" s="59" t="n"/>
      <c r="AR178" s="155" t="n"/>
    </row>
    <row r="179">
      <c r="A179" s="50" t="inlineStr">
        <is>
          <t>7506012604661</t>
        </is>
      </c>
      <c r="B179" s="51" t="inlineStr">
        <is>
          <t>112204</t>
        </is>
      </c>
      <c r="C179" s="156" t="inlineStr">
        <is>
          <t>Multimarca</t>
        </is>
      </c>
      <c r="D179" s="156" t="inlineStr">
        <is>
          <t>WADC0214</t>
        </is>
      </c>
      <c r="E179" s="156" t="inlineStr">
        <is>
          <t>WADC0214-24</t>
        </is>
      </c>
      <c r="F179" s="156" t="inlineStr">
        <is>
          <t>24</t>
        </is>
      </c>
      <c r="G179" s="156" t="inlineStr">
        <is>
          <t>6</t>
        </is>
      </c>
      <c r="H179" s="156" t="inlineStr">
        <is>
          <t>Wrangler</t>
        </is>
      </c>
      <c r="I179" s="156" t="inlineStr">
        <is>
          <t>Botas Wrangler Estrella Negro</t>
        </is>
      </c>
      <c r="J179" s="156" t="inlineStr">
        <is>
          <t>Calzado</t>
        </is>
      </c>
      <c r="K179" s="156" t="inlineStr">
        <is>
          <t>Botas</t>
        </is>
      </c>
      <c r="L179" s="156" t="inlineStr">
        <is>
          <t>Mujer</t>
        </is>
      </c>
      <c r="M179" s="156" t="inlineStr">
        <is>
          <t>Wrangler</t>
        </is>
      </c>
      <c r="N179" s="156" t="inlineStr">
        <is>
          <t>SS26</t>
        </is>
      </c>
      <c r="O179" s="156" t="inlineStr">
        <is>
          <t>Seasonal</t>
        </is>
      </c>
      <c r="P179" s="156" t="inlineStr">
        <is>
          <t>Negro</t>
        </is>
      </c>
      <c r="Q179" s="156" t="n"/>
      <c r="R179" s="156" t="n"/>
      <c r="S179" s="156" t="inlineStr">
        <is>
          <t>100% Piel</t>
        </is>
      </c>
      <c r="T179" s="156" t="inlineStr">
        <is>
          <t>Botas Wrangler Estrella Negro. Bota de la marca Wrangler. Estilo WADC0214.</t>
        </is>
      </c>
      <c r="U179" s="156" t="inlineStr">
        <is>
          <t>México</t>
        </is>
      </c>
      <c r="V179" s="156" t="inlineStr">
        <is>
          <t>PRS</t>
        </is>
      </c>
      <c r="W179" s="51" t="inlineStr">
        <is>
          <t>53111500</t>
        </is>
      </c>
      <c r="X179" s="156" t="n"/>
      <c r="Y179" s="54" t="n">
        <v>818.54</v>
      </c>
      <c r="Z179" s="54" t="n">
        <v>1637.068966</v>
      </c>
      <c r="AA179" s="55">
        <f>IF(AND(A179="", B179="", E179=""), "", IF(AB179="", "Válido", IF((LEN(AB179)-LEN(SUBSTITUTE(AB179,"; ","")))/2+1&gt;(LEN(AB179)-LEN(SUBSTITUTE(AB179,"[Aviso]","")))/7, "Con Incidencias", "Válido")))</f>
        <v/>
      </c>
      <c r="AB179" s="56">
        <f>IF(AND(A179="", B179="", E179=""), "", TEXTJOIN("; ", TRUE, IF(OR(TRIM(A179&amp;"")="", ISNUMBER(SEARCH("FALTA", A179))), "UPC faltante/inválido", ""), IF(AND(A179&lt;&gt;"", IFERROR(_xlfn.XMATCH(A179,$A$2:$A$1063,0,1)&lt;&gt;_xlfn.XMATCH(A179,$A$2:$A$1063,0,-1),FALSE)), "Código de barras duplicado", ""), IF(AND(E179&lt;&gt;"", COUNTIF($E$2:$E$1063, E179)&gt;1), "SKU duplicado", ""), IF(OR(J179="", J179=""), "[Aviso] División no capturada ()", IF(ISNA(MATCH(J179, Criterios!$A$123:$A$126, 0)), "División no válida", "")), IF(OR(K179="", K179=""), "[Aviso] Categoría no capturada ()", IF(ISNA(MATCH(K179, Criterios!$A$81:$A$120, 0)), "Categoría no válida", IF(AND(J179&lt;&gt;"", J179&lt;&gt;"", J179&lt;&gt;VLOOKUP(K179, Criterios!$A$81:$B$120, 2, FALSE)), "División no coincide con Categoría", ""))), IF(OR(L179="", L179=""), "[Aviso] Género no capturado ()", IF(ISNA(MATCH(L179, Criterios!$B$123:$B$127, 0)), "Género no válido", "")), IF(OR(N179="", N179=""), "[Aviso] Temporada no capturada ()", IF(ISNA(MATCH(N179, Criterios!$C$123:$C$128, 0)), "Temporada no válida", "")), IF(OR(O179="", O179=""), "[Aviso] Ciclo de vida no capturado ()", IF(ISNA(MATCH(O179, Criterios!$D$123:$D$124, 0)), "Ciclo de vida no válido", ""))))</f>
        <v/>
      </c>
      <c r="AC179" s="56" t="n"/>
      <c r="AD179" s="51" t="n">
        <v>1</v>
      </c>
      <c r="AE179" s="156" t="inlineStr">
        <is>
          <t>WB OUTLET LERMA (1)</t>
        </is>
      </c>
      <c r="AF179" s="51" t="n">
        <v>1</v>
      </c>
      <c r="AG179" s="156" t="inlineStr">
        <is>
          <t>Nuevo – NetSuite con existencia</t>
        </is>
      </c>
      <c r="AH179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79" s="156" t="inlineStr">
        <is>
          <t>No</t>
        </is>
      </c>
      <c r="AJ179" s="156" t="n"/>
      <c r="AK179" s="155" t="inlineStr">
        <is>
          <t>ProductosCatalogoEstandar907.xlsx: fila 6097 [L,N,O,S,U,Y]; G1522_Extraccion_Articulos_NetSuite_2026-09-30.xlsx: fila 59450 [M,P,V,Y,S] | Shopify WB: producto 8626599493817 / variante 48347143831737</t>
        </is>
      </c>
      <c r="AL179" s="58" t="n"/>
      <c r="AM179" s="58" t="n">
        <v>1637.068966</v>
      </c>
      <c r="AN179" s="155" t="inlineStr">
        <is>
          <t>Shopify Western Brothers</t>
        </is>
      </c>
      <c r="AO179" s="59" t="n"/>
      <c r="AP179" s="59" t="n">
        <v>1</v>
      </c>
      <c r="AQ179" s="59" t="n"/>
      <c r="AR179" s="155" t="inlineStr">
        <is>
          <t>Shopify Western Brothers › Western Brothers Outlet Lerma: 1</t>
        </is>
      </c>
    </row>
    <row r="180">
      <c r="A180" s="50" t="inlineStr">
        <is>
          <t>7506012604678</t>
        </is>
      </c>
      <c r="B180" s="51" t="inlineStr">
        <is>
          <t>112205</t>
        </is>
      </c>
      <c r="C180" s="156" t="inlineStr">
        <is>
          <t>Multimarca</t>
        </is>
      </c>
      <c r="D180" s="156" t="inlineStr">
        <is>
          <t>WADC0214</t>
        </is>
      </c>
      <c r="E180" s="156" t="inlineStr">
        <is>
          <t>WADC0214-24.5</t>
        </is>
      </c>
      <c r="F180" s="156" t="inlineStr">
        <is>
          <t>24.5</t>
        </is>
      </c>
      <c r="G180" s="156" t="inlineStr">
        <is>
          <t>6.5</t>
        </is>
      </c>
      <c r="H180" s="156" t="inlineStr">
        <is>
          <t>Wrangler</t>
        </is>
      </c>
      <c r="I180" s="156" t="inlineStr">
        <is>
          <t>Botas Wrangler Estrella Negro</t>
        </is>
      </c>
      <c r="J180" s="156" t="inlineStr">
        <is>
          <t>Calzado</t>
        </is>
      </c>
      <c r="K180" s="156" t="inlineStr">
        <is>
          <t>Botas</t>
        </is>
      </c>
      <c r="L180" s="156" t="inlineStr">
        <is>
          <t>Mujer</t>
        </is>
      </c>
      <c r="M180" s="156" t="inlineStr">
        <is>
          <t>Wrangler</t>
        </is>
      </c>
      <c r="N180" s="156" t="inlineStr">
        <is>
          <t>SS26</t>
        </is>
      </c>
      <c r="O180" s="156" t="inlineStr">
        <is>
          <t>Seasonal</t>
        </is>
      </c>
      <c r="P180" s="156" t="inlineStr">
        <is>
          <t>Negro</t>
        </is>
      </c>
      <c r="Q180" s="156" t="n"/>
      <c r="R180" s="156" t="n"/>
      <c r="S180" s="156" t="inlineStr">
        <is>
          <t>100% Piel</t>
        </is>
      </c>
      <c r="T180" s="156" t="inlineStr">
        <is>
          <t>Botas Wrangler Estrella Negro. Bota de la marca Wrangler. Estilo WADC0214.</t>
        </is>
      </c>
      <c r="U180" s="156" t="inlineStr">
        <is>
          <t>México</t>
        </is>
      </c>
      <c r="V180" s="156" t="inlineStr">
        <is>
          <t>PRS</t>
        </is>
      </c>
      <c r="W180" s="51" t="inlineStr">
        <is>
          <t>53111500</t>
        </is>
      </c>
      <c r="X180" s="156" t="n"/>
      <c r="Y180" s="54" t="n">
        <v>818.54</v>
      </c>
      <c r="Z180" s="54" t="n">
        <v>1637.068966</v>
      </c>
      <c r="AA180" s="55">
        <f>IF(AND(A180="", B180="", E180=""), "", IF(AB180="", "Válido", IF((LEN(AB180)-LEN(SUBSTITUTE(AB180,"; ","")))/2+1&gt;(LEN(AB180)-LEN(SUBSTITUTE(AB180,"[Aviso]","")))/7, "Con Incidencias", "Válido")))</f>
        <v/>
      </c>
      <c r="AB180" s="56">
        <f>IF(AND(A180="", B180="", E180=""), "", TEXTJOIN("; ", TRUE, IF(OR(TRIM(A180&amp;"")="", ISNUMBER(SEARCH("FALTA", A180))), "UPC faltante/inválido", ""), IF(AND(A180&lt;&gt;"", IFERROR(_xlfn.XMATCH(A180,$A$2:$A$1063,0,1)&lt;&gt;_xlfn.XMATCH(A180,$A$2:$A$1063,0,-1),FALSE)), "Código de barras duplicado", ""), IF(AND(E180&lt;&gt;"", COUNTIF($E$2:$E$1063, E180)&gt;1), "SKU duplicado", ""), IF(OR(J180="", J180=""), "[Aviso] División no capturada ()", IF(ISNA(MATCH(J180, Criterios!$A$123:$A$126, 0)), "División no válida", "")), IF(OR(K180="", K180=""), "[Aviso] Categoría no capturada ()", IF(ISNA(MATCH(K180, Criterios!$A$81:$A$120, 0)), "Categoría no válida", IF(AND(J180&lt;&gt;"", J180&lt;&gt;"", J180&lt;&gt;VLOOKUP(K180, Criterios!$A$81:$B$120, 2, FALSE)), "División no coincide con Categoría", ""))), IF(OR(L180="", L180=""), "[Aviso] Género no capturado ()", IF(ISNA(MATCH(L180, Criterios!$B$123:$B$127, 0)), "Género no válido", "")), IF(OR(N180="", N180=""), "[Aviso] Temporada no capturada ()", IF(ISNA(MATCH(N180, Criterios!$C$123:$C$128, 0)), "Temporada no válida", "")), IF(OR(O180="", O180=""), "[Aviso] Ciclo de vida no capturado ()", IF(ISNA(MATCH(O180, Criterios!$D$123:$D$124, 0)), "Ciclo de vida no válido", ""))))</f>
        <v/>
      </c>
      <c r="AC180" s="56" t="n"/>
      <c r="AD180" s="51" t="n">
        <v>2</v>
      </c>
      <c r="AE180" s="156" t="inlineStr">
        <is>
          <t>WB OUTLET LERMA (2)</t>
        </is>
      </c>
      <c r="AF180" s="51" t="n">
        <v>2</v>
      </c>
      <c r="AG180" s="156" t="inlineStr">
        <is>
          <t>Nuevo – NetSuite con existencia</t>
        </is>
      </c>
      <c r="AH180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80" s="156" t="inlineStr">
        <is>
          <t>No</t>
        </is>
      </c>
      <c r="AJ180" s="156" t="n"/>
      <c r="AK180" s="155" t="inlineStr">
        <is>
          <t>ProductosCatalogoEstandar907.xlsx: fila 6098 [L,N,O,S,U,Y]; G1522_Extraccion_Articulos_NetSuite_2026-09-30.xlsx: fila 59451 [M,P,V,Y,S] | Shopify WB: producto 8626599493817 / variante 48347143864505</t>
        </is>
      </c>
      <c r="AL180" s="58" t="n"/>
      <c r="AM180" s="58" t="n">
        <v>1637.068966</v>
      </c>
      <c r="AN180" s="155" t="inlineStr">
        <is>
          <t>Shopify Western Brothers</t>
        </is>
      </c>
      <c r="AO180" s="59" t="n"/>
      <c r="AP180" s="59" t="n">
        <v>2</v>
      </c>
      <c r="AQ180" s="59" t="n"/>
      <c r="AR180" s="155" t="inlineStr">
        <is>
          <t>Shopify Western Brothers › Western Brothers Outlet Lerma: 2</t>
        </is>
      </c>
    </row>
    <row r="181">
      <c r="A181" s="50" t="inlineStr">
        <is>
          <t>7506012604685</t>
        </is>
      </c>
      <c r="B181" s="51" t="inlineStr">
        <is>
          <t>112206</t>
        </is>
      </c>
      <c r="C181" s="156" t="inlineStr">
        <is>
          <t>Multimarca</t>
        </is>
      </c>
      <c r="D181" s="156" t="inlineStr">
        <is>
          <t>WADC0214</t>
        </is>
      </c>
      <c r="E181" s="156" t="inlineStr">
        <is>
          <t>WADC0214-25</t>
        </is>
      </c>
      <c r="F181" s="156" t="inlineStr">
        <is>
          <t>25</t>
        </is>
      </c>
      <c r="G181" s="156" t="inlineStr">
        <is>
          <t>7</t>
        </is>
      </c>
      <c r="H181" s="156" t="inlineStr">
        <is>
          <t>Wrangler</t>
        </is>
      </c>
      <c r="I181" s="156" t="inlineStr">
        <is>
          <t>Botas Wrangler Estrella Negro</t>
        </is>
      </c>
      <c r="J181" s="156" t="inlineStr">
        <is>
          <t>Calzado</t>
        </is>
      </c>
      <c r="K181" s="156" t="inlineStr">
        <is>
          <t>Botas</t>
        </is>
      </c>
      <c r="L181" s="156" t="inlineStr">
        <is>
          <t>Mujer</t>
        </is>
      </c>
      <c r="M181" s="156" t="inlineStr">
        <is>
          <t>Wrangler</t>
        </is>
      </c>
      <c r="N181" s="156" t="inlineStr">
        <is>
          <t>SS26</t>
        </is>
      </c>
      <c r="O181" s="156" t="inlineStr">
        <is>
          <t>Seasonal</t>
        </is>
      </c>
      <c r="P181" s="156" t="inlineStr">
        <is>
          <t>Negro</t>
        </is>
      </c>
      <c r="Q181" s="156" t="n"/>
      <c r="R181" s="156" t="n"/>
      <c r="S181" s="156" t="inlineStr">
        <is>
          <t>100% Piel</t>
        </is>
      </c>
      <c r="T181" s="156" t="inlineStr">
        <is>
          <t>Botas Wrangler Estrella Negro. Bota de la marca Wrangler. Estilo WADC0214.</t>
        </is>
      </c>
      <c r="U181" s="156" t="inlineStr">
        <is>
          <t>México</t>
        </is>
      </c>
      <c r="V181" s="156" t="inlineStr">
        <is>
          <t>PRS</t>
        </is>
      </c>
      <c r="W181" s="51" t="inlineStr">
        <is>
          <t>53111500</t>
        </is>
      </c>
      <c r="X181" s="156" t="n"/>
      <c r="Y181" s="54" t="n">
        <v>818.54</v>
      </c>
      <c r="Z181" s="54" t="n">
        <v>1637.068966</v>
      </c>
      <c r="AA181" s="55">
        <f>IF(AND(A181="", B181="", E181=""), "", IF(AB181="", "Válido", IF((LEN(AB181)-LEN(SUBSTITUTE(AB181,"; ","")))/2+1&gt;(LEN(AB181)-LEN(SUBSTITUTE(AB181,"[Aviso]","")))/7, "Con Incidencias", "Válido")))</f>
        <v/>
      </c>
      <c r="AB181" s="56">
        <f>IF(AND(A181="", B181="", E181=""), "", TEXTJOIN("; ", TRUE, IF(OR(TRIM(A181&amp;"")="", ISNUMBER(SEARCH("FALTA", A181))), "UPC faltante/inválido", ""), IF(AND(A181&lt;&gt;"", IFERROR(_xlfn.XMATCH(A181,$A$2:$A$1063,0,1)&lt;&gt;_xlfn.XMATCH(A181,$A$2:$A$1063,0,-1),FALSE)), "Código de barras duplicado", ""), IF(AND(E181&lt;&gt;"", COUNTIF($E$2:$E$1063, E181)&gt;1), "SKU duplicado", ""), IF(OR(J181="", J181=""), "[Aviso] División no capturada ()", IF(ISNA(MATCH(J181, Criterios!$A$123:$A$126, 0)), "División no válida", "")), IF(OR(K181="", K181=""), "[Aviso] Categoría no capturada ()", IF(ISNA(MATCH(K181, Criterios!$A$81:$A$120, 0)), "Categoría no válida", IF(AND(J181&lt;&gt;"", J181&lt;&gt;"", J181&lt;&gt;VLOOKUP(K181, Criterios!$A$81:$B$120, 2, FALSE)), "División no coincide con Categoría", ""))), IF(OR(L181="", L181=""), "[Aviso] Género no capturado ()", IF(ISNA(MATCH(L181, Criterios!$B$123:$B$127, 0)), "Género no válido", "")), IF(OR(N181="", N181=""), "[Aviso] Temporada no capturada ()", IF(ISNA(MATCH(N181, Criterios!$C$123:$C$128, 0)), "Temporada no válida", "")), IF(OR(O181="", O181=""), "[Aviso] Ciclo de vida no capturado ()", IF(ISNA(MATCH(O181, Criterios!$D$123:$D$124, 0)), "Ciclo de vida no válido", ""))))</f>
        <v/>
      </c>
      <c r="AC181" s="56" t="n"/>
      <c r="AD181" s="51" t="n">
        <v>1</v>
      </c>
      <c r="AE181" s="156" t="inlineStr">
        <is>
          <t>WB OUTLET LERMA (1)</t>
        </is>
      </c>
      <c r="AF181" s="51" t="n">
        <v>1</v>
      </c>
      <c r="AG181" s="156" t="inlineStr">
        <is>
          <t>Nuevo – NetSuite con existencia</t>
        </is>
      </c>
      <c r="AH181" s="156" t="inlineStr">
        <is>
          <t>Género por validar | Revisión 29/09/2026: Campos sin respaldo: R, X; Auditoría NetSuite 30/09/2026: llenado desde NetSuite [M,P,V,Y,S] | 01/10/2026: complementado desde Shopify Western Brothers (match por código de barras): WB Fit</t>
        </is>
      </c>
      <c r="AI181" s="156" t="inlineStr">
        <is>
          <t>No</t>
        </is>
      </c>
      <c r="AJ181" s="156" t="n"/>
      <c r="AK181" s="155" t="inlineStr">
        <is>
          <t>ProductosCatalogoEstandar907.xlsx: fila 6099 [L,N,O,S,U,Y]; G1522_Extraccion_Articulos_NetSuite_2026-09-30.xlsx: fila 59452 [M,P,V,Y,S] | Shopify WB: producto 8626599493817 / variante 48347143897273</t>
        </is>
      </c>
      <c r="AL181" s="58" t="n"/>
      <c r="AM181" s="58" t="n">
        <v>1637.068966</v>
      </c>
      <c r="AN181" s="155" t="inlineStr">
        <is>
          <t>Shopify Western Brothers</t>
        </is>
      </c>
      <c r="AO181" s="59" t="n"/>
      <c r="AP181" s="59" t="n">
        <v>1</v>
      </c>
      <c r="AQ181" s="59" t="n"/>
      <c r="AR181" s="155" t="inlineStr">
        <is>
          <t>Shopify Western Brothers › Western Brothers Outlet Lerma: 1</t>
        </is>
      </c>
    </row>
    <row r="182">
      <c r="A182" s="50" t="inlineStr">
        <is>
          <t>7506012605248</t>
        </is>
      </c>
      <c r="B182" s="51" t="inlineStr">
        <is>
          <t>112197</t>
        </is>
      </c>
      <c r="C182" s="156" t="inlineStr">
        <is>
          <t>Multimarca</t>
        </is>
      </c>
      <c r="D182" s="156" t="inlineStr">
        <is>
          <t>WADC0215-1</t>
        </is>
      </c>
      <c r="E182" s="156" t="inlineStr">
        <is>
          <t>WADC0215-1-23-112197</t>
        </is>
      </c>
      <c r="F182" s="156" t="inlineStr">
        <is>
          <t>23</t>
        </is>
      </c>
      <c r="G182" s="156" t="inlineStr">
        <is>
          <t>5</t>
        </is>
      </c>
      <c r="H182" s="156" t="inlineStr">
        <is>
          <t>Wrangler</t>
        </is>
      </c>
      <c r="I182" s="156" t="inlineStr">
        <is>
          <t>Botas Wrangler Nova Café</t>
        </is>
      </c>
      <c r="J182" s="156" t="inlineStr">
        <is>
          <t>Calzado</t>
        </is>
      </c>
      <c r="K182" s="156" t="inlineStr">
        <is>
          <t>Botas</t>
        </is>
      </c>
      <c r="L182" s="156" t="inlineStr">
        <is>
          <t>Mujer</t>
        </is>
      </c>
      <c r="M182" s="156" t="inlineStr">
        <is>
          <t>Wrangler</t>
        </is>
      </c>
      <c r="N182" s="156" t="inlineStr">
        <is>
          <t>SS26</t>
        </is>
      </c>
      <c r="O182" s="156" t="inlineStr">
        <is>
          <t>Seasonal</t>
        </is>
      </c>
      <c r="P182" s="156" t="inlineStr">
        <is>
          <t>Gris</t>
        </is>
      </c>
      <c r="Q182" s="156" t="n"/>
      <c r="R182" s="156" t="n"/>
      <c r="S182" s="156" t="inlineStr">
        <is>
          <t>100% Piel</t>
        </is>
      </c>
      <c r="T182" s="156" t="inlineStr">
        <is>
          <t>Botas Wrangler Nova Café. Bota de la marca Wrangler. Estilo WADC0215-1.</t>
        </is>
      </c>
      <c r="U182" s="156" t="inlineStr">
        <is>
          <t>México</t>
        </is>
      </c>
      <c r="V182" s="156" t="inlineStr">
        <is>
          <t>PRS</t>
        </is>
      </c>
      <c r="W182" s="51" t="inlineStr">
        <is>
          <t>53111500</t>
        </is>
      </c>
      <c r="X182" s="156" t="n"/>
      <c r="Y182" s="54" t="n">
        <v>861.64</v>
      </c>
      <c r="Z182" s="54" t="n">
        <v>1723.275862</v>
      </c>
      <c r="AA182" s="55">
        <f>IF(AND(A182="", B182="", E182=""), "", IF(AB182="", "Válido", IF((LEN(AB182)-LEN(SUBSTITUTE(AB182,"; ","")))/2+1&gt;(LEN(AB182)-LEN(SUBSTITUTE(AB182,"[Aviso]","")))/7, "Con Incidencias", "Válido")))</f>
        <v/>
      </c>
      <c r="AB182" s="56">
        <f>IF(AND(A182="", B182="", E182=""), "", TEXTJOIN("; ", TRUE, IF(OR(TRIM(A182&amp;"")="", ISNUMBER(SEARCH("FALTA", A182))), "UPC faltante/inválido", ""), IF(AND(A182&lt;&gt;"", IFERROR(_xlfn.XMATCH(A182,$A$2:$A$1063,0,1)&lt;&gt;_xlfn.XMATCH(A182,$A$2:$A$1063,0,-1),FALSE)), "Código de barras duplicado", ""), IF(AND(E182&lt;&gt;"", COUNTIF($E$2:$E$1063, E182)&gt;1), "SKU duplicado", ""), IF(OR(J182="", J182=""), "[Aviso] División no capturada ()", IF(ISNA(MATCH(J182, Criterios!$A$123:$A$126, 0)), "División no válida", "")), IF(OR(K182="", K182=""), "[Aviso] Categoría no capturada ()", IF(ISNA(MATCH(K182, Criterios!$A$81:$A$120, 0)), "Categoría no válida", IF(AND(J182&lt;&gt;"", J182&lt;&gt;"", J182&lt;&gt;VLOOKUP(K182, Criterios!$A$81:$B$120, 2, FALSE)), "División no coincide con Categoría", ""))), IF(OR(L182="", L182=""), "[Aviso] Género no capturado ()", IF(ISNA(MATCH(L182, Criterios!$B$123:$B$127, 0)), "Género no válido", "")), IF(OR(N182="", N182=""), "[Aviso] Temporada no capturada ()", IF(ISNA(MATCH(N182, Criterios!$C$123:$C$128, 0)), "Temporada no válida", "")), IF(OR(O182="", O182=""), "[Aviso] Ciclo de vida no capturado ()", IF(ISNA(MATCH(O182, Criterios!$D$123:$D$124, 0)), "Ciclo de vida no válido", ""))))</f>
        <v/>
      </c>
      <c r="AC182" s="56" t="n"/>
      <c r="AD182" s="51" t="n">
        <v>0</v>
      </c>
      <c r="AE182" s="156" t="n"/>
      <c r="AF182" s="51" t="n">
        <v>0</v>
      </c>
      <c r="AG182" s="156" t="inlineStr">
        <is>
          <t>Nuevo – NetSuite sin existencia</t>
        </is>
      </c>
      <c r="AH182" s="156" t="inlineStr">
        <is>
          <t>Género por validar; SKU base «WADC0215-1-23» repetido en NetSuite; se agregó el ID interno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82" s="156" t="inlineStr">
        <is>
          <t>No</t>
        </is>
      </c>
      <c r="AJ182" s="156" t="n"/>
      <c r="AK182" s="155" t="inlineStr">
        <is>
          <t>ProductosCatalogoEstandar907.xlsx: fila 6105 [L,N,O,S,U,Y]; G1522_Extraccion_Articulos_NetSuite_2026-09-30.xlsx: fila 59443 [M,P,V,Y,S] | Shopify WB: producto 8626599755961 / variante 48347155038393</t>
        </is>
      </c>
      <c r="AL182" s="58" t="n"/>
      <c r="AM182" s="58" t="n">
        <v>1723.275862</v>
      </c>
      <c r="AN182" s="155" t="inlineStr">
        <is>
          <t>Shopify Western Brothers</t>
        </is>
      </c>
      <c r="AO182" s="59" t="n"/>
      <c r="AP182" s="59" t="n">
        <v>0</v>
      </c>
      <c r="AQ182" s="59" t="n"/>
      <c r="AR182" s="155" t="n"/>
    </row>
    <row r="183">
      <c r="A183" s="50" t="inlineStr">
        <is>
          <t>7506012605255</t>
        </is>
      </c>
      <c r="B183" s="51" t="inlineStr">
        <is>
          <t>112198</t>
        </is>
      </c>
      <c r="C183" s="156" t="inlineStr">
        <is>
          <t>Multimarca</t>
        </is>
      </c>
      <c r="D183" s="156" t="inlineStr">
        <is>
          <t>WADC0215-1</t>
        </is>
      </c>
      <c r="E183" s="156" t="inlineStr">
        <is>
          <t>WADC0215-1-23.5-112198</t>
        </is>
      </c>
      <c r="F183" s="156" t="inlineStr">
        <is>
          <t>23.5</t>
        </is>
      </c>
      <c r="G183" s="156" t="inlineStr">
        <is>
          <t>5.5</t>
        </is>
      </c>
      <c r="H183" s="156" t="inlineStr">
        <is>
          <t>Wrangler</t>
        </is>
      </c>
      <c r="I183" s="156" t="inlineStr">
        <is>
          <t>Botas Wrangler Nova Café</t>
        </is>
      </c>
      <c r="J183" s="156" t="inlineStr">
        <is>
          <t>Calzado</t>
        </is>
      </c>
      <c r="K183" s="156" t="inlineStr">
        <is>
          <t>Botas</t>
        </is>
      </c>
      <c r="L183" s="156" t="inlineStr">
        <is>
          <t>Mujer</t>
        </is>
      </c>
      <c r="M183" s="156" t="inlineStr">
        <is>
          <t>Wrangler</t>
        </is>
      </c>
      <c r="N183" s="156" t="inlineStr">
        <is>
          <t>SS26</t>
        </is>
      </c>
      <c r="O183" s="156" t="inlineStr">
        <is>
          <t>Seasonal</t>
        </is>
      </c>
      <c r="P183" s="156" t="inlineStr">
        <is>
          <t>Gris</t>
        </is>
      </c>
      <c r="Q183" s="156" t="n"/>
      <c r="R183" s="156" t="n"/>
      <c r="S183" s="156" t="inlineStr">
        <is>
          <t>100% Piel</t>
        </is>
      </c>
      <c r="T183" s="156" t="inlineStr">
        <is>
          <t>Botas Wrangler Nova Café. Bota de la marca Wrangler. Estilo WADC0215-1.</t>
        </is>
      </c>
      <c r="U183" s="156" t="inlineStr">
        <is>
          <t>México</t>
        </is>
      </c>
      <c r="V183" s="156" t="inlineStr">
        <is>
          <t>PRS</t>
        </is>
      </c>
      <c r="W183" s="51" t="inlineStr">
        <is>
          <t>53111500</t>
        </is>
      </c>
      <c r="X183" s="156" t="n"/>
      <c r="Y183" s="54" t="n">
        <v>861.64</v>
      </c>
      <c r="Z183" s="54" t="n">
        <v>1723.275862</v>
      </c>
      <c r="AA183" s="55">
        <f>IF(AND(A183="", B183="", E183=""), "", IF(AB183="", "Válido", IF((LEN(AB183)-LEN(SUBSTITUTE(AB183,"; ","")))/2+1&gt;(LEN(AB183)-LEN(SUBSTITUTE(AB183,"[Aviso]","")))/7, "Con Incidencias", "Válido")))</f>
        <v/>
      </c>
      <c r="AB183" s="56">
        <f>IF(AND(A183="", B183="", E183=""), "", TEXTJOIN("; ", TRUE, IF(OR(TRIM(A183&amp;"")="", ISNUMBER(SEARCH("FALTA", A183))), "UPC faltante/inválido", ""), IF(AND(A183&lt;&gt;"", IFERROR(_xlfn.XMATCH(A183,$A$2:$A$1063,0,1)&lt;&gt;_xlfn.XMATCH(A183,$A$2:$A$1063,0,-1),FALSE)), "Código de barras duplicado", ""), IF(AND(E183&lt;&gt;"", COUNTIF($E$2:$E$1063, E183)&gt;1), "SKU duplicado", ""), IF(OR(J183="", J183=""), "[Aviso] División no capturada ()", IF(ISNA(MATCH(J183, Criterios!$A$123:$A$126, 0)), "División no válida", "")), IF(OR(K183="", K183=""), "[Aviso] Categoría no capturada ()", IF(ISNA(MATCH(K183, Criterios!$A$81:$A$120, 0)), "Categoría no válida", IF(AND(J183&lt;&gt;"", J183&lt;&gt;"", J183&lt;&gt;VLOOKUP(K183, Criterios!$A$81:$B$120, 2, FALSE)), "División no coincide con Categoría", ""))), IF(OR(L183="", L183=""), "[Aviso] Género no capturado ()", IF(ISNA(MATCH(L183, Criterios!$B$123:$B$127, 0)), "Género no válido", "")), IF(OR(N183="", N183=""), "[Aviso] Temporada no capturada ()", IF(ISNA(MATCH(N183, Criterios!$C$123:$C$128, 0)), "Temporada no válida", "")), IF(OR(O183="", O183=""), "[Aviso] Ciclo de vida no capturado ()", IF(ISNA(MATCH(O183, Criterios!$D$123:$D$124, 0)), "Ciclo de vida no válido", ""))))</f>
        <v/>
      </c>
      <c r="AC183" s="56" t="n"/>
      <c r="AD183" s="51" t="n">
        <v>0</v>
      </c>
      <c r="AE183" s="156" t="n"/>
      <c r="AF183" s="51" t="n">
        <v>0</v>
      </c>
      <c r="AG183" s="156" t="inlineStr">
        <is>
          <t>Nuevo – NetSuite sin existencia</t>
        </is>
      </c>
      <c r="AH183" s="156" t="inlineStr">
        <is>
          <t>Género por validar; SKU base «WADC0215-1-23.5» repetido en NetSuite; se agregó el ID interno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83" s="156" t="inlineStr">
        <is>
          <t>No</t>
        </is>
      </c>
      <c r="AJ183" s="156" t="n"/>
      <c r="AK183" s="155" t="inlineStr">
        <is>
          <t>ProductosCatalogoEstandar907.xlsx: fila 6106 [L,N,O,S,U,Y]; G1522_Extraccion_Articulos_NetSuite_2026-09-30.xlsx: fila 59444 [M,P,V,Y,S] | Shopify WB: producto 8626599755961 / variante 48347155071161</t>
        </is>
      </c>
      <c r="AL183" s="58" t="n"/>
      <c r="AM183" s="58" t="n">
        <v>1723.275862</v>
      </c>
      <c r="AN183" s="155" t="inlineStr">
        <is>
          <t>Shopify Western Brothers</t>
        </is>
      </c>
      <c r="AO183" s="59" t="n"/>
      <c r="AP183" s="59" t="n">
        <v>0</v>
      </c>
      <c r="AQ183" s="59" t="n"/>
      <c r="AR183" s="155" t="n"/>
    </row>
    <row r="184">
      <c r="A184" s="50" t="inlineStr">
        <is>
          <t>7506012605262</t>
        </is>
      </c>
      <c r="B184" s="51" t="inlineStr">
        <is>
          <t>112199</t>
        </is>
      </c>
      <c r="C184" s="156" t="inlineStr">
        <is>
          <t>Multimarca</t>
        </is>
      </c>
      <c r="D184" s="156" t="inlineStr">
        <is>
          <t>WADC0215-1</t>
        </is>
      </c>
      <c r="E184" s="156" t="inlineStr">
        <is>
          <t>WADC0215-1-24-112199</t>
        </is>
      </c>
      <c r="F184" s="156" t="inlineStr">
        <is>
          <t>24</t>
        </is>
      </c>
      <c r="G184" s="156" t="inlineStr">
        <is>
          <t>6</t>
        </is>
      </c>
      <c r="H184" s="156" t="inlineStr">
        <is>
          <t>Wrangler</t>
        </is>
      </c>
      <c r="I184" s="156" t="inlineStr">
        <is>
          <t>Botas Wrangler Nova Café</t>
        </is>
      </c>
      <c r="J184" s="156" t="inlineStr">
        <is>
          <t>Calzado</t>
        </is>
      </c>
      <c r="K184" s="156" t="inlineStr">
        <is>
          <t>Botas</t>
        </is>
      </c>
      <c r="L184" s="156" t="inlineStr">
        <is>
          <t>Mujer</t>
        </is>
      </c>
      <c r="M184" s="156" t="inlineStr">
        <is>
          <t>Wrangler</t>
        </is>
      </c>
      <c r="N184" s="156" t="inlineStr">
        <is>
          <t>SS26</t>
        </is>
      </c>
      <c r="O184" s="156" t="inlineStr">
        <is>
          <t>Seasonal</t>
        </is>
      </c>
      <c r="P184" s="156" t="inlineStr">
        <is>
          <t>Gris</t>
        </is>
      </c>
      <c r="Q184" s="156" t="n"/>
      <c r="R184" s="156" t="n"/>
      <c r="S184" s="156" t="inlineStr">
        <is>
          <t>100% Piel</t>
        </is>
      </c>
      <c r="T184" s="156" t="inlineStr">
        <is>
          <t>Botas Wrangler Nova Café. Bota de la marca Wrangler. Estilo WADC0215-1.</t>
        </is>
      </c>
      <c r="U184" s="156" t="inlineStr">
        <is>
          <t>México</t>
        </is>
      </c>
      <c r="V184" s="156" t="inlineStr">
        <is>
          <t>PRS</t>
        </is>
      </c>
      <c r="W184" s="51" t="inlineStr">
        <is>
          <t>53111500</t>
        </is>
      </c>
      <c r="X184" s="156" t="n"/>
      <c r="Y184" s="54" t="n">
        <v>861.64</v>
      </c>
      <c r="Z184" s="54" t="n">
        <v>1723.275862</v>
      </c>
      <c r="AA184" s="55">
        <f>IF(AND(A184="", B184="", E184=""), "", IF(AB184="", "Válido", IF((LEN(AB184)-LEN(SUBSTITUTE(AB184,"; ","")))/2+1&gt;(LEN(AB184)-LEN(SUBSTITUTE(AB184,"[Aviso]","")))/7, "Con Incidencias", "Válido")))</f>
        <v/>
      </c>
      <c r="AB184" s="56">
        <f>IF(AND(A184="", B184="", E184=""), "", TEXTJOIN("; ", TRUE, IF(OR(TRIM(A184&amp;"")="", ISNUMBER(SEARCH("FALTA", A184))), "UPC faltante/inválido", ""), IF(AND(A184&lt;&gt;"", IFERROR(_xlfn.XMATCH(A184,$A$2:$A$1063,0,1)&lt;&gt;_xlfn.XMATCH(A184,$A$2:$A$1063,0,-1),FALSE)), "Código de barras duplicado", ""), IF(AND(E184&lt;&gt;"", COUNTIF($E$2:$E$1063, E184)&gt;1), "SKU duplicado", ""), IF(OR(J184="", J184=""), "[Aviso] División no capturada ()", IF(ISNA(MATCH(J184, Criterios!$A$123:$A$126, 0)), "División no válida", "")), IF(OR(K184="", K184=""), "[Aviso] Categoría no capturada ()", IF(ISNA(MATCH(K184, Criterios!$A$81:$A$120, 0)), "Categoría no válida", IF(AND(J184&lt;&gt;"", J184&lt;&gt;"", J184&lt;&gt;VLOOKUP(K184, Criterios!$A$81:$B$120, 2, FALSE)), "División no coincide con Categoría", ""))), IF(OR(L184="", L184=""), "[Aviso] Género no capturado ()", IF(ISNA(MATCH(L184, Criterios!$B$123:$B$127, 0)), "Género no válido", "")), IF(OR(N184="", N184=""), "[Aviso] Temporada no capturada ()", IF(ISNA(MATCH(N184, Criterios!$C$123:$C$128, 0)), "Temporada no válida", "")), IF(OR(O184="", O184=""), "[Aviso] Ciclo de vida no capturado ()", IF(ISNA(MATCH(O184, Criterios!$D$123:$D$124, 0)), "Ciclo de vida no válido", ""))))</f>
        <v/>
      </c>
      <c r="AC184" s="56" t="n"/>
      <c r="AD184" s="51" t="n">
        <v>0</v>
      </c>
      <c r="AE184" s="156" t="n"/>
      <c r="AF184" s="51" t="n">
        <v>0</v>
      </c>
      <c r="AG184" s="156" t="inlineStr">
        <is>
          <t>Nuevo – NetSuite sin existencia</t>
        </is>
      </c>
      <c r="AH184" s="156" t="inlineStr">
        <is>
          <t>Género por validar; SKU base «WADC0215-1-24» repetido en NetSuite; se agregó el ID interno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84" s="156" t="inlineStr">
        <is>
          <t>No</t>
        </is>
      </c>
      <c r="AJ184" s="156" t="n"/>
      <c r="AK184" s="155" t="inlineStr">
        <is>
          <t>ProductosCatalogoEstandar907.xlsx: fila 6107 [L,N,O,S,U,Y]; G1522_Extraccion_Articulos_NetSuite_2026-09-30.xlsx: fila 59445 [M,P,V,Y,S] | Shopify WB: producto 8626599755961 / variante 48347155103929</t>
        </is>
      </c>
      <c r="AL184" s="58" t="n"/>
      <c r="AM184" s="58" t="n">
        <v>1723.275862</v>
      </c>
      <c r="AN184" s="155" t="inlineStr">
        <is>
          <t>Shopify Western Brothers</t>
        </is>
      </c>
      <c r="AO184" s="59" t="n"/>
      <c r="AP184" s="59" t="n">
        <v>0</v>
      </c>
      <c r="AQ184" s="59" t="n"/>
      <c r="AR184" s="155" t="n"/>
    </row>
    <row r="185">
      <c r="A185" s="50" t="inlineStr">
        <is>
          <t>7506012605279</t>
        </is>
      </c>
      <c r="B185" s="51" t="inlineStr">
        <is>
          <t>112200</t>
        </is>
      </c>
      <c r="C185" s="156" t="inlineStr">
        <is>
          <t>Multimarca</t>
        </is>
      </c>
      <c r="D185" s="156" t="inlineStr">
        <is>
          <t>WADC0215-1</t>
        </is>
      </c>
      <c r="E185" s="156" t="inlineStr">
        <is>
          <t>WADC0215-1-24.5-112200</t>
        </is>
      </c>
      <c r="F185" s="156" t="inlineStr">
        <is>
          <t>24.5</t>
        </is>
      </c>
      <c r="G185" s="156" t="inlineStr">
        <is>
          <t>6.5</t>
        </is>
      </c>
      <c r="H185" s="156" t="inlineStr">
        <is>
          <t>Wrangler</t>
        </is>
      </c>
      <c r="I185" s="156" t="inlineStr">
        <is>
          <t>Botas Wrangler Nova Café</t>
        </is>
      </c>
      <c r="J185" s="156" t="inlineStr">
        <is>
          <t>Calzado</t>
        </is>
      </c>
      <c r="K185" s="156" t="inlineStr">
        <is>
          <t>Botas</t>
        </is>
      </c>
      <c r="L185" s="156" t="inlineStr">
        <is>
          <t>Mujer</t>
        </is>
      </c>
      <c r="M185" s="156" t="inlineStr">
        <is>
          <t>Wrangler</t>
        </is>
      </c>
      <c r="N185" s="156" t="inlineStr">
        <is>
          <t>SS26</t>
        </is>
      </c>
      <c r="O185" s="156" t="inlineStr">
        <is>
          <t>Seasonal</t>
        </is>
      </c>
      <c r="P185" s="156" t="inlineStr">
        <is>
          <t>Gris</t>
        </is>
      </c>
      <c r="Q185" s="156" t="n"/>
      <c r="R185" s="156" t="n"/>
      <c r="S185" s="156" t="inlineStr">
        <is>
          <t>100% Piel</t>
        </is>
      </c>
      <c r="T185" s="156" t="inlineStr">
        <is>
          <t>Botas Wrangler Nova Café. Bota de la marca Wrangler. Estilo WADC0215-1.</t>
        </is>
      </c>
      <c r="U185" s="156" t="inlineStr">
        <is>
          <t>México</t>
        </is>
      </c>
      <c r="V185" s="156" t="inlineStr">
        <is>
          <t>PRS</t>
        </is>
      </c>
      <c r="W185" s="51" t="inlineStr">
        <is>
          <t>53111500</t>
        </is>
      </c>
      <c r="X185" s="156" t="n"/>
      <c r="Y185" s="54" t="n">
        <v>861.64</v>
      </c>
      <c r="Z185" s="54" t="n">
        <v>1723.275862</v>
      </c>
      <c r="AA185" s="55">
        <f>IF(AND(A185="", B185="", E185=""), "", IF(AB185="", "Válido", IF((LEN(AB185)-LEN(SUBSTITUTE(AB185,"; ","")))/2+1&gt;(LEN(AB185)-LEN(SUBSTITUTE(AB185,"[Aviso]","")))/7, "Con Incidencias", "Válido")))</f>
        <v/>
      </c>
      <c r="AB185" s="56">
        <f>IF(AND(A185="", B185="", E185=""), "", TEXTJOIN("; ", TRUE, IF(OR(TRIM(A185&amp;"")="", ISNUMBER(SEARCH("FALTA", A185))), "UPC faltante/inválido", ""), IF(AND(A185&lt;&gt;"", IFERROR(_xlfn.XMATCH(A185,$A$2:$A$1063,0,1)&lt;&gt;_xlfn.XMATCH(A185,$A$2:$A$1063,0,-1),FALSE)), "Código de barras duplicado", ""), IF(AND(E185&lt;&gt;"", COUNTIF($E$2:$E$1063, E185)&gt;1), "SKU duplicado", ""), IF(OR(J185="", J185=""), "[Aviso] División no capturada ()", IF(ISNA(MATCH(J185, Criterios!$A$123:$A$126, 0)), "División no válida", "")), IF(OR(K185="", K185=""), "[Aviso] Categoría no capturada ()", IF(ISNA(MATCH(K185, Criterios!$A$81:$A$120, 0)), "Categoría no válida", IF(AND(J185&lt;&gt;"", J185&lt;&gt;"", J185&lt;&gt;VLOOKUP(K185, Criterios!$A$81:$B$120, 2, FALSE)), "División no coincide con Categoría", ""))), IF(OR(L185="", L185=""), "[Aviso] Género no capturado ()", IF(ISNA(MATCH(L185, Criterios!$B$123:$B$127, 0)), "Género no válido", "")), IF(OR(N185="", N185=""), "[Aviso] Temporada no capturada ()", IF(ISNA(MATCH(N185, Criterios!$C$123:$C$128, 0)), "Temporada no válida", "")), IF(OR(O185="", O185=""), "[Aviso] Ciclo de vida no capturado ()", IF(ISNA(MATCH(O185, Criterios!$D$123:$D$124, 0)), "Ciclo de vida no válido", ""))))</f>
        <v/>
      </c>
      <c r="AC185" s="56" t="n"/>
      <c r="AD185" s="51" t="n">
        <v>1</v>
      </c>
      <c r="AE185" s="156" t="inlineStr">
        <is>
          <t>WB OUTLET LERMA (1)</t>
        </is>
      </c>
      <c r="AF185" s="51" t="n">
        <v>1</v>
      </c>
      <c r="AG185" s="156" t="inlineStr">
        <is>
          <t>Nuevo – NetSuite con existencia</t>
        </is>
      </c>
      <c r="AH185" s="156" t="inlineStr">
        <is>
          <t>Género por validar; SKU base «WADC0215-1-24.5» repetido en NetSuite; se agregó el ID interno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85" s="156" t="inlineStr">
        <is>
          <t>No</t>
        </is>
      </c>
      <c r="AJ185" s="156" t="n"/>
      <c r="AK185" s="155" t="inlineStr">
        <is>
          <t>ProductosCatalogoEstandar907.xlsx: fila 6108 [L,N,O,S,U,Y]; G1522_Extraccion_Articulos_NetSuite_2026-09-30.xlsx: fila 59446 [M,P,V,Y,S] | Shopify WB: producto 8626599755961 / variante 48347155136697</t>
        </is>
      </c>
      <c r="AL185" s="58" t="n"/>
      <c r="AM185" s="58" t="n">
        <v>1723.275862</v>
      </c>
      <c r="AN185" s="155" t="inlineStr">
        <is>
          <t>Shopify Western Brothers</t>
        </is>
      </c>
      <c r="AO185" s="59" t="n"/>
      <c r="AP185" s="59" t="n">
        <v>0</v>
      </c>
      <c r="AQ185" s="59" t="n"/>
      <c r="AR185" s="155" t="n"/>
    </row>
    <row r="186">
      <c r="A186" s="50" t="inlineStr">
        <is>
          <t>7506012605286</t>
        </is>
      </c>
      <c r="B186" s="51" t="inlineStr">
        <is>
          <t>112201</t>
        </is>
      </c>
      <c r="C186" s="156" t="inlineStr">
        <is>
          <t>Multimarca</t>
        </is>
      </c>
      <c r="D186" s="156" t="inlineStr">
        <is>
          <t>WADC0215-1</t>
        </is>
      </c>
      <c r="E186" s="156" t="inlineStr">
        <is>
          <t>WADC0215-1-25-112201</t>
        </is>
      </c>
      <c r="F186" s="156" t="inlineStr">
        <is>
          <t>25</t>
        </is>
      </c>
      <c r="G186" s="156" t="inlineStr">
        <is>
          <t>7</t>
        </is>
      </c>
      <c r="H186" s="156" t="inlineStr">
        <is>
          <t>Wrangler</t>
        </is>
      </c>
      <c r="I186" s="156" t="inlineStr">
        <is>
          <t>Botas Wrangler Nova Café</t>
        </is>
      </c>
      <c r="J186" s="156" t="inlineStr">
        <is>
          <t>Calzado</t>
        </is>
      </c>
      <c r="K186" s="156" t="inlineStr">
        <is>
          <t>Botas</t>
        </is>
      </c>
      <c r="L186" s="156" t="inlineStr">
        <is>
          <t>Mujer</t>
        </is>
      </c>
      <c r="M186" s="156" t="inlineStr">
        <is>
          <t>Wrangler</t>
        </is>
      </c>
      <c r="N186" s="156" t="inlineStr">
        <is>
          <t>SS26</t>
        </is>
      </c>
      <c r="O186" s="156" t="inlineStr">
        <is>
          <t>Seasonal</t>
        </is>
      </c>
      <c r="P186" s="156" t="inlineStr">
        <is>
          <t>Gris</t>
        </is>
      </c>
      <c r="Q186" s="156" t="n"/>
      <c r="R186" s="156" t="n"/>
      <c r="S186" s="156" t="inlineStr">
        <is>
          <t>100% Piel</t>
        </is>
      </c>
      <c r="T186" s="156" t="inlineStr">
        <is>
          <t>Botas Wrangler Nova Café. Bota de la marca Wrangler. Estilo WADC0215-1.</t>
        </is>
      </c>
      <c r="U186" s="156" t="inlineStr">
        <is>
          <t>México</t>
        </is>
      </c>
      <c r="V186" s="156" t="inlineStr">
        <is>
          <t>PRS</t>
        </is>
      </c>
      <c r="W186" s="51" t="inlineStr">
        <is>
          <t>53111500</t>
        </is>
      </c>
      <c r="X186" s="156" t="n"/>
      <c r="Y186" s="54" t="n">
        <v>861.64</v>
      </c>
      <c r="Z186" s="54" t="n">
        <v>1723.275862</v>
      </c>
      <c r="AA186" s="55">
        <f>IF(AND(A186="", B186="", E186=""), "", IF(AB186="", "Válido", IF((LEN(AB186)-LEN(SUBSTITUTE(AB186,"; ","")))/2+1&gt;(LEN(AB186)-LEN(SUBSTITUTE(AB186,"[Aviso]","")))/7, "Con Incidencias", "Válido")))</f>
        <v/>
      </c>
      <c r="AB186" s="56">
        <f>IF(AND(A186="", B186="", E186=""), "", TEXTJOIN("; ", TRUE, IF(OR(TRIM(A186&amp;"")="", ISNUMBER(SEARCH("FALTA", A186))), "UPC faltante/inválido", ""), IF(AND(A186&lt;&gt;"", IFERROR(_xlfn.XMATCH(A186,$A$2:$A$1063,0,1)&lt;&gt;_xlfn.XMATCH(A186,$A$2:$A$1063,0,-1),FALSE)), "Código de barras duplicado", ""), IF(AND(E186&lt;&gt;"", COUNTIF($E$2:$E$1063, E186)&gt;1), "SKU duplicado", ""), IF(OR(J186="", J186=""), "[Aviso] División no capturada ()", IF(ISNA(MATCH(J186, Criterios!$A$123:$A$126, 0)), "División no válida", "")), IF(OR(K186="", K186=""), "[Aviso] Categoría no capturada ()", IF(ISNA(MATCH(K186, Criterios!$A$81:$A$120, 0)), "Categoría no válida", IF(AND(J186&lt;&gt;"", J186&lt;&gt;"", J186&lt;&gt;VLOOKUP(K186, Criterios!$A$81:$B$120, 2, FALSE)), "División no coincide con Categoría", ""))), IF(OR(L186="", L186=""), "[Aviso] Género no capturado ()", IF(ISNA(MATCH(L186, Criterios!$B$123:$B$127, 0)), "Género no válido", "")), IF(OR(N186="", N186=""), "[Aviso] Temporada no capturada ()", IF(ISNA(MATCH(N186, Criterios!$C$123:$C$128, 0)), "Temporada no válida", "")), IF(OR(O186="", O186=""), "[Aviso] Ciclo de vida no capturado ()", IF(ISNA(MATCH(O186, Criterios!$D$123:$D$124, 0)), "Ciclo de vida no válido", ""))))</f>
        <v/>
      </c>
      <c r="AC186" s="56" t="n"/>
      <c r="AD186" s="51" t="n">
        <v>0</v>
      </c>
      <c r="AE186" s="156" t="n"/>
      <c r="AF186" s="51" t="n">
        <v>0</v>
      </c>
      <c r="AG186" s="156" t="inlineStr">
        <is>
          <t>Nuevo – NetSuite sin existencia</t>
        </is>
      </c>
      <c r="AH186" s="156" t="inlineStr">
        <is>
          <t>Género por validar; SKU base «WADC0215-1-25» repetido en NetSuite; se agregó el ID interno | Revisión 29/09/2026: Campos sin respaldo: R, X; Auditoría NetSuite 30/09/2026: llenado desde NetSuite [M,P,V,Y,S] | 01/10/2026: complementado desde Shopify Western Brothers (match por código de barras): WB Fit</t>
        </is>
      </c>
      <c r="AI186" s="156" t="inlineStr">
        <is>
          <t>No</t>
        </is>
      </c>
      <c r="AJ186" s="156" t="n"/>
      <c r="AK186" s="155" t="inlineStr">
        <is>
          <t>ProductosCatalogoEstandar907.xlsx: fila 6109 [L,N,O,S,U,Y]; G1522_Extraccion_Articulos_NetSuite_2026-09-30.xlsx: fila 59447 [M,P,V,Y,S] | Shopify WB: producto 8626599755961 / variante 48347155169465</t>
        </is>
      </c>
      <c r="AL186" s="58" t="n"/>
      <c r="AM186" s="58" t="n">
        <v>1723.275862</v>
      </c>
      <c r="AN186" s="155" t="inlineStr">
        <is>
          <t>Shopify Western Brothers</t>
        </is>
      </c>
      <c r="AO186" s="59" t="n"/>
      <c r="AP186" s="59" t="n">
        <v>0</v>
      </c>
      <c r="AQ186" s="59" t="n"/>
      <c r="AR186" s="155" t="n"/>
    </row>
    <row r="187">
      <c r="A187" s="50" t="inlineStr">
        <is>
          <t>7506012605125</t>
        </is>
      </c>
      <c r="B187" s="51" t="inlineStr">
        <is>
          <t>112225</t>
        </is>
      </c>
      <c r="C187" s="156" t="inlineStr">
        <is>
          <t>Multimarca</t>
        </is>
      </c>
      <c r="D187" s="156" t="inlineStr">
        <is>
          <t>WADC0215-1</t>
        </is>
      </c>
      <c r="E187" s="156" t="inlineStr">
        <is>
          <t>WADC0215-1-23-112225</t>
        </is>
      </c>
      <c r="F187" s="156" t="inlineStr">
        <is>
          <t>23</t>
        </is>
      </c>
      <c r="G187" s="156" t="inlineStr">
        <is>
          <t>5</t>
        </is>
      </c>
      <c r="H187" s="156" t="inlineStr">
        <is>
          <t>Wrangler</t>
        </is>
      </c>
      <c r="I187" s="156" t="inlineStr">
        <is>
          <t>Botas Wrangler Nova Café</t>
        </is>
      </c>
      <c r="J187" s="156" t="inlineStr">
        <is>
          <t>Calzado</t>
        </is>
      </c>
      <c r="K187" s="156" t="inlineStr">
        <is>
          <t>Botas</t>
        </is>
      </c>
      <c r="L187" s="156" t="inlineStr">
        <is>
          <t>Mujer</t>
        </is>
      </c>
      <c r="M187" s="156" t="inlineStr">
        <is>
          <t>Wrangler</t>
        </is>
      </c>
      <c r="N187" s="156" t="inlineStr">
        <is>
          <t>SS26</t>
        </is>
      </c>
      <c r="O187" s="156" t="inlineStr">
        <is>
          <t>Seasonal</t>
        </is>
      </c>
      <c r="P187" s="156" t="inlineStr">
        <is>
          <t>Cafe</t>
        </is>
      </c>
      <c r="Q187" s="156" t="n"/>
      <c r="R187" s="156" t="n"/>
      <c r="S187" s="156" t="inlineStr">
        <is>
          <t>100% Piel</t>
        </is>
      </c>
      <c r="T187" s="156" t="inlineStr">
        <is>
          <t>Botas Wrangler Nova Café. Bota de la marca Wrangler. Estilo WADC0215-1.</t>
        </is>
      </c>
      <c r="U187" s="156" t="inlineStr">
        <is>
          <t>México</t>
        </is>
      </c>
      <c r="V187" s="156" t="inlineStr">
        <is>
          <t>PRS</t>
        </is>
      </c>
      <c r="W187" s="51" t="inlineStr">
        <is>
          <t>53111500</t>
        </is>
      </c>
      <c r="X187" s="156" t="n"/>
      <c r="Y187" s="54" t="n">
        <v>861.64</v>
      </c>
      <c r="Z187" s="54" t="n">
        <v>1723.275862</v>
      </c>
      <c r="AA187" s="55">
        <f>IF(AND(A187="", B187="", E187=""), "", IF(AB187="", "Válido", IF((LEN(AB187)-LEN(SUBSTITUTE(AB187,"; ","")))/2+1&gt;(LEN(AB187)-LEN(SUBSTITUTE(AB187,"[Aviso]","")))/7, "Con Incidencias", "Válido")))</f>
        <v/>
      </c>
      <c r="AB187" s="56">
        <f>IF(AND(A187="", B187="", E187=""), "", TEXTJOIN("; ", TRUE, IF(OR(TRIM(A187&amp;"")="", ISNUMBER(SEARCH("FALTA", A187))), "UPC faltante/inválido", ""), IF(AND(A187&lt;&gt;"", IFERROR(_xlfn.XMATCH(A187,$A$2:$A$1063,0,1)&lt;&gt;_xlfn.XMATCH(A187,$A$2:$A$1063,0,-1),FALSE)), "Código de barras duplicado", ""), IF(AND(E187&lt;&gt;"", COUNTIF($E$2:$E$1063, E187)&gt;1), "SKU duplicado", ""), IF(OR(J187="", J187=""), "[Aviso] División no capturada ()", IF(ISNA(MATCH(J187, Criterios!$A$123:$A$126, 0)), "División no válida", "")), IF(OR(K187="", K187=""), "[Aviso] Categoría no capturada ()", IF(ISNA(MATCH(K187, Criterios!$A$81:$A$120, 0)), "Categoría no válida", IF(AND(J187&lt;&gt;"", J187&lt;&gt;"", J187&lt;&gt;VLOOKUP(K187, Criterios!$A$81:$B$120, 2, FALSE)), "División no coincide con Categoría", ""))), IF(OR(L187="", L187=""), "[Aviso] Género no capturado ()", IF(ISNA(MATCH(L187, Criterios!$B$123:$B$127, 0)), "Género no válido", "")), IF(OR(N187="", N187=""), "[Aviso] Temporada no capturada ()", IF(ISNA(MATCH(N187, Criterios!$C$123:$C$128, 0)), "Temporada no válida", "")), IF(OR(O187="", O187=""), "[Aviso] Ciclo de vida no capturado ()", IF(ISNA(MATCH(O187, Criterios!$D$123:$D$124, 0)), "Ciclo de vida no válido", ""))))</f>
        <v/>
      </c>
      <c r="AC187" s="56" t="n"/>
      <c r="AD187" s="51" t="n">
        <v>0</v>
      </c>
      <c r="AE187" s="156" t="n"/>
      <c r="AF187" s="51" t="n">
        <v>0</v>
      </c>
      <c r="AG187" s="156" t="inlineStr">
        <is>
          <t>Nuevo – NetSuite sin existencia</t>
        </is>
      </c>
      <c r="AH187" s="156" t="inlineStr">
        <is>
          <t>Género por validar; SKU base «WADC0215-1-23» repetido en NetSuite; se agregó el ID interno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87" s="156" t="inlineStr">
        <is>
          <t>No</t>
        </is>
      </c>
      <c r="AJ187" s="156" t="n"/>
      <c r="AK187" s="155" t="inlineStr">
        <is>
          <t>ProductosCatalogoEstandar907.xlsx: fila 6100 [L,N,O,S,U,Y]; G1522_Extraccion_Articulos_NetSuite_2026-09-30.xlsx: fila 59471 [M,P,V,Y,S] | Shopify WB: producto 8626599788729 / variante 48347156906169</t>
        </is>
      </c>
      <c r="AL187" s="58" t="n"/>
      <c r="AM187" s="58" t="n">
        <v>1723.275862</v>
      </c>
      <c r="AN187" s="155" t="inlineStr">
        <is>
          <t>Shopify Western Brothers</t>
        </is>
      </c>
      <c r="AO187" s="59" t="n"/>
      <c r="AP187" s="59" t="n">
        <v>0</v>
      </c>
      <c r="AQ187" s="59" t="n"/>
      <c r="AR187" s="155" t="n"/>
    </row>
    <row r="188">
      <c r="A188" s="50" t="inlineStr">
        <is>
          <t>7506012605132</t>
        </is>
      </c>
      <c r="B188" s="51" t="inlineStr">
        <is>
          <t>112226</t>
        </is>
      </c>
      <c r="C188" s="156" t="inlineStr">
        <is>
          <t>Multimarca</t>
        </is>
      </c>
      <c r="D188" s="156" t="inlineStr">
        <is>
          <t>WADC0215-1</t>
        </is>
      </c>
      <c r="E188" s="156" t="inlineStr">
        <is>
          <t>WADC0215-1-23.5-112226</t>
        </is>
      </c>
      <c r="F188" s="156" t="inlineStr">
        <is>
          <t>23.5</t>
        </is>
      </c>
      <c r="G188" s="156" t="inlineStr">
        <is>
          <t>5.5</t>
        </is>
      </c>
      <c r="H188" s="156" t="inlineStr">
        <is>
          <t>Wrangler</t>
        </is>
      </c>
      <c r="I188" s="156" t="inlineStr">
        <is>
          <t>Botas Wrangler Nova Café</t>
        </is>
      </c>
      <c r="J188" s="156" t="inlineStr">
        <is>
          <t>Calzado</t>
        </is>
      </c>
      <c r="K188" s="156" t="inlineStr">
        <is>
          <t>Botas</t>
        </is>
      </c>
      <c r="L188" s="156" t="inlineStr">
        <is>
          <t>Mujer</t>
        </is>
      </c>
      <c r="M188" s="156" t="inlineStr">
        <is>
          <t>Wrangler</t>
        </is>
      </c>
      <c r="N188" s="156" t="inlineStr">
        <is>
          <t>SS26</t>
        </is>
      </c>
      <c r="O188" s="156" t="inlineStr">
        <is>
          <t>Seasonal</t>
        </is>
      </c>
      <c r="P188" s="156" t="inlineStr">
        <is>
          <t>Cafe</t>
        </is>
      </c>
      <c r="Q188" s="156" t="n"/>
      <c r="R188" s="156" t="n"/>
      <c r="S188" s="156" t="inlineStr">
        <is>
          <t>100% Piel</t>
        </is>
      </c>
      <c r="T188" s="156" t="inlineStr">
        <is>
          <t>Botas Wrangler Nova Café. Bota de la marca Wrangler. Estilo WADC0215-1.</t>
        </is>
      </c>
      <c r="U188" s="156" t="inlineStr">
        <is>
          <t>México</t>
        </is>
      </c>
      <c r="V188" s="156" t="inlineStr">
        <is>
          <t>PRS</t>
        </is>
      </c>
      <c r="W188" s="51" t="inlineStr">
        <is>
          <t>53111500</t>
        </is>
      </c>
      <c r="X188" s="156" t="n"/>
      <c r="Y188" s="54" t="n">
        <v>861.64</v>
      </c>
      <c r="Z188" s="54" t="n">
        <v>1723.275862</v>
      </c>
      <c r="AA188" s="55">
        <f>IF(AND(A188="", B188="", E188=""), "", IF(AB188="", "Válido", IF((LEN(AB188)-LEN(SUBSTITUTE(AB188,"; ","")))/2+1&gt;(LEN(AB188)-LEN(SUBSTITUTE(AB188,"[Aviso]","")))/7, "Con Incidencias", "Válido")))</f>
        <v/>
      </c>
      <c r="AB188" s="56">
        <f>IF(AND(A188="", B188="", E188=""), "", TEXTJOIN("; ", TRUE, IF(OR(TRIM(A188&amp;"")="", ISNUMBER(SEARCH("FALTA", A188))), "UPC faltante/inválido", ""), IF(AND(A188&lt;&gt;"", IFERROR(_xlfn.XMATCH(A188,$A$2:$A$1063,0,1)&lt;&gt;_xlfn.XMATCH(A188,$A$2:$A$1063,0,-1),FALSE)), "Código de barras duplicado", ""), IF(AND(E188&lt;&gt;"", COUNTIF($E$2:$E$1063, E188)&gt;1), "SKU duplicado", ""), IF(OR(J188="", J188=""), "[Aviso] División no capturada ()", IF(ISNA(MATCH(J188, Criterios!$A$123:$A$126, 0)), "División no válida", "")), IF(OR(K188="", K188=""), "[Aviso] Categoría no capturada ()", IF(ISNA(MATCH(K188, Criterios!$A$81:$A$120, 0)), "Categoría no válida", IF(AND(J188&lt;&gt;"", J188&lt;&gt;"", J188&lt;&gt;VLOOKUP(K188, Criterios!$A$81:$B$120, 2, FALSE)), "División no coincide con Categoría", ""))), IF(OR(L188="", L188=""), "[Aviso] Género no capturado ()", IF(ISNA(MATCH(L188, Criterios!$B$123:$B$127, 0)), "Género no válido", "")), IF(OR(N188="", N188=""), "[Aviso] Temporada no capturada ()", IF(ISNA(MATCH(N188, Criterios!$C$123:$C$128, 0)), "Temporada no válida", "")), IF(OR(O188="", O188=""), "[Aviso] Ciclo de vida no capturado ()", IF(ISNA(MATCH(O188, Criterios!$D$123:$D$124, 0)), "Ciclo de vida no válido", ""))))</f>
        <v/>
      </c>
      <c r="AC188" s="56" t="n"/>
      <c r="AD188" s="51" t="n">
        <v>0</v>
      </c>
      <c r="AE188" s="156" t="n"/>
      <c r="AF188" s="51" t="n">
        <v>0</v>
      </c>
      <c r="AG188" s="156" t="inlineStr">
        <is>
          <t>Nuevo – NetSuite sin existencia</t>
        </is>
      </c>
      <c r="AH188" s="156" t="inlineStr">
        <is>
          <t>Género por validar; SKU base «WADC0215-1-23.5» repetido en NetSuite; se agregó el ID interno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88" s="156" t="inlineStr">
        <is>
          <t>No</t>
        </is>
      </c>
      <c r="AJ188" s="156" t="n"/>
      <c r="AK188" s="155" t="inlineStr">
        <is>
          <t>ProductosCatalogoEstandar907.xlsx: fila 6101 [L,N,O,S,U,Y]; G1522_Extraccion_Articulos_NetSuite_2026-09-30.xlsx: fila 59472 [M,P,V,Y,S] | Shopify WB: producto 8626599788729 / variante 48347156938937</t>
        </is>
      </c>
      <c r="AL188" s="58" t="n"/>
      <c r="AM188" s="58" t="n">
        <v>1723.275862</v>
      </c>
      <c r="AN188" s="155" t="inlineStr">
        <is>
          <t>Shopify Western Brothers</t>
        </is>
      </c>
      <c r="AO188" s="59" t="n"/>
      <c r="AP188" s="59" t="n">
        <v>0</v>
      </c>
      <c r="AQ188" s="59" t="n"/>
      <c r="AR188" s="155" t="n"/>
    </row>
    <row r="189">
      <c r="A189" s="50" t="inlineStr">
        <is>
          <t>7506012605149</t>
        </is>
      </c>
      <c r="B189" s="51" t="inlineStr">
        <is>
          <t>112227</t>
        </is>
      </c>
      <c r="C189" s="156" t="inlineStr">
        <is>
          <t>Multimarca</t>
        </is>
      </c>
      <c r="D189" s="156" t="inlineStr">
        <is>
          <t>WADC0215-1</t>
        </is>
      </c>
      <c r="E189" s="156" t="inlineStr">
        <is>
          <t>WADC0215-1-24-112227</t>
        </is>
      </c>
      <c r="F189" s="156" t="inlineStr">
        <is>
          <t>24</t>
        </is>
      </c>
      <c r="G189" s="156" t="inlineStr">
        <is>
          <t>6</t>
        </is>
      </c>
      <c r="H189" s="156" t="inlineStr">
        <is>
          <t>Wrangler</t>
        </is>
      </c>
      <c r="I189" s="156" t="inlineStr">
        <is>
          <t>Botas Wrangler Nova Café</t>
        </is>
      </c>
      <c r="J189" s="156" t="inlineStr">
        <is>
          <t>Calzado</t>
        </is>
      </c>
      <c r="K189" s="156" t="inlineStr">
        <is>
          <t>Botas</t>
        </is>
      </c>
      <c r="L189" s="156" t="inlineStr">
        <is>
          <t>Mujer</t>
        </is>
      </c>
      <c r="M189" s="156" t="inlineStr">
        <is>
          <t>Wrangler</t>
        </is>
      </c>
      <c r="N189" s="156" t="inlineStr">
        <is>
          <t>SS26</t>
        </is>
      </c>
      <c r="O189" s="156" t="inlineStr">
        <is>
          <t>Seasonal</t>
        </is>
      </c>
      <c r="P189" s="156" t="inlineStr">
        <is>
          <t>Cafe</t>
        </is>
      </c>
      <c r="Q189" s="156" t="n"/>
      <c r="R189" s="156" t="n"/>
      <c r="S189" s="156" t="inlineStr">
        <is>
          <t>100% Piel</t>
        </is>
      </c>
      <c r="T189" s="156" t="inlineStr">
        <is>
          <t>Botas Wrangler Nova Café. Bota de la marca Wrangler. Estilo WADC0215-1.</t>
        </is>
      </c>
      <c r="U189" s="156" t="inlineStr">
        <is>
          <t>México</t>
        </is>
      </c>
      <c r="V189" s="156" t="inlineStr">
        <is>
          <t>PRS</t>
        </is>
      </c>
      <c r="W189" s="51" t="inlineStr">
        <is>
          <t>53111500</t>
        </is>
      </c>
      <c r="X189" s="156" t="n"/>
      <c r="Y189" s="54" t="n">
        <v>861.64</v>
      </c>
      <c r="Z189" s="54" t="n">
        <v>1723.275862</v>
      </c>
      <c r="AA189" s="55">
        <f>IF(AND(A189="", B189="", E189=""), "", IF(AB189="", "Válido", IF((LEN(AB189)-LEN(SUBSTITUTE(AB189,"; ","")))/2+1&gt;(LEN(AB189)-LEN(SUBSTITUTE(AB189,"[Aviso]","")))/7, "Con Incidencias", "Válido")))</f>
        <v/>
      </c>
      <c r="AB189" s="56">
        <f>IF(AND(A189="", B189="", E189=""), "", TEXTJOIN("; ", TRUE, IF(OR(TRIM(A189&amp;"")="", ISNUMBER(SEARCH("FALTA", A189))), "UPC faltante/inválido", ""), IF(AND(A189&lt;&gt;"", IFERROR(_xlfn.XMATCH(A189,$A$2:$A$1063,0,1)&lt;&gt;_xlfn.XMATCH(A189,$A$2:$A$1063,0,-1),FALSE)), "Código de barras duplicado", ""), IF(AND(E189&lt;&gt;"", COUNTIF($E$2:$E$1063, E189)&gt;1), "SKU duplicado", ""), IF(OR(J189="", J189=""), "[Aviso] División no capturada ()", IF(ISNA(MATCH(J189, Criterios!$A$123:$A$126, 0)), "División no válida", "")), IF(OR(K189="", K189=""), "[Aviso] Categoría no capturada ()", IF(ISNA(MATCH(K189, Criterios!$A$81:$A$120, 0)), "Categoría no válida", IF(AND(J189&lt;&gt;"", J189&lt;&gt;"", J189&lt;&gt;VLOOKUP(K189, Criterios!$A$81:$B$120, 2, FALSE)), "División no coincide con Categoría", ""))), IF(OR(L189="", L189=""), "[Aviso] Género no capturado ()", IF(ISNA(MATCH(L189, Criterios!$B$123:$B$127, 0)), "Género no válido", "")), IF(OR(N189="", N189=""), "[Aviso] Temporada no capturada ()", IF(ISNA(MATCH(N189, Criterios!$C$123:$C$128, 0)), "Temporada no válida", "")), IF(OR(O189="", O189=""), "[Aviso] Ciclo de vida no capturado ()", IF(ISNA(MATCH(O189, Criterios!$D$123:$D$124, 0)), "Ciclo de vida no válido", ""))))</f>
        <v/>
      </c>
      <c r="AC189" s="56" t="n"/>
      <c r="AD189" s="51" t="n">
        <v>1</v>
      </c>
      <c r="AE189" s="156" t="inlineStr">
        <is>
          <t>WB OUTLET LERMA (1)</t>
        </is>
      </c>
      <c r="AF189" s="51" t="n">
        <v>1</v>
      </c>
      <c r="AG189" s="156" t="inlineStr">
        <is>
          <t>Nuevo – NetSuite con existencia</t>
        </is>
      </c>
      <c r="AH189" s="156" t="inlineStr">
        <is>
          <t>Género por validar; SKU base «WADC0215-1-24» repetido en NetSuite; se agregó el ID interno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89" s="156" t="inlineStr">
        <is>
          <t>No</t>
        </is>
      </c>
      <c r="AJ189" s="156" t="n"/>
      <c r="AK189" s="155" t="inlineStr">
        <is>
          <t>ProductosCatalogoEstandar907.xlsx: fila 6102 [L,N,O,S,U,Y]; G1522_Extraccion_Articulos_NetSuite_2026-09-30.xlsx: fila 59473 [M,P,V,Y,S] | Shopify WB: producto 8626599788729 / variante 48347156971705</t>
        </is>
      </c>
      <c r="AL189" s="58" t="n"/>
      <c r="AM189" s="58" t="n">
        <v>1723.275862</v>
      </c>
      <c r="AN189" s="155" t="inlineStr">
        <is>
          <t>Shopify Western Brothers</t>
        </is>
      </c>
      <c r="AO189" s="59" t="n"/>
      <c r="AP189" s="59" t="n">
        <v>0</v>
      </c>
      <c r="AQ189" s="59" t="n"/>
      <c r="AR189" s="155" t="n"/>
    </row>
    <row r="190">
      <c r="A190" s="50" t="inlineStr">
        <is>
          <t>7506012605156</t>
        </is>
      </c>
      <c r="B190" s="51" t="inlineStr">
        <is>
          <t>112228</t>
        </is>
      </c>
      <c r="C190" s="156" t="inlineStr">
        <is>
          <t>Multimarca</t>
        </is>
      </c>
      <c r="D190" s="156" t="inlineStr">
        <is>
          <t>WADC0215-1</t>
        </is>
      </c>
      <c r="E190" s="156" t="inlineStr">
        <is>
          <t>WADC0215-1-24.5-112228</t>
        </is>
      </c>
      <c r="F190" s="156" t="inlineStr">
        <is>
          <t>24.5</t>
        </is>
      </c>
      <c r="G190" s="156" t="inlineStr">
        <is>
          <t>6.5</t>
        </is>
      </c>
      <c r="H190" s="156" t="inlineStr">
        <is>
          <t>Wrangler</t>
        </is>
      </c>
      <c r="I190" s="156" t="inlineStr">
        <is>
          <t>Botas Wrangler Nova Café</t>
        </is>
      </c>
      <c r="J190" s="156" t="inlineStr">
        <is>
          <t>Calzado</t>
        </is>
      </c>
      <c r="K190" s="156" t="inlineStr">
        <is>
          <t>Botas</t>
        </is>
      </c>
      <c r="L190" s="156" t="inlineStr">
        <is>
          <t>Mujer</t>
        </is>
      </c>
      <c r="M190" s="156" t="inlineStr">
        <is>
          <t>Wrangler</t>
        </is>
      </c>
      <c r="N190" s="156" t="inlineStr">
        <is>
          <t>SS26</t>
        </is>
      </c>
      <c r="O190" s="156" t="inlineStr">
        <is>
          <t>Seasonal</t>
        </is>
      </c>
      <c r="P190" s="156" t="inlineStr">
        <is>
          <t>Cafe</t>
        </is>
      </c>
      <c r="Q190" s="156" t="n"/>
      <c r="R190" s="156" t="n"/>
      <c r="S190" s="156" t="inlineStr">
        <is>
          <t>100% Piel</t>
        </is>
      </c>
      <c r="T190" s="156" t="inlineStr">
        <is>
          <t>Botas Wrangler Nova Café. Bota de la marca Wrangler. Estilo WADC0215-1.</t>
        </is>
      </c>
      <c r="U190" s="156" t="inlineStr">
        <is>
          <t>México</t>
        </is>
      </c>
      <c r="V190" s="156" t="inlineStr">
        <is>
          <t>PRS</t>
        </is>
      </c>
      <c r="W190" s="51" t="inlineStr">
        <is>
          <t>53111500</t>
        </is>
      </c>
      <c r="X190" s="156" t="n"/>
      <c r="Y190" s="54" t="n">
        <v>861.64</v>
      </c>
      <c r="Z190" s="54" t="n">
        <v>1723.275862</v>
      </c>
      <c r="AA190" s="55">
        <f>IF(AND(A190="", B190="", E190=""), "", IF(AB190="", "Válido", IF((LEN(AB190)-LEN(SUBSTITUTE(AB190,"; ","")))/2+1&gt;(LEN(AB190)-LEN(SUBSTITUTE(AB190,"[Aviso]","")))/7, "Con Incidencias", "Válido")))</f>
        <v/>
      </c>
      <c r="AB190" s="56">
        <f>IF(AND(A190="", B190="", E190=""), "", TEXTJOIN("; ", TRUE, IF(OR(TRIM(A190&amp;"")="", ISNUMBER(SEARCH("FALTA", A190))), "UPC faltante/inválido", ""), IF(AND(A190&lt;&gt;"", IFERROR(_xlfn.XMATCH(A190,$A$2:$A$1063,0,1)&lt;&gt;_xlfn.XMATCH(A190,$A$2:$A$1063,0,-1),FALSE)), "Código de barras duplicado", ""), IF(AND(E190&lt;&gt;"", COUNTIF($E$2:$E$1063, E190)&gt;1), "SKU duplicado", ""), IF(OR(J190="", J190=""), "[Aviso] División no capturada ()", IF(ISNA(MATCH(J190, Criterios!$A$123:$A$126, 0)), "División no válida", "")), IF(OR(K190="", K190=""), "[Aviso] Categoría no capturada ()", IF(ISNA(MATCH(K190, Criterios!$A$81:$A$120, 0)), "Categoría no válida", IF(AND(J190&lt;&gt;"", J190&lt;&gt;"", J190&lt;&gt;VLOOKUP(K190, Criterios!$A$81:$B$120, 2, FALSE)), "División no coincide con Categoría", ""))), IF(OR(L190="", L190=""), "[Aviso] Género no capturado ()", IF(ISNA(MATCH(L190, Criterios!$B$123:$B$127, 0)), "Género no válido", "")), IF(OR(N190="", N190=""), "[Aviso] Temporada no capturada ()", IF(ISNA(MATCH(N190, Criterios!$C$123:$C$128, 0)), "Temporada no válida", "")), IF(OR(O190="", O190=""), "[Aviso] Ciclo de vida no capturado ()", IF(ISNA(MATCH(O190, Criterios!$D$123:$D$124, 0)), "Ciclo de vida no válido", ""))))</f>
        <v/>
      </c>
      <c r="AC190" s="56" t="n"/>
      <c r="AD190" s="51" t="n">
        <v>0</v>
      </c>
      <c r="AE190" s="156" t="n"/>
      <c r="AF190" s="51" t="n">
        <v>0</v>
      </c>
      <c r="AG190" s="156" t="inlineStr">
        <is>
          <t>Nuevo – NetSuite sin existencia</t>
        </is>
      </c>
      <c r="AH190" s="156" t="inlineStr">
        <is>
          <t>Género por validar; SKU base «WADC0215-1-24.5» repetido en NetSuite; se agregó el ID interno | Revisión 29/09/2026: Campos sin respaldo: R, X; Auditoría NetSuite 30/09/2026: llenado desde NetSuite [M,P,V,Y,S] | 01/10/2026: complementado desde Shopify Western Brothers (match por código de barras): WB Fit | Homologación G1522 06/10/2026: Validación G1522: [Aviso] Pareja de tallas fuera del catálogo de Criterios</t>
        </is>
      </c>
      <c r="AI190" s="156" t="inlineStr">
        <is>
          <t>No</t>
        </is>
      </c>
      <c r="AJ190" s="156" t="n"/>
      <c r="AK190" s="155" t="inlineStr">
        <is>
          <t>ProductosCatalogoEstandar907.xlsx: fila 6103 [L,N,O,S,U,Y]; G1522_Extraccion_Articulos_NetSuite_2026-09-30.xlsx: fila 59474 [M,P,V,Y,S] | Shopify WB: producto 8626599788729 / variante 48347157004473</t>
        </is>
      </c>
      <c r="AL190" s="58" t="n"/>
      <c r="AM190" s="58" t="n">
        <v>1723.275862</v>
      </c>
      <c r="AN190" s="155" t="inlineStr">
        <is>
          <t>Shopify Western Brothers</t>
        </is>
      </c>
      <c r="AO190" s="59" t="n"/>
      <c r="AP190" s="59" t="n">
        <v>0</v>
      </c>
      <c r="AQ190" s="59" t="n"/>
      <c r="AR190" s="155" t="n"/>
    </row>
    <row r="191">
      <c r="A191" s="50" t="inlineStr">
        <is>
          <t>7506012605163</t>
        </is>
      </c>
      <c r="B191" s="51" t="inlineStr">
        <is>
          <t>112229</t>
        </is>
      </c>
      <c r="C191" s="156" t="inlineStr">
        <is>
          <t>Multimarca</t>
        </is>
      </c>
      <c r="D191" s="156" t="inlineStr">
        <is>
          <t>WADC0215-1</t>
        </is>
      </c>
      <c r="E191" s="156" t="inlineStr">
        <is>
          <t>WADC0215-1-25-112229</t>
        </is>
      </c>
      <c r="F191" s="156" t="inlineStr">
        <is>
          <t>25</t>
        </is>
      </c>
      <c r="G191" s="156" t="inlineStr">
        <is>
          <t>7</t>
        </is>
      </c>
      <c r="H191" s="156" t="inlineStr">
        <is>
          <t>Wrangler</t>
        </is>
      </c>
      <c r="I191" s="156" t="inlineStr">
        <is>
          <t>Botas Wrangler Nova Café</t>
        </is>
      </c>
      <c r="J191" s="156" t="inlineStr">
        <is>
          <t>Calzado</t>
        </is>
      </c>
      <c r="K191" s="156" t="inlineStr">
        <is>
          <t>Botas</t>
        </is>
      </c>
      <c r="L191" s="156" t="inlineStr">
        <is>
          <t>Mujer</t>
        </is>
      </c>
      <c r="M191" s="156" t="inlineStr">
        <is>
          <t>Wrangler</t>
        </is>
      </c>
      <c r="N191" s="156" t="inlineStr">
        <is>
          <t>SS26</t>
        </is>
      </c>
      <c r="O191" s="156" t="inlineStr">
        <is>
          <t>Seasonal</t>
        </is>
      </c>
      <c r="P191" s="156" t="inlineStr">
        <is>
          <t>Cafe</t>
        </is>
      </c>
      <c r="Q191" s="156" t="n"/>
      <c r="R191" s="156" t="n"/>
      <c r="S191" s="156" t="inlineStr">
        <is>
          <t>100% Piel</t>
        </is>
      </c>
      <c r="T191" s="156" t="inlineStr">
        <is>
          <t>Botas Wrangler Nova Café. Bota de la marca Wrangler. Estilo WADC0215-1.</t>
        </is>
      </c>
      <c r="U191" s="156" t="inlineStr">
        <is>
          <t>México</t>
        </is>
      </c>
      <c r="V191" s="156" t="inlineStr">
        <is>
          <t>PRS</t>
        </is>
      </c>
      <c r="W191" s="51" t="inlineStr">
        <is>
          <t>53111500</t>
        </is>
      </c>
      <c r="X191" s="156" t="n"/>
      <c r="Y191" s="54" t="n">
        <v>861.64</v>
      </c>
      <c r="Z191" s="54" t="n">
        <v>1723.275862</v>
      </c>
      <c r="AA191" s="55">
        <f>IF(AND(A191="", B191="", E191=""), "", IF(AB191="", "Válido", IF((LEN(AB191)-LEN(SUBSTITUTE(AB191,"; ","")))/2+1&gt;(LEN(AB191)-LEN(SUBSTITUTE(AB191,"[Aviso]","")))/7, "Con Incidencias", "Válido")))</f>
        <v/>
      </c>
      <c r="AB191" s="56">
        <f>IF(AND(A191="", B191="", E191=""), "", TEXTJOIN("; ", TRUE, IF(OR(TRIM(A191&amp;"")="", ISNUMBER(SEARCH("FALTA", A191))), "UPC faltante/inválido", ""), IF(AND(A191&lt;&gt;"", IFERROR(_xlfn.XMATCH(A191,$A$2:$A$1063,0,1)&lt;&gt;_xlfn.XMATCH(A191,$A$2:$A$1063,0,-1),FALSE)), "Código de barras duplicado", ""), IF(AND(E191&lt;&gt;"", COUNTIF($E$2:$E$1063, E191)&gt;1), "SKU duplicado", ""), IF(OR(J191="", J191=""), "[Aviso] División no capturada ()", IF(ISNA(MATCH(J191, Criterios!$A$123:$A$126, 0)), "División no válida", "")), IF(OR(K191="", K191=""), "[Aviso] Categoría no capturada ()", IF(ISNA(MATCH(K191, Criterios!$A$81:$A$120, 0)), "Categoría no válida", IF(AND(J191&lt;&gt;"", J191&lt;&gt;"", J191&lt;&gt;VLOOKUP(K191, Criterios!$A$81:$B$120, 2, FALSE)), "División no coincide con Categoría", ""))), IF(OR(L191="", L191=""), "[Aviso] Género no capturado ()", IF(ISNA(MATCH(L191, Criterios!$B$123:$B$127, 0)), "Género no válido", "")), IF(OR(N191="", N191=""), "[Aviso] Temporada no capturada ()", IF(ISNA(MATCH(N191, Criterios!$C$123:$C$128, 0)), "Temporada no válida", "")), IF(OR(O191="", O191=""), "[Aviso] Ciclo de vida no capturado ()", IF(ISNA(MATCH(O191, Criterios!$D$123:$D$124, 0)), "Ciclo de vida no válido", ""))))</f>
        <v/>
      </c>
      <c r="AC191" s="56" t="n"/>
      <c r="AD191" s="51" t="n">
        <v>0</v>
      </c>
      <c r="AE191" s="156" t="n"/>
      <c r="AF191" s="51" t="n">
        <v>0</v>
      </c>
      <c r="AG191" s="156" t="inlineStr">
        <is>
          <t>Nuevo – NetSuite sin existencia</t>
        </is>
      </c>
      <c r="AH191" s="156" t="inlineStr">
        <is>
          <t>Género por validar; SKU base «WADC0215-1-25» repetido en NetSuite; se agregó el ID interno | Revisión 29/09/2026: Campos sin respaldo: R, X; Auditoría NetSuite 30/09/2026: llenado desde NetSuite [M,P,V,Y,S] | 01/10/2026: complementado desde Shopify Western Brothers (match por código de barras): WB Fit</t>
        </is>
      </c>
      <c r="AI191" s="156" t="inlineStr">
        <is>
          <t>No</t>
        </is>
      </c>
      <c r="AJ191" s="156" t="n"/>
      <c r="AK191" s="155" t="inlineStr">
        <is>
          <t>ProductosCatalogoEstandar907.xlsx: fila 6104 [L,N,O,S,U,Y]; G1522_Extraccion_Articulos_NetSuite_2026-09-30.xlsx: fila 59475 [M,P,V,Y,S] | Shopify WB: producto 8626599788729 / variante 48348335997113</t>
        </is>
      </c>
      <c r="AL191" s="58" t="n"/>
      <c r="AM191" s="58" t="n">
        <v>1723.275862</v>
      </c>
      <c r="AN191" s="155" t="inlineStr">
        <is>
          <t>Shopify Western Brothers</t>
        </is>
      </c>
      <c r="AO191" s="59" t="n"/>
      <c r="AP191" s="59" t="n">
        <v>0</v>
      </c>
      <c r="AQ191" s="59" t="n"/>
      <c r="AR191" s="155" t="n"/>
    </row>
    <row r="192">
      <c r="A192" s="50" t="inlineStr">
        <is>
          <t>717325208362</t>
        </is>
      </c>
      <c r="B192" s="51" t="inlineStr">
        <is>
          <t>108589</t>
        </is>
      </c>
      <c r="C192" s="156" t="inlineStr">
        <is>
          <t>Multimarca</t>
        </is>
      </c>
      <c r="D192" s="156" t="inlineStr">
        <is>
          <t>WG102-8120SLP-BR</t>
        </is>
      </c>
      <c r="E192" s="156" t="inlineStr">
        <is>
          <t>WG102-8120SLP-BR-UNI</t>
        </is>
      </c>
      <c r="F192" s="156" t="inlineStr">
        <is>
          <t>Talla única</t>
        </is>
      </c>
      <c r="G192" s="156" t="inlineStr">
        <is>
          <t>One Size</t>
        </is>
      </c>
      <c r="H192" s="156" t="inlineStr">
        <is>
          <t>Wrangler</t>
        </is>
      </c>
      <c r="I192" s="156" t="inlineStr">
        <is>
          <t>Bolso Wrangler Mujer Café</t>
        </is>
      </c>
      <c r="J192" s="156" t="inlineStr">
        <is>
          <t>Accesorios</t>
        </is>
      </c>
      <c r="K192" s="156" t="inlineStr">
        <is>
          <t>Bolsos</t>
        </is>
      </c>
      <c r="L192" s="156" t="inlineStr">
        <is>
          <t>Mujer</t>
        </is>
      </c>
      <c r="M192" s="156" t="inlineStr">
        <is>
          <t>Wrangler</t>
        </is>
      </c>
      <c r="N192" s="156" t="inlineStr">
        <is>
          <t>SS26</t>
        </is>
      </c>
      <c r="O192" s="156" t="inlineStr">
        <is>
          <t>Seasonal</t>
        </is>
      </c>
      <c r="P192" s="156" t="inlineStr">
        <is>
          <t>Cafe</t>
        </is>
      </c>
      <c r="Q192" s="156" t="n"/>
      <c r="R192" s="156" t="n"/>
      <c r="S192" s="156" t="inlineStr">
        <is>
          <t>Exterior: 100% Piel Vacuna, Forro: 100% Poliéster</t>
        </is>
      </c>
      <c r="T192" s="156" t="inlineStr">
        <is>
          <t>Bolso Wrangler Mujer Café Satchel Trapecio Estructura Rígida</t>
        </is>
      </c>
      <c r="U192" s="156" t="inlineStr">
        <is>
          <t>China</t>
        </is>
      </c>
      <c r="V192" s="156" t="inlineStr">
        <is>
          <t>PZS</t>
        </is>
      </c>
      <c r="W192" s="51" t="inlineStr">
        <is>
          <t>53121601</t>
        </is>
      </c>
      <c r="X192" s="156" t="n"/>
      <c r="Y192" s="54" t="n">
        <v>551.38</v>
      </c>
      <c r="Z192" s="54" t="n">
        <v>1599</v>
      </c>
      <c r="AA192" s="55">
        <f>IF(AND(A192="", B192="", E192=""), "", IF(AB192="", "Válido", IF((LEN(AB192)-LEN(SUBSTITUTE(AB192,"; ","")))/2+1&gt;(LEN(AB192)-LEN(SUBSTITUTE(AB192,"[Aviso]","")))/7, "Con Incidencias", "Válido")))</f>
        <v/>
      </c>
      <c r="AB192" s="56">
        <f>IF(AND(A192="", B192="", E192=""), "", TEXTJOIN("; ", TRUE, IF(OR(TRIM(A192&amp;"")="", ISNUMBER(SEARCH("FALTA", A192))), "UPC faltante/inválido", ""), IF(AND(A192&lt;&gt;"", IFERROR(_xlfn.XMATCH(A192,$A$2:$A$1063,0,1)&lt;&gt;_xlfn.XMATCH(A192,$A$2:$A$1063,0,-1),FALSE)), "Código de barras duplicado", ""), IF(AND(E192&lt;&gt;"", COUNTIF($E$2:$E$1063, E192)&gt;1), "SKU duplicado", ""), IF(OR(J192="", J192=""), "[Aviso] División no capturada ()", IF(ISNA(MATCH(J192, Criterios!$A$123:$A$126, 0)), "División no válida", "")), IF(OR(K192="", K192=""), "[Aviso] Categoría no capturada ()", IF(ISNA(MATCH(K192, Criterios!$A$81:$A$120, 0)), "Categoría no válida", IF(AND(J192&lt;&gt;"", J192&lt;&gt;"", J192&lt;&gt;VLOOKUP(K192, Criterios!$A$81:$B$120, 2, FALSE)), "División no coincide con Categoría", ""))), IF(OR(L192="", L192=""), "[Aviso] Género no capturado ()", IF(ISNA(MATCH(L192, Criterios!$B$123:$B$127, 0)), "Género no válido", "")), IF(OR(N192="", N192=""), "[Aviso] Temporada no capturada ()", IF(ISNA(MATCH(N192, Criterios!$C$123:$C$128, 0)), "Temporada no válida", "")), IF(OR(O192="", O192=""), "[Aviso] Ciclo de vida no capturado ()", IF(ISNA(MATCH(O192, Criterios!$D$123:$D$124, 0)), "Ciclo de vida no válido", ""))))</f>
        <v/>
      </c>
      <c r="AC192" s="56" t="n"/>
      <c r="AD192" s="51" t="n">
        <v>0</v>
      </c>
      <c r="AE192" s="156" t="n"/>
      <c r="AF192" s="51" t="n">
        <v>0</v>
      </c>
      <c r="AG192" s="156" t="inlineStr">
        <is>
          <t>Nuevo – NetSuite sin existencia</t>
        </is>
      </c>
      <c r="AH192" s="156" t="inlineStr">
        <is>
          <t>Clave SAT por validar | Revisión 29/09/2026: Campos sin respaldo: X; Auditoría NetSuite 30/09/2026: llenado desde NetSuite [P,V,Z,T] | 01/10/2026: complementado desde Shopify Western Brothers (match por código de barras): WB Fit, WB Silueta | Homologación G1522 06/10/2026: Validador Shopify: WB: precio con IVA no termina en 9</t>
        </is>
      </c>
      <c r="AI192" s="156" t="inlineStr">
        <is>
          <t>No</t>
        </is>
      </c>
      <c r="AJ192" s="156" t="n"/>
      <c r="AK192" s="155" t="inlineStr">
        <is>
          <t>ProductosCatalogoEstandar907.xlsx: fila 6111 [N,O,S,U,W,Y]; G1522_Extraccion_Articulos_NetSuite_2026-09-30.xlsx: fila 56748 [P,V,Z,T] | Shopify WB: producto 8569966919865 / variante 47621337186489</t>
        </is>
      </c>
      <c r="AL192" s="58" t="n">
        <v>551.38</v>
      </c>
      <c r="AM192" s="58" t="n"/>
      <c r="AN192" s="155" t="inlineStr">
        <is>
          <t>Shopify Western Brothers</t>
        </is>
      </c>
      <c r="AO192" s="59" t="n"/>
      <c r="AP192" s="59" t="n">
        <v>0</v>
      </c>
      <c r="AQ192" s="59" t="n"/>
      <c r="AR192" s="155" t="n"/>
    </row>
    <row r="193">
      <c r="A193" s="50" t="inlineStr">
        <is>
          <t>717325218385</t>
        </is>
      </c>
      <c r="B193" s="51" t="inlineStr">
        <is>
          <t>108492</t>
        </is>
      </c>
      <c r="C193" s="156" t="inlineStr">
        <is>
          <t>Multimarca</t>
        </is>
      </c>
      <c r="D193" s="156" t="inlineStr">
        <is>
          <t>WG195-W055BK</t>
        </is>
      </c>
      <c r="E193" s="156" t="inlineStr">
        <is>
          <t>WG195-W055BK-UNI</t>
        </is>
      </c>
      <c r="F193" s="156" t="inlineStr">
        <is>
          <t>Talla única</t>
        </is>
      </c>
      <c r="G193" s="156" t="inlineStr">
        <is>
          <t>One Size</t>
        </is>
      </c>
      <c r="H193" s="156" t="inlineStr">
        <is>
          <t>Wrangler</t>
        </is>
      </c>
      <c r="I193" s="156" t="inlineStr">
        <is>
          <t>Carteras Wrangler Mujer Negro</t>
        </is>
      </c>
      <c r="J193" s="156" t="inlineStr">
        <is>
          <t>Accesorios</t>
        </is>
      </c>
      <c r="K193" s="156" t="inlineStr">
        <is>
          <t>Carteras</t>
        </is>
      </c>
      <c r="L193" s="156" t="inlineStr">
        <is>
          <t>Mujer</t>
        </is>
      </c>
      <c r="M193" s="156" t="inlineStr">
        <is>
          <t>Wrangler</t>
        </is>
      </c>
      <c r="N193" s="156" t="inlineStr">
        <is>
          <t>SS26</t>
        </is>
      </c>
      <c r="O193" s="156" t="inlineStr">
        <is>
          <t>Seasonal</t>
        </is>
      </c>
      <c r="P193" s="156" t="inlineStr">
        <is>
          <t>Negro</t>
        </is>
      </c>
      <c r="Q193" s="156" t="n"/>
      <c r="R193" s="156" t="n"/>
      <c r="S193" s="156" t="inlineStr">
        <is>
          <t>Exterior: 100% Piel Genuina, Forro: 100% Poliéster</t>
        </is>
      </c>
      <c r="T193" s="156" t="inlineStr">
        <is>
          <t>Carteras Wrangler Mujer Negro Billetera de 3 Paneles Perfil Compacto</t>
        </is>
      </c>
      <c r="U193" s="156" t="inlineStr">
        <is>
          <t>China</t>
        </is>
      </c>
      <c r="V193" s="156" t="inlineStr">
        <is>
          <t>PZS</t>
        </is>
      </c>
      <c r="W193" s="51" t="inlineStr">
        <is>
          <t>53121700</t>
        </is>
      </c>
      <c r="X193" s="156" t="inlineStr">
        <is>
          <t>https://m-universal-unique-brands.odoo.com/web/image/product.product/11200/image_1920</t>
        </is>
      </c>
      <c r="Y193" s="54" t="n">
        <v>310</v>
      </c>
      <c r="Z193" s="54" t="n">
        <v>775</v>
      </c>
      <c r="AA193" s="55">
        <f>IF(AND(A193="", B193="", E193=""), "", IF(AB193="", "Válido", IF((LEN(AB193)-LEN(SUBSTITUTE(AB193,"; ","")))/2+1&gt;(LEN(AB193)-LEN(SUBSTITUTE(AB193,"[Aviso]","")))/7, "Con Incidencias", "Válido")))</f>
        <v/>
      </c>
      <c r="AB193" s="56">
        <f>IF(AND(A193="", B193="", E193=""), "", TEXTJOIN("; ", TRUE, IF(OR(TRIM(A193&amp;"")="", ISNUMBER(SEARCH("FALTA", A193))), "UPC faltante/inválido", ""), IF(AND(A193&lt;&gt;"", IFERROR(_xlfn.XMATCH(A193,$A$2:$A$1063,0,1)&lt;&gt;_xlfn.XMATCH(A193,$A$2:$A$1063,0,-1),FALSE)), "Código de barras duplicado", ""), IF(AND(E193&lt;&gt;"", COUNTIF($E$2:$E$1063, E193)&gt;1), "SKU duplicado", ""), IF(OR(J193="", J193=""), "[Aviso] División no capturada ()", IF(ISNA(MATCH(J193, Criterios!$A$123:$A$126, 0)), "División no válida", "")), IF(OR(K193="", K193=""), "[Aviso] Categoría no capturada ()", IF(ISNA(MATCH(K193, Criterios!$A$81:$A$120, 0)), "Categoría no válida", IF(AND(J193&lt;&gt;"", J193&lt;&gt;"", J193&lt;&gt;VLOOKUP(K193, Criterios!$A$81:$B$120, 2, FALSE)), "División no coincide con Categoría", ""))), IF(OR(L193="", L193=""), "[Aviso] Género no capturado ()", IF(ISNA(MATCH(L193, Criterios!$B$123:$B$127, 0)), "Género no válido", "")), IF(OR(N193="", N193=""), "[Aviso] Temporada no capturada ()", IF(ISNA(MATCH(N193, Criterios!$C$123:$C$128, 0)), "Temporada no válida", "")), IF(OR(O193="", O193=""), "[Aviso] Ciclo de vida no capturado ()", IF(ISNA(MATCH(O193, Criterios!$D$123:$D$124, 0)), "Ciclo de vida no válido", ""))))</f>
        <v/>
      </c>
      <c r="AC193" s="56" t="n"/>
      <c r="AD193" s="51" t="n">
        <v>-3</v>
      </c>
      <c r="AE193" s="156" t="n"/>
      <c r="AF193" s="51" t="n">
        <v>0</v>
      </c>
      <c r="AG193" s="156" t="inlineStr">
        <is>
          <t>Nuevo – NetSuite con existencia</t>
        </is>
      </c>
      <c r="AH193" s="156" t="inlineStr">
        <is>
          <t>Stock negativo en sistema: revisar en conteo | Revisión 29/09/2026: Campos sin respaldo: X; Auditoría NetSuite 30/09/2026: llenado desde NetSuite [P,V,Y,T] | 01/10/2026: complementado desde Shopify Western Brothers (match por código de barras): WB Fit, WB Silueta | 01/10/2026: complementado desde Odoo Universal Unique Brands (match por código de barras): Enlace de imagen | 01/10/2026: Odoo Universal Unique Brands trae SKU WG195-W055BK, Género «Unisex» — se conservó el valor de Productos</t>
        </is>
      </c>
      <c r="AI193" s="156" t="inlineStr">
        <is>
          <t>Sí</t>
        </is>
      </c>
      <c r="AJ193" s="156" t="inlineStr">
        <is>
          <t>WB OUTLET LERMA (-3)</t>
        </is>
      </c>
      <c r="AK193" s="155" t="inlineStr">
        <is>
          <t>ProductosCatalogoEstandar907.xlsx: fila 6112 [N,O,S,U,Y]; G1522_Extraccion_Articulos_NetSuite_2026-09-30.xlsx: fila 56651 [P,V,Y,T] | Shopify WB: producto 8569967018169 / variante 47621337284793 | Odoo: producto 11200 / plantilla 14635</t>
        </is>
      </c>
      <c r="AL193" s="58" t="n"/>
      <c r="AM193" s="58" t="n">
        <v>775</v>
      </c>
      <c r="AN193" s="155" t="inlineStr">
        <is>
          <t>Shopify Western Brothers | Odoo Universal Unique Brands</t>
        </is>
      </c>
      <c r="AO193" s="59" t="n"/>
      <c r="AP193" s="59" t="n">
        <v>-3</v>
      </c>
      <c r="AQ193" s="59" t="n">
        <v>33</v>
      </c>
      <c r="AR193" s="155" t="inlineStr">
        <is>
          <t>Odoo Universal Unique Brands › Bodega 25 › Bodega 25/General: 33</t>
        </is>
      </c>
    </row>
    <row r="194">
      <c r="A194" s="50" t="inlineStr">
        <is>
          <t>717325218392</t>
        </is>
      </c>
      <c r="B194" s="51" t="inlineStr">
        <is>
          <t>108590</t>
        </is>
      </c>
      <c r="C194" s="156" t="inlineStr">
        <is>
          <t>Multimarca</t>
        </is>
      </c>
      <c r="D194" s="156" t="inlineStr">
        <is>
          <t>WG195-W055CF</t>
        </is>
      </c>
      <c r="E194" s="156" t="inlineStr">
        <is>
          <t>WG195-W055CF-UNI</t>
        </is>
      </c>
      <c r="F194" s="156" t="inlineStr">
        <is>
          <t>Talla única</t>
        </is>
      </c>
      <c r="G194" s="156" t="inlineStr">
        <is>
          <t>One Size</t>
        </is>
      </c>
      <c r="H194" s="156" t="inlineStr">
        <is>
          <t>Wrangler</t>
        </is>
      </c>
      <c r="I194" s="156" t="inlineStr">
        <is>
          <t>Carteras Wrangler Mujer Café</t>
        </is>
      </c>
      <c r="J194" s="156" t="inlineStr">
        <is>
          <t>Accesorios</t>
        </is>
      </c>
      <c r="K194" s="156" t="inlineStr">
        <is>
          <t>Carteras</t>
        </is>
      </c>
      <c r="L194" s="156" t="inlineStr">
        <is>
          <t>Mujer</t>
        </is>
      </c>
      <c r="M194" s="156" t="inlineStr">
        <is>
          <t>Wrangler</t>
        </is>
      </c>
      <c r="N194" s="156" t="inlineStr">
        <is>
          <t>SS26</t>
        </is>
      </c>
      <c r="O194" s="156" t="inlineStr">
        <is>
          <t>Seasonal</t>
        </is>
      </c>
      <c r="P194" s="156" t="inlineStr">
        <is>
          <t>Cafe</t>
        </is>
      </c>
      <c r="Q194" s="156" t="n"/>
      <c r="R194" s="156" t="n"/>
      <c r="S194" s="156" t="inlineStr">
        <is>
          <t>Exterior: 100% Piel Genuina, Forro: 100% Poliéster</t>
        </is>
      </c>
      <c r="T194" s="156" t="inlineStr">
        <is>
          <t>Carteras Wrangler Mujer Café Billetera de 3 Paneles Perfil Compacto</t>
        </is>
      </c>
      <c r="U194" s="156" t="inlineStr">
        <is>
          <t>China</t>
        </is>
      </c>
      <c r="V194" s="156" t="inlineStr">
        <is>
          <t>PZS</t>
        </is>
      </c>
      <c r="W194" s="51" t="inlineStr">
        <is>
          <t>53121700</t>
        </is>
      </c>
      <c r="X194" s="156" t="inlineStr">
        <is>
          <t>https://m-universal-unique-brands.odoo.com/web/image/product.product/11201/image_1920</t>
        </is>
      </c>
      <c r="Y194" s="54" t="n">
        <v>310</v>
      </c>
      <c r="Z194" s="54" t="n">
        <v>775</v>
      </c>
      <c r="AA194" s="55">
        <f>IF(AND(A194="", B194="", E194=""), "", IF(AB194="", "Válido", IF((LEN(AB194)-LEN(SUBSTITUTE(AB194,"; ","")))/2+1&gt;(LEN(AB194)-LEN(SUBSTITUTE(AB194,"[Aviso]","")))/7, "Con Incidencias", "Válido")))</f>
        <v/>
      </c>
      <c r="AB194" s="56">
        <f>IF(AND(A194="", B194="", E194=""), "", TEXTJOIN("; ", TRUE, IF(OR(TRIM(A194&amp;"")="", ISNUMBER(SEARCH("FALTA", A194))), "UPC faltante/inválido", ""), IF(AND(A194&lt;&gt;"", IFERROR(_xlfn.XMATCH(A194,$A$2:$A$1063,0,1)&lt;&gt;_xlfn.XMATCH(A194,$A$2:$A$1063,0,-1),FALSE)), "Código de barras duplicado", ""), IF(AND(E194&lt;&gt;"", COUNTIF($E$2:$E$1063, E194)&gt;1), "SKU duplicado", ""), IF(OR(J194="", J194=""), "[Aviso] División no capturada ()", IF(ISNA(MATCH(J194, Criterios!$A$123:$A$126, 0)), "División no válida", "")), IF(OR(K194="", K194=""), "[Aviso] Categoría no capturada ()", IF(ISNA(MATCH(K194, Criterios!$A$81:$A$120, 0)), "Categoría no válida", IF(AND(J194&lt;&gt;"", J194&lt;&gt;"", J194&lt;&gt;VLOOKUP(K194, Criterios!$A$81:$B$120, 2, FALSE)), "División no coincide con Categoría", ""))), IF(OR(L194="", L194=""), "[Aviso] Género no capturado ()", IF(ISNA(MATCH(L194, Criterios!$B$123:$B$127, 0)), "Género no válido", "")), IF(OR(N194="", N194=""), "[Aviso] Temporada no capturada ()", IF(ISNA(MATCH(N194, Criterios!$C$123:$C$128, 0)), "Temporada no válida", "")), IF(OR(O194="", O194=""), "[Aviso] Ciclo de vida no capturado ()", IF(ISNA(MATCH(O194, Criterios!$D$123:$D$124, 0)), "Ciclo de vida no válido", ""))))</f>
        <v/>
      </c>
      <c r="AC194" s="56" t="n"/>
      <c r="AD194" s="51" t="n">
        <v>-1</v>
      </c>
      <c r="AE194" s="156" t="n"/>
      <c r="AF194" s="51" t="n">
        <v>0</v>
      </c>
      <c r="AG194" s="156" t="inlineStr">
        <is>
          <t>Nuevo – NetSuite con existencia</t>
        </is>
      </c>
      <c r="AH194" s="156" t="inlineStr">
        <is>
          <t>Stock negativo en sistema: revisar en conteo | Revisión 29/09/2026: Campos sin respaldo: X; Auditoría NetSuite 30/09/2026: llenado desde NetSuite [P,V,Y,T] | 01/10/2026: complementado desde Shopify Western Brothers (match por código de barras): WB Fit, WB Silueta | 01/10/2026: complementado desde Odoo Universal Unique Brands (match por código de barras): Enlace de imagen | 01/10/2026: Odoo Universal Unique Brands trae SKU WG195-W055CF, Género «Unisex» — se conservó el valor de Productos</t>
        </is>
      </c>
      <c r="AI194" s="156" t="inlineStr">
        <is>
          <t>Sí</t>
        </is>
      </c>
      <c r="AJ194" s="156" t="inlineStr">
        <is>
          <t>WB OUTLET LERMA (-1)</t>
        </is>
      </c>
      <c r="AK194" s="155" t="inlineStr">
        <is>
          <t>ProductosCatalogoEstandar907.xlsx: fila 6113 [N,O,S,U,Y]; G1522_Extraccion_Articulos_NetSuite_2026-09-30.xlsx: fila 56749 [P,V,Y,T] | Shopify WB: producto 8569967149241 / variante 47621337383097 | Odoo: producto 11201 / plantilla 14636</t>
        </is>
      </c>
      <c r="AL194" s="58" t="n"/>
      <c r="AM194" s="58" t="n">
        <v>775</v>
      </c>
      <c r="AN194" s="155" t="inlineStr">
        <is>
          <t>Shopify Western Brothers | Odoo Universal Unique Brands</t>
        </is>
      </c>
      <c r="AO194" s="59" t="n"/>
      <c r="AP194" s="59" t="n">
        <v>-1</v>
      </c>
      <c r="AQ194" s="59" t="n">
        <v>109</v>
      </c>
      <c r="AR194" s="155" t="inlineStr">
        <is>
          <t>Odoo Universal Unique Brands › Bodega 25 › Bodega 25/General: 109</t>
        </is>
      </c>
    </row>
    <row r="195">
      <c r="A195" s="50" t="inlineStr">
        <is>
          <t>717325218422</t>
        </is>
      </c>
      <c r="B195" s="51" t="inlineStr">
        <is>
          <t>108591</t>
        </is>
      </c>
      <c r="C195" s="156" t="inlineStr">
        <is>
          <t>Multimarca</t>
        </is>
      </c>
      <c r="D195" s="156" t="inlineStr">
        <is>
          <t>WG195-W055KH</t>
        </is>
      </c>
      <c r="E195" s="156" t="inlineStr">
        <is>
          <t>WG195-W055KH-UNI</t>
        </is>
      </c>
      <c r="F195" s="156" t="inlineStr">
        <is>
          <t>Talla única</t>
        </is>
      </c>
      <c r="G195" s="156" t="inlineStr">
        <is>
          <t>One Size</t>
        </is>
      </c>
      <c r="H195" s="156" t="inlineStr">
        <is>
          <t>Wrangler</t>
        </is>
      </c>
      <c r="I195" s="156" t="inlineStr">
        <is>
          <t>Carteras Wrangler Mujer Café</t>
        </is>
      </c>
      <c r="J195" s="156" t="inlineStr">
        <is>
          <t>Accesorios</t>
        </is>
      </c>
      <c r="K195" s="156" t="inlineStr">
        <is>
          <t>Carteras</t>
        </is>
      </c>
      <c r="L195" s="156" t="inlineStr">
        <is>
          <t>Mujer</t>
        </is>
      </c>
      <c r="M195" s="156" t="inlineStr">
        <is>
          <t>Wrangler</t>
        </is>
      </c>
      <c r="N195" s="156" t="inlineStr">
        <is>
          <t>SS26</t>
        </is>
      </c>
      <c r="O195" s="156" t="inlineStr">
        <is>
          <t>Seasonal</t>
        </is>
      </c>
      <c r="P195" s="156" t="inlineStr">
        <is>
          <t>Cafe</t>
        </is>
      </c>
      <c r="Q195" s="156" t="n"/>
      <c r="R195" s="156" t="n"/>
      <c r="S195" s="156" t="inlineStr">
        <is>
          <t>Exterior: 100% Piel Genuina, Forro: 100% Poliéster</t>
        </is>
      </c>
      <c r="T195" s="156" t="inlineStr">
        <is>
          <t>Carteras Wrangler Mujer Café Billetera de 3 Paneles Perfil Compacto</t>
        </is>
      </c>
      <c r="U195" s="156" t="inlineStr">
        <is>
          <t>China</t>
        </is>
      </c>
      <c r="V195" s="156" t="inlineStr">
        <is>
          <t>PZS</t>
        </is>
      </c>
      <c r="W195" s="51" t="inlineStr">
        <is>
          <t>53121700</t>
        </is>
      </c>
      <c r="X195" s="156" t="inlineStr">
        <is>
          <t>https://m-universal-unique-brands.odoo.com/web/image/product.product/11211/image_1920</t>
        </is>
      </c>
      <c r="Y195" s="54" t="n">
        <v>310</v>
      </c>
      <c r="Z195" s="54" t="n">
        <v>775</v>
      </c>
      <c r="AA195" s="55">
        <f>IF(AND(A195="", B195="", E195=""), "", IF(AB195="", "Válido", IF((LEN(AB195)-LEN(SUBSTITUTE(AB195,"; ","")))/2+1&gt;(LEN(AB195)-LEN(SUBSTITUTE(AB195,"[Aviso]","")))/7, "Con Incidencias", "Válido")))</f>
        <v/>
      </c>
      <c r="AB195" s="56">
        <f>IF(AND(A195="", B195="", E195=""), "", TEXTJOIN("; ", TRUE, IF(OR(TRIM(A195&amp;"")="", ISNUMBER(SEARCH("FALTA", A195))), "UPC faltante/inválido", ""), IF(AND(A195&lt;&gt;"", IFERROR(_xlfn.XMATCH(A195,$A$2:$A$1063,0,1)&lt;&gt;_xlfn.XMATCH(A195,$A$2:$A$1063,0,-1),FALSE)), "Código de barras duplicado", ""), IF(AND(E195&lt;&gt;"", COUNTIF($E$2:$E$1063, E195)&gt;1), "SKU duplicado", ""), IF(OR(J195="", J195=""), "[Aviso] División no capturada ()", IF(ISNA(MATCH(J195, Criterios!$A$123:$A$126, 0)), "División no válida", "")), IF(OR(K195="", K195=""), "[Aviso] Categoría no capturada ()", IF(ISNA(MATCH(K195, Criterios!$A$81:$A$120, 0)), "Categoría no válida", IF(AND(J195&lt;&gt;"", J195&lt;&gt;"", J195&lt;&gt;VLOOKUP(K195, Criterios!$A$81:$B$120, 2, FALSE)), "División no coincide con Categoría", ""))), IF(OR(L195="", L195=""), "[Aviso] Género no capturado ()", IF(ISNA(MATCH(L195, Criterios!$B$123:$B$127, 0)), "Género no válido", "")), IF(OR(N195="", N195=""), "[Aviso] Temporada no capturada ()", IF(ISNA(MATCH(N195, Criterios!$C$123:$C$128, 0)), "Temporada no válida", "")), IF(OR(O195="", O195=""), "[Aviso] Ciclo de vida no capturado ()", IF(ISNA(MATCH(O195, Criterios!$D$123:$D$124, 0)), "Ciclo de vida no válido", ""))))</f>
        <v/>
      </c>
      <c r="AC195" s="56" t="n"/>
      <c r="AD195" s="51" t="n">
        <v>-3</v>
      </c>
      <c r="AE195" s="156" t="n"/>
      <c r="AF195" s="51" t="n">
        <v>0</v>
      </c>
      <c r="AG195" s="156" t="inlineStr">
        <is>
          <t>Nuevo – NetSuite con existencia</t>
        </is>
      </c>
      <c r="AH195" s="156" t="inlineStr">
        <is>
          <t>Stock negativo en sistema: revisar en conteo | Revisión 29/09/2026: Campos sin respaldo: X; Auditoría NetSuite 30/09/2026: llenado desde NetSuite [P,V,Y,T] | 01/10/2026: complementado desde Shopify Western Brothers (match por código de barras): WB Fit, WB Silueta | 01/10/2026: complementado desde Odoo Universal Unique Brands (match por código de barras): Enlace de imagen | 01/10/2026: Odoo Universal Unique Brands trae SKU WG195-W055KH, Género «Unisex», Color «Beige» — se conservó el valor de Productos</t>
        </is>
      </c>
      <c r="AI195" s="156" t="inlineStr">
        <is>
          <t>Sí</t>
        </is>
      </c>
      <c r="AJ195" s="156" t="inlineStr">
        <is>
          <t>WB OUTLET LERMA (-3)</t>
        </is>
      </c>
      <c r="AK195" s="155" t="inlineStr">
        <is>
          <t>ProductosCatalogoEstandar907.xlsx: fila 6114 [N,O,S,U,Y]; G1522_Extraccion_Articulos_NetSuite_2026-09-30.xlsx: fila 56750 [P,V,Y,T] | Shopify WB: producto 8569967280313 / variante 47621337514169 | Odoo: producto 11211 / plantilla 14646</t>
        </is>
      </c>
      <c r="AL195" s="58" t="n"/>
      <c r="AM195" s="58" t="n">
        <v>775</v>
      </c>
      <c r="AN195" s="155" t="inlineStr">
        <is>
          <t>Shopify Western Brothers | Odoo Universal Unique Brands</t>
        </is>
      </c>
      <c r="AO195" s="59" t="n"/>
      <c r="AP195" s="59" t="n">
        <v>-3</v>
      </c>
      <c r="AQ195" s="59" t="n">
        <v>10</v>
      </c>
      <c r="AR195" s="155" t="inlineStr">
        <is>
          <t>Odoo Universal Unique Brands › Bodega 25 › Bodega 25/General: 10</t>
        </is>
      </c>
    </row>
    <row r="196">
      <c r="A196" s="50" t="inlineStr">
        <is>
          <t>717325218095</t>
        </is>
      </c>
      <c r="B196" s="51" t="inlineStr">
        <is>
          <t>108592</t>
        </is>
      </c>
      <c r="C196" s="156" t="inlineStr">
        <is>
          <t>Multimarca</t>
        </is>
      </c>
      <c r="D196" s="156" t="inlineStr">
        <is>
          <t>WG196-W056BR</t>
        </is>
      </c>
      <c r="E196" s="156" t="inlineStr">
        <is>
          <t>WG196-W056BR-UNI</t>
        </is>
      </c>
      <c r="F196" s="156" t="inlineStr">
        <is>
          <t>Talla única</t>
        </is>
      </c>
      <c r="G196" s="156" t="inlineStr">
        <is>
          <t>One Size</t>
        </is>
      </c>
      <c r="H196" s="156" t="inlineStr">
        <is>
          <t>Wrangler</t>
        </is>
      </c>
      <c r="I196" s="156" t="inlineStr">
        <is>
          <t>Carteras Wrangler Mujer Café</t>
        </is>
      </c>
      <c r="J196" s="156" t="inlineStr">
        <is>
          <t>Accesorios</t>
        </is>
      </c>
      <c r="K196" s="156" t="inlineStr">
        <is>
          <t>Carteras</t>
        </is>
      </c>
      <c r="L196" s="156" t="inlineStr">
        <is>
          <t>Mujer</t>
        </is>
      </c>
      <c r="M196" s="156" t="inlineStr">
        <is>
          <t>Wrangler</t>
        </is>
      </c>
      <c r="N196" s="156" t="inlineStr">
        <is>
          <t>SS26</t>
        </is>
      </c>
      <c r="O196" s="156" t="inlineStr">
        <is>
          <t>Seasonal</t>
        </is>
      </c>
      <c r="P196" s="156" t="inlineStr">
        <is>
          <t>Cafe</t>
        </is>
      </c>
      <c r="Q196" s="156" t="n"/>
      <c r="R196" s="156" t="n"/>
      <c r="S196" s="156" t="inlineStr">
        <is>
          <t>Exterior: 100% Piel Genuina, Forro: 100% Poliéster</t>
        </is>
      </c>
      <c r="T196" s="156" t="inlineStr">
        <is>
          <t>Carteras Wrangler Mujer Café Billetera de 3 Paneles Perfil Compacto</t>
        </is>
      </c>
      <c r="U196" s="156" t="inlineStr">
        <is>
          <t>China</t>
        </is>
      </c>
      <c r="V196" s="156" t="inlineStr">
        <is>
          <t>PZS</t>
        </is>
      </c>
      <c r="W196" s="51" t="inlineStr">
        <is>
          <t>53121700</t>
        </is>
      </c>
      <c r="X196" s="156" t="inlineStr">
        <is>
          <t>https://m-universal-unique-brands.odoo.com/web/image/product.product/11338/image_1920</t>
        </is>
      </c>
      <c r="Y196" s="54" t="n">
        <v>344.48</v>
      </c>
      <c r="Z196" s="54" t="n">
        <v>861.2068966000001</v>
      </c>
      <c r="AA196" s="55">
        <f>IF(AND(A196="", B196="", E196=""), "", IF(AB196="", "Válido", IF((LEN(AB196)-LEN(SUBSTITUTE(AB196,"; ","")))/2+1&gt;(LEN(AB196)-LEN(SUBSTITUTE(AB196,"[Aviso]","")))/7, "Con Incidencias", "Válido")))</f>
        <v/>
      </c>
      <c r="AB196" s="56">
        <f>IF(AND(A196="", B196="", E196=""), "", TEXTJOIN("; ", TRUE, IF(OR(TRIM(A196&amp;"")="", ISNUMBER(SEARCH("FALTA", A196))), "UPC faltante/inválido", ""), IF(AND(A196&lt;&gt;"", IFERROR(_xlfn.XMATCH(A196,$A$2:$A$1063,0,1)&lt;&gt;_xlfn.XMATCH(A196,$A$2:$A$1063,0,-1),FALSE)), "Código de barras duplicado", ""), IF(AND(E196&lt;&gt;"", COUNTIF($E$2:$E$1063, E196)&gt;1), "SKU duplicado", ""), IF(OR(J196="", J196=""), "[Aviso] División no capturada ()", IF(ISNA(MATCH(J196, Criterios!$A$123:$A$126, 0)), "División no válida", "")), IF(OR(K196="", K196=""), "[Aviso] Categoría no capturada ()", IF(ISNA(MATCH(K196, Criterios!$A$81:$A$120, 0)), "Categoría no válida", IF(AND(J196&lt;&gt;"", J196&lt;&gt;"", J196&lt;&gt;VLOOKUP(K196, Criterios!$A$81:$B$120, 2, FALSE)), "División no coincide con Categoría", ""))), IF(OR(L196="", L196=""), "[Aviso] Género no capturado ()", IF(ISNA(MATCH(L196, Criterios!$B$123:$B$127, 0)), "Género no válido", "")), IF(OR(N196="", N196=""), "[Aviso] Temporada no capturada ()", IF(ISNA(MATCH(N196, Criterios!$C$123:$C$128, 0)), "Temporada no válida", "")), IF(OR(O196="", O196=""), "[Aviso] Ciclo de vida no capturado ()", IF(ISNA(MATCH(O196, Criterios!$D$123:$D$124, 0)), "Ciclo de vida no válido", ""))))</f>
        <v/>
      </c>
      <c r="AC196" s="56" t="n"/>
      <c r="AD196" s="51" t="n">
        <v>-2</v>
      </c>
      <c r="AE196" s="156" t="n"/>
      <c r="AF196" s="51" t="n">
        <v>0</v>
      </c>
      <c r="AG196" s="156" t="inlineStr">
        <is>
          <t>Nuevo – NetSuite con existencia</t>
        </is>
      </c>
      <c r="AH196" s="156" t="inlineStr">
        <is>
          <t>Stock negativo en sistema: revisar en conteo | Revisión 29/09/2026: Campos sin respaldo: X; Auditoría NetSuite 30/09/2026: llenado desde NetSuite [P,V,Y,T] | 01/10/2026: complementado desde Shopify Western Brothers (match por código de barras): WB Fit, WB Silueta | 01/10/2026: complementado desde Odoo Universal Unique Brands (match por código de barras): Enlace de imagen | 01/10/2026: Odoo Universal Unique Brands trae SKU WG196-W056BR, Género «Unisex» — se conservó el valor de Productos</t>
        </is>
      </c>
      <c r="AI196" s="156" t="inlineStr">
        <is>
          <t>Sí</t>
        </is>
      </c>
      <c r="AJ196" s="156" t="inlineStr">
        <is>
          <t>WB OUTLET LERMA (-2)</t>
        </is>
      </c>
      <c r="AK196" s="155" t="inlineStr">
        <is>
          <t>ProductosCatalogoEstandar907.xlsx: fila 6115 [N,O,S,U,Y]; G1522_Extraccion_Articulos_NetSuite_2026-09-30.xlsx: fila 56751 [P,V,Y,T] | Shopify WB: producto 8569967378617 / variante 47621337579705 | Odoo: producto 11338 / plantilla 14773</t>
        </is>
      </c>
      <c r="AL196" s="58" t="n"/>
      <c r="AM196" s="58" t="n">
        <v>861.2068966000001</v>
      </c>
      <c r="AN196" s="155" t="inlineStr">
        <is>
          <t>Shopify Western Brothers | Odoo Universal Unique Brands</t>
        </is>
      </c>
      <c r="AO196" s="59" t="n"/>
      <c r="AP196" s="59" t="n">
        <v>-2</v>
      </c>
      <c r="AQ196" s="59" t="n">
        <v>34</v>
      </c>
      <c r="AR196" s="155" t="inlineStr">
        <is>
          <t>Odoo Universal Unique Brands › Bodega 25 › Bodega 25/General: 34</t>
        </is>
      </c>
    </row>
    <row r="197">
      <c r="A197" s="50" t="inlineStr">
        <is>
          <t>717325231902</t>
        </is>
      </c>
      <c r="B197" s="51" t="inlineStr">
        <is>
          <t>108596</t>
        </is>
      </c>
      <c r="C197" s="156" t="inlineStr">
        <is>
          <t>Multimarca</t>
        </is>
      </c>
      <c r="D197" s="156" t="inlineStr">
        <is>
          <t>WG211-8014BR</t>
        </is>
      </c>
      <c r="E197" s="156" t="inlineStr">
        <is>
          <t>WG211-8014BR-UNI</t>
        </is>
      </c>
      <c r="F197" s="156" t="inlineStr">
        <is>
          <t>Talla única</t>
        </is>
      </c>
      <c r="G197" s="156" t="inlineStr">
        <is>
          <t>One Size</t>
        </is>
      </c>
      <c r="H197" s="156" t="inlineStr">
        <is>
          <t>Wrangler</t>
        </is>
      </c>
      <c r="I197" s="156" t="inlineStr">
        <is>
          <t>Bolso Wrangler Mujer Café</t>
        </is>
      </c>
      <c r="J197" s="156" t="inlineStr">
        <is>
          <t>Accesorios</t>
        </is>
      </c>
      <c r="K197" s="156" t="inlineStr">
        <is>
          <t>Bolsos</t>
        </is>
      </c>
      <c r="L197" s="156" t="inlineStr">
        <is>
          <t>Mujer</t>
        </is>
      </c>
      <c r="M197" s="156" t="inlineStr">
        <is>
          <t>Wrangler</t>
        </is>
      </c>
      <c r="N197" s="156" t="inlineStr">
        <is>
          <t>SS26</t>
        </is>
      </c>
      <c r="O197" s="156" t="inlineStr">
        <is>
          <t>Seasonal</t>
        </is>
      </c>
      <c r="P197" s="156" t="inlineStr">
        <is>
          <t>Cafe</t>
        </is>
      </c>
      <c r="Q197" s="156" t="n"/>
      <c r="R197" s="156" t="n"/>
      <c r="S197" s="156" t="inlineStr">
        <is>
          <t>Exterior: 100% Piel Vacuna, Forro: 100% Poliéster</t>
        </is>
      </c>
      <c r="T197" s="156" t="inlineStr">
        <is>
          <t>Bolso Wrangler Mujer Café Bowling Bag Estructura Soft</t>
        </is>
      </c>
      <c r="U197" s="156" t="inlineStr">
        <is>
          <t>China</t>
        </is>
      </c>
      <c r="V197" s="156" t="inlineStr">
        <is>
          <t>PZS</t>
        </is>
      </c>
      <c r="W197" s="51" t="inlineStr">
        <is>
          <t>53121601</t>
        </is>
      </c>
      <c r="X197" s="156" t="n"/>
      <c r="Y197" s="54" t="n">
        <v>310</v>
      </c>
      <c r="Z197" s="54" t="n">
        <v>899</v>
      </c>
      <c r="AA197" s="55">
        <f>IF(AND(A197="", B197="", E197=""), "", IF(AB197="", "Válido", IF((LEN(AB197)-LEN(SUBSTITUTE(AB197,"; ","")))/2+1&gt;(LEN(AB197)-LEN(SUBSTITUTE(AB197,"[Aviso]","")))/7, "Con Incidencias", "Válido")))</f>
        <v/>
      </c>
      <c r="AB197" s="56">
        <f>IF(AND(A197="", B197="", E197=""), "", TEXTJOIN("; ", TRUE, IF(OR(TRIM(A197&amp;"")="", ISNUMBER(SEARCH("FALTA", A197))), "UPC faltante/inválido", ""), IF(AND(A197&lt;&gt;"", IFERROR(_xlfn.XMATCH(A197,$A$2:$A$1063,0,1)&lt;&gt;_xlfn.XMATCH(A197,$A$2:$A$1063,0,-1),FALSE)), "Código de barras duplicado", ""), IF(AND(E197&lt;&gt;"", COUNTIF($E$2:$E$1063, E197)&gt;1), "SKU duplicado", ""), IF(OR(J197="", J197=""), "[Aviso] División no capturada ()", IF(ISNA(MATCH(J197, Criterios!$A$123:$A$126, 0)), "División no válida", "")), IF(OR(K197="", K197=""), "[Aviso] Categoría no capturada ()", IF(ISNA(MATCH(K197, Criterios!$A$81:$A$120, 0)), "Categoría no válida", IF(AND(J197&lt;&gt;"", J197&lt;&gt;"", J197&lt;&gt;VLOOKUP(K197, Criterios!$A$81:$B$120, 2, FALSE)), "División no coincide con Categoría", ""))), IF(OR(L197="", L197=""), "[Aviso] Género no capturado ()", IF(ISNA(MATCH(L197, Criterios!$B$123:$B$127, 0)), "Género no válido", "")), IF(OR(N197="", N197=""), "[Aviso] Temporada no capturada ()", IF(ISNA(MATCH(N197, Criterios!$C$123:$C$128, 0)), "Temporada no válida", "")), IF(OR(O197="", O197=""), "[Aviso] Ciclo de vida no capturado ()", IF(ISNA(MATCH(O197, Criterios!$D$123:$D$124, 0)), "Ciclo de vida no válido", ""))))</f>
        <v/>
      </c>
      <c r="AC197" s="56" t="inlineStr">
        <is>
          <t>Homologación G1522: integra 1 registro(s) iguales por variante sin código igual en estilo/talla/color</t>
        </is>
      </c>
      <c r="AD197" s="51" t="n">
        <v>-2</v>
      </c>
      <c r="AE197" s="156" t="n"/>
      <c r="AF197" s="51" t="n">
        <v>0</v>
      </c>
      <c r="AG197" s="156" t="inlineStr">
        <is>
          <t>Nuevo – NetSuite con existencia</t>
        </is>
      </c>
      <c r="AH197" s="156" t="inlineStr">
        <is>
          <t>Clave SAT por validar; Stock negativo en sistema: revisar en conteo | Revisión 29/09/2026: Campos sin respaldo: X; Auditoría NetSuite 30/09/2026: llenado desde NetSuite [P,V,Z,T] | 01/10/2026: complementado desde Shopify Western Brothers (match por código de barras): WB Fit, WB Silueta | Homologación G1522 06/10/2026: WB País de origen: «Mexico» → «México» (Corrección aplicada) · WB Talla: «» → «Talla única» (Completado por regla) · WB Talla de EE. UU.: «» → «One Size» (Completado por regla) · WB SKU: Colisión de captura: mismo WB SKU pero estilo, talla o color distintos; corregir el valor equivocado (Requiere revisión) · Marca principal: «Wrangler» → «Multimarca» (Conflicto entre duplicados) · WB SKU: «WG211-8014BR» → «WG211-8014BR-UNI» (Conflicto entre duplicados) · WB Descripcion: «Bolsa Tote Cruzada Wrangler Bordada Azteca Floral Repujada Café» → «Bolso Wrangler Mujer Café» (Conflicto entre duplicados) · WB Género: «Unisex» → «Mujer» (Conflicto entre duplicados) · WB País de origen: «México» → «China» (Conflicto entre duplicados) · Precio de compra: «396.75» → «310» (Conflicto entre duplicados) · Precio de venta: «639» → «899» (Conflicto entre duplicados) · Validador Shopify: WB: precio con IVA no termina en 9</t>
        </is>
      </c>
      <c r="AI197" s="156" t="inlineStr">
        <is>
          <t>Sí</t>
        </is>
      </c>
      <c r="AJ197" s="156" t="inlineStr">
        <is>
          <t>WB OUTLET LERMA (-2)</t>
        </is>
      </c>
      <c r="AK197" s="155" t="inlineStr">
        <is>
          <t>ProductosCatalogoEstandar907.xlsx: fila 6116 [N,O,S,U,W,Y]; G1522_Extraccion_Articulos_NetSuite_2026-09-30.xlsx: fila 56755 [P,V,Z,T] | Shopify WB: producto 8569967444153 / variante 47621337645241; Hoja2: fila 848</t>
        </is>
      </c>
      <c r="AL197" s="58" t="n">
        <v>310</v>
      </c>
      <c r="AM197" s="58" t="n"/>
      <c r="AN197" s="155" t="inlineStr">
        <is>
          <t>Shopify Western Brothers</t>
        </is>
      </c>
      <c r="AO197" s="59" t="n"/>
      <c r="AP197" s="59" t="n">
        <v>-2</v>
      </c>
      <c r="AQ197" s="59" t="n"/>
      <c r="AR197" s="155" t="n"/>
    </row>
    <row r="198">
      <c r="A198" s="50" t="inlineStr">
        <is>
          <t>717690434236</t>
        </is>
      </c>
      <c r="B198" s="51" t="inlineStr">
        <is>
          <t>108593</t>
        </is>
      </c>
      <c r="C198" s="156" t="inlineStr">
        <is>
          <t>Multimarca</t>
        </is>
      </c>
      <c r="D198" s="156" t="inlineStr">
        <is>
          <t>WG241-2022BR</t>
        </is>
      </c>
      <c r="E198" s="156" t="inlineStr">
        <is>
          <t>WG241-2022BR-UNI</t>
        </is>
      </c>
      <c r="F198" s="156" t="inlineStr">
        <is>
          <t>Talla única</t>
        </is>
      </c>
      <c r="G198" s="156" t="inlineStr">
        <is>
          <t>One Size</t>
        </is>
      </c>
      <c r="H198" s="156" t="inlineStr">
        <is>
          <t>Wrangler</t>
        </is>
      </c>
      <c r="I198" s="156" t="inlineStr">
        <is>
          <t>Bolso Wrangler Mujer Café</t>
        </is>
      </c>
      <c r="J198" s="156" t="inlineStr">
        <is>
          <t>Accesorios</t>
        </is>
      </c>
      <c r="K198" s="156" t="inlineStr">
        <is>
          <t>Bolsos</t>
        </is>
      </c>
      <c r="L198" s="156" t="inlineStr">
        <is>
          <t>Mujer</t>
        </is>
      </c>
      <c r="M198" s="156" t="inlineStr">
        <is>
          <t>Wrangler</t>
        </is>
      </c>
      <c r="N198" s="156" t="inlineStr">
        <is>
          <t>SS26</t>
        </is>
      </c>
      <c r="O198" s="156" t="inlineStr">
        <is>
          <t>Seasonal</t>
        </is>
      </c>
      <c r="P198" s="156" t="inlineStr">
        <is>
          <t>Cafe</t>
        </is>
      </c>
      <c r="Q198" s="156" t="n"/>
      <c r="R198" s="156" t="n"/>
      <c r="S198" s="156" t="inlineStr">
        <is>
          <t>Exterior: 100% Piel Vacuna, Forro: 100% Poliéster</t>
        </is>
      </c>
      <c r="T198" s="156" t="inlineStr">
        <is>
          <t>Bolso Wrangler Mujer Café Bucket Bag Estructura Flexible</t>
        </is>
      </c>
      <c r="U198" s="156" t="inlineStr">
        <is>
          <t>China</t>
        </is>
      </c>
      <c r="V198" s="156" t="inlineStr">
        <is>
          <t>PZS</t>
        </is>
      </c>
      <c r="W198" s="51" t="inlineStr">
        <is>
          <t>53121601</t>
        </is>
      </c>
      <c r="X198" s="156" t="n"/>
      <c r="Y198" s="54" t="n">
        <v>585.86</v>
      </c>
      <c r="Z198" s="54" t="n">
        <v>1699</v>
      </c>
      <c r="AA198" s="55">
        <f>IF(AND(A198="", B198="", E198=""), "", IF(AB198="", "Válido", IF((LEN(AB198)-LEN(SUBSTITUTE(AB198,"; ","")))/2+1&gt;(LEN(AB198)-LEN(SUBSTITUTE(AB198,"[Aviso]","")))/7, "Con Incidencias", "Válido")))</f>
        <v/>
      </c>
      <c r="AB198" s="56">
        <f>IF(AND(A198="", B198="", E198=""), "", TEXTJOIN("; ", TRUE, IF(OR(TRIM(A198&amp;"")="", ISNUMBER(SEARCH("FALTA", A198))), "UPC faltante/inválido", ""), IF(AND(A198&lt;&gt;"", IFERROR(_xlfn.XMATCH(A198,$A$2:$A$1063,0,1)&lt;&gt;_xlfn.XMATCH(A198,$A$2:$A$1063,0,-1),FALSE)), "Código de barras duplicado", ""), IF(AND(E198&lt;&gt;"", COUNTIF($E$2:$E$1063, E198)&gt;1), "SKU duplicado", ""), IF(OR(J198="", J198=""), "[Aviso] División no capturada ()", IF(ISNA(MATCH(J198, Criterios!$A$123:$A$126, 0)), "División no válida", "")), IF(OR(K198="", K198=""), "[Aviso] Categoría no capturada ()", IF(ISNA(MATCH(K198, Criterios!$A$81:$A$120, 0)), "Categoría no válida", IF(AND(J198&lt;&gt;"", J198&lt;&gt;"", J198&lt;&gt;VLOOKUP(K198, Criterios!$A$81:$B$120, 2, FALSE)), "División no coincide con Categoría", ""))), IF(OR(L198="", L198=""), "[Aviso] Género no capturado ()", IF(ISNA(MATCH(L198, Criterios!$B$123:$B$127, 0)), "Género no válido", "")), IF(OR(N198="", N198=""), "[Aviso] Temporada no capturada ()", IF(ISNA(MATCH(N198, Criterios!$C$123:$C$128, 0)), "Temporada no válida", "")), IF(OR(O198="", O198=""), "[Aviso] Ciclo de vida no capturado ()", IF(ISNA(MATCH(O198, Criterios!$D$123:$D$124, 0)), "Ciclo de vida no válido", ""))))</f>
        <v/>
      </c>
      <c r="AC198" s="56" t="n"/>
      <c r="AD198" s="51" t="n">
        <v>-5</v>
      </c>
      <c r="AE198" s="156" t="n"/>
      <c r="AF198" s="51" t="n">
        <v>0</v>
      </c>
      <c r="AG198" s="156" t="inlineStr">
        <is>
          <t>Nuevo – NetSuite con existencia</t>
        </is>
      </c>
      <c r="AH198" s="156" t="inlineStr">
        <is>
          <t>Clave SAT por validar; Stock negativo en sistema: revisar en conteo | Revisión 29/09/2026: Campos sin respaldo: X; Auditoría NetSuite 30/09/2026: llenado desde NetSuite [P,V,Z,T] | 01/10/2026: complementado desde Shopify Western Brothers (match por código de barras): WB Fit, WB Silueta | Homologación G1522 06/10/2026: Validador Shopify: WB: precio con IVA no termina en 9</t>
        </is>
      </c>
      <c r="AI198" s="156" t="inlineStr">
        <is>
          <t>Sí</t>
        </is>
      </c>
      <c r="AJ198" s="156" t="inlineStr">
        <is>
          <t>WB OUTLET LERMA (-5)</t>
        </is>
      </c>
      <c r="AK198" s="155" t="inlineStr">
        <is>
          <t>ProductosCatalogoEstandar907.xlsx: fila 6117 [N,O,S,U,W,Y]; G1522_Extraccion_Articulos_NetSuite_2026-09-30.xlsx: fila 56752 [P,V,Z,T] | Shopify WB: producto 8569967575225 / variante 47621337710777</t>
        </is>
      </c>
      <c r="AL198" s="58" t="n">
        <v>585.86</v>
      </c>
      <c r="AM198" s="58" t="n"/>
      <c r="AN198" s="155" t="inlineStr">
        <is>
          <t>Shopify Western Brothers</t>
        </is>
      </c>
      <c r="AO198" s="59" t="n"/>
      <c r="AP198" s="59" t="n">
        <v>-5</v>
      </c>
      <c r="AQ198" s="59" t="n"/>
      <c r="AR198" s="155" t="n"/>
    </row>
    <row r="199">
      <c r="A199" s="50" t="inlineStr">
        <is>
          <t>717308772088</t>
        </is>
      </c>
      <c r="B199" s="51" t="inlineStr">
        <is>
          <t>108494</t>
        </is>
      </c>
      <c r="C199" s="156" t="inlineStr">
        <is>
          <t>Multimarca</t>
        </is>
      </c>
      <c r="D199" s="156" t="inlineStr">
        <is>
          <t>WG331-2005PK</t>
        </is>
      </c>
      <c r="E199" s="156" t="inlineStr">
        <is>
          <t>WG331-2005PK-UNI</t>
        </is>
      </c>
      <c r="F199" s="156" t="inlineStr">
        <is>
          <t>Talla única</t>
        </is>
      </c>
      <c r="G199" s="156" t="inlineStr">
        <is>
          <t>One Size</t>
        </is>
      </c>
      <c r="H199" s="156" t="inlineStr">
        <is>
          <t>Wrangler</t>
        </is>
      </c>
      <c r="I199" s="156" t="inlineStr">
        <is>
          <t>Bolso Wrangler Mujer Rosa</t>
        </is>
      </c>
      <c r="J199" s="156" t="inlineStr">
        <is>
          <t>Accesorios</t>
        </is>
      </c>
      <c r="K199" s="156" t="inlineStr">
        <is>
          <t>Bolsos</t>
        </is>
      </c>
      <c r="L199" s="156" t="inlineStr">
        <is>
          <t>Mujer</t>
        </is>
      </c>
      <c r="M199" s="156" t="inlineStr">
        <is>
          <t>Wrangler</t>
        </is>
      </c>
      <c r="N199" s="156" t="inlineStr">
        <is>
          <t>SS26</t>
        </is>
      </c>
      <c r="O199" s="156" t="inlineStr">
        <is>
          <t>Seasonal</t>
        </is>
      </c>
      <c r="P199" s="156" t="inlineStr">
        <is>
          <t>Rosa</t>
        </is>
      </c>
      <c r="Q199" s="156" t="n"/>
      <c r="R199" s="156" t="n"/>
      <c r="S199" s="156" t="inlineStr">
        <is>
          <t>Exterior: 100% Piel Vacuna, Forro: 100% Poliéster</t>
        </is>
      </c>
      <c r="T199" s="156" t="inlineStr">
        <is>
          <t>Bolso Wrangler Mujer Rosa Handbag Cuadrado Estructura Rígida</t>
        </is>
      </c>
      <c r="U199" s="156" t="inlineStr">
        <is>
          <t>China</t>
        </is>
      </c>
      <c r="V199" s="156" t="inlineStr">
        <is>
          <t>PZS</t>
        </is>
      </c>
      <c r="W199" s="51" t="inlineStr">
        <is>
          <t>53121601</t>
        </is>
      </c>
      <c r="X199" s="156" t="n"/>
      <c r="Y199" s="54" t="n">
        <v>516.9</v>
      </c>
      <c r="Z199" s="54" t="n">
        <v>1499</v>
      </c>
      <c r="AA199" s="55">
        <f>IF(AND(A199="", B199="", E199=""), "", IF(AB199="", "Válido", IF((LEN(AB199)-LEN(SUBSTITUTE(AB199,"; ","")))/2+1&gt;(LEN(AB199)-LEN(SUBSTITUTE(AB199,"[Aviso]","")))/7, "Con Incidencias", "Válido")))</f>
        <v/>
      </c>
      <c r="AB199" s="56">
        <f>IF(AND(A199="", B199="", E199=""), "", TEXTJOIN("; ", TRUE, IF(OR(TRIM(A199&amp;"")="", ISNUMBER(SEARCH("FALTA", A199))), "UPC faltante/inválido", ""), IF(AND(A199&lt;&gt;"", IFERROR(_xlfn.XMATCH(A199,$A$2:$A$1063,0,1)&lt;&gt;_xlfn.XMATCH(A199,$A$2:$A$1063,0,-1),FALSE)), "Código de barras duplicado", ""), IF(AND(E199&lt;&gt;"", COUNTIF($E$2:$E$1063, E199)&gt;1), "SKU duplicado", ""), IF(OR(J199="", J199=""), "[Aviso] División no capturada ()", IF(ISNA(MATCH(J199, Criterios!$A$123:$A$126, 0)), "División no válida", "")), IF(OR(K199="", K199=""), "[Aviso] Categoría no capturada ()", IF(ISNA(MATCH(K199, Criterios!$A$81:$A$120, 0)), "Categoría no válida", IF(AND(J199&lt;&gt;"", J199&lt;&gt;"", J199&lt;&gt;VLOOKUP(K199, Criterios!$A$81:$B$120, 2, FALSE)), "División no coincide con Categoría", ""))), IF(OR(L199="", L199=""), "[Aviso] Género no capturado ()", IF(ISNA(MATCH(L199, Criterios!$B$123:$B$127, 0)), "Género no válido", "")), IF(OR(N199="", N199=""), "[Aviso] Temporada no capturada ()", IF(ISNA(MATCH(N199, Criterios!$C$123:$C$128, 0)), "Temporada no válida", "")), IF(OR(O199="", O199=""), "[Aviso] Ciclo de vida no capturado ()", IF(ISNA(MATCH(O199, Criterios!$D$123:$D$124, 0)), "Ciclo de vida no válido", ""))))</f>
        <v/>
      </c>
      <c r="AC199" s="56" t="n"/>
      <c r="AD199" s="51" t="n">
        <v>-3</v>
      </c>
      <c r="AE199" s="156" t="n"/>
      <c r="AF199" s="51" t="n">
        <v>0</v>
      </c>
      <c r="AG199" s="156" t="inlineStr">
        <is>
          <t>Nuevo – NetSuite con existencia</t>
        </is>
      </c>
      <c r="AH199" s="156" t="inlineStr">
        <is>
          <t>Clave SAT por validar; Stock negativo en sistema: revisar en conteo | Revisión 29/09/2026: Campos sin respaldo: X; Auditoría NetSuite 30/09/2026: llenado desde NetSuite [P,V,Z,T] | 01/10/2026: complementado desde Shopify Western Brothers (match por código de barras): WB Fit, WB Silueta | Homologación G1522 06/10/2026: Validador Shopify: WB: precio con IVA no termina en 9</t>
        </is>
      </c>
      <c r="AI199" s="156" t="inlineStr">
        <is>
          <t>Sí</t>
        </is>
      </c>
      <c r="AJ199" s="156" t="inlineStr">
        <is>
          <t>WB OUTLET LERMA (-3)</t>
        </is>
      </c>
      <c r="AK199" s="155" t="inlineStr">
        <is>
          <t>ProductosCatalogoEstandar907.xlsx: fila 6118 [N,O,S,U,W,Y]; G1522_Extraccion_Articulos_NetSuite_2026-09-30.xlsx: fila 56653 [P,V,Z,T] | Shopify WB: producto 8569967673529 / variante 47621337841849</t>
        </is>
      </c>
      <c r="AL199" s="58" t="n">
        <v>516.9</v>
      </c>
      <c r="AM199" s="58" t="n"/>
      <c r="AN199" s="155" t="inlineStr">
        <is>
          <t>Shopify Western Brothers</t>
        </is>
      </c>
      <c r="AO199" s="59" t="n"/>
      <c r="AP199" s="59" t="n">
        <v>-3</v>
      </c>
      <c r="AQ199" s="59" t="n"/>
      <c r="AR199" s="155" t="n"/>
    </row>
    <row r="200">
      <c r="A200" s="50" t="inlineStr">
        <is>
          <t>717308772064</t>
        </is>
      </c>
      <c r="B200" s="51" t="inlineStr">
        <is>
          <t>108493</t>
        </is>
      </c>
      <c r="C200" s="156" t="inlineStr">
        <is>
          <t>Multimarca</t>
        </is>
      </c>
      <c r="D200" s="156" t="inlineStr">
        <is>
          <t>WG331-2005YL</t>
        </is>
      </c>
      <c r="E200" s="156" t="inlineStr">
        <is>
          <t>WG331-2005YL-UNI</t>
        </is>
      </c>
      <c r="F200" s="156" t="inlineStr">
        <is>
          <t>Talla única</t>
        </is>
      </c>
      <c r="G200" s="156" t="inlineStr">
        <is>
          <t>One Size</t>
        </is>
      </c>
      <c r="H200" s="156" t="inlineStr">
        <is>
          <t>Wrangler</t>
        </is>
      </c>
      <c r="I200" s="156" t="inlineStr">
        <is>
          <t>Bolso Wrangler Mujer Amarillo</t>
        </is>
      </c>
      <c r="J200" s="156" t="inlineStr">
        <is>
          <t>Accesorios</t>
        </is>
      </c>
      <c r="K200" s="156" t="inlineStr">
        <is>
          <t>Bolsos</t>
        </is>
      </c>
      <c r="L200" s="156" t="inlineStr">
        <is>
          <t>Mujer</t>
        </is>
      </c>
      <c r="M200" s="156" t="inlineStr">
        <is>
          <t>Wrangler</t>
        </is>
      </c>
      <c r="N200" s="156" t="inlineStr">
        <is>
          <t>SS26</t>
        </is>
      </c>
      <c r="O200" s="156" t="inlineStr">
        <is>
          <t>Seasonal</t>
        </is>
      </c>
      <c r="P200" s="156" t="inlineStr">
        <is>
          <t>Amarillo</t>
        </is>
      </c>
      <c r="Q200" s="156" t="n"/>
      <c r="R200" s="156" t="n"/>
      <c r="S200" s="156" t="inlineStr">
        <is>
          <t>Exterior: 100% Piel Vacuna, Forro: 100% Poliéster</t>
        </is>
      </c>
      <c r="T200" s="156" t="inlineStr">
        <is>
          <t>Bolso Wrangler Mujer Amarillo Handbag Cuadrado Estructura Rígida</t>
        </is>
      </c>
      <c r="U200" s="156" t="inlineStr">
        <is>
          <t>China</t>
        </is>
      </c>
      <c r="V200" s="156" t="inlineStr">
        <is>
          <t>PZS</t>
        </is>
      </c>
      <c r="W200" s="51" t="inlineStr">
        <is>
          <t>53121601</t>
        </is>
      </c>
      <c r="X200" s="156" t="n"/>
      <c r="Y200" s="54" t="n">
        <v>516.9</v>
      </c>
      <c r="Z200" s="54" t="n">
        <v>1499</v>
      </c>
      <c r="AA200" s="55">
        <f>IF(AND(A200="", B200="", E200=""), "", IF(AB200="", "Válido", IF((LEN(AB200)-LEN(SUBSTITUTE(AB200,"; ","")))/2+1&gt;(LEN(AB200)-LEN(SUBSTITUTE(AB200,"[Aviso]","")))/7, "Con Incidencias", "Válido")))</f>
        <v/>
      </c>
      <c r="AB200" s="56">
        <f>IF(AND(A200="", B200="", E200=""), "", TEXTJOIN("; ", TRUE, IF(OR(TRIM(A200&amp;"")="", ISNUMBER(SEARCH("FALTA", A200))), "UPC faltante/inválido", ""), IF(AND(A200&lt;&gt;"", IFERROR(_xlfn.XMATCH(A200,$A$2:$A$1063,0,1)&lt;&gt;_xlfn.XMATCH(A200,$A$2:$A$1063,0,-1),FALSE)), "Código de barras duplicado", ""), IF(AND(E200&lt;&gt;"", COUNTIF($E$2:$E$1063, E200)&gt;1), "SKU duplicado", ""), IF(OR(J200="", J200=""), "[Aviso] División no capturada ()", IF(ISNA(MATCH(J200, Criterios!$A$123:$A$126, 0)), "División no válida", "")), IF(OR(K200="", K200=""), "[Aviso] Categoría no capturada ()", IF(ISNA(MATCH(K200, Criterios!$A$81:$A$120, 0)), "Categoría no válida", IF(AND(J200&lt;&gt;"", J200&lt;&gt;"", J200&lt;&gt;VLOOKUP(K200, Criterios!$A$81:$B$120, 2, FALSE)), "División no coincide con Categoría", ""))), IF(OR(L200="", L200=""), "[Aviso] Género no capturado ()", IF(ISNA(MATCH(L200, Criterios!$B$123:$B$127, 0)), "Género no válido", "")), IF(OR(N200="", N200=""), "[Aviso] Temporada no capturada ()", IF(ISNA(MATCH(N200, Criterios!$C$123:$C$128, 0)), "Temporada no válida", "")), IF(OR(O200="", O200=""), "[Aviso] Ciclo de vida no capturado ()", IF(ISNA(MATCH(O200, Criterios!$D$123:$D$124, 0)), "Ciclo de vida no válido", ""))))</f>
        <v/>
      </c>
      <c r="AC200" s="56" t="n"/>
      <c r="AD200" s="51" t="n">
        <v>0</v>
      </c>
      <c r="AE200" s="156" t="n"/>
      <c r="AF200" s="51" t="n">
        <v>0</v>
      </c>
      <c r="AG200" s="156" t="inlineStr">
        <is>
          <t>Nuevo – NetSuite sin existencia</t>
        </is>
      </c>
      <c r="AH200" s="156" t="inlineStr">
        <is>
          <t>Clave SAT por validar | Revisión 29/09/2026: Campos sin respaldo: X; Auditoría NetSuite 30/09/2026: llenado desde NetSuite [P,V,Z,T] | 01/10/2026: complementado desde Shopify Western Brothers (match por código de barras): WB Fit, WB Silueta | Homologación G1522 06/10/2026: Validador Shopify: WB: precio con IVA no termina en 9</t>
        </is>
      </c>
      <c r="AI200" s="156" t="inlineStr">
        <is>
          <t>No</t>
        </is>
      </c>
      <c r="AJ200" s="156" t="n"/>
      <c r="AK200" s="155" t="inlineStr">
        <is>
          <t>ProductosCatalogoEstandar907.xlsx: fila 6119 [N,O,S,U,W,Y]; G1522_Extraccion_Articulos_NetSuite_2026-09-30.xlsx: fila 56652 [P,V,Z,T] | Shopify WB: producto 8569967739065 / variante 47621337907385</t>
        </is>
      </c>
      <c r="AL200" s="58" t="n">
        <v>516.9</v>
      </c>
      <c r="AM200" s="58" t="n"/>
      <c r="AN200" s="155" t="inlineStr">
        <is>
          <t>Shopify Western Brothers</t>
        </is>
      </c>
      <c r="AO200" s="59" t="n"/>
      <c r="AP200" s="59" t="n">
        <v>0</v>
      </c>
      <c r="AQ200" s="59" t="n"/>
      <c r="AR200" s="155" t="n"/>
    </row>
    <row r="201">
      <c r="A201" s="50" t="inlineStr">
        <is>
          <t>717710498606</t>
        </is>
      </c>
      <c r="B201" s="51" t="inlineStr">
        <is>
          <t>108496</t>
        </is>
      </c>
      <c r="C201" s="156" t="inlineStr">
        <is>
          <t>Multimarca</t>
        </is>
      </c>
      <c r="D201" s="156" t="inlineStr">
        <is>
          <t>WG337-2003BK</t>
        </is>
      </c>
      <c r="E201" s="156" t="inlineStr">
        <is>
          <t>WG337-2003BK-UNI</t>
        </is>
      </c>
      <c r="F201" s="156" t="inlineStr">
        <is>
          <t>Talla única</t>
        </is>
      </c>
      <c r="G201" s="156" t="inlineStr">
        <is>
          <t>One Size</t>
        </is>
      </c>
      <c r="H201" s="156" t="inlineStr">
        <is>
          <t>Wrangler</t>
        </is>
      </c>
      <c r="I201" s="156" t="inlineStr">
        <is>
          <t>Bolso Wrangler Mujer Negro</t>
        </is>
      </c>
      <c r="J201" s="156" t="inlineStr">
        <is>
          <t>Accesorios</t>
        </is>
      </c>
      <c r="K201" s="156" t="inlineStr">
        <is>
          <t>Bolsos</t>
        </is>
      </c>
      <c r="L201" s="156" t="inlineStr">
        <is>
          <t>Mujer</t>
        </is>
      </c>
      <c r="M201" s="156" t="inlineStr">
        <is>
          <t>Wrangler</t>
        </is>
      </c>
      <c r="N201" s="156" t="inlineStr">
        <is>
          <t>SS26</t>
        </is>
      </c>
      <c r="O201" s="156" t="inlineStr">
        <is>
          <t>Seasonal</t>
        </is>
      </c>
      <c r="P201" s="156" t="inlineStr">
        <is>
          <t>Negro</t>
        </is>
      </c>
      <c r="Q201" s="156" t="n"/>
      <c r="R201" s="156" t="n"/>
      <c r="S201" s="156" t="inlineStr">
        <is>
          <t>Exterior: 100% Piel Vacuna, Forro: 100% Poliéster</t>
        </is>
      </c>
      <c r="T201" s="156" t="inlineStr">
        <is>
          <t>Bolso Wrangler Mujer Negro Flap Crossbody Estructura Semirígida</t>
        </is>
      </c>
      <c r="U201" s="156" t="inlineStr">
        <is>
          <t>China</t>
        </is>
      </c>
      <c r="V201" s="156" t="inlineStr">
        <is>
          <t>PZS</t>
        </is>
      </c>
      <c r="W201" s="51" t="inlineStr">
        <is>
          <t>53121601</t>
        </is>
      </c>
      <c r="X201" s="156" t="n"/>
      <c r="Y201" s="54" t="n">
        <v>413.45</v>
      </c>
      <c r="Z201" s="54" t="n">
        <v>1199</v>
      </c>
      <c r="AA201" s="55">
        <f>IF(AND(A201="", B201="", E201=""), "", IF(AB201="", "Válido", IF((LEN(AB201)-LEN(SUBSTITUTE(AB201,"; ","")))/2+1&gt;(LEN(AB201)-LEN(SUBSTITUTE(AB201,"[Aviso]","")))/7, "Con Incidencias", "Válido")))</f>
        <v/>
      </c>
      <c r="AB201" s="56">
        <f>IF(AND(A201="", B201="", E201=""), "", TEXTJOIN("; ", TRUE, IF(OR(TRIM(A201&amp;"")="", ISNUMBER(SEARCH("FALTA", A201))), "UPC faltante/inválido", ""), IF(AND(A201&lt;&gt;"", IFERROR(_xlfn.XMATCH(A201,$A$2:$A$1063,0,1)&lt;&gt;_xlfn.XMATCH(A201,$A$2:$A$1063,0,-1),FALSE)), "Código de barras duplicado", ""), IF(AND(E201&lt;&gt;"", COUNTIF($E$2:$E$1063, E201)&gt;1), "SKU duplicado", ""), IF(OR(J201="", J201=""), "[Aviso] División no capturada ()", IF(ISNA(MATCH(J201, Criterios!$A$123:$A$126, 0)), "División no válida", "")), IF(OR(K201="", K201=""), "[Aviso] Categoría no capturada ()", IF(ISNA(MATCH(K201, Criterios!$A$81:$A$120, 0)), "Categoría no válida", IF(AND(J201&lt;&gt;"", J201&lt;&gt;"", J201&lt;&gt;VLOOKUP(K201, Criterios!$A$81:$B$120, 2, FALSE)), "División no coincide con Categoría", ""))), IF(OR(L201="", L201=""), "[Aviso] Género no capturado ()", IF(ISNA(MATCH(L201, Criterios!$B$123:$B$127, 0)), "Género no válido", "")), IF(OR(N201="", N201=""), "[Aviso] Temporada no capturada ()", IF(ISNA(MATCH(N201, Criterios!$C$123:$C$128, 0)), "Temporada no válida", "")), IF(OR(O201="", O201=""), "[Aviso] Ciclo de vida no capturado ()", IF(ISNA(MATCH(O201, Criterios!$D$123:$D$124, 0)), "Ciclo de vida no válido", ""))))</f>
        <v/>
      </c>
      <c r="AC201" s="56" t="n"/>
      <c r="AD201" s="51" t="n">
        <v>1</v>
      </c>
      <c r="AE201" s="156" t="inlineStr">
        <is>
          <t>WB OUTLET LERMA (1)</t>
        </is>
      </c>
      <c r="AF201" s="51" t="n">
        <v>1</v>
      </c>
      <c r="AG201" s="156" t="inlineStr">
        <is>
          <t>Nuevo – NetSuite con existencia</t>
        </is>
      </c>
      <c r="AH201" s="156" t="inlineStr">
        <is>
          <t>Clave SAT por validar | Revisión 29/09/2026: Campos sin respaldo: X; Auditoría NetSuite 30/09/2026: llenado desde NetSuite [P,V,Z,T] | 01/10/2026: complementado desde Shopify Western Brothers (match por código de barras): WB Fit, WB Silueta | Homologación G1522 06/10/2026: Validador Shopify: WB: precio con IVA no termina en 9</t>
        </is>
      </c>
      <c r="AI201" s="156" t="inlineStr">
        <is>
          <t>No</t>
        </is>
      </c>
      <c r="AJ201" s="156" t="n"/>
      <c r="AK201" s="155" t="inlineStr">
        <is>
          <t>ProductosCatalogoEstandar907.xlsx: fila 6120 [N,O,S,U,W,Y]; G1522_Extraccion_Articulos_NetSuite_2026-09-30.xlsx: fila 56655 [P,V,Z,T] | Shopify WB: producto 8569967837369 / variante 47621337972921</t>
        </is>
      </c>
      <c r="AL201" s="58" t="n">
        <v>413.45</v>
      </c>
      <c r="AM201" s="58" t="n"/>
      <c r="AN201" s="155" t="inlineStr">
        <is>
          <t>Shopify Western Brothers</t>
        </is>
      </c>
      <c r="AO201" s="59" t="n"/>
      <c r="AP201" s="59" t="n">
        <v>1</v>
      </c>
      <c r="AQ201" s="59" t="n"/>
      <c r="AR201" s="155" t="inlineStr">
        <is>
          <t>Shopify Western Brothers › Western Brothers Outlet Lerma: 1</t>
        </is>
      </c>
    </row>
    <row r="202">
      <c r="A202" s="50" t="inlineStr">
        <is>
          <t>717710498613</t>
        </is>
      </c>
      <c r="B202" s="51" t="inlineStr">
        <is>
          <t>108595</t>
        </is>
      </c>
      <c r="C202" s="156" t="inlineStr">
        <is>
          <t>Multimarca</t>
        </is>
      </c>
      <c r="D202" s="156" t="inlineStr">
        <is>
          <t>WG337-2003BR</t>
        </is>
      </c>
      <c r="E202" s="156" t="inlineStr">
        <is>
          <t>WG337-2003BR-UNI</t>
        </is>
      </c>
      <c r="F202" s="156" t="inlineStr">
        <is>
          <t>Talla única</t>
        </is>
      </c>
      <c r="G202" s="156" t="inlineStr">
        <is>
          <t>One Size</t>
        </is>
      </c>
      <c r="H202" s="156" t="inlineStr">
        <is>
          <t>Wrangler</t>
        </is>
      </c>
      <c r="I202" s="156" t="inlineStr">
        <is>
          <t>Bolso Wrangler Mujer Café</t>
        </is>
      </c>
      <c r="J202" s="156" t="inlineStr">
        <is>
          <t>Accesorios</t>
        </is>
      </c>
      <c r="K202" s="156" t="inlineStr">
        <is>
          <t>Bolsos</t>
        </is>
      </c>
      <c r="L202" s="156" t="inlineStr">
        <is>
          <t>Mujer</t>
        </is>
      </c>
      <c r="M202" s="156" t="inlineStr">
        <is>
          <t>Wrangler</t>
        </is>
      </c>
      <c r="N202" s="156" t="inlineStr">
        <is>
          <t>SS26</t>
        </is>
      </c>
      <c r="O202" s="156" t="inlineStr">
        <is>
          <t>Seasonal</t>
        </is>
      </c>
      <c r="P202" s="156" t="inlineStr">
        <is>
          <t>Cafe</t>
        </is>
      </c>
      <c r="Q202" s="156" t="n"/>
      <c r="R202" s="156" t="n"/>
      <c r="S202" s="156" t="inlineStr">
        <is>
          <t>Exterior: 100% Piel Vacuna, Forro: 100% Poliéster</t>
        </is>
      </c>
      <c r="T202" s="156" t="inlineStr">
        <is>
          <t>Bolso Wrangler Mujer Café Flap Crossbody Estructura Semirígida</t>
        </is>
      </c>
      <c r="U202" s="156" t="inlineStr">
        <is>
          <t>China</t>
        </is>
      </c>
      <c r="V202" s="156" t="inlineStr">
        <is>
          <t>PZS</t>
        </is>
      </c>
      <c r="W202" s="51" t="inlineStr">
        <is>
          <t>53121601</t>
        </is>
      </c>
      <c r="X202" s="156" t="n"/>
      <c r="Y202" s="54" t="n">
        <v>413.45</v>
      </c>
      <c r="Z202" s="54" t="n">
        <v>1199</v>
      </c>
      <c r="AA202" s="55">
        <f>IF(AND(A202="", B202="", E202=""), "", IF(AB202="", "Válido", IF((LEN(AB202)-LEN(SUBSTITUTE(AB202,"; ","")))/2+1&gt;(LEN(AB202)-LEN(SUBSTITUTE(AB202,"[Aviso]","")))/7, "Con Incidencias", "Válido")))</f>
        <v/>
      </c>
      <c r="AB202" s="56">
        <f>IF(AND(A202="", B202="", E202=""), "", TEXTJOIN("; ", TRUE, IF(OR(TRIM(A202&amp;"")="", ISNUMBER(SEARCH("FALTA", A202))), "UPC faltante/inválido", ""), IF(AND(A202&lt;&gt;"", IFERROR(_xlfn.XMATCH(A202,$A$2:$A$1063,0,1)&lt;&gt;_xlfn.XMATCH(A202,$A$2:$A$1063,0,-1),FALSE)), "Código de barras duplicado", ""), IF(AND(E202&lt;&gt;"", COUNTIF($E$2:$E$1063, E202)&gt;1), "SKU duplicado", ""), IF(OR(J202="", J202=""), "[Aviso] División no capturada ()", IF(ISNA(MATCH(J202, Criterios!$A$123:$A$126, 0)), "División no válida", "")), IF(OR(K202="", K202=""), "[Aviso] Categoría no capturada ()", IF(ISNA(MATCH(K202, Criterios!$A$81:$A$120, 0)), "Categoría no válida", IF(AND(J202&lt;&gt;"", J202&lt;&gt;"", J202&lt;&gt;VLOOKUP(K202, Criterios!$A$81:$B$120, 2, FALSE)), "División no coincide con Categoría", ""))), IF(OR(L202="", L202=""), "[Aviso] Género no capturado ()", IF(ISNA(MATCH(L202, Criterios!$B$123:$B$127, 0)), "Género no válido", "")), IF(OR(N202="", N202=""), "[Aviso] Temporada no capturada ()", IF(ISNA(MATCH(N202, Criterios!$C$123:$C$128, 0)), "Temporada no válida", "")), IF(OR(O202="", O202=""), "[Aviso] Ciclo de vida no capturado ()", IF(ISNA(MATCH(O202, Criterios!$D$123:$D$124, 0)), "Ciclo de vida no válido", ""))))</f>
        <v/>
      </c>
      <c r="AC202" s="56" t="n"/>
      <c r="AD202" s="51" t="n">
        <v>-3</v>
      </c>
      <c r="AE202" s="156" t="n"/>
      <c r="AF202" s="51" t="n">
        <v>0</v>
      </c>
      <c r="AG202" s="156" t="inlineStr">
        <is>
          <t>Nuevo – NetSuite con existencia</t>
        </is>
      </c>
      <c r="AH202" s="156" t="inlineStr">
        <is>
          <t>Clave SAT por validar; Stock negativo en sistema: revisar en conteo | Revisión 29/09/2026: Campos sin respaldo: X; Auditoría NetSuite 30/09/2026: llenado desde NetSuite [P,V,Z,T] | 01/10/2026: complementado desde Shopify Western Brothers (match por código de barras): WB Fit, WB Silueta | Homologación G1522 06/10/2026: Validador Shopify: WB: precio con IVA no termina en 9</t>
        </is>
      </c>
      <c r="AI202" s="156" t="inlineStr">
        <is>
          <t>Sí</t>
        </is>
      </c>
      <c r="AJ202" s="156" t="inlineStr">
        <is>
          <t>WB OUTLET LERMA (-3)</t>
        </is>
      </c>
      <c r="AK202" s="155" t="inlineStr">
        <is>
          <t>ProductosCatalogoEstandar907.xlsx: fila 6121 [N,O,S,U,W,Y]; G1522_Extraccion_Articulos_NetSuite_2026-09-30.xlsx: fila 56754 [P,V,Z,T] | Shopify WB: producto 8569967935673 / variante 47621338005689</t>
        </is>
      </c>
      <c r="AL202" s="58" t="n">
        <v>413.45</v>
      </c>
      <c r="AM202" s="58" t="n"/>
      <c r="AN202" s="155" t="inlineStr">
        <is>
          <t>Shopify Western Brothers</t>
        </is>
      </c>
      <c r="AO202" s="59" t="n"/>
      <c r="AP202" s="59" t="n">
        <v>-3</v>
      </c>
      <c r="AQ202" s="59" t="n"/>
      <c r="AR202" s="155" t="n"/>
    </row>
    <row r="203">
      <c r="A203" s="50" t="inlineStr">
        <is>
          <t>717308772385</t>
        </is>
      </c>
      <c r="B203" s="51" t="inlineStr">
        <is>
          <t>108594</t>
        </is>
      </c>
      <c r="C203" s="156" t="inlineStr">
        <is>
          <t>Multimarca</t>
        </is>
      </c>
      <c r="D203" s="156" t="inlineStr">
        <is>
          <t>WG389-8119CF</t>
        </is>
      </c>
      <c r="E203" s="156" t="inlineStr">
        <is>
          <t>WG389-8119CF-UNI</t>
        </is>
      </c>
      <c r="F203" s="156" t="inlineStr">
        <is>
          <t>Talla única</t>
        </is>
      </c>
      <c r="G203" s="156" t="inlineStr">
        <is>
          <t>One Size</t>
        </is>
      </c>
      <c r="H203" s="156" t="inlineStr">
        <is>
          <t>Wrangler</t>
        </is>
      </c>
      <c r="I203" s="156" t="inlineStr">
        <is>
          <t>Bolso Wrangler Mujer Café</t>
        </is>
      </c>
      <c r="J203" s="156" t="inlineStr">
        <is>
          <t>Accesorios</t>
        </is>
      </c>
      <c r="K203" s="156" t="inlineStr">
        <is>
          <t>Bolsos</t>
        </is>
      </c>
      <c r="L203" s="156" t="inlineStr">
        <is>
          <t>Mujer</t>
        </is>
      </c>
      <c r="M203" s="156" t="inlineStr">
        <is>
          <t>Wrangler</t>
        </is>
      </c>
      <c r="N203" s="156" t="inlineStr">
        <is>
          <t>SS26</t>
        </is>
      </c>
      <c r="O203" s="156" t="inlineStr">
        <is>
          <t>Seasonal</t>
        </is>
      </c>
      <c r="P203" s="156" t="inlineStr">
        <is>
          <t>Cafe</t>
        </is>
      </c>
      <c r="Q203" s="156" t="n"/>
      <c r="R203" s="156" t="n"/>
      <c r="S203" s="156" t="inlineStr">
        <is>
          <t>Exterior: 100% Piel Vacuna, Forro: 100% Poliéster</t>
        </is>
      </c>
      <c r="T203" s="156" t="inlineStr">
        <is>
          <t>Bolso Wrangler Mujer Café Tote Estructura Rígida</t>
        </is>
      </c>
      <c r="U203" s="156" t="inlineStr">
        <is>
          <t>China</t>
        </is>
      </c>
      <c r="V203" s="156" t="inlineStr">
        <is>
          <t>PZS</t>
        </is>
      </c>
      <c r="W203" s="51" t="inlineStr">
        <is>
          <t>53121601</t>
        </is>
      </c>
      <c r="X203" s="156" t="n"/>
      <c r="Y203" s="54" t="n">
        <v>585.86</v>
      </c>
      <c r="Z203" s="54" t="n">
        <v>1699</v>
      </c>
      <c r="AA203" s="55">
        <f>IF(AND(A203="", B203="", E203=""), "", IF(AB203="", "Válido", IF((LEN(AB203)-LEN(SUBSTITUTE(AB203,"; ","")))/2+1&gt;(LEN(AB203)-LEN(SUBSTITUTE(AB203,"[Aviso]","")))/7, "Con Incidencias", "Válido")))</f>
        <v/>
      </c>
      <c r="AB203" s="56">
        <f>IF(AND(A203="", B203="", E203=""), "", TEXTJOIN("; ", TRUE, IF(OR(TRIM(A203&amp;"")="", ISNUMBER(SEARCH("FALTA", A203))), "UPC faltante/inválido", ""), IF(AND(A203&lt;&gt;"", IFERROR(_xlfn.XMATCH(A203,$A$2:$A$1063,0,1)&lt;&gt;_xlfn.XMATCH(A203,$A$2:$A$1063,0,-1),FALSE)), "Código de barras duplicado", ""), IF(AND(E203&lt;&gt;"", COUNTIF($E$2:$E$1063, E203)&gt;1), "SKU duplicado", ""), IF(OR(J203="", J203=""), "[Aviso] División no capturada ()", IF(ISNA(MATCH(J203, Criterios!$A$123:$A$126, 0)), "División no válida", "")), IF(OR(K203="", K203=""), "[Aviso] Categoría no capturada ()", IF(ISNA(MATCH(K203, Criterios!$A$81:$A$120, 0)), "Categoría no válida", IF(AND(J203&lt;&gt;"", J203&lt;&gt;"", J203&lt;&gt;VLOOKUP(K203, Criterios!$A$81:$B$120, 2, FALSE)), "División no coincide con Categoría", ""))), IF(OR(L203="", L203=""), "[Aviso] Género no capturado ()", IF(ISNA(MATCH(L203, Criterios!$B$123:$B$127, 0)), "Género no válido", "")), IF(OR(N203="", N203=""), "[Aviso] Temporada no capturada ()", IF(ISNA(MATCH(N203, Criterios!$C$123:$C$128, 0)), "Temporada no válida", "")), IF(OR(O203="", O203=""), "[Aviso] Ciclo de vida no capturado ()", IF(ISNA(MATCH(O203, Criterios!$D$123:$D$124, 0)), "Ciclo de vida no válido", ""))))</f>
        <v/>
      </c>
      <c r="AC203" s="56" t="n"/>
      <c r="AD203" s="51" t="n">
        <v>-2</v>
      </c>
      <c r="AE203" s="156" t="n"/>
      <c r="AF203" s="51" t="n">
        <v>0</v>
      </c>
      <c r="AG203" s="156" t="inlineStr">
        <is>
          <t>Nuevo – NetSuite con existencia</t>
        </is>
      </c>
      <c r="AH203" s="156" t="inlineStr">
        <is>
          <t>Clave SAT por validar; Stock negativo en sistema: revisar en conteo | Revisión 29/09/2026: Campos sin respaldo: X; Auditoría NetSuite 30/09/2026: llenado desde NetSuite [P,V,Z,T] | 01/10/2026: complementado desde Shopify Western Brothers (match por código de barras): WB Fit, WB Silueta | Homologación G1522 06/10/2026: Validador Shopify: WB: precio con IVA no termina en 9</t>
        </is>
      </c>
      <c r="AI203" s="156" t="inlineStr">
        <is>
          <t>Sí</t>
        </is>
      </c>
      <c r="AJ203" s="156" t="inlineStr">
        <is>
          <t>WB OUTLET LERMA (-2)</t>
        </is>
      </c>
      <c r="AK203" s="155" t="inlineStr">
        <is>
          <t>ProductosCatalogoEstandar907.xlsx: fila 6122 [N,O,S,U,W,Y]; G1522_Extraccion_Articulos_NetSuite_2026-09-30.xlsx: fila 56753 [P,V,Z,T] | Shopify WB: producto 8569968033977 / variante 47621338071225</t>
        </is>
      </c>
      <c r="AL203" s="58" t="n">
        <v>585.86</v>
      </c>
      <c r="AM203" s="58" t="n"/>
      <c r="AN203" s="155" t="inlineStr">
        <is>
          <t>Shopify Western Brothers</t>
        </is>
      </c>
      <c r="AO203" s="59" t="n"/>
      <c r="AP203" s="59" t="n">
        <v>-2</v>
      </c>
      <c r="AQ203" s="59" t="n"/>
      <c r="AR203" s="155" t="n"/>
    </row>
    <row r="204">
      <c r="A204" s="50" t="inlineStr">
        <is>
          <t>717308772415</t>
        </is>
      </c>
      <c r="B204" s="51" t="inlineStr">
        <is>
          <t>108495</t>
        </is>
      </c>
      <c r="C204" s="156" t="inlineStr">
        <is>
          <t>Multimarca</t>
        </is>
      </c>
      <c r="D204" s="156" t="inlineStr">
        <is>
          <t>WG389-8119RD</t>
        </is>
      </c>
      <c r="E204" s="156" t="inlineStr">
        <is>
          <t>WG389-8119RD-UNI</t>
        </is>
      </c>
      <c r="F204" s="156" t="inlineStr">
        <is>
          <t>Talla única</t>
        </is>
      </c>
      <c r="G204" s="156" t="inlineStr">
        <is>
          <t>One Size</t>
        </is>
      </c>
      <c r="H204" s="156" t="inlineStr">
        <is>
          <t>Wrangler</t>
        </is>
      </c>
      <c r="I204" s="156" t="inlineStr">
        <is>
          <t>Bolso Wrangler Mujer Rojo</t>
        </is>
      </c>
      <c r="J204" s="156" t="inlineStr">
        <is>
          <t>Accesorios</t>
        </is>
      </c>
      <c r="K204" s="156" t="inlineStr">
        <is>
          <t>Bolsos</t>
        </is>
      </c>
      <c r="L204" s="156" t="inlineStr">
        <is>
          <t>Mujer</t>
        </is>
      </c>
      <c r="M204" s="156" t="inlineStr">
        <is>
          <t>Wrangler</t>
        </is>
      </c>
      <c r="N204" s="156" t="inlineStr">
        <is>
          <t>SS26</t>
        </is>
      </c>
      <c r="O204" s="156" t="inlineStr">
        <is>
          <t>Seasonal</t>
        </is>
      </c>
      <c r="P204" s="156" t="inlineStr">
        <is>
          <t>Rojo</t>
        </is>
      </c>
      <c r="Q204" s="156" t="n"/>
      <c r="R204" s="156" t="n"/>
      <c r="S204" s="156" t="inlineStr">
        <is>
          <t>Exterior: 100% Piel Vacuna, Forro: 100% Poliéster</t>
        </is>
      </c>
      <c r="T204" s="156" t="inlineStr">
        <is>
          <t>Bolso Wrangler Mujer Rojo Tote Estructura Rígida</t>
        </is>
      </c>
      <c r="U204" s="156" t="inlineStr">
        <is>
          <t>China</t>
        </is>
      </c>
      <c r="V204" s="156" t="inlineStr">
        <is>
          <t>PZS</t>
        </is>
      </c>
      <c r="W204" s="51" t="inlineStr">
        <is>
          <t>53121601</t>
        </is>
      </c>
      <c r="X204" s="156" t="n"/>
      <c r="Y204" s="54" t="n">
        <v>585.86</v>
      </c>
      <c r="Z204" s="54" t="n">
        <v>1699</v>
      </c>
      <c r="AA204" s="55">
        <f>IF(AND(A204="", B204="", E204=""), "", IF(AB204="", "Válido", IF((LEN(AB204)-LEN(SUBSTITUTE(AB204,"; ","")))/2+1&gt;(LEN(AB204)-LEN(SUBSTITUTE(AB204,"[Aviso]","")))/7, "Con Incidencias", "Válido")))</f>
        <v/>
      </c>
      <c r="AB204" s="56">
        <f>IF(AND(A204="", B204="", E204=""), "", TEXTJOIN("; ", TRUE, IF(OR(TRIM(A204&amp;"")="", ISNUMBER(SEARCH("FALTA", A204))), "UPC faltante/inválido", ""), IF(AND(A204&lt;&gt;"", IFERROR(_xlfn.XMATCH(A204,$A$2:$A$1063,0,1)&lt;&gt;_xlfn.XMATCH(A204,$A$2:$A$1063,0,-1),FALSE)), "Código de barras duplicado", ""), IF(AND(E204&lt;&gt;"", COUNTIF($E$2:$E$1063, E204)&gt;1), "SKU duplicado", ""), IF(OR(J204="", J204=""), "[Aviso] División no capturada ()", IF(ISNA(MATCH(J204, Criterios!$A$123:$A$126, 0)), "División no válida", "")), IF(OR(K204="", K204=""), "[Aviso] Categoría no capturada ()", IF(ISNA(MATCH(K204, Criterios!$A$81:$A$120, 0)), "Categoría no válida", IF(AND(J204&lt;&gt;"", J204&lt;&gt;"", J204&lt;&gt;VLOOKUP(K204, Criterios!$A$81:$B$120, 2, FALSE)), "División no coincide con Categoría", ""))), IF(OR(L204="", L204=""), "[Aviso] Género no capturado ()", IF(ISNA(MATCH(L204, Criterios!$B$123:$B$127, 0)), "Género no válido", "")), IF(OR(N204="", N204=""), "[Aviso] Temporada no capturada ()", IF(ISNA(MATCH(N204, Criterios!$C$123:$C$128, 0)), "Temporada no válida", "")), IF(OR(O204="", O204=""), "[Aviso] Ciclo de vida no capturado ()", IF(ISNA(MATCH(O204, Criterios!$D$123:$D$124, 0)), "Ciclo de vida no válido", ""))))</f>
        <v/>
      </c>
      <c r="AC204" s="56" t="n"/>
      <c r="AD204" s="51" t="n">
        <v>-2</v>
      </c>
      <c r="AE204" s="156" t="n"/>
      <c r="AF204" s="51" t="n">
        <v>0</v>
      </c>
      <c r="AG204" s="156" t="inlineStr">
        <is>
          <t>Nuevo – NetSuite con existencia</t>
        </is>
      </c>
      <c r="AH204" s="156" t="inlineStr">
        <is>
          <t>Clave SAT por validar; Stock negativo en sistema: revisar en conteo | Revisión 29/09/2026: Campos sin respaldo: X; Auditoría NetSuite 30/09/2026: llenado desde NetSuite [P,V,Z,T] | 01/10/2026: complementado desde Shopify Western Brothers (match por código de barras): WB Fit, WB Silueta | Homologación G1522 06/10/2026: Validador Shopify: WB: precio con IVA no termina en 9</t>
        </is>
      </c>
      <c r="AI204" s="156" t="inlineStr">
        <is>
          <t>Sí</t>
        </is>
      </c>
      <c r="AJ204" s="156" t="inlineStr">
        <is>
          <t>WB OUTLET LERMA (-2)</t>
        </is>
      </c>
      <c r="AK204" s="155" t="inlineStr">
        <is>
          <t>ProductosCatalogoEstandar907.xlsx: fila 6123 [N,O,S,U,W,Y]; G1522_Extraccion_Articulos_NetSuite_2026-09-30.xlsx: fila 56654 [P,V,Z,T] | Shopify WB: producto 8569968132281 / variante 47621338136761</t>
        </is>
      </c>
      <c r="AL204" s="58" t="n">
        <v>585.86</v>
      </c>
      <c r="AM204" s="58" t="n"/>
      <c r="AN204" s="155" t="inlineStr">
        <is>
          <t>Shopify Western Brothers</t>
        </is>
      </c>
      <c r="AO204" s="59" t="n"/>
      <c r="AP204" s="59" t="n">
        <v>-2</v>
      </c>
      <c r="AQ204" s="59" t="n"/>
      <c r="AR204" s="155" t="n"/>
    </row>
    <row r="205">
      <c r="A205" s="50" t="inlineStr">
        <is>
          <t>717308770435</t>
        </is>
      </c>
      <c r="B205" s="51" t="inlineStr">
        <is>
          <t>117975</t>
        </is>
      </c>
      <c r="C205" s="156" t="inlineStr">
        <is>
          <t>Multimarca</t>
        </is>
      </c>
      <c r="D205" s="156" t="inlineStr">
        <is>
          <t>WGH-1007BG</t>
        </is>
      </c>
      <c r="E205" s="156" t="inlineStr">
        <is>
          <t>WGH-1007BG-UNI</t>
        </is>
      </c>
      <c r="F205" s="156" t="inlineStr">
        <is>
          <t>Talla única</t>
        </is>
      </c>
      <c r="G205" s="156" t="inlineStr">
        <is>
          <t>One Size</t>
        </is>
      </c>
      <c r="H205" s="156" t="inlineStr">
        <is>
          <t>Wrangler</t>
        </is>
      </c>
      <c r="I205" s="156" t="inlineStr">
        <is>
          <t>Bolsa Wrangler Cowhide Mini Fringe Tote</t>
        </is>
      </c>
      <c r="J205" s="156" t="inlineStr">
        <is>
          <t>Accesorios</t>
        </is>
      </c>
      <c r="K205" s="156" t="inlineStr">
        <is>
          <t>Llaveros</t>
        </is>
      </c>
      <c r="L205" s="156" t="inlineStr">
        <is>
          <t>Unisex</t>
        </is>
      </c>
      <c r="M205" s="156" t="inlineStr">
        <is>
          <t>Wrangler</t>
        </is>
      </c>
      <c r="N205" s="156" t="inlineStr">
        <is>
          <t>FW26</t>
        </is>
      </c>
      <c r="O205" s="156" t="inlineStr">
        <is>
          <t>Seasonal</t>
        </is>
      </c>
      <c r="P205" s="156" t="inlineStr">
        <is>
          <t>Beige</t>
        </is>
      </c>
      <c r="Q205" s="156" t="n"/>
      <c r="R205" s="156" t="n"/>
      <c r="S205" s="156" t="inlineStr">
        <is>
          <t>Exterior: 100% Sintético (PU), Herrajes: 100% Metal</t>
        </is>
      </c>
      <c r="T205" s="156" t="inlineStr">
        <is>
          <t>Bolsa Wrangler Cowhide Mini Fringe Tote. Llavero de la marca Wrangler. Estilo WGH-1007BG.</t>
        </is>
      </c>
      <c r="U205" s="156" t="inlineStr">
        <is>
          <t>México</t>
        </is>
      </c>
      <c r="V205" s="156" t="inlineStr">
        <is>
          <t>PZS</t>
        </is>
      </c>
      <c r="W205" s="51" t="inlineStr">
        <is>
          <t>46171515</t>
        </is>
      </c>
      <c r="X205" s="156" t="n"/>
      <c r="Y205" s="54" t="n">
        <v>210.122069</v>
      </c>
      <c r="Z205" s="54" t="n">
        <v>602.5862069</v>
      </c>
      <c r="AA205" s="55">
        <f>IF(AND(A205="", B205="", E205=""), "", IF(AB205="", "Válido", IF((LEN(AB205)-LEN(SUBSTITUTE(AB205,"; ","")))/2+1&gt;(LEN(AB205)-LEN(SUBSTITUTE(AB205,"[Aviso]","")))/7, "Con Incidencias", "Válido")))</f>
        <v/>
      </c>
      <c r="AB205" s="56">
        <f>IF(AND(A205="", B205="", E205=""), "", TEXTJOIN("; ", TRUE, IF(OR(TRIM(A205&amp;"")="", ISNUMBER(SEARCH("FALTA", A205))), "UPC faltante/inválido", ""), IF(AND(A205&lt;&gt;"", IFERROR(_xlfn.XMATCH(A205,$A$2:$A$1063,0,1)&lt;&gt;_xlfn.XMATCH(A205,$A$2:$A$1063,0,-1),FALSE)), "Código de barras duplicado", ""), IF(AND(E205&lt;&gt;"", COUNTIF($E$2:$E$1063, E205)&gt;1), "SKU duplicado", ""), IF(OR(J205="", J205=""), "[Aviso] División no capturada ()", IF(ISNA(MATCH(J205, Criterios!$A$123:$A$126, 0)), "División no válida", "")), IF(OR(K205="", K205=""), "[Aviso] Categoría no capturada ()", IF(ISNA(MATCH(K205, Criterios!$A$81:$A$120, 0)), "Categoría no válida", IF(AND(J205&lt;&gt;"", J205&lt;&gt;"", J205&lt;&gt;VLOOKUP(K205, Criterios!$A$81:$B$120, 2, FALSE)), "División no coincide con Categoría", ""))), IF(OR(L205="", L205=""), "[Aviso] Género no capturado ()", IF(ISNA(MATCH(L205, Criterios!$B$123:$B$127, 0)), "Género no válido", "")), IF(OR(N205="", N205=""), "[Aviso] Temporada no capturada ()", IF(ISNA(MATCH(N205, Criterios!$C$123:$C$128, 0)), "Temporada no válida", "")), IF(OR(O205="", O205=""), "[Aviso] Ciclo de vida no capturado ()", IF(ISNA(MATCH(O205, Criterios!$D$123:$D$124, 0)), "Ciclo de vida no válido", ""))))</f>
        <v/>
      </c>
      <c r="AC205" s="56" t="n"/>
      <c r="AD205" s="51" t="n">
        <v>14</v>
      </c>
      <c r="AE205" s="156" t="inlineStr">
        <is>
          <t>WB OUTLET LERMA (14)</t>
        </is>
      </c>
      <c r="AF205" s="51" t="n">
        <v>14</v>
      </c>
      <c r="AG205" s="156" t="inlineStr">
        <is>
          <t>Nuevo – NetSuite con existencia</t>
        </is>
      </c>
      <c r="AH205" s="156" t="inlineStr">
        <is>
          <t>Color por validar; Clave SAT por validar; Auditoría NetSuite 30/09/2026: llenado desde NetSuite [N,O,P,U,W,Y,S] | 01/10/2026: complementado desde Shopify Western Brothers (match por código de barras): WB Fit, WB Silueta | 01/10/2026: Shopify Western Brothers trae Género «Mujer» — se conservó el valor de Productos</t>
        </is>
      </c>
      <c r="AI205" s="156" t="inlineStr">
        <is>
          <t>No</t>
        </is>
      </c>
      <c r="AJ205" s="156" t="n"/>
      <c r="AK205" s="155" t="inlineStr">
        <is>
          <t>G1522_Extraccion_Articulos_NetSuite_2026-09-30.xlsx: fila 64203 [N,O,P,U,W,Y,S] | Shopify WB: producto 10312145862841 / variante 50520098963641</t>
        </is>
      </c>
      <c r="AL205" s="58" t="n"/>
      <c r="AM205" s="58" t="n">
        <v>602.5862069</v>
      </c>
      <c r="AN205" s="155" t="inlineStr">
        <is>
          <t>Shopify Western Brothers</t>
        </is>
      </c>
      <c r="AO205" s="59" t="n"/>
      <c r="AP205" s="59" t="n">
        <v>14</v>
      </c>
      <c r="AQ205" s="59" t="n"/>
      <c r="AR205" s="155" t="inlineStr">
        <is>
          <t>Shopify Western Brothers › Western Brothers Outlet Lerma: 14</t>
        </is>
      </c>
    </row>
    <row r="206">
      <c r="A206" s="50" t="inlineStr">
        <is>
          <t>717308770459</t>
        </is>
      </c>
      <c r="B206" s="51" t="inlineStr">
        <is>
          <t>117976</t>
        </is>
      </c>
      <c r="C206" s="156" t="inlineStr">
        <is>
          <t>Multimarca</t>
        </is>
      </c>
      <c r="D206" s="156" t="inlineStr">
        <is>
          <t>WGH-1007BK</t>
        </is>
      </c>
      <c r="E206" s="156" t="inlineStr">
        <is>
          <t>WGH-1007BK-UNI</t>
        </is>
      </c>
      <c r="F206" s="156" t="inlineStr">
        <is>
          <t>Talla única</t>
        </is>
      </c>
      <c r="G206" s="156" t="inlineStr">
        <is>
          <t>One Size</t>
        </is>
      </c>
      <c r="H206" s="156" t="inlineStr">
        <is>
          <t>Wrangler</t>
        </is>
      </c>
      <c r="I206" s="156" t="inlineStr">
        <is>
          <t>Bolsa Wrangler Cowhide Mini Fringe Tote</t>
        </is>
      </c>
      <c r="J206" s="156" t="inlineStr">
        <is>
          <t>Accesorios</t>
        </is>
      </c>
      <c r="K206" s="156" t="inlineStr">
        <is>
          <t>Llaveros</t>
        </is>
      </c>
      <c r="L206" s="156" t="inlineStr">
        <is>
          <t>Unisex</t>
        </is>
      </c>
      <c r="M206" s="156" t="inlineStr">
        <is>
          <t>Wrangler</t>
        </is>
      </c>
      <c r="N206" s="156" t="inlineStr">
        <is>
          <t>FW26</t>
        </is>
      </c>
      <c r="O206" s="156" t="inlineStr">
        <is>
          <t>Seasonal</t>
        </is>
      </c>
      <c r="P206" s="156" t="inlineStr">
        <is>
          <t>Negro</t>
        </is>
      </c>
      <c r="Q206" s="156" t="n"/>
      <c r="R206" s="156" t="n"/>
      <c r="S206" s="156" t="inlineStr">
        <is>
          <t>Exterior: 100% Sintético (PU), Herrajes: 100% Metal</t>
        </is>
      </c>
      <c r="T206" s="156" t="inlineStr">
        <is>
          <t>Bolsa Wrangler Cowhide Mini Fringe Tote. Llavero de la marca Wrangler. Estilo WGH-1007BK.</t>
        </is>
      </c>
      <c r="U206" s="156" t="inlineStr">
        <is>
          <t>México</t>
        </is>
      </c>
      <c r="V206" s="156" t="inlineStr">
        <is>
          <t>PZS</t>
        </is>
      </c>
      <c r="W206" s="51" t="inlineStr">
        <is>
          <t>46171515</t>
        </is>
      </c>
      <c r="X206" s="156" t="n"/>
      <c r="Y206" s="54" t="n">
        <v>210.122069</v>
      </c>
      <c r="Z206" s="54" t="n">
        <v>602.5862069</v>
      </c>
      <c r="AA206" s="55">
        <f>IF(AND(A206="", B206="", E206=""), "", IF(AB206="", "Válido", IF((LEN(AB206)-LEN(SUBSTITUTE(AB206,"; ","")))/2+1&gt;(LEN(AB206)-LEN(SUBSTITUTE(AB206,"[Aviso]","")))/7, "Con Incidencias", "Válido")))</f>
        <v/>
      </c>
      <c r="AB206" s="56">
        <f>IF(AND(A206="", B206="", E206=""), "", TEXTJOIN("; ", TRUE, IF(OR(TRIM(A206&amp;"")="", ISNUMBER(SEARCH("FALTA", A206))), "UPC faltante/inválido", ""), IF(AND(A206&lt;&gt;"", IFERROR(_xlfn.XMATCH(A206,$A$2:$A$1063,0,1)&lt;&gt;_xlfn.XMATCH(A206,$A$2:$A$1063,0,-1),FALSE)), "Código de barras duplicado", ""), IF(AND(E206&lt;&gt;"", COUNTIF($E$2:$E$1063, E206)&gt;1), "SKU duplicado", ""), IF(OR(J206="", J206=""), "[Aviso] División no capturada ()", IF(ISNA(MATCH(J206, Criterios!$A$123:$A$126, 0)), "División no válida", "")), IF(OR(K206="", K206=""), "[Aviso] Categoría no capturada ()", IF(ISNA(MATCH(K206, Criterios!$A$81:$A$120, 0)), "Categoría no válida", IF(AND(J206&lt;&gt;"", J206&lt;&gt;"", J206&lt;&gt;VLOOKUP(K206, Criterios!$A$81:$B$120, 2, FALSE)), "División no coincide con Categoría", ""))), IF(OR(L206="", L206=""), "[Aviso] Género no capturado ()", IF(ISNA(MATCH(L206, Criterios!$B$123:$B$127, 0)), "Género no válido", "")), IF(OR(N206="", N206=""), "[Aviso] Temporada no capturada ()", IF(ISNA(MATCH(N206, Criterios!$C$123:$C$128, 0)), "Temporada no válida", "")), IF(OR(O206="", O206=""), "[Aviso] Ciclo de vida no capturado ()", IF(ISNA(MATCH(O206, Criterios!$D$123:$D$124, 0)), "Ciclo de vida no válido", ""))))</f>
        <v/>
      </c>
      <c r="AC206" s="56" t="n"/>
      <c r="AD206" s="51" t="n">
        <v>13</v>
      </c>
      <c r="AE206" s="156" t="inlineStr">
        <is>
          <t>WB OUTLET LERMA (13)</t>
        </is>
      </c>
      <c r="AF206" s="51" t="n">
        <v>13</v>
      </c>
      <c r="AG206" s="156" t="inlineStr">
        <is>
          <t>Nuevo – NetSuite con existencia</t>
        </is>
      </c>
      <c r="AH206" s="156" t="inlineStr">
        <is>
          <t>Color por validar; Clave SAT por validar; Auditoría NetSuite 30/09/2026: llenado desde NetSuite [N,O,P,U,W,Y,S] | 01/10/2026: complementado desde Shopify Western Brothers (match por código de barras): WB Fit, WB Silueta | 01/10/2026: Shopify Western Brothers trae Género «Mujer» — se conservó el valor de Productos</t>
        </is>
      </c>
      <c r="AI206" s="156" t="inlineStr">
        <is>
          <t>No</t>
        </is>
      </c>
      <c r="AJ206" s="156" t="n"/>
      <c r="AK206" s="155" t="inlineStr">
        <is>
          <t>G1522_Extraccion_Articulos_NetSuite_2026-09-30.xlsx: fila 64204 [N,O,P,U,W,Y,S] | Shopify WB: producto 10312145895609 / variante 50520098996409</t>
        </is>
      </c>
      <c r="AL206" s="58" t="n"/>
      <c r="AM206" s="58" t="n">
        <v>602.5862069</v>
      </c>
      <c r="AN206" s="155" t="inlineStr">
        <is>
          <t>Shopify Western Brothers</t>
        </is>
      </c>
      <c r="AO206" s="59" t="n"/>
      <c r="AP206" s="59" t="n">
        <v>12</v>
      </c>
      <c r="AQ206" s="59" t="n"/>
      <c r="AR206" s="155" t="inlineStr">
        <is>
          <t>Shopify Western Brothers › Western Brothers Outlet Lerma: 12</t>
        </is>
      </c>
    </row>
    <row r="207">
      <c r="A207" s="50" t="inlineStr">
        <is>
          <t>717308770442</t>
        </is>
      </c>
      <c r="B207" s="51" t="inlineStr">
        <is>
          <t>117978</t>
        </is>
      </c>
      <c r="C207" s="156" t="inlineStr">
        <is>
          <t>Multimarca</t>
        </is>
      </c>
      <c r="D207" s="156" t="inlineStr">
        <is>
          <t>WGH-1007BR</t>
        </is>
      </c>
      <c r="E207" s="156" t="inlineStr">
        <is>
          <t>WGH-1007BR-UNI</t>
        </is>
      </c>
      <c r="F207" s="156" t="inlineStr">
        <is>
          <t>Talla única</t>
        </is>
      </c>
      <c r="G207" s="156" t="inlineStr">
        <is>
          <t>One Size</t>
        </is>
      </c>
      <c r="H207" s="156" t="inlineStr">
        <is>
          <t>Wrangler</t>
        </is>
      </c>
      <c r="I207" s="156" t="inlineStr">
        <is>
          <t>Bolsa Wrangler Cowhide Mini Fringe Tote</t>
        </is>
      </c>
      <c r="J207" s="156" t="inlineStr">
        <is>
          <t>Accesorios</t>
        </is>
      </c>
      <c r="K207" s="156" t="inlineStr">
        <is>
          <t>Llaveros</t>
        </is>
      </c>
      <c r="L207" s="156" t="inlineStr">
        <is>
          <t>Unisex</t>
        </is>
      </c>
      <c r="M207" s="156" t="inlineStr">
        <is>
          <t>Wrangler</t>
        </is>
      </c>
      <c r="N207" s="156" t="inlineStr">
        <is>
          <t>FW26</t>
        </is>
      </c>
      <c r="O207" s="156" t="inlineStr">
        <is>
          <t>Seasonal</t>
        </is>
      </c>
      <c r="P207" s="156" t="inlineStr">
        <is>
          <t>Cafe</t>
        </is>
      </c>
      <c r="Q207" s="156" t="n"/>
      <c r="R207" s="156" t="n"/>
      <c r="S207" s="156" t="inlineStr">
        <is>
          <t>Exterior: 100% Sintético (PU), Herrajes: 100% Metal</t>
        </is>
      </c>
      <c r="T207" s="156" t="inlineStr">
        <is>
          <t>Bolsa Wrangler Cowhide Mini Fringe Tote. Llavero de la marca Wrangler. Estilo WGH-1007BR.</t>
        </is>
      </c>
      <c r="U207" s="156" t="inlineStr">
        <is>
          <t>México</t>
        </is>
      </c>
      <c r="V207" s="156" t="inlineStr">
        <is>
          <t>PZS</t>
        </is>
      </c>
      <c r="W207" s="51" t="inlineStr">
        <is>
          <t>46171515</t>
        </is>
      </c>
      <c r="X207" s="156" t="n"/>
      <c r="Y207" s="54" t="n">
        <v>210.122069</v>
      </c>
      <c r="Z207" s="54" t="n">
        <v>602.5862069</v>
      </c>
      <c r="AA207" s="55">
        <f>IF(AND(A207="", B207="", E207=""), "", IF(AB207="", "Válido", IF((LEN(AB207)-LEN(SUBSTITUTE(AB207,"; ","")))/2+1&gt;(LEN(AB207)-LEN(SUBSTITUTE(AB207,"[Aviso]","")))/7, "Con Incidencias", "Válido")))</f>
        <v/>
      </c>
      <c r="AB207" s="56">
        <f>IF(AND(A207="", B207="", E207=""), "", TEXTJOIN("; ", TRUE, IF(OR(TRIM(A207&amp;"")="", ISNUMBER(SEARCH("FALTA", A207))), "UPC faltante/inválido", ""), IF(AND(A207&lt;&gt;"", IFERROR(_xlfn.XMATCH(A207,$A$2:$A$1063,0,1)&lt;&gt;_xlfn.XMATCH(A207,$A$2:$A$1063,0,-1),FALSE)), "Código de barras duplicado", ""), IF(AND(E207&lt;&gt;"", COUNTIF($E$2:$E$1063, E207)&gt;1), "SKU duplicado", ""), IF(OR(J207="", J207=""), "[Aviso] División no capturada ()", IF(ISNA(MATCH(J207, Criterios!$A$123:$A$126, 0)), "División no válida", "")), IF(OR(K207="", K207=""), "[Aviso] Categoría no capturada ()", IF(ISNA(MATCH(K207, Criterios!$A$81:$A$120, 0)), "Categoría no válida", IF(AND(J207&lt;&gt;"", J207&lt;&gt;"", J207&lt;&gt;VLOOKUP(K207, Criterios!$A$81:$B$120, 2, FALSE)), "División no coincide con Categoría", ""))), IF(OR(L207="", L207=""), "[Aviso] Género no capturado ()", IF(ISNA(MATCH(L207, Criterios!$B$123:$B$127, 0)), "Género no válido", "")), IF(OR(N207="", N207=""), "[Aviso] Temporada no capturada ()", IF(ISNA(MATCH(N207, Criterios!$C$123:$C$128, 0)), "Temporada no válida", "")), IF(OR(O207="", O207=""), "[Aviso] Ciclo de vida no capturado ()", IF(ISNA(MATCH(O207, Criterios!$D$123:$D$124, 0)), "Ciclo de vida no válido", ""))))</f>
        <v/>
      </c>
      <c r="AC207" s="56" t="n"/>
      <c r="AD207" s="51" t="n">
        <v>13</v>
      </c>
      <c r="AE207" s="156" t="inlineStr">
        <is>
          <t>WB OUTLET LERMA (13)</t>
        </is>
      </c>
      <c r="AF207" s="51" t="n">
        <v>13</v>
      </c>
      <c r="AG207" s="156" t="inlineStr">
        <is>
          <t>Nuevo – NetSuite con existencia</t>
        </is>
      </c>
      <c r="AH207" s="156" t="inlineStr">
        <is>
          <t>Color por validar; Clave SAT por validar; Auditoría NetSuite 30/09/2026: llenado desde NetSuite [N,O,P,U,W,Y,S] | 01/10/2026: complementado desde Shopify Western Brothers (match por código de barras): WB Fit, WB Silueta | 01/10/2026: Shopify Western Brothers trae Género «Mujer» — se conservó el valor de Productos</t>
        </is>
      </c>
      <c r="AI207" s="156" t="inlineStr">
        <is>
          <t>No</t>
        </is>
      </c>
      <c r="AJ207" s="156" t="n"/>
      <c r="AK207" s="155" t="inlineStr">
        <is>
          <t>G1522_Extraccion_Articulos_NetSuite_2026-09-30.xlsx: fila 64206 [N,O,P,U,W,Y,S] | Shopify WB: producto 10312145961145 / variante 50520099061945</t>
        </is>
      </c>
      <c r="AL207" s="58" t="n"/>
      <c r="AM207" s="58" t="n">
        <v>602.5862069</v>
      </c>
      <c r="AN207" s="155" t="inlineStr">
        <is>
          <t>Shopify Western Brothers</t>
        </is>
      </c>
      <c r="AO207" s="59" t="n"/>
      <c r="AP207" s="59" t="n">
        <v>13</v>
      </c>
      <c r="AQ207" s="59" t="n"/>
      <c r="AR207" s="155" t="inlineStr">
        <is>
          <t>Shopify Western Brothers › Western Brothers Outlet Lerma: 13</t>
        </is>
      </c>
    </row>
    <row r="208">
      <c r="A208" s="50" t="inlineStr">
        <is>
          <t>717308773283</t>
        </is>
      </c>
      <c r="B208" s="51" t="inlineStr">
        <is>
          <t>117979</t>
        </is>
      </c>
      <c r="C208" s="156" t="inlineStr">
        <is>
          <t>Multimarca</t>
        </is>
      </c>
      <c r="D208" s="156" t="inlineStr">
        <is>
          <t>WGH-1007CF</t>
        </is>
      </c>
      <c r="E208" s="156" t="inlineStr">
        <is>
          <t>WGH-1007CF-UNI</t>
        </is>
      </c>
      <c r="F208" s="156" t="inlineStr">
        <is>
          <t>Talla única</t>
        </is>
      </c>
      <c r="G208" s="156" t="inlineStr">
        <is>
          <t>One Size</t>
        </is>
      </c>
      <c r="H208" s="156" t="inlineStr">
        <is>
          <t>Wrangler</t>
        </is>
      </c>
      <c r="I208" s="156" t="inlineStr">
        <is>
          <t>Bolsa Wrangler Cowhide Mini Fringe Tote</t>
        </is>
      </c>
      <c r="J208" s="156" t="inlineStr">
        <is>
          <t>Accesorios</t>
        </is>
      </c>
      <c r="K208" s="156" t="inlineStr">
        <is>
          <t>Llaveros</t>
        </is>
      </c>
      <c r="L208" s="156" t="inlineStr">
        <is>
          <t>Unisex</t>
        </is>
      </c>
      <c r="M208" s="156" t="inlineStr">
        <is>
          <t>Wrangler</t>
        </is>
      </c>
      <c r="N208" s="156" t="inlineStr">
        <is>
          <t>FW26</t>
        </is>
      </c>
      <c r="O208" s="156" t="inlineStr">
        <is>
          <t>Seasonal</t>
        </is>
      </c>
      <c r="P208" s="156" t="inlineStr">
        <is>
          <t>Cafe</t>
        </is>
      </c>
      <c r="Q208" s="156" t="n"/>
      <c r="R208" s="156" t="n"/>
      <c r="S208" s="156" t="inlineStr">
        <is>
          <t>Exterior: 100% Sintético (PU), Herrajes: 100% Metal</t>
        </is>
      </c>
      <c r="T208" s="156" t="inlineStr">
        <is>
          <t>Bolsa Wrangler Cowhide Mini Fringe Tote. Llavero de la marca Wrangler. Estilo WGH-1007CF.</t>
        </is>
      </c>
      <c r="U208" s="156" t="inlineStr">
        <is>
          <t>México</t>
        </is>
      </c>
      <c r="V208" s="156" t="inlineStr">
        <is>
          <t>PZS</t>
        </is>
      </c>
      <c r="W208" s="51" t="inlineStr">
        <is>
          <t>46171515</t>
        </is>
      </c>
      <c r="X208" s="156" t="n"/>
      <c r="Y208" s="54" t="n">
        <v>210.122069</v>
      </c>
      <c r="Z208" s="54" t="n">
        <v>602.5862069</v>
      </c>
      <c r="AA208" s="55">
        <f>IF(AND(A208="", B208="", E208=""), "", IF(AB208="", "Válido", IF((LEN(AB208)-LEN(SUBSTITUTE(AB208,"; ","")))/2+1&gt;(LEN(AB208)-LEN(SUBSTITUTE(AB208,"[Aviso]","")))/7, "Con Incidencias", "Válido")))</f>
        <v/>
      </c>
      <c r="AB208" s="56">
        <f>IF(AND(A208="", B208="", E208=""), "", TEXTJOIN("; ", TRUE, IF(OR(TRIM(A208&amp;"")="", ISNUMBER(SEARCH("FALTA", A208))), "UPC faltante/inválido", ""), IF(AND(A208&lt;&gt;"", IFERROR(_xlfn.XMATCH(A208,$A$2:$A$1063,0,1)&lt;&gt;_xlfn.XMATCH(A208,$A$2:$A$1063,0,-1),FALSE)), "Código de barras duplicado", ""), IF(AND(E208&lt;&gt;"", COUNTIF($E$2:$E$1063, E208)&gt;1), "SKU duplicado", ""), IF(OR(J208="", J208=""), "[Aviso] División no capturada ()", IF(ISNA(MATCH(J208, Criterios!$A$123:$A$126, 0)), "División no válida", "")), IF(OR(K208="", K208=""), "[Aviso] Categoría no capturada ()", IF(ISNA(MATCH(K208, Criterios!$A$81:$A$120, 0)), "Categoría no válida", IF(AND(J208&lt;&gt;"", J208&lt;&gt;"", J208&lt;&gt;VLOOKUP(K208, Criterios!$A$81:$B$120, 2, FALSE)), "División no coincide con Categoría", ""))), IF(OR(L208="", L208=""), "[Aviso] Género no capturado ()", IF(ISNA(MATCH(L208, Criterios!$B$123:$B$127, 0)), "Género no válido", "")), IF(OR(N208="", N208=""), "[Aviso] Temporada no capturada ()", IF(ISNA(MATCH(N208, Criterios!$C$123:$C$128, 0)), "Temporada no válida", "")), IF(OR(O208="", O208=""), "[Aviso] Ciclo de vida no capturado ()", IF(ISNA(MATCH(O208, Criterios!$D$123:$D$124, 0)), "Ciclo de vida no válido", ""))))</f>
        <v/>
      </c>
      <c r="AC208" s="56" t="n"/>
      <c r="AD208" s="51" t="n">
        <v>15</v>
      </c>
      <c r="AE208" s="156" t="inlineStr">
        <is>
          <t>WB OUTLET LERMA (15)</t>
        </is>
      </c>
      <c r="AF208" s="51" t="n">
        <v>15</v>
      </c>
      <c r="AG208" s="156" t="inlineStr">
        <is>
          <t>Nuevo – NetSuite con existencia</t>
        </is>
      </c>
      <c r="AH208" s="156" t="inlineStr">
        <is>
          <t>Color por validar; Clave SAT por validar; Auditoría NetSuite 30/09/2026: llenado desde NetSuite [N,O,P,U,W,Y,S] | 01/10/2026: complementado desde Shopify Western Brothers (match por código de barras): WB Fit, WB Silueta | 01/10/2026: Shopify Western Brothers trae Género «Mujer» — se conservó el valor de Productos</t>
        </is>
      </c>
      <c r="AI208" s="156" t="inlineStr">
        <is>
          <t>No</t>
        </is>
      </c>
      <c r="AJ208" s="156" t="n"/>
      <c r="AK208" s="155" t="inlineStr">
        <is>
          <t>G1522_Extraccion_Articulos_NetSuite_2026-09-30.xlsx: fila 64207 [N,O,P,U,W,Y,S] | Shopify WB: producto 10312145993913 / variante 50520099094713</t>
        </is>
      </c>
      <c r="AL208" s="58" t="n"/>
      <c r="AM208" s="58" t="n">
        <v>602.5862069</v>
      </c>
      <c r="AN208" s="155" t="inlineStr">
        <is>
          <t>Shopify Western Brothers</t>
        </is>
      </c>
      <c r="AO208" s="59" t="n"/>
      <c r="AP208" s="59" t="n">
        <v>15</v>
      </c>
      <c r="AQ208" s="59" t="n"/>
      <c r="AR208" s="155" t="inlineStr">
        <is>
          <t>Shopify Western Brothers › Western Brothers Outlet Lerma: 15</t>
        </is>
      </c>
    </row>
    <row r="209">
      <c r="A209" s="50" t="inlineStr">
        <is>
          <t>717308773276</t>
        </is>
      </c>
      <c r="B209" s="51" t="inlineStr">
        <is>
          <t>117977</t>
        </is>
      </c>
      <c r="C209" s="156" t="inlineStr">
        <is>
          <t>Multimarca</t>
        </is>
      </c>
      <c r="D209" s="156" t="inlineStr">
        <is>
          <t>WGH-1007PK</t>
        </is>
      </c>
      <c r="E209" s="156" t="inlineStr">
        <is>
          <t>WGH-1007PK-UNI</t>
        </is>
      </c>
      <c r="F209" s="156" t="inlineStr">
        <is>
          <t>Talla única</t>
        </is>
      </c>
      <c r="G209" s="156" t="inlineStr">
        <is>
          <t>One Size</t>
        </is>
      </c>
      <c r="H209" s="156" t="inlineStr">
        <is>
          <t>Wrangler</t>
        </is>
      </c>
      <c r="I209" s="156" t="inlineStr">
        <is>
          <t>Bolsa Wrangler Cowhide Mini Fringe Tote</t>
        </is>
      </c>
      <c r="J209" s="156" t="inlineStr">
        <is>
          <t>Accesorios</t>
        </is>
      </c>
      <c r="K209" s="156" t="inlineStr">
        <is>
          <t>Llaveros</t>
        </is>
      </c>
      <c r="L209" s="156" t="inlineStr">
        <is>
          <t>Unisex</t>
        </is>
      </c>
      <c r="M209" s="156" t="inlineStr">
        <is>
          <t>Wrangler</t>
        </is>
      </c>
      <c r="N209" s="156" t="inlineStr">
        <is>
          <t>FW26</t>
        </is>
      </c>
      <c r="O209" s="156" t="inlineStr">
        <is>
          <t>Seasonal</t>
        </is>
      </c>
      <c r="P209" s="156" t="inlineStr">
        <is>
          <t>Rosa</t>
        </is>
      </c>
      <c r="Q209" s="156" t="n"/>
      <c r="R209" s="156" t="n"/>
      <c r="S209" s="156" t="inlineStr">
        <is>
          <t>Exterior: 100% Sintético (PU), Herrajes: 100% Metal</t>
        </is>
      </c>
      <c r="T209" s="156" t="inlineStr">
        <is>
          <t>Bolsa Wrangler Cowhide Mini Fringe Tote. Llavero de la marca Wrangler. Estilo WGH-1007PK.</t>
        </is>
      </c>
      <c r="U209" s="156" t="inlineStr">
        <is>
          <t>México</t>
        </is>
      </c>
      <c r="V209" s="156" t="inlineStr">
        <is>
          <t>PZS</t>
        </is>
      </c>
      <c r="W209" s="51" t="inlineStr">
        <is>
          <t>46171515</t>
        </is>
      </c>
      <c r="X209" s="156" t="n"/>
      <c r="Y209" s="54" t="n">
        <v>210.122069</v>
      </c>
      <c r="Z209" s="54" t="n">
        <v>602.5862069</v>
      </c>
      <c r="AA209" s="55">
        <f>IF(AND(A209="", B209="", E209=""), "", IF(AB209="", "Válido", IF((LEN(AB209)-LEN(SUBSTITUTE(AB209,"; ","")))/2+1&gt;(LEN(AB209)-LEN(SUBSTITUTE(AB209,"[Aviso]","")))/7, "Con Incidencias", "Válido")))</f>
        <v/>
      </c>
      <c r="AB209" s="56">
        <f>IF(AND(A209="", B209="", E209=""), "", TEXTJOIN("; ", TRUE, IF(OR(TRIM(A209&amp;"")="", ISNUMBER(SEARCH("FALTA", A209))), "UPC faltante/inválido", ""), IF(AND(A209&lt;&gt;"", IFERROR(_xlfn.XMATCH(A209,$A$2:$A$1063,0,1)&lt;&gt;_xlfn.XMATCH(A209,$A$2:$A$1063,0,-1),FALSE)), "Código de barras duplicado", ""), IF(AND(E209&lt;&gt;"", COUNTIF($E$2:$E$1063, E209)&gt;1), "SKU duplicado", ""), IF(OR(J209="", J209=""), "[Aviso] División no capturada ()", IF(ISNA(MATCH(J209, Criterios!$A$123:$A$126, 0)), "División no válida", "")), IF(OR(K209="", K209=""), "[Aviso] Categoría no capturada ()", IF(ISNA(MATCH(K209, Criterios!$A$81:$A$120, 0)), "Categoría no válida", IF(AND(J209&lt;&gt;"", J209&lt;&gt;"", J209&lt;&gt;VLOOKUP(K209, Criterios!$A$81:$B$120, 2, FALSE)), "División no coincide con Categoría", ""))), IF(OR(L209="", L209=""), "[Aviso] Género no capturado ()", IF(ISNA(MATCH(L209, Criterios!$B$123:$B$127, 0)), "Género no válido", "")), IF(OR(N209="", N209=""), "[Aviso] Temporada no capturada ()", IF(ISNA(MATCH(N209, Criterios!$C$123:$C$128, 0)), "Temporada no válida", "")), IF(OR(O209="", O209=""), "[Aviso] Ciclo de vida no capturado ()", IF(ISNA(MATCH(O209, Criterios!$D$123:$D$124, 0)), "Ciclo de vida no válido", ""))))</f>
        <v/>
      </c>
      <c r="AC209" s="56" t="n"/>
      <c r="AD209" s="51" t="n">
        <v>9</v>
      </c>
      <c r="AE209" s="156" t="inlineStr">
        <is>
          <t>WB OUTLET LERMA (9)</t>
        </is>
      </c>
      <c r="AF209" s="51" t="n">
        <v>9</v>
      </c>
      <c r="AG209" s="156" t="inlineStr">
        <is>
          <t>Nuevo – NetSuite con existencia</t>
        </is>
      </c>
      <c r="AH209" s="156" t="inlineStr">
        <is>
          <t>Color por validar; Clave SAT por validar; Auditoría NetSuite 30/09/2026: llenado desde NetSuite [N,O,P,U,W,Y,S] | 01/10/2026: complementado desde Shopify Western Brothers (match por código de barras): WB Fit, WB Silueta | 01/10/2026: Shopify Western Brothers trae Género «Mujer» — se conservó el valor de Productos</t>
        </is>
      </c>
      <c r="AI209" s="156" t="inlineStr">
        <is>
          <t>No</t>
        </is>
      </c>
      <c r="AJ209" s="156" t="n"/>
      <c r="AK209" s="155" t="inlineStr">
        <is>
          <t>G1522_Extraccion_Articulos_NetSuite_2026-09-30.xlsx: fila 64205 [N,O,P,U,W,Y,S] | Shopify WB: producto 10312146059449 / variante 50520099160249</t>
        </is>
      </c>
      <c r="AL209" s="58" t="n"/>
      <c r="AM209" s="58" t="n">
        <v>602.5862069</v>
      </c>
      <c r="AN209" s="155" t="inlineStr">
        <is>
          <t>Shopify Western Brothers</t>
        </is>
      </c>
      <c r="AO209" s="59" t="n"/>
      <c r="AP209" s="59" t="n">
        <v>10</v>
      </c>
      <c r="AQ209" s="59" t="n"/>
      <c r="AR209" s="155" t="inlineStr">
        <is>
          <t>Shopify Western Brothers › Western Brothers Outlet Lerma: 10</t>
        </is>
      </c>
    </row>
    <row r="210">
      <c r="A210" s="50" t="inlineStr">
        <is>
          <t>717308773306</t>
        </is>
      </c>
      <c r="B210" s="51" t="inlineStr">
        <is>
          <t>117974</t>
        </is>
      </c>
      <c r="C210" s="156" t="inlineStr">
        <is>
          <t>Multimarca</t>
        </is>
      </c>
      <c r="D210" s="156" t="inlineStr">
        <is>
          <t>WGH-1008BK</t>
        </is>
      </c>
      <c r="E210" s="156" t="inlineStr">
        <is>
          <t>WGH-1008BK-UNI</t>
        </is>
      </c>
      <c r="F210" s="156" t="inlineStr">
        <is>
          <t>Talla única</t>
        </is>
      </c>
      <c r="G210" s="156" t="inlineStr">
        <is>
          <t>One Size</t>
        </is>
      </c>
      <c r="H210" s="156" t="inlineStr">
        <is>
          <t>Wrangler</t>
        </is>
      </c>
      <c r="I210" s="156" t="inlineStr">
        <is>
          <t>Bolsa Wrangler Cowhide Mini Fringe Tote</t>
        </is>
      </c>
      <c r="J210" s="156" t="inlineStr">
        <is>
          <t>Accesorios</t>
        </is>
      </c>
      <c r="K210" s="156" t="inlineStr">
        <is>
          <t>Llaveros</t>
        </is>
      </c>
      <c r="L210" s="156" t="inlineStr">
        <is>
          <t>Unisex</t>
        </is>
      </c>
      <c r="M210" s="156" t="inlineStr">
        <is>
          <t>Wrangler</t>
        </is>
      </c>
      <c r="N210" s="156" t="inlineStr">
        <is>
          <t>FW26</t>
        </is>
      </c>
      <c r="O210" s="156" t="inlineStr">
        <is>
          <t>Seasonal</t>
        </is>
      </c>
      <c r="P210" s="156" t="inlineStr">
        <is>
          <t>Negro</t>
        </is>
      </c>
      <c r="Q210" s="156" t="n"/>
      <c r="R210" s="156" t="n"/>
      <c r="S210" s="156" t="inlineStr">
        <is>
          <t>Exterior: 100% Sintético (PU), Herrajes: 100% Metal</t>
        </is>
      </c>
      <c r="T210" s="156" t="inlineStr">
        <is>
          <t>Bolsa Wrangler Cowhide Mini Fringe Tote. Llavero de la marca Wrangler. Estilo WGH-1008BK.</t>
        </is>
      </c>
      <c r="U210" s="156" t="inlineStr">
        <is>
          <t>México</t>
        </is>
      </c>
      <c r="V210" s="156" t="inlineStr">
        <is>
          <t>PZS</t>
        </is>
      </c>
      <c r="W210" s="51" t="inlineStr">
        <is>
          <t>46171515</t>
        </is>
      </c>
      <c r="X210" s="156" t="n"/>
      <c r="Y210" s="54" t="n">
        <v>210.122069</v>
      </c>
      <c r="Z210" s="54" t="n">
        <v>602.5862069</v>
      </c>
      <c r="AA210" s="55">
        <f>IF(AND(A210="", B210="", E210=""), "", IF(AB210="", "Válido", IF((LEN(AB210)-LEN(SUBSTITUTE(AB210,"; ","")))/2+1&gt;(LEN(AB210)-LEN(SUBSTITUTE(AB210,"[Aviso]","")))/7, "Con Incidencias", "Válido")))</f>
        <v/>
      </c>
      <c r="AB210" s="56">
        <f>IF(AND(A210="", B210="", E210=""), "", TEXTJOIN("; ", TRUE, IF(OR(TRIM(A210&amp;"")="", ISNUMBER(SEARCH("FALTA", A210))), "UPC faltante/inválido", ""), IF(AND(A210&lt;&gt;"", IFERROR(_xlfn.XMATCH(A210,$A$2:$A$1063,0,1)&lt;&gt;_xlfn.XMATCH(A210,$A$2:$A$1063,0,-1),FALSE)), "Código de barras duplicado", ""), IF(AND(E210&lt;&gt;"", COUNTIF($E$2:$E$1063, E210)&gt;1), "SKU duplicado", ""), IF(OR(J210="", J210=""), "[Aviso] División no capturada ()", IF(ISNA(MATCH(J210, Criterios!$A$123:$A$126, 0)), "División no válida", "")), IF(OR(K210="", K210=""), "[Aviso] Categoría no capturada ()", IF(ISNA(MATCH(K210, Criterios!$A$81:$A$120, 0)), "Categoría no válida", IF(AND(J210&lt;&gt;"", J210&lt;&gt;"", J210&lt;&gt;VLOOKUP(K210, Criterios!$A$81:$B$120, 2, FALSE)), "División no coincide con Categoría", ""))), IF(OR(L210="", L210=""), "[Aviso] Género no capturado ()", IF(ISNA(MATCH(L210, Criterios!$B$123:$B$127, 0)), "Género no válido", "")), IF(OR(N210="", N210=""), "[Aviso] Temporada no capturada ()", IF(ISNA(MATCH(N210, Criterios!$C$123:$C$128, 0)), "Temporada no válida", "")), IF(OR(O210="", O210=""), "[Aviso] Ciclo de vida no capturado ()", IF(ISNA(MATCH(O210, Criterios!$D$123:$D$124, 0)), "Ciclo de vida no válido", ""))))</f>
        <v/>
      </c>
      <c r="AC210" s="56" t="n"/>
      <c r="AD210" s="51" t="n">
        <v>13</v>
      </c>
      <c r="AE210" s="156" t="inlineStr">
        <is>
          <t>WB OUTLET LERMA (13)</t>
        </is>
      </c>
      <c r="AF210" s="51" t="n">
        <v>13</v>
      </c>
      <c r="AG210" s="156" t="inlineStr">
        <is>
          <t>Nuevo – NetSuite con existencia</t>
        </is>
      </c>
      <c r="AH210" s="156" t="inlineStr">
        <is>
          <t>Color por validar; Clave SAT por validar; Auditoría NetSuite 30/09/2026: llenado desde NetSuite [N,O,P,U,W,Y,S] | 01/10/2026: complementado desde Shopify Western Brothers (match por código de barras): WB Fit, WB Silueta | 01/10/2026: Shopify Western Brothers trae Género «Mujer» — se conservó el valor de Productos</t>
        </is>
      </c>
      <c r="AI210" s="156" t="inlineStr">
        <is>
          <t>No</t>
        </is>
      </c>
      <c r="AJ210" s="156" t="n"/>
      <c r="AK210" s="155" t="inlineStr">
        <is>
          <t>G1522_Extraccion_Articulos_NetSuite_2026-09-30.xlsx: fila 64202 [N,O,P,U,W,Y,S] | Shopify WB: producto 10312145797305 / variante 50520098898105</t>
        </is>
      </c>
      <c r="AL210" s="58" t="n"/>
      <c r="AM210" s="58" t="n">
        <v>602.5862069</v>
      </c>
      <c r="AN210" s="155" t="inlineStr">
        <is>
          <t>Shopify Western Brothers</t>
        </is>
      </c>
      <c r="AO210" s="59" t="n"/>
      <c r="AP210" s="59" t="n">
        <v>13</v>
      </c>
      <c r="AQ210" s="59" t="n"/>
      <c r="AR210" s="155" t="inlineStr">
        <is>
          <t>Shopify Western Brothers › Western Brothers Outlet Lerma: 13</t>
        </is>
      </c>
    </row>
    <row r="211">
      <c r="A211" s="50" t="inlineStr">
        <is>
          <t>717710512425</t>
        </is>
      </c>
      <c r="B211" s="51" t="inlineStr">
        <is>
          <t>108601</t>
        </is>
      </c>
      <c r="C211" s="156" t="inlineStr">
        <is>
          <t>Multimarca</t>
        </is>
      </c>
      <c r="D211" s="156" t="inlineStr">
        <is>
          <t>WRBX-98</t>
        </is>
      </c>
      <c r="E211" s="156" t="inlineStr">
        <is>
          <t>WRBX-98-UNI</t>
        </is>
      </c>
      <c r="F211" s="156" t="inlineStr">
        <is>
          <t>Talla única</t>
        </is>
      </c>
      <c r="G211" s="156" t="inlineStr">
        <is>
          <t>One Size</t>
        </is>
      </c>
      <c r="H211" s="156" t="inlineStr">
        <is>
          <t>Wrangler</t>
        </is>
      </c>
      <c r="I211" s="156" t="inlineStr">
        <is>
          <t>Bolsa Wrangler Mini Tote Blind Box</t>
        </is>
      </c>
      <c r="J211" s="156" t="inlineStr">
        <is>
          <t>Accesorios</t>
        </is>
      </c>
      <c r="K211" s="156" t="inlineStr">
        <is>
          <t>Llaveros</t>
        </is>
      </c>
      <c r="L211" s="156" t="inlineStr">
        <is>
          <t>Unisex</t>
        </is>
      </c>
      <c r="M211" s="156" t="inlineStr">
        <is>
          <t>Wrangler</t>
        </is>
      </c>
      <c r="N211" s="156" t="inlineStr">
        <is>
          <t>SS26</t>
        </is>
      </c>
      <c r="O211" s="156" t="inlineStr">
        <is>
          <t>Seasonal</t>
        </is>
      </c>
      <c r="P211" s="156" t="inlineStr">
        <is>
          <t>Cafe</t>
        </is>
      </c>
      <c r="Q211" s="156" t="n"/>
      <c r="R211" s="156" t="n"/>
      <c r="S211" s="156" t="inlineStr">
        <is>
          <t>Exterior: 100% Sintético (PU), Herrajes: 100% Metal</t>
        </is>
      </c>
      <c r="T211" s="156" t="inlineStr">
        <is>
          <t>Bolsa Wrangler Mini Tote Blind Box</t>
        </is>
      </c>
      <c r="U211" s="156" t="inlineStr">
        <is>
          <t>China</t>
        </is>
      </c>
      <c r="V211" s="156" t="inlineStr">
        <is>
          <t>PZS</t>
        </is>
      </c>
      <c r="W211" s="51" t="inlineStr">
        <is>
          <t>46171515</t>
        </is>
      </c>
      <c r="X211" s="156" t="inlineStr">
        <is>
          <t>https://m-universal-unique-brands.odoo.com/web/image/product.product/22083/image_1920</t>
        </is>
      </c>
      <c r="Y211" s="54" t="n">
        <v>1651.03</v>
      </c>
      <c r="Z211" s="54" t="n">
        <v>799</v>
      </c>
      <c r="AA211" s="55">
        <f>IF(AND(A211="", B211="", E211=""), "", IF(AB211="", "Válido", IF((LEN(AB211)-LEN(SUBSTITUTE(AB211,"; ","")))/2+1&gt;(LEN(AB211)-LEN(SUBSTITUTE(AB211,"[Aviso]","")))/7, "Con Incidencias", "Válido")))</f>
        <v/>
      </c>
      <c r="AB211" s="56">
        <f>IF(AND(A211="", B211="", E211=""), "", TEXTJOIN("; ", TRUE, IF(OR(TRIM(A211&amp;"")="", ISNUMBER(SEARCH("FALTA", A211))), "UPC faltante/inválido", ""), IF(AND(A211&lt;&gt;"", IFERROR(_xlfn.XMATCH(A211,$A$2:$A$1063,0,1)&lt;&gt;_xlfn.XMATCH(A211,$A$2:$A$1063,0,-1),FALSE)), "Código de barras duplicado", ""), IF(AND(E211&lt;&gt;"", COUNTIF($E$2:$E$1063, E211)&gt;1), "SKU duplicado", ""), IF(OR(J211="", J211=""), "[Aviso] División no capturada ()", IF(ISNA(MATCH(J211, Criterios!$A$123:$A$126, 0)), "División no válida", "")), IF(OR(K211="", K211=""), "[Aviso] Categoría no capturada ()", IF(ISNA(MATCH(K211, Criterios!$A$81:$A$120, 0)), "Categoría no válida", IF(AND(J211&lt;&gt;"", J211&lt;&gt;"", J211&lt;&gt;VLOOKUP(K211, Criterios!$A$81:$B$120, 2, FALSE)), "División no coincide con Categoría", ""))), IF(OR(L211="", L211=""), "[Aviso] Género no capturado ()", IF(ISNA(MATCH(L211, Criterios!$B$123:$B$127, 0)), "Género no válido", "")), IF(OR(N211="", N211=""), "[Aviso] Temporada no capturada ()", IF(ISNA(MATCH(N211, Criterios!$C$123:$C$128, 0)), "Temporada no válida", "")), IF(OR(O211="", O211=""), "[Aviso] Ciclo de vida no capturado ()", IF(ISNA(MATCH(O211, Criterios!$D$123:$D$124, 0)), "Ciclo de vida no válido", ""))))</f>
        <v/>
      </c>
      <c r="AC211" s="56" t="n"/>
      <c r="AD211" s="51" t="n">
        <v>15</v>
      </c>
      <c r="AE211" s="156" t="inlineStr">
        <is>
          <t>WB OUTLET LERMA (15)</t>
        </is>
      </c>
      <c r="AF211" s="51" t="n">
        <v>15</v>
      </c>
      <c r="AG211" s="156" t="inlineStr">
        <is>
          <t>Nuevo – NetSuite con existencia</t>
        </is>
      </c>
      <c r="AH211" s="156" t="inlineStr">
        <is>
          <t>Color por validar; Clave SAT por validar | Revisión 29/09/2026: Campos sin respaldo: X; Auditoría NetSuite 30/09/2026: llenado desde NetSuite [Q,V,Z,T] | 01/10/2026: complementado desde Shopify Western Brothers (match por código de barras): WB Fit, WB Silueta | 01/10/2026: Shopify Western Brothers trae Género «Mujer», Color «Varios» — se conservó el valor de Productos | 01/10/2026: complementado desde Odoo Universal Unique Brands (match por código de barras): Enlace de imagen | 01/10/2026: Odoo Universal Unique Brands trae SKU WRBX-98, Color «Varios» — se conservó el valor de Productos | Homologación G1522 06/10/2026: Validador Shopify: WB: precio con IVA no termina en 9</t>
        </is>
      </c>
      <c r="AI211" s="156" t="inlineStr">
        <is>
          <t>No</t>
        </is>
      </c>
      <c r="AJ211" s="156" t="n"/>
      <c r="AK211" s="155" t="inlineStr">
        <is>
          <t>ProductosCatalogoEstandar907.xlsx: fila 6184 [N,O,P,S,U,W,Y]; G1522_Extraccion_Articulos_NetSuite_2026-09-30.xlsx: fila 56760 [Q,V,Z,T] | Shopify WB: producto 8569968263353 / variante 47621338235065 | Odoo: producto 22083 / plantilla 28226</t>
        </is>
      </c>
      <c r="AL211" s="58" t="n">
        <v>1651.03</v>
      </c>
      <c r="AM211" s="58" t="n"/>
      <c r="AN211" s="155" t="inlineStr">
        <is>
          <t>Shopify Western Brothers | Odoo Universal Unique Brands</t>
        </is>
      </c>
      <c r="AO211" s="59" t="n"/>
      <c r="AP211" s="59" t="n">
        <v>33</v>
      </c>
      <c r="AQ211" s="59" t="n">
        <v>625</v>
      </c>
      <c r="AR211" s="155" t="inlineStr">
        <is>
          <t>Shopify Western Brothers › Western Brothers Outlet Lerma: 33 | Odoo Universal Unique Brands › Bodega 25 › Bodega 25/General: 625</t>
        </is>
      </c>
    </row>
    <row r="212">
      <c r="A212" s="50" t="inlineStr">
        <is>
          <t>1261108510002</t>
        </is>
      </c>
      <c r="B212" s="51" t="inlineStr">
        <is>
          <t>118081</t>
        </is>
      </c>
      <c r="C212" s="156" t="inlineStr">
        <is>
          <t>Multimarca</t>
        </is>
      </c>
      <c r="D212" s="156" t="inlineStr">
        <is>
          <t>1261-1085-10002</t>
        </is>
      </c>
      <c r="E212" s="156" t="inlineStr">
        <is>
          <t>1261-1085-10002</t>
        </is>
      </c>
      <c r="F212" s="156" t="inlineStr">
        <is>
          <t>Talla única</t>
        </is>
      </c>
      <c r="G212" s="156" t="inlineStr">
        <is>
          <t>One Size</t>
        </is>
      </c>
      <c r="H212" s="156" t="inlineStr">
        <is>
          <t>Wrangler</t>
        </is>
      </c>
      <c r="I212" s="156" t="inlineStr">
        <is>
          <t>Gorra Iron Rodeo Untamed</t>
        </is>
      </c>
      <c r="J212" s="156" t="inlineStr">
        <is>
          <t>Accesorios</t>
        </is>
      </c>
      <c r="K212" s="156" t="inlineStr">
        <is>
          <t>Gorras</t>
        </is>
      </c>
      <c r="L212" s="156" t="inlineStr">
        <is>
          <t>Unisex</t>
        </is>
      </c>
      <c r="M212" s="156" t="inlineStr">
        <is>
          <t>Wrangler</t>
        </is>
      </c>
      <c r="N212" s="156" t="inlineStr">
        <is>
          <t>FW26</t>
        </is>
      </c>
      <c r="O212" s="156" t="inlineStr">
        <is>
          <t>Seasonal</t>
        </is>
      </c>
      <c r="P212" s="156" t="inlineStr">
        <is>
          <t>Verde</t>
        </is>
      </c>
      <c r="Q212" s="156" t="n"/>
      <c r="R212" s="156" t="n"/>
      <c r="S212" s="156" t="inlineStr">
        <is>
          <t>Cuerpo: 100% Algodón / Malla: 100% Poliéster</t>
        </is>
      </c>
      <c r="T212" s="156" t="inlineStr">
        <is>
          <t>Gorra Iron Rodeo Untamed 5 Paneles</t>
        </is>
      </c>
      <c r="U212" s="156" t="inlineStr">
        <is>
          <t>China</t>
        </is>
      </c>
      <c r="V212" s="156" t="inlineStr">
        <is>
          <t>PZS</t>
        </is>
      </c>
      <c r="W212" s="51" t="inlineStr">
        <is>
          <t>53102516</t>
        </is>
      </c>
      <c r="X212" s="156" t="inlineStr">
        <is>
          <t>https://m-universal-unique-brands.odoo.com/web/image/product.product/30075/image_1920</t>
        </is>
      </c>
      <c r="Y212" s="54" t="n">
        <v>242.19</v>
      </c>
      <c r="Z212" s="54" t="n">
        <v>699</v>
      </c>
      <c r="AA212" s="55">
        <f>IF(AND(A212="", B212="", E212=""), "", IF(AB212="", "Válido", IF((LEN(AB212)-LEN(SUBSTITUTE(AB212,"; ","")))/2+1&gt;(LEN(AB212)-LEN(SUBSTITUTE(AB212,"[Aviso]","")))/7, "Con Incidencias", "Válido")))</f>
        <v/>
      </c>
      <c r="AB212" s="56">
        <f>IF(AND(A212="", B212="", E212=""), "", TEXTJOIN("; ", TRUE, IF(OR(TRIM(A212&amp;"")="", ISNUMBER(SEARCH("FALTA", A212))), "UPC faltante/inválido", ""), IF(AND(A212&lt;&gt;"", IFERROR(_xlfn.XMATCH(A212,$A$2:$A$1063,0,1)&lt;&gt;_xlfn.XMATCH(A212,$A$2:$A$1063,0,-1),FALSE)), "Código de barras duplicado", ""), IF(AND(E212&lt;&gt;"", COUNTIF($E$2:$E$1063, E212)&gt;1), "SKU duplicado", ""), IF(OR(J212="", J212=""), "[Aviso] División no capturada ()", IF(ISNA(MATCH(J212, Criterios!$A$123:$A$126, 0)), "División no válida", "")), IF(OR(K212="", K212=""), "[Aviso] Categoría no capturada ()", IF(ISNA(MATCH(K212, Criterios!$A$81:$A$120, 0)), "Categoría no válida", IF(AND(J212&lt;&gt;"", J212&lt;&gt;"", J212&lt;&gt;VLOOKUP(K212, Criterios!$A$81:$B$120, 2, FALSE)), "División no coincide con Categoría", ""))), IF(OR(L212="", L212=""), "[Aviso] Género no capturado ()", IF(ISNA(MATCH(L212, Criterios!$B$123:$B$127, 0)), "Género no válido", "")), IF(OR(N212="", N212=""), "[Aviso] Temporada no capturada ()", IF(ISNA(MATCH(N212, Criterios!$C$123:$C$128, 0)), "Temporada no válida", "")), IF(OR(O212="", O212=""), "[Aviso] Ciclo de vida no capturado ()", IF(ISNA(MATCH(O212, Criterios!$D$123:$D$124, 0)), "Ciclo de vida no válido", ""))))</f>
        <v/>
      </c>
      <c r="AC212" s="56" t="n"/>
      <c r="AD212" s="51" t="n">
        <v>0</v>
      </c>
      <c r="AE212" s="156" t="n"/>
      <c r="AF212" s="51" t="n">
        <v>0</v>
      </c>
      <c r="AG212" s="156" t="inlineStr">
        <is>
          <t>Nuevo – NetSuite sin existencia</t>
        </is>
      </c>
      <c r="AH212" s="156" t="inlineStr">
        <is>
          <t>Alta auditoría 30/09/2026 desde extracción NetSuite | 01/10/2026: complementado desde Odoo Universal Unique Brands (match por código de barras): WB SKU, WB Fit, WB Silueta, Enlace de imagen | Homologación G1522 06/10/2026: Validación G1522: Dígito de control del código de barras inválido · Validador Shopify: WB: precio con IVA no termina en 9</t>
        </is>
      </c>
      <c r="AI212" s="156" t="inlineStr">
        <is>
          <t>No</t>
        </is>
      </c>
      <c r="AJ212" s="156" t="n"/>
      <c r="AK212" s="155" t="inlineStr">
        <is>
          <t>G1522_Extraccion_Articulos_NetSuite_2026-09-30.xlsx: fila 64222 | Odoo: producto 30075 / plantilla 38831</t>
        </is>
      </c>
      <c r="AL212" s="58" t="n"/>
      <c r="AM212" s="58" t="n"/>
      <c r="AN212" s="155" t="inlineStr">
        <is>
          <t>Odoo Universal Unique Brands</t>
        </is>
      </c>
      <c r="AO212" s="59" t="n"/>
      <c r="AP212" s="59" t="n"/>
      <c r="AQ212" s="59" t="n">
        <v>87</v>
      </c>
      <c r="AR212" s="155" t="inlineStr">
        <is>
          <t>Odoo Universal Unique Brands › Bodega 25 › Bodega 25/General: 87</t>
        </is>
      </c>
    </row>
    <row r="213">
      <c r="A213" s="50" t="inlineStr">
        <is>
          <t>717012212009</t>
        </is>
      </c>
      <c r="B213" s="51" t="inlineStr">
        <is>
          <t>27121</t>
        </is>
      </c>
      <c r="C213" s="156" t="inlineStr">
        <is>
          <t>Montana West</t>
        </is>
      </c>
      <c r="D213" s="156" t="inlineStr">
        <is>
          <t>MW-602BK</t>
        </is>
      </c>
      <c r="E213" s="156" t="inlineStr">
        <is>
          <t>MW-602BK</t>
        </is>
      </c>
      <c r="F213" s="156" t="inlineStr">
        <is>
          <t>Talla única</t>
        </is>
      </c>
      <c r="G213" s="156" t="inlineStr">
        <is>
          <t>One Size</t>
        </is>
      </c>
      <c r="H213" s="156" t="inlineStr">
        <is>
          <t>Montana West</t>
        </is>
      </c>
      <c r="I213" s="156" t="inlineStr">
        <is>
          <t>Cartera Montana West Negro</t>
        </is>
      </c>
      <c r="J213" s="156" t="inlineStr">
        <is>
          <t>Accesorios</t>
        </is>
      </c>
      <c r="K213" s="156" t="inlineStr">
        <is>
          <t>Carteras</t>
        </is>
      </c>
      <c r="L213" s="156" t="inlineStr">
        <is>
          <t>Hombre</t>
        </is>
      </c>
      <c r="M213" s="156" t="inlineStr">
        <is>
          <t>Montana West</t>
        </is>
      </c>
      <c r="N213" s="156" t="n"/>
      <c r="O213" s="156" t="inlineStr">
        <is>
          <t>Core</t>
        </is>
      </c>
      <c r="P213" s="156" t="inlineStr">
        <is>
          <t>Negro</t>
        </is>
      </c>
      <c r="Q213" s="156" t="n"/>
      <c r="R213" s="156" t="n"/>
      <c r="S213" s="156" t="n"/>
      <c r="T213" s="156" t="inlineStr">
        <is>
          <t>Cartera Montana West. Color: Negro. Talla única. Hombre. Referencia: MW-602BK.</t>
        </is>
      </c>
      <c r="U213" s="156" t="n"/>
      <c r="V213" s="156" t="inlineStr">
        <is>
          <t>PZS</t>
        </is>
      </c>
      <c r="W213" s="51" t="inlineStr">
        <is>
          <t>53121700</t>
        </is>
      </c>
      <c r="X213" s="156" t="n"/>
      <c r="Y213" s="54" t="n">
        <v>96.59999999999999</v>
      </c>
      <c r="Z213" s="54" t="n">
        <v>199</v>
      </c>
      <c r="AA213" s="55">
        <f>IF(AND(A213="", B213="", E213=""), "", IF(AB213="", "Válido", IF((LEN(AB213)-LEN(SUBSTITUTE(AB213,"; ","")))/2+1&gt;(LEN(AB213)-LEN(SUBSTITUTE(AB213,"[Aviso]","")))/7, "Con Incidencias", "Válido")))</f>
        <v/>
      </c>
      <c r="AB213" s="56">
        <f>IF(AND(A213="", B213="", E213=""), "", TEXTJOIN("; ", TRUE, IF(OR(TRIM(A213&amp;"")="", ISNUMBER(SEARCH("FALTA", A213))), "UPC faltante/inválido", ""), IF(AND(A213&lt;&gt;"", IFERROR(_xlfn.XMATCH(A213,$A$2:$A$1063,0,1)&lt;&gt;_xlfn.XMATCH(A213,$A$2:$A$1063,0,-1),FALSE)), "Código de barras duplicado", ""), IF(AND(E213&lt;&gt;"", COUNTIF($E$2:$E$1063, E213)&gt;1), "SKU duplicado", ""), IF(OR(J213="", J213=""), "[Aviso] División no capturada ()", IF(ISNA(MATCH(J213, Criterios!$A$123:$A$126, 0)), "División no válida", "")), IF(OR(K213="", K213=""), "[Aviso] Categoría no capturada ()", IF(ISNA(MATCH(K213, Criterios!$A$81:$A$120, 0)), "Categoría no válida", IF(AND(J213&lt;&gt;"", J213&lt;&gt;"", J213&lt;&gt;VLOOKUP(K213, Criterios!$A$81:$B$120, 2, FALSE)), "División no coincide con Categoría", ""))), IF(OR(L213="", L213=""), "[Aviso] Género no capturado ()", IF(ISNA(MATCH(L213, Criterios!$B$123:$B$127, 0)), "Género no válido", "")), IF(OR(N213="", N213=""), "[Aviso] Temporada no capturada ()", IF(ISNA(MATCH(N213, Criterios!$C$123:$C$128, 0)), "Temporada no válida", "")), IF(OR(O213="", O213=""), "[Aviso] Ciclo de vida no capturado ()", IF(ISNA(MATCH(O213, Criterios!$D$123:$D$124, 0)), "Ciclo de vida no válido", ""))))</f>
        <v/>
      </c>
      <c r="AC213" s="56" t="n"/>
      <c r="AD213" s="51" t="n"/>
      <c r="AE213" s="156" t="n"/>
      <c r="AF213" s="51" t="n"/>
      <c r="AG213" s="156" t="inlineStr">
        <is>
          <t>Nuevo – Carga Hoja2 01/10/2026</t>
        </is>
      </c>
      <c r="AH213" s="156" t="inlineStr">
        <is>
          <t>Alta 01/10/2026 desde Hoja2 (fila 2) | Homologación G1522 06/10/2026: Validador Shopify: WB: precio con IVA no termina en 9</t>
        </is>
      </c>
      <c r="AI213" s="156" t="n"/>
      <c r="AJ213" s="156" t="n"/>
      <c r="AK213" s="155" t="inlineStr">
        <is>
          <t>Hoja2: fila 2 | Odoo: producto 27121 / plantilla 33821</t>
        </is>
      </c>
      <c r="AL213" s="58" t="n"/>
      <c r="AM213" s="58" t="n"/>
      <c r="AN213" s="155" t="inlineStr">
        <is>
          <t>Odoo Universal Unique Brands</t>
        </is>
      </c>
      <c r="AO213" s="59" t="n"/>
      <c r="AP213" s="59" t="n"/>
      <c r="AQ213" s="59" t="n">
        <v>5</v>
      </c>
      <c r="AR213" s="155" t="inlineStr">
        <is>
          <t>Odoo Universal Unique Brands › Bodega 25 › Bodega 25/General: 5</t>
        </is>
      </c>
    </row>
    <row r="214">
      <c r="A214" s="50" t="inlineStr">
        <is>
          <t>717012212054</t>
        </is>
      </c>
      <c r="B214" s="51" t="inlineStr">
        <is>
          <t>27122</t>
        </is>
      </c>
      <c r="C214" s="156" t="inlineStr">
        <is>
          <t>Montana West</t>
        </is>
      </c>
      <c r="D214" s="156" t="inlineStr">
        <is>
          <t>MW-605BK</t>
        </is>
      </c>
      <c r="E214" s="156" t="inlineStr">
        <is>
          <t>MW-605BK</t>
        </is>
      </c>
      <c r="F214" s="156" t="inlineStr">
        <is>
          <t>Talla única</t>
        </is>
      </c>
      <c r="G214" s="156" t="inlineStr">
        <is>
          <t>One Size</t>
        </is>
      </c>
      <c r="H214" s="156" t="inlineStr">
        <is>
          <t>Montana West</t>
        </is>
      </c>
      <c r="I214" s="156" t="inlineStr">
        <is>
          <t>Cartera Montana West Negro</t>
        </is>
      </c>
      <c r="J214" s="156" t="inlineStr">
        <is>
          <t>Accesorios</t>
        </is>
      </c>
      <c r="K214" s="156" t="inlineStr">
        <is>
          <t>Carteras</t>
        </is>
      </c>
      <c r="L214" s="156" t="inlineStr">
        <is>
          <t>Hombre</t>
        </is>
      </c>
      <c r="M214" s="156" t="inlineStr">
        <is>
          <t>Montana West</t>
        </is>
      </c>
      <c r="N214" s="156" t="n"/>
      <c r="O214" s="156" t="inlineStr">
        <is>
          <t>Core</t>
        </is>
      </c>
      <c r="P214" s="156" t="inlineStr">
        <is>
          <t>Negro</t>
        </is>
      </c>
      <c r="Q214" s="156" t="n"/>
      <c r="R214" s="156" t="n"/>
      <c r="S214" s="156" t="n"/>
      <c r="T214" s="156" t="inlineStr">
        <is>
          <t>Cartera Montana West. Color: Negro. Talla única. Hombre. Referencia: MW-605BK.</t>
        </is>
      </c>
      <c r="U214" s="156" t="n"/>
      <c r="V214" s="156" t="inlineStr">
        <is>
          <t>PZS</t>
        </is>
      </c>
      <c r="W214" s="51" t="inlineStr">
        <is>
          <t>53121700</t>
        </is>
      </c>
      <c r="X214" s="156" t="n"/>
      <c r="Y214" s="54" t="n">
        <v>96.59999999999999</v>
      </c>
      <c r="Z214" s="54" t="n">
        <v>199</v>
      </c>
      <c r="AA214" s="55">
        <f>IF(AND(A214="", B214="", E214=""), "", IF(AB214="", "Válido", IF((LEN(AB214)-LEN(SUBSTITUTE(AB214,"; ","")))/2+1&gt;(LEN(AB214)-LEN(SUBSTITUTE(AB214,"[Aviso]","")))/7, "Con Incidencias", "Válido")))</f>
        <v/>
      </c>
      <c r="AB214" s="56">
        <f>IF(AND(A214="", B214="", E214=""), "", TEXTJOIN("; ", TRUE, IF(OR(TRIM(A214&amp;"")="", ISNUMBER(SEARCH("FALTA", A214))), "UPC faltante/inválido", ""), IF(AND(A214&lt;&gt;"", IFERROR(_xlfn.XMATCH(A214,$A$2:$A$1063,0,1)&lt;&gt;_xlfn.XMATCH(A214,$A$2:$A$1063,0,-1),FALSE)), "Código de barras duplicado", ""), IF(AND(E214&lt;&gt;"", COUNTIF($E$2:$E$1063, E214)&gt;1), "SKU duplicado", ""), IF(OR(J214="", J214=""), "[Aviso] División no capturada ()", IF(ISNA(MATCH(J214, Criterios!$A$123:$A$126, 0)), "División no válida", "")), IF(OR(K214="", K214=""), "[Aviso] Categoría no capturada ()", IF(ISNA(MATCH(K214, Criterios!$A$81:$A$120, 0)), "Categoría no válida", IF(AND(J214&lt;&gt;"", J214&lt;&gt;"", J214&lt;&gt;VLOOKUP(K214, Criterios!$A$81:$B$120, 2, FALSE)), "División no coincide con Categoría", ""))), IF(OR(L214="", L214=""), "[Aviso] Género no capturado ()", IF(ISNA(MATCH(L214, Criterios!$B$123:$B$127, 0)), "Género no válido", "")), IF(OR(N214="", N214=""), "[Aviso] Temporada no capturada ()", IF(ISNA(MATCH(N214, Criterios!$C$123:$C$128, 0)), "Temporada no válida", "")), IF(OR(O214="", O214=""), "[Aviso] Ciclo de vida no capturado ()", IF(ISNA(MATCH(O214, Criterios!$D$123:$D$124, 0)), "Ciclo de vida no válido", ""))))</f>
        <v/>
      </c>
      <c r="AC214" s="56" t="n"/>
      <c r="AD214" s="51" t="n"/>
      <c r="AE214" s="156" t="n"/>
      <c r="AF214" s="51" t="n"/>
      <c r="AG214" s="156" t="inlineStr">
        <is>
          <t>Nuevo – Carga Hoja2 01/10/2026</t>
        </is>
      </c>
      <c r="AH214" s="156" t="inlineStr">
        <is>
          <t>Alta 01/10/2026 desde Hoja2 (fila 3) | Homologación G1522 06/10/2026: Validador Shopify: WB: precio con IVA no termina en 9</t>
        </is>
      </c>
      <c r="AI214" s="156" t="n"/>
      <c r="AJ214" s="156" t="n"/>
      <c r="AK214" s="155" t="inlineStr">
        <is>
          <t>Hoja2: fila 3 | Odoo: producto 27122 / plantilla 33822</t>
        </is>
      </c>
      <c r="AL214" s="58" t="n"/>
      <c r="AM214" s="58" t="n"/>
      <c r="AN214" s="155" t="inlineStr">
        <is>
          <t>Odoo Universal Unique Brands</t>
        </is>
      </c>
      <c r="AO214" s="59" t="n"/>
      <c r="AP214" s="59" t="n"/>
      <c r="AQ214" s="59" t="n">
        <v>5</v>
      </c>
      <c r="AR214" s="155" t="inlineStr">
        <is>
          <t>Odoo Universal Unique Brands › Bodega 25 › Bodega 25/General: 5</t>
        </is>
      </c>
    </row>
    <row r="215">
      <c r="A215" s="50" t="inlineStr">
        <is>
          <t>717012212177</t>
        </is>
      </c>
      <c r="B215" s="51" t="inlineStr">
        <is>
          <t>27123</t>
        </is>
      </c>
      <c r="C215" s="156" t="inlineStr">
        <is>
          <t>Montana West</t>
        </is>
      </c>
      <c r="D215" s="156" t="inlineStr">
        <is>
          <t>MW-613BR</t>
        </is>
      </c>
      <c r="E215" s="156" t="inlineStr">
        <is>
          <t>MW-613BR</t>
        </is>
      </c>
      <c r="F215" s="156" t="inlineStr">
        <is>
          <t>Talla única</t>
        </is>
      </c>
      <c r="G215" s="156" t="inlineStr">
        <is>
          <t>One Size</t>
        </is>
      </c>
      <c r="H215" s="156" t="inlineStr">
        <is>
          <t>Montana West</t>
        </is>
      </c>
      <c r="I215" s="156" t="inlineStr">
        <is>
          <t>Cartera Montana West Café</t>
        </is>
      </c>
      <c r="J215" s="156" t="inlineStr">
        <is>
          <t>Accesorios</t>
        </is>
      </c>
      <c r="K215" s="156" t="inlineStr">
        <is>
          <t>Carteras</t>
        </is>
      </c>
      <c r="L215" s="156" t="inlineStr">
        <is>
          <t>Hombre</t>
        </is>
      </c>
      <c r="M215" s="156" t="inlineStr">
        <is>
          <t>Montana West</t>
        </is>
      </c>
      <c r="N215" s="156" t="n"/>
      <c r="O215" s="156" t="inlineStr">
        <is>
          <t>Core</t>
        </is>
      </c>
      <c r="P215" s="156" t="inlineStr">
        <is>
          <t>Cafe</t>
        </is>
      </c>
      <c r="Q215" s="156" t="n"/>
      <c r="R215" s="156" t="n"/>
      <c r="S215" s="156" t="n"/>
      <c r="T215" s="156" t="inlineStr">
        <is>
          <t>Cartera Montana West. Color: Café. Talla única. Hombre. Referencia: MW-613BR.</t>
        </is>
      </c>
      <c r="U215" s="156" t="n"/>
      <c r="V215" s="156" t="inlineStr">
        <is>
          <t>PZS</t>
        </is>
      </c>
      <c r="W215" s="51" t="inlineStr">
        <is>
          <t>53121700</t>
        </is>
      </c>
      <c r="X215" s="156" t="n"/>
      <c r="Y215" s="54" t="n">
        <v>96.59999999999999</v>
      </c>
      <c r="Z215" s="54" t="n">
        <v>199</v>
      </c>
      <c r="AA215" s="55">
        <f>IF(AND(A215="", B215="", E215=""), "", IF(AB215="", "Válido", IF((LEN(AB215)-LEN(SUBSTITUTE(AB215,"; ","")))/2+1&gt;(LEN(AB215)-LEN(SUBSTITUTE(AB215,"[Aviso]","")))/7, "Con Incidencias", "Válido")))</f>
        <v/>
      </c>
      <c r="AB215" s="56">
        <f>IF(AND(A215="", B215="", E215=""), "", TEXTJOIN("; ", TRUE, IF(OR(TRIM(A215&amp;"")="", ISNUMBER(SEARCH("FALTA", A215))), "UPC faltante/inválido", ""), IF(AND(A215&lt;&gt;"", IFERROR(_xlfn.XMATCH(A215,$A$2:$A$1063,0,1)&lt;&gt;_xlfn.XMATCH(A215,$A$2:$A$1063,0,-1),FALSE)), "Código de barras duplicado", ""), IF(AND(E215&lt;&gt;"", COUNTIF($E$2:$E$1063, E215)&gt;1), "SKU duplicado", ""), IF(OR(J215="", J215=""), "[Aviso] División no capturada ()", IF(ISNA(MATCH(J215, Criterios!$A$123:$A$126, 0)), "División no válida", "")), IF(OR(K215="", K215=""), "[Aviso] Categoría no capturada ()", IF(ISNA(MATCH(K215, Criterios!$A$81:$A$120, 0)), "Categoría no válida", IF(AND(J215&lt;&gt;"", J215&lt;&gt;"", J215&lt;&gt;VLOOKUP(K215, Criterios!$A$81:$B$120, 2, FALSE)), "División no coincide con Categoría", ""))), IF(OR(L215="", L215=""), "[Aviso] Género no capturado ()", IF(ISNA(MATCH(L215, Criterios!$B$123:$B$127, 0)), "Género no válido", "")), IF(OR(N215="", N215=""), "[Aviso] Temporada no capturada ()", IF(ISNA(MATCH(N215, Criterios!$C$123:$C$128, 0)), "Temporada no válida", "")), IF(OR(O215="", O215=""), "[Aviso] Ciclo de vida no capturado ()", IF(ISNA(MATCH(O215, Criterios!$D$123:$D$124, 0)), "Ciclo de vida no válido", ""))))</f>
        <v/>
      </c>
      <c r="AC215" s="56" t="n"/>
      <c r="AD215" s="51" t="n"/>
      <c r="AE215" s="156" t="n"/>
      <c r="AF215" s="51" t="n"/>
      <c r="AG215" s="156" t="inlineStr">
        <is>
          <t>Nuevo – Carga Hoja2 01/10/2026</t>
        </is>
      </c>
      <c r="AH215" s="156" t="inlineStr">
        <is>
          <t>Alta 01/10/2026 desde Hoja2 (fila 4) | Homologación G1522 06/10/2026: Validador Shopify: WB: precio con IVA no termina en 9</t>
        </is>
      </c>
      <c r="AI215" s="156" t="n"/>
      <c r="AJ215" s="156" t="n"/>
      <c r="AK215" s="155" t="inlineStr">
        <is>
          <t>Hoja2: fila 4 | Odoo: producto 27123 / plantilla 33823</t>
        </is>
      </c>
      <c r="AL215" s="58" t="n"/>
      <c r="AM215" s="58" t="n"/>
      <c r="AN215" s="155" t="inlineStr">
        <is>
          <t>Odoo Universal Unique Brands</t>
        </is>
      </c>
      <c r="AO215" s="59" t="n"/>
      <c r="AP215" s="59" t="n"/>
      <c r="AQ215" s="59" t="n">
        <v>4</v>
      </c>
      <c r="AR215" s="155" t="inlineStr">
        <is>
          <t>Odoo Universal Unique Brands › Bodega 25 › Bodega 25/General: 4</t>
        </is>
      </c>
    </row>
    <row r="216">
      <c r="A216" s="50" t="inlineStr">
        <is>
          <t>712288118451</t>
        </is>
      </c>
      <c r="B216" s="51" t="inlineStr">
        <is>
          <t>15675</t>
        </is>
      </c>
      <c r="C216" s="156" t="inlineStr">
        <is>
          <t>Montana West</t>
        </is>
      </c>
      <c r="D216" s="156" t="inlineStr">
        <is>
          <t>MW1124-H8120SWCF</t>
        </is>
      </c>
      <c r="E216" s="156" t="inlineStr">
        <is>
          <t>MW1124-H8120SWCF</t>
        </is>
      </c>
      <c r="F216" s="156" t="inlineStr">
        <is>
          <t>Talla única</t>
        </is>
      </c>
      <c r="G216" s="156" t="inlineStr">
        <is>
          <t>One Size</t>
        </is>
      </c>
      <c r="H216" s="156" t="inlineStr">
        <is>
          <t>Montana West</t>
        </is>
      </c>
      <c r="I216" s="156" t="inlineStr">
        <is>
          <t>Set de Bolsa Montana West Café Oscuro</t>
        </is>
      </c>
      <c r="J216" s="156" t="inlineStr">
        <is>
          <t>Accesorios</t>
        </is>
      </c>
      <c r="K216" s="156" t="inlineStr">
        <is>
          <t>Bolsos</t>
        </is>
      </c>
      <c r="L216" s="156" t="inlineStr">
        <is>
          <t>Mujer</t>
        </is>
      </c>
      <c r="M216" s="156" t="inlineStr">
        <is>
          <t>Montana West</t>
        </is>
      </c>
      <c r="N216" s="156" t="n"/>
      <c r="O216" s="156" t="inlineStr">
        <is>
          <t>Core</t>
        </is>
      </c>
      <c r="P216" s="156" t="inlineStr">
        <is>
          <t>Cafe</t>
        </is>
      </c>
      <c r="Q216" s="156" t="n"/>
      <c r="R216" s="156" t="n"/>
      <c r="S216" s="156" t="n"/>
      <c r="T216" s="156" t="inlineStr">
        <is>
          <t>Set de Bolsa Montana West. Color: Café Oscuro. Talla única. Mujer. Referencia: MW1124-H8120SWCF.</t>
        </is>
      </c>
      <c r="U216" s="156" t="n"/>
      <c r="V216" s="156" t="inlineStr">
        <is>
          <t>PZS</t>
        </is>
      </c>
      <c r="W216" s="51" t="inlineStr">
        <is>
          <t>53121601</t>
        </is>
      </c>
      <c r="X216" s="156" t="n"/>
      <c r="Y216" s="54" t="n"/>
      <c r="Z216" s="54" t="n">
        <v>669</v>
      </c>
      <c r="AA216" s="55">
        <f>IF(AND(A216="", B216="", E216=""), "", IF(AB216="", "Válido", IF((LEN(AB216)-LEN(SUBSTITUTE(AB216,"; ","")))/2+1&gt;(LEN(AB216)-LEN(SUBSTITUTE(AB216,"[Aviso]","")))/7, "Con Incidencias", "Válido")))</f>
        <v/>
      </c>
      <c r="AB216" s="56">
        <f>IF(AND(A216="", B216="", E216=""), "", TEXTJOIN("; ", TRUE, IF(OR(TRIM(A216&amp;"")="", ISNUMBER(SEARCH("FALTA", A216))), "UPC faltante/inválido", ""), IF(AND(A216&lt;&gt;"", IFERROR(_xlfn.XMATCH(A216,$A$2:$A$1063,0,1)&lt;&gt;_xlfn.XMATCH(A216,$A$2:$A$1063,0,-1),FALSE)), "Código de barras duplicado", ""), IF(AND(E216&lt;&gt;"", COUNTIF($E$2:$E$1063, E216)&gt;1), "SKU duplicado", ""), IF(OR(J216="", J216=""), "[Aviso] División no capturada ()", IF(ISNA(MATCH(J216, Criterios!$A$123:$A$126, 0)), "División no válida", "")), IF(OR(K216="", K216=""), "[Aviso] Categoría no capturada ()", IF(ISNA(MATCH(K216, Criterios!$A$81:$A$120, 0)), "Categoría no válida", IF(AND(J216&lt;&gt;"", J216&lt;&gt;"", J216&lt;&gt;VLOOKUP(K216, Criterios!$A$81:$B$120, 2, FALSE)), "División no coincide con Categoría", ""))), IF(OR(L216="", L216=""), "[Aviso] Género no capturado ()", IF(ISNA(MATCH(L216, Criterios!$B$123:$B$127, 0)), "Género no válido", "")), IF(OR(N216="", N216=""), "[Aviso] Temporada no capturada ()", IF(ISNA(MATCH(N216, Criterios!$C$123:$C$128, 0)), "Temporada no válida", "")), IF(OR(O216="", O216=""), "[Aviso] Ciclo de vida no capturado ()", IF(ISNA(MATCH(O216, Criterios!$D$123:$D$124, 0)), "Ciclo de vida no válido", ""))))</f>
        <v/>
      </c>
      <c r="AC216" s="56" t="n"/>
      <c r="AD216" s="51" t="n"/>
      <c r="AE216" s="156" t="n"/>
      <c r="AF216" s="51" t="n"/>
      <c r="AG216" s="156" t="inlineStr">
        <is>
          <t>Nuevo – Carga Hoja2 01/10/2026</t>
        </is>
      </c>
      <c r="AH216" s="156" t="inlineStr">
        <is>
          <t>Alta 01/10/2026 desde Hoja2 (fila 5);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16" s="156" t="n"/>
      <c r="AJ216" s="156" t="n"/>
      <c r="AK216" s="155" t="inlineStr">
        <is>
          <t>Hoja2: fila 5 | Odoo: producto 15675 / plantilla 20028</t>
        </is>
      </c>
      <c r="AL216" s="58" t="n"/>
      <c r="AM216" s="58" t="n"/>
      <c r="AN216" s="155" t="inlineStr">
        <is>
          <t>Odoo Universal Unique Brands</t>
        </is>
      </c>
      <c r="AO216" s="59" t="n"/>
      <c r="AP216" s="59" t="n"/>
      <c r="AQ216" s="59" t="n">
        <v>12</v>
      </c>
      <c r="AR216" s="155" t="inlineStr">
        <is>
          <t>Odoo Universal Unique Brands › Bodega 25 › Bodega 25/General: 12</t>
        </is>
      </c>
    </row>
    <row r="217">
      <c r="A217" s="50" t="inlineStr">
        <is>
          <t>712288122533</t>
        </is>
      </c>
      <c r="B217" s="51" t="inlineStr">
        <is>
          <t>15627</t>
        </is>
      </c>
      <c r="C217" s="156" t="inlineStr">
        <is>
          <t>Montana West</t>
        </is>
      </c>
      <c r="D217" s="156" t="n"/>
      <c r="E217" s="156" t="inlineStr">
        <is>
          <t>MW1247-9360BR</t>
        </is>
      </c>
      <c r="F217" s="156" t="inlineStr">
        <is>
          <t>Talla única</t>
        </is>
      </c>
      <c r="G217" s="156" t="inlineStr">
        <is>
          <t>One Size</t>
        </is>
      </c>
      <c r="H217" s="156" t="inlineStr">
        <is>
          <t>Montana West</t>
        </is>
      </c>
      <c r="I217" s="156" t="inlineStr">
        <is>
          <t>MONTANA WEST MW BAG</t>
        </is>
      </c>
      <c r="J217" s="156" t="inlineStr">
        <is>
          <t>Accesorios</t>
        </is>
      </c>
      <c r="K217" s="156" t="inlineStr">
        <is>
          <t>Bolsos</t>
        </is>
      </c>
      <c r="L217" s="156" t="inlineStr">
        <is>
          <t>Unisex</t>
        </is>
      </c>
      <c r="M217" s="156" t="n"/>
      <c r="N217" s="156" t="n"/>
      <c r="O217" s="156" t="n"/>
      <c r="P217" s="156" t="n"/>
      <c r="Q217" s="156" t="n"/>
      <c r="R217" s="156" t="n"/>
      <c r="S217" s="156" t="n"/>
      <c r="T217" s="156" t="n"/>
      <c r="U217" s="156" t="n"/>
      <c r="V217" s="156" t="inlineStr">
        <is>
          <t>PZS</t>
        </is>
      </c>
      <c r="W217" s="51" t="inlineStr">
        <is>
          <t>53121600</t>
        </is>
      </c>
      <c r="X217" s="156" t="n"/>
      <c r="Y217" s="54" t="n"/>
      <c r="Z217" s="54" t="n">
        <v>439</v>
      </c>
      <c r="AA217" s="55">
        <f>IF(AND(A217="", B217="", E217=""), "", IF(AB217="", "Válido", IF((LEN(AB217)-LEN(SUBSTITUTE(AB217,"; ","")))/2+1&gt;(LEN(AB217)-LEN(SUBSTITUTE(AB217,"[Aviso]","")))/7, "Con Incidencias", "Válido")))</f>
        <v/>
      </c>
      <c r="AB217" s="56">
        <f>IF(AND(A217="", B217="", E217=""), "", TEXTJOIN("; ", TRUE, IF(OR(TRIM(A217&amp;"")="", ISNUMBER(SEARCH("FALTA", A217))), "UPC faltante/inválido", ""), IF(AND(A217&lt;&gt;"", IFERROR(_xlfn.XMATCH(A217,$A$2:$A$1063,0,1)&lt;&gt;_xlfn.XMATCH(A217,$A$2:$A$1063,0,-1),FALSE)), "Código de barras duplicado", ""), IF(AND(E217&lt;&gt;"", COUNTIF($E$2:$E$1063, E217)&gt;1), "SKU duplicado", ""), IF(OR(J217="", J217=""), "[Aviso] División no capturada ()", IF(ISNA(MATCH(J217, Criterios!$A$123:$A$126, 0)), "División no válida", "")), IF(OR(K217="", K217=""), "[Aviso] Categoría no capturada ()", IF(ISNA(MATCH(K217, Criterios!$A$81:$A$120, 0)), "Categoría no válida", IF(AND(J217&lt;&gt;"", J217&lt;&gt;"", J217&lt;&gt;VLOOKUP(K217, Criterios!$A$81:$B$120, 2, FALSE)), "División no coincide con Categoría", ""))), IF(OR(L217="", L217=""), "[Aviso] Género no capturado ()", IF(ISNA(MATCH(L217, Criterios!$B$123:$B$127, 0)), "Género no válido", "")), IF(OR(N217="", N217=""), "[Aviso] Temporada no capturada ()", IF(ISNA(MATCH(N217, Criterios!$C$123:$C$128, 0)), "Temporada no válida", "")), IF(OR(O217="", O217=""), "[Aviso] Ciclo de vida no capturado ()", IF(ISNA(MATCH(O217, Criterios!$D$123:$D$124, 0)), "Ciclo de vida no válido", ""))))</f>
        <v/>
      </c>
      <c r="AC217" s="56" t="n"/>
      <c r="AD217" s="51" t="n"/>
      <c r="AE217" s="156" t="n"/>
      <c r="AF217" s="51" t="n"/>
      <c r="AG217" s="156" t="inlineStr">
        <is>
          <t>Nuevo – Carga Hoja2 01/10/2026</t>
        </is>
      </c>
      <c r="AH217" s="156" t="inlineStr">
        <is>
          <t>Alta 01/10/2026 desde Hoja2 (fila 6);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</t>
        </is>
      </c>
      <c r="AI217" s="156" t="n"/>
      <c r="AJ217" s="156" t="n"/>
      <c r="AK217" s="155" t="inlineStr">
        <is>
          <t>Hoja2: fila 6 | Odoo: producto 15627 / plantilla 19980</t>
        </is>
      </c>
      <c r="AL217" s="58" t="n"/>
      <c r="AM217" s="58" t="n"/>
      <c r="AN217" s="155" t="inlineStr">
        <is>
          <t>Odoo Universal Unique Brands</t>
        </is>
      </c>
      <c r="AO217" s="59" t="n"/>
      <c r="AP217" s="59" t="n"/>
      <c r="AQ217" s="59" t="n">
        <v>32</v>
      </c>
      <c r="AR217" s="155" t="inlineStr">
        <is>
          <t>Odoo Universal Unique Brands › Bodega 25 › Bodega 25/General: 32</t>
        </is>
      </c>
    </row>
    <row r="218">
      <c r="A218" s="50" t="inlineStr">
        <is>
          <t>717205868211</t>
        </is>
      </c>
      <c r="B218" s="51" t="inlineStr">
        <is>
          <t>27074</t>
        </is>
      </c>
      <c r="C218" s="156" t="inlineStr">
        <is>
          <t>Montana West</t>
        </is>
      </c>
      <c r="D218" s="156" t="inlineStr">
        <is>
          <t>MW1276-S9110CF</t>
        </is>
      </c>
      <c r="E218" s="156" t="inlineStr">
        <is>
          <t>MW1276-S9110CF</t>
        </is>
      </c>
      <c r="F218" s="156" t="inlineStr">
        <is>
          <t>Talla única</t>
        </is>
      </c>
      <c r="G218" s="156" t="inlineStr">
        <is>
          <t>One Size</t>
        </is>
      </c>
      <c r="H218" s="156" t="inlineStr">
        <is>
          <t>Montana West</t>
        </is>
      </c>
      <c r="I218" s="156" t="inlineStr">
        <is>
          <t>Bolsa Montana West Café Oscuro</t>
        </is>
      </c>
      <c r="J218" s="156" t="inlineStr">
        <is>
          <t>Accesorios</t>
        </is>
      </c>
      <c r="K218" s="156" t="inlineStr">
        <is>
          <t>Bolsos</t>
        </is>
      </c>
      <c r="L218" s="156" t="inlineStr">
        <is>
          <t>Mujer</t>
        </is>
      </c>
      <c r="M218" s="156" t="inlineStr">
        <is>
          <t>Montana West</t>
        </is>
      </c>
      <c r="N218" s="156" t="n"/>
      <c r="O218" s="156" t="inlineStr">
        <is>
          <t>Core</t>
        </is>
      </c>
      <c r="P218" s="156" t="inlineStr">
        <is>
          <t>Cafe</t>
        </is>
      </c>
      <c r="Q218" s="156" t="n"/>
      <c r="R218" s="156" t="n"/>
      <c r="S218" s="156" t="n"/>
      <c r="T218" s="156" t="inlineStr">
        <is>
          <t>Bolsa Montana West. Color: Café Oscuro. Talla única. Mujer. Referencia: MW1276-S9110CF.</t>
        </is>
      </c>
      <c r="U218" s="156" t="n"/>
      <c r="V218" s="156" t="inlineStr">
        <is>
          <t>PZS</t>
        </is>
      </c>
      <c r="W218" s="51" t="inlineStr">
        <is>
          <t>53121601</t>
        </is>
      </c>
      <c r="X218" s="156" t="n"/>
      <c r="Y218" s="54" t="n">
        <v>386.4</v>
      </c>
      <c r="Z218" s="54" t="n">
        <v>649</v>
      </c>
      <c r="AA218" s="55">
        <f>IF(AND(A218="", B218="", E218=""), "", IF(AB218="", "Válido", IF((LEN(AB218)-LEN(SUBSTITUTE(AB218,"; ","")))/2+1&gt;(LEN(AB218)-LEN(SUBSTITUTE(AB218,"[Aviso]","")))/7, "Con Incidencias", "Válido")))</f>
        <v/>
      </c>
      <c r="AB218" s="56">
        <f>IF(AND(A218="", B218="", E218=""), "", TEXTJOIN("; ", TRUE, IF(OR(TRIM(A218&amp;"")="", ISNUMBER(SEARCH("FALTA", A218))), "UPC faltante/inválido", ""), IF(AND(A218&lt;&gt;"", IFERROR(_xlfn.XMATCH(A218,$A$2:$A$1063,0,1)&lt;&gt;_xlfn.XMATCH(A218,$A$2:$A$1063,0,-1),FALSE)), "Código de barras duplicado", ""), IF(AND(E218&lt;&gt;"", COUNTIF($E$2:$E$1063, E218)&gt;1), "SKU duplicado", ""), IF(OR(J218="", J218=""), "[Aviso] División no capturada ()", IF(ISNA(MATCH(J218, Criterios!$A$123:$A$126, 0)), "División no válida", "")), IF(OR(K218="", K218=""), "[Aviso] Categoría no capturada ()", IF(ISNA(MATCH(K218, Criterios!$A$81:$A$120, 0)), "Categoría no válida", IF(AND(J218&lt;&gt;"", J218&lt;&gt;"", J218&lt;&gt;VLOOKUP(K218, Criterios!$A$81:$B$120, 2, FALSE)), "División no coincide con Categoría", ""))), IF(OR(L218="", L218=""), "[Aviso] Género no capturado ()", IF(ISNA(MATCH(L218, Criterios!$B$123:$B$127, 0)), "Género no válido", "")), IF(OR(N218="", N218=""), "[Aviso] Temporada no capturada ()", IF(ISNA(MATCH(N218, Criterios!$C$123:$C$128, 0)), "Temporada no válida", "")), IF(OR(O218="", O218=""), "[Aviso] Ciclo de vida no capturado ()", IF(ISNA(MATCH(O218, Criterios!$D$123:$D$124, 0)), "Ciclo de vida no válido", ""))))</f>
        <v/>
      </c>
      <c r="AC218" s="56" t="n"/>
      <c r="AD218" s="51" t="n"/>
      <c r="AE218" s="156" t="n"/>
      <c r="AF218" s="51" t="n"/>
      <c r="AG218" s="156" t="inlineStr">
        <is>
          <t>Nuevo – Carga Hoja2 01/10/2026</t>
        </is>
      </c>
      <c r="AH218" s="156" t="inlineStr">
        <is>
          <t>Alta 01/10/2026 desde Hoja2 (fila 7) | 01/10/2026: Odoo Universal Unique Brands trae Género «Unisex» — se conservó el valor de Productos | Homologación G1522 06/10/2026: Validador Shopify: WB: precio con IVA no termina en 9</t>
        </is>
      </c>
      <c r="AI218" s="156" t="n"/>
      <c r="AJ218" s="156" t="n"/>
      <c r="AK218" s="155" t="inlineStr">
        <is>
          <t>Hoja2: fila 7 | Odoo: producto 27074 / plantilla 33774</t>
        </is>
      </c>
      <c r="AL218" s="58" t="n"/>
      <c r="AM218" s="58" t="n"/>
      <c r="AN218" s="155" t="inlineStr">
        <is>
          <t>Odoo Universal Unique Brands</t>
        </is>
      </c>
      <c r="AO218" s="59" t="n"/>
      <c r="AP218" s="59" t="n"/>
      <c r="AQ218" s="59" t="n">
        <v>0</v>
      </c>
      <c r="AR218" s="155" t="n"/>
    </row>
    <row r="219">
      <c r="A219" s="50" t="inlineStr">
        <is>
          <t>717205853064</t>
        </is>
      </c>
      <c r="B219" s="51" t="inlineStr">
        <is>
          <t>27075</t>
        </is>
      </c>
      <c r="C219" s="156" t="inlineStr">
        <is>
          <t>Montana West</t>
        </is>
      </c>
      <c r="D219" s="156" t="inlineStr">
        <is>
          <t>MW1279-W010TN</t>
        </is>
      </c>
      <c r="E219" s="156" t="inlineStr">
        <is>
          <t>MW1279-W010TN</t>
        </is>
      </c>
      <c r="F219" s="156" t="inlineStr">
        <is>
          <t>Talla única</t>
        </is>
      </c>
      <c r="G219" s="156" t="inlineStr">
        <is>
          <t>One Size</t>
        </is>
      </c>
      <c r="H219" s="156" t="inlineStr">
        <is>
          <t>Montana West</t>
        </is>
      </c>
      <c r="I219" s="156" t="inlineStr">
        <is>
          <t>Cartera Montana West Camel</t>
        </is>
      </c>
      <c r="J219" s="156" t="inlineStr">
        <is>
          <t>Accesorios</t>
        </is>
      </c>
      <c r="K219" s="156" t="inlineStr">
        <is>
          <t>Carteras</t>
        </is>
      </c>
      <c r="L219" s="156" t="inlineStr">
        <is>
          <t>Mujer</t>
        </is>
      </c>
      <c r="M219" s="156" t="inlineStr">
        <is>
          <t>Montana West</t>
        </is>
      </c>
      <c r="N219" s="156" t="n"/>
      <c r="O219" s="156" t="inlineStr">
        <is>
          <t>Core</t>
        </is>
      </c>
      <c r="P219" s="156" t="inlineStr">
        <is>
          <t>Beige</t>
        </is>
      </c>
      <c r="Q219" s="156" t="n"/>
      <c r="R219" s="156" t="n"/>
      <c r="S219" s="156" t="n"/>
      <c r="T219" s="156" t="inlineStr">
        <is>
          <t>Cartera Montana West. Color: Camel. Talla única. Mujer. Referencia: MW1279-W010TN.</t>
        </is>
      </c>
      <c r="U219" s="156" t="n"/>
      <c r="V219" s="156" t="inlineStr">
        <is>
          <t>PZS</t>
        </is>
      </c>
      <c r="W219" s="51" t="inlineStr">
        <is>
          <t>53121700</t>
        </is>
      </c>
      <c r="X219" s="156" t="n"/>
      <c r="Y219" s="54" t="n">
        <v>161</v>
      </c>
      <c r="Z219" s="54" t="n">
        <v>299</v>
      </c>
      <c r="AA219" s="55">
        <f>IF(AND(A219="", B219="", E219=""), "", IF(AB219="", "Válido", IF((LEN(AB219)-LEN(SUBSTITUTE(AB219,"; ","")))/2+1&gt;(LEN(AB219)-LEN(SUBSTITUTE(AB219,"[Aviso]","")))/7, "Con Incidencias", "Válido")))</f>
        <v/>
      </c>
      <c r="AB219" s="56">
        <f>IF(AND(A219="", B219="", E219=""), "", TEXTJOIN("; ", TRUE, IF(OR(TRIM(A219&amp;"")="", ISNUMBER(SEARCH("FALTA", A219))), "UPC faltante/inválido", ""), IF(AND(A219&lt;&gt;"", IFERROR(_xlfn.XMATCH(A219,$A$2:$A$1063,0,1)&lt;&gt;_xlfn.XMATCH(A219,$A$2:$A$1063,0,-1),FALSE)), "Código de barras duplicado", ""), IF(AND(E219&lt;&gt;"", COUNTIF($E$2:$E$1063, E219)&gt;1), "SKU duplicado", ""), IF(OR(J219="", J219=""), "[Aviso] División no capturada ()", IF(ISNA(MATCH(J219, Criterios!$A$123:$A$126, 0)), "División no válida", "")), IF(OR(K219="", K219=""), "[Aviso] Categoría no capturada ()", IF(ISNA(MATCH(K219, Criterios!$A$81:$A$120, 0)), "Categoría no válida", IF(AND(J219&lt;&gt;"", J219&lt;&gt;"", J219&lt;&gt;VLOOKUP(K219, Criterios!$A$81:$B$120, 2, FALSE)), "División no coincide con Categoría", ""))), IF(OR(L219="", L219=""), "[Aviso] Género no capturado ()", IF(ISNA(MATCH(L219, Criterios!$B$123:$B$127, 0)), "Género no válido", "")), IF(OR(N219="", N219=""), "[Aviso] Temporada no capturada ()", IF(ISNA(MATCH(N219, Criterios!$C$123:$C$128, 0)), "Temporada no válida", "")), IF(OR(O219="", O219=""), "[Aviso] Ciclo de vida no capturado ()", IF(ISNA(MATCH(O219, Criterios!$D$123:$D$124, 0)), "Ciclo de vida no válido", ""))))</f>
        <v/>
      </c>
      <c r="AC219" s="56" t="n"/>
      <c r="AD219" s="51" t="n"/>
      <c r="AE219" s="156" t="n"/>
      <c r="AF219" s="51" t="n"/>
      <c r="AG219" s="156" t="inlineStr">
        <is>
          <t>Nuevo – Carga Hoja2 01/10/2026</t>
        </is>
      </c>
      <c r="AH219" s="156" t="inlineStr">
        <is>
          <t>Alta 01/10/2026 desde Hoja2 (fila 8) | 01/10/2026: Odoo Universal Unique Brands trae Género «Unisex» — se conservó el valor de Productos | Homologación G1522 06/10/2026: Validador Shopify: WB: precio con IVA no termina en 9</t>
        </is>
      </c>
      <c r="AI219" s="156" t="n"/>
      <c r="AJ219" s="156" t="n"/>
      <c r="AK219" s="155" t="inlineStr">
        <is>
          <t>Hoja2: fila 8 | Odoo: producto 27075 / plantilla 33775</t>
        </is>
      </c>
      <c r="AL219" s="58" t="n"/>
      <c r="AM219" s="58" t="n"/>
      <c r="AN219" s="155" t="inlineStr">
        <is>
          <t>Odoo Universal Unique Brands</t>
        </is>
      </c>
      <c r="AO219" s="59" t="n"/>
      <c r="AP219" s="59" t="n"/>
      <c r="AQ219" s="59" t="n">
        <v>0</v>
      </c>
      <c r="AR219" s="155" t="n"/>
    </row>
    <row r="220">
      <c r="A220" s="50" t="inlineStr">
        <is>
          <t>717205863803</t>
        </is>
      </c>
      <c r="B220" s="51" t="inlineStr">
        <is>
          <t>27076</t>
        </is>
      </c>
      <c r="C220" s="156" t="inlineStr">
        <is>
          <t>Montana West</t>
        </is>
      </c>
      <c r="D220" s="156" t="inlineStr">
        <is>
          <t>MW1290-181HPK</t>
        </is>
      </c>
      <c r="E220" s="156" t="inlineStr">
        <is>
          <t>MW1290-181HPK</t>
        </is>
      </c>
      <c r="F220" s="156" t="inlineStr">
        <is>
          <t>Talla única</t>
        </is>
      </c>
      <c r="G220" s="156" t="inlineStr">
        <is>
          <t>One Size</t>
        </is>
      </c>
      <c r="H220" s="156" t="inlineStr">
        <is>
          <t>Montana West</t>
        </is>
      </c>
      <c r="I220" s="156" t="inlineStr">
        <is>
          <t>Bolsa Montana West Rosa Fuerte</t>
        </is>
      </c>
      <c r="J220" s="156" t="inlineStr">
        <is>
          <t>Accesorios</t>
        </is>
      </c>
      <c r="K220" s="156" t="inlineStr">
        <is>
          <t>Bolsos</t>
        </is>
      </c>
      <c r="L220" s="156" t="inlineStr">
        <is>
          <t>Mujer</t>
        </is>
      </c>
      <c r="M220" s="156" t="inlineStr">
        <is>
          <t>Montana West</t>
        </is>
      </c>
      <c r="N220" s="156" t="n"/>
      <c r="O220" s="156" t="inlineStr">
        <is>
          <t>Core</t>
        </is>
      </c>
      <c r="P220" s="156" t="inlineStr">
        <is>
          <t>Rosa</t>
        </is>
      </c>
      <c r="Q220" s="156" t="n"/>
      <c r="R220" s="156" t="n"/>
      <c r="S220" s="156" t="n"/>
      <c r="T220" s="156" t="inlineStr">
        <is>
          <t>Bolsa Montana West. Color: Rosa Fuerte. Talla única. Mujer. Referencia: MW1290-181HPK.</t>
        </is>
      </c>
      <c r="U220" s="156" t="n"/>
      <c r="V220" s="156" t="inlineStr">
        <is>
          <t>PZS</t>
        </is>
      </c>
      <c r="W220" s="51" t="inlineStr">
        <is>
          <t>53121601</t>
        </is>
      </c>
      <c r="X220" s="156" t="n"/>
      <c r="Y220" s="54" t="n">
        <v>161</v>
      </c>
      <c r="Z220" s="54" t="n">
        <v>299</v>
      </c>
      <c r="AA220" s="55">
        <f>IF(AND(A220="", B220="", E220=""), "", IF(AB220="", "Válido", IF((LEN(AB220)-LEN(SUBSTITUTE(AB220,"; ","")))/2+1&gt;(LEN(AB220)-LEN(SUBSTITUTE(AB220,"[Aviso]","")))/7, "Con Incidencias", "Válido")))</f>
        <v/>
      </c>
      <c r="AB220" s="56">
        <f>IF(AND(A220="", B220="", E220=""), "", TEXTJOIN("; ", TRUE, IF(OR(TRIM(A220&amp;"")="", ISNUMBER(SEARCH("FALTA", A220))), "UPC faltante/inválido", ""), IF(AND(A220&lt;&gt;"", IFERROR(_xlfn.XMATCH(A220,$A$2:$A$1063,0,1)&lt;&gt;_xlfn.XMATCH(A220,$A$2:$A$1063,0,-1),FALSE)), "Código de barras duplicado", ""), IF(AND(E220&lt;&gt;"", COUNTIF($E$2:$E$1063, E220)&gt;1), "SKU duplicado", ""), IF(OR(J220="", J220=""), "[Aviso] División no capturada ()", IF(ISNA(MATCH(J220, Criterios!$A$123:$A$126, 0)), "División no válida", "")), IF(OR(K220="", K220=""), "[Aviso] Categoría no capturada ()", IF(ISNA(MATCH(K220, Criterios!$A$81:$A$120, 0)), "Categoría no válida", IF(AND(J220&lt;&gt;"", J220&lt;&gt;"", J220&lt;&gt;VLOOKUP(K220, Criterios!$A$81:$B$120, 2, FALSE)), "División no coincide con Categoría", ""))), IF(OR(L220="", L220=""), "[Aviso] Género no capturado ()", IF(ISNA(MATCH(L220, Criterios!$B$123:$B$127, 0)), "Género no válido", "")), IF(OR(N220="", N220=""), "[Aviso] Temporada no capturada ()", IF(ISNA(MATCH(N220, Criterios!$C$123:$C$128, 0)), "Temporada no válida", "")), IF(OR(O220="", O220=""), "[Aviso] Ciclo de vida no capturado ()", IF(ISNA(MATCH(O220, Criterios!$D$123:$D$124, 0)), "Ciclo de vida no válido", ""))))</f>
        <v/>
      </c>
      <c r="AC220" s="56" t="n"/>
      <c r="AD220" s="51" t="n"/>
      <c r="AE220" s="156" t="n"/>
      <c r="AF220" s="51" t="n"/>
      <c r="AG220" s="156" t="inlineStr">
        <is>
          <t>Nuevo – Carga Hoja2 01/10/2026</t>
        </is>
      </c>
      <c r="AH220" s="156" t="inlineStr">
        <is>
          <t>Alta 01/10/2026 desde Hoja2 (fila 9) | 01/10/2026: Odoo Universal Unique Brands trae Género «Unisex» — se conservó el valor de Productos | Homologación G1522 06/10/2026: Validador Shopify: WB: precio con IVA no termina en 9</t>
        </is>
      </c>
      <c r="AI220" s="156" t="n"/>
      <c r="AJ220" s="156" t="n"/>
      <c r="AK220" s="155" t="inlineStr">
        <is>
          <t>Hoja2: fila 9 | Odoo: producto 27076 / plantilla 33776</t>
        </is>
      </c>
      <c r="AL220" s="58" t="n"/>
      <c r="AM220" s="58" t="n"/>
      <c r="AN220" s="155" t="inlineStr">
        <is>
          <t>Odoo Universal Unique Brands</t>
        </is>
      </c>
      <c r="AO220" s="59" t="n"/>
      <c r="AP220" s="59" t="n"/>
      <c r="AQ220" s="59" t="n">
        <v>2</v>
      </c>
      <c r="AR220" s="155" t="inlineStr">
        <is>
          <t>Odoo Universal Unique Brands › Bodega 25 › Bodega 25/General: 2</t>
        </is>
      </c>
    </row>
    <row r="221">
      <c r="A221" s="50" t="inlineStr">
        <is>
          <t>717205840439</t>
        </is>
      </c>
      <c r="B221" s="51" t="inlineStr">
        <is>
          <t>27077</t>
        </is>
      </c>
      <c r="C221" s="156" t="inlineStr">
        <is>
          <t>Montana West</t>
        </is>
      </c>
      <c r="D221" s="156" t="inlineStr">
        <is>
          <t>MW1299G-8317TQ</t>
        </is>
      </c>
      <c r="E221" s="156" t="inlineStr">
        <is>
          <t>MW1299G-8317TQ</t>
        </is>
      </c>
      <c r="F221" s="156" t="inlineStr">
        <is>
          <t>Talla única</t>
        </is>
      </c>
      <c r="G221" s="156" t="inlineStr">
        <is>
          <t>One Size</t>
        </is>
      </c>
      <c r="H221" s="156" t="inlineStr">
        <is>
          <t>Montana West</t>
        </is>
      </c>
      <c r="I221" s="156" t="inlineStr">
        <is>
          <t>Bolsa Montana West Turquesa</t>
        </is>
      </c>
      <c r="J221" s="156" t="inlineStr">
        <is>
          <t>Accesorios</t>
        </is>
      </c>
      <c r="K221" s="156" t="inlineStr">
        <is>
          <t>Bolsos</t>
        </is>
      </c>
      <c r="L221" s="156" t="inlineStr">
        <is>
          <t>Mujer</t>
        </is>
      </c>
      <c r="M221" s="156" t="inlineStr">
        <is>
          <t>Montana West</t>
        </is>
      </c>
      <c r="N221" s="156" t="n"/>
      <c r="O221" s="156" t="inlineStr">
        <is>
          <t>Core</t>
        </is>
      </c>
      <c r="P221" s="156" t="inlineStr">
        <is>
          <t>Azul</t>
        </is>
      </c>
      <c r="Q221" s="156" t="n"/>
      <c r="R221" s="156" t="n"/>
      <c r="S221" s="156" t="n"/>
      <c r="T221" s="156" t="inlineStr">
        <is>
          <t>Bolsa Montana West. Color: Turquesa. Talla única. Mujer. Referencia: MW1299G-8317TQ.</t>
        </is>
      </c>
      <c r="U221" s="156" t="n"/>
      <c r="V221" s="156" t="inlineStr">
        <is>
          <t>PZS</t>
        </is>
      </c>
      <c r="W221" s="51" t="inlineStr">
        <is>
          <t>53121601</t>
        </is>
      </c>
      <c r="X221" s="156" t="n"/>
      <c r="Y221" s="54" t="n">
        <v>466.9</v>
      </c>
      <c r="Z221" s="54" t="n">
        <v>749</v>
      </c>
      <c r="AA221" s="55">
        <f>IF(AND(A221="", B221="", E221=""), "", IF(AB221="", "Válido", IF((LEN(AB221)-LEN(SUBSTITUTE(AB221,"; ","")))/2+1&gt;(LEN(AB221)-LEN(SUBSTITUTE(AB221,"[Aviso]","")))/7, "Con Incidencias", "Válido")))</f>
        <v/>
      </c>
      <c r="AB221" s="56">
        <f>IF(AND(A221="", B221="", E221=""), "", TEXTJOIN("; ", TRUE, IF(OR(TRIM(A221&amp;"")="", ISNUMBER(SEARCH("FALTA", A221))), "UPC faltante/inválido", ""), IF(AND(A221&lt;&gt;"", IFERROR(_xlfn.XMATCH(A221,$A$2:$A$1063,0,1)&lt;&gt;_xlfn.XMATCH(A221,$A$2:$A$1063,0,-1),FALSE)), "Código de barras duplicado", ""), IF(AND(E221&lt;&gt;"", COUNTIF($E$2:$E$1063, E221)&gt;1), "SKU duplicado", ""), IF(OR(J221="", J221=""), "[Aviso] División no capturada ()", IF(ISNA(MATCH(J221, Criterios!$A$123:$A$126, 0)), "División no válida", "")), IF(OR(K221="", K221=""), "[Aviso] Categoría no capturada ()", IF(ISNA(MATCH(K221, Criterios!$A$81:$A$120, 0)), "Categoría no válida", IF(AND(J221&lt;&gt;"", J221&lt;&gt;"", J221&lt;&gt;VLOOKUP(K221, Criterios!$A$81:$B$120, 2, FALSE)), "División no coincide con Categoría", ""))), IF(OR(L221="", L221=""), "[Aviso] Género no capturado ()", IF(ISNA(MATCH(L221, Criterios!$B$123:$B$127, 0)), "Género no válido", "")), IF(OR(N221="", N221=""), "[Aviso] Temporada no capturada ()", IF(ISNA(MATCH(N221, Criterios!$C$123:$C$128, 0)), "Temporada no válida", "")), IF(OR(O221="", O221=""), "[Aviso] Ciclo de vida no capturado ()", IF(ISNA(MATCH(O221, Criterios!$D$123:$D$124, 0)), "Ciclo de vida no válido", ""))))</f>
        <v/>
      </c>
      <c r="AC221" s="56" t="n"/>
      <c r="AD221" s="51" t="n"/>
      <c r="AE221" s="156" t="n"/>
      <c r="AF221" s="51" t="n"/>
      <c r="AG221" s="156" t="inlineStr">
        <is>
          <t>Nuevo – Carga Hoja2 01/10/2026</t>
        </is>
      </c>
      <c r="AH221" s="156" t="inlineStr">
        <is>
          <t>Alta 01/10/2026 desde Hoja2 (fila 10) | 01/10/2026: Odoo Universal Unique Brands trae Género «Unisex» — se conservó el valor de Productos | Homologación G1522 06/10/2026: Validador Shopify: WB: precio con IVA no termina en 9</t>
        </is>
      </c>
      <c r="AI221" s="156" t="n"/>
      <c r="AJ221" s="156" t="n"/>
      <c r="AK221" s="155" t="inlineStr">
        <is>
          <t>Hoja2: fila 10 | Odoo: producto 27077 / plantilla 33777</t>
        </is>
      </c>
      <c r="AL221" s="58" t="n"/>
      <c r="AM221" s="58" t="n"/>
      <c r="AN221" s="155" t="inlineStr">
        <is>
          <t>Odoo Universal Unique Brands</t>
        </is>
      </c>
      <c r="AO221" s="59" t="n"/>
      <c r="AP221" s="59" t="n"/>
      <c r="AQ221" s="59" t="n">
        <v>4</v>
      </c>
      <c r="AR221" s="155" t="inlineStr">
        <is>
          <t>Odoo Universal Unique Brands › Bodega 25 › Bodega 25/General: 4</t>
        </is>
      </c>
    </row>
    <row r="222">
      <c r="A222" s="50" t="inlineStr">
        <is>
          <t>717019707805</t>
        </is>
      </c>
      <c r="B222" s="51" t="inlineStr">
        <is>
          <t>15648</t>
        </is>
      </c>
      <c r="C222" s="156" t="inlineStr">
        <is>
          <t>Montana West</t>
        </is>
      </c>
      <c r="D222" s="156" t="inlineStr">
        <is>
          <t>MW1312G-8317BR</t>
        </is>
      </c>
      <c r="E222" s="156" t="inlineStr">
        <is>
          <t>MW1312G-8317BR</t>
        </is>
      </c>
      <c r="F222" s="156" t="inlineStr">
        <is>
          <t>Talla única</t>
        </is>
      </c>
      <c r="G222" s="156" t="inlineStr">
        <is>
          <t>One Size</t>
        </is>
      </c>
      <c r="H222" s="156" t="inlineStr">
        <is>
          <t>Montana West</t>
        </is>
      </c>
      <c r="I222" s="156" t="inlineStr">
        <is>
          <t>Bolsa Montana West Café</t>
        </is>
      </c>
      <c r="J222" s="156" t="inlineStr">
        <is>
          <t>Accesorios</t>
        </is>
      </c>
      <c r="K222" s="156" t="inlineStr">
        <is>
          <t>Bolsos</t>
        </is>
      </c>
      <c r="L222" s="156" t="inlineStr">
        <is>
          <t>Mujer</t>
        </is>
      </c>
      <c r="M222" s="156" t="inlineStr">
        <is>
          <t>Montana West</t>
        </is>
      </c>
      <c r="N222" s="156" t="n"/>
      <c r="O222" s="156" t="inlineStr">
        <is>
          <t>Core</t>
        </is>
      </c>
      <c r="P222" s="156" t="inlineStr">
        <is>
          <t>Cafe</t>
        </is>
      </c>
      <c r="Q222" s="156" t="n"/>
      <c r="R222" s="156" t="n"/>
      <c r="S222" s="156" t="n"/>
      <c r="T222" s="156" t="inlineStr">
        <is>
          <t>Bolsa Montana West. Color: Café. Talla única. Mujer. Referencia: MW1312G-8317BR.</t>
        </is>
      </c>
      <c r="U222" s="156" t="n"/>
      <c r="V222" s="156" t="inlineStr">
        <is>
          <t>PZS</t>
        </is>
      </c>
      <c r="W222" s="51" t="inlineStr">
        <is>
          <t>53121601</t>
        </is>
      </c>
      <c r="X222" s="156" t="n"/>
      <c r="Y222" s="54" t="n"/>
      <c r="Z222" s="54" t="n">
        <v>649</v>
      </c>
      <c r="AA222" s="55">
        <f>IF(AND(A222="", B222="", E222=""), "", IF(AB222="", "Válido", IF((LEN(AB222)-LEN(SUBSTITUTE(AB222,"; ","")))/2+1&gt;(LEN(AB222)-LEN(SUBSTITUTE(AB222,"[Aviso]","")))/7, "Con Incidencias", "Válido")))</f>
        <v/>
      </c>
      <c r="AB222" s="56">
        <f>IF(AND(A222="", B222="", E222=""), "", TEXTJOIN("; ", TRUE, IF(OR(TRIM(A222&amp;"")="", ISNUMBER(SEARCH("FALTA", A222))), "UPC faltante/inválido", ""), IF(AND(A222&lt;&gt;"", IFERROR(_xlfn.XMATCH(A222,$A$2:$A$1063,0,1)&lt;&gt;_xlfn.XMATCH(A222,$A$2:$A$1063,0,-1),FALSE)), "Código de barras duplicado", ""), IF(AND(E222&lt;&gt;"", COUNTIF($E$2:$E$1063, E222)&gt;1), "SKU duplicado", ""), IF(OR(J222="", J222=""), "[Aviso] División no capturada ()", IF(ISNA(MATCH(J222, Criterios!$A$123:$A$126, 0)), "División no válida", "")), IF(OR(K222="", K222=""), "[Aviso] Categoría no capturada ()", IF(ISNA(MATCH(K222, Criterios!$A$81:$A$120, 0)), "Categoría no válida", IF(AND(J222&lt;&gt;"", J222&lt;&gt;"", J222&lt;&gt;VLOOKUP(K222, Criterios!$A$81:$B$120, 2, FALSE)), "División no coincide con Categoría", ""))), IF(OR(L222="", L222=""), "[Aviso] Género no capturado ()", IF(ISNA(MATCH(L222, Criterios!$B$123:$B$127, 0)), "Género no válido", "")), IF(OR(N222="", N222=""), "[Aviso] Temporada no capturada ()", IF(ISNA(MATCH(N222, Criterios!$C$123:$C$128, 0)), "Temporada no válida", "")), IF(OR(O222="", O222=""), "[Aviso] Ciclo de vida no capturado ()", IF(ISNA(MATCH(O222, Criterios!$D$123:$D$124, 0)), "Ciclo de vida no válido", ""))))</f>
        <v/>
      </c>
      <c r="AC222" s="56" t="n"/>
      <c r="AD222" s="51" t="n"/>
      <c r="AE222" s="156" t="n"/>
      <c r="AF222" s="51" t="n"/>
      <c r="AG222" s="156" t="inlineStr">
        <is>
          <t>Nuevo – Carga Hoja2 01/10/2026</t>
        </is>
      </c>
      <c r="AH222" s="156" t="inlineStr">
        <is>
          <t>Alta 01/10/2026 desde Hoja2 (fila 11);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22" s="156" t="n"/>
      <c r="AJ222" s="156" t="n"/>
      <c r="AK222" s="155" t="inlineStr">
        <is>
          <t>Hoja2: fila 11 | Odoo: producto 15648 / plantilla 20001</t>
        </is>
      </c>
      <c r="AL222" s="58" t="n"/>
      <c r="AM222" s="58" t="n"/>
      <c r="AN222" s="155" t="inlineStr">
        <is>
          <t>Odoo Universal Unique Brands</t>
        </is>
      </c>
      <c r="AO222" s="59" t="n"/>
      <c r="AP222" s="59" t="n"/>
      <c r="AQ222" s="59" t="n">
        <v>36</v>
      </c>
      <c r="AR222" s="155" t="inlineStr">
        <is>
          <t>Odoo Universal Unique Brands › Bodega 25 › Bodega 25/General: 36</t>
        </is>
      </c>
    </row>
    <row r="223">
      <c r="A223" s="50" t="inlineStr">
        <is>
          <t>717019707775</t>
        </is>
      </c>
      <c r="B223" s="51" t="inlineStr">
        <is>
          <t>15649</t>
        </is>
      </c>
      <c r="C223" s="156" t="inlineStr">
        <is>
          <t>Montana West</t>
        </is>
      </c>
      <c r="D223" s="156" t="inlineStr">
        <is>
          <t>MW1312G-8317TN</t>
        </is>
      </c>
      <c r="E223" s="156" t="inlineStr">
        <is>
          <t>MW1312G-8317TN</t>
        </is>
      </c>
      <c r="F223" s="156" t="inlineStr">
        <is>
          <t>Talla única</t>
        </is>
      </c>
      <c r="G223" s="156" t="inlineStr">
        <is>
          <t>One Size</t>
        </is>
      </c>
      <c r="H223" s="156" t="inlineStr">
        <is>
          <t>Montana West</t>
        </is>
      </c>
      <c r="I223" s="156" t="inlineStr">
        <is>
          <t>Bolsa Montana West Camel</t>
        </is>
      </c>
      <c r="J223" s="156" t="inlineStr">
        <is>
          <t>Accesorios</t>
        </is>
      </c>
      <c r="K223" s="156" t="inlineStr">
        <is>
          <t>Bolsos</t>
        </is>
      </c>
      <c r="L223" s="156" t="inlineStr">
        <is>
          <t>Mujer</t>
        </is>
      </c>
      <c r="M223" s="156" t="inlineStr">
        <is>
          <t>Montana West</t>
        </is>
      </c>
      <c r="N223" s="156" t="n"/>
      <c r="O223" s="156" t="inlineStr">
        <is>
          <t>Core</t>
        </is>
      </c>
      <c r="P223" s="156" t="inlineStr">
        <is>
          <t>Beige</t>
        </is>
      </c>
      <c r="Q223" s="156" t="n"/>
      <c r="R223" s="156" t="n"/>
      <c r="S223" s="156" t="n"/>
      <c r="T223" s="156" t="inlineStr">
        <is>
          <t>Bolsa Montana West. Color: Camel. Talla única. Mujer. Referencia: MW1312G-8317TN.</t>
        </is>
      </c>
      <c r="U223" s="156" t="n"/>
      <c r="V223" s="156" t="inlineStr">
        <is>
          <t>PZS</t>
        </is>
      </c>
      <c r="W223" s="51" t="inlineStr">
        <is>
          <t>53121601</t>
        </is>
      </c>
      <c r="X223" s="156" t="n"/>
      <c r="Y223" s="54" t="n"/>
      <c r="Z223" s="54" t="n">
        <v>649</v>
      </c>
      <c r="AA223" s="55">
        <f>IF(AND(A223="", B223="", E223=""), "", IF(AB223="", "Válido", IF((LEN(AB223)-LEN(SUBSTITUTE(AB223,"; ","")))/2+1&gt;(LEN(AB223)-LEN(SUBSTITUTE(AB223,"[Aviso]","")))/7, "Con Incidencias", "Válido")))</f>
        <v/>
      </c>
      <c r="AB223" s="56">
        <f>IF(AND(A223="", B223="", E223=""), "", TEXTJOIN("; ", TRUE, IF(OR(TRIM(A223&amp;"")="", ISNUMBER(SEARCH("FALTA", A223))), "UPC faltante/inválido", ""), IF(AND(A223&lt;&gt;"", IFERROR(_xlfn.XMATCH(A223,$A$2:$A$1063,0,1)&lt;&gt;_xlfn.XMATCH(A223,$A$2:$A$1063,0,-1),FALSE)), "Código de barras duplicado", ""), IF(AND(E223&lt;&gt;"", COUNTIF($E$2:$E$1063, E223)&gt;1), "SKU duplicado", ""), IF(OR(J223="", J223=""), "[Aviso] División no capturada ()", IF(ISNA(MATCH(J223, Criterios!$A$123:$A$126, 0)), "División no válida", "")), IF(OR(K223="", K223=""), "[Aviso] Categoría no capturada ()", IF(ISNA(MATCH(K223, Criterios!$A$81:$A$120, 0)), "Categoría no válida", IF(AND(J223&lt;&gt;"", J223&lt;&gt;"", J223&lt;&gt;VLOOKUP(K223, Criterios!$A$81:$B$120, 2, FALSE)), "División no coincide con Categoría", ""))), IF(OR(L223="", L223=""), "[Aviso] Género no capturado ()", IF(ISNA(MATCH(L223, Criterios!$B$123:$B$127, 0)), "Género no válido", "")), IF(OR(N223="", N223=""), "[Aviso] Temporada no capturada ()", IF(ISNA(MATCH(N223, Criterios!$C$123:$C$128, 0)), "Temporada no válida", "")), IF(OR(O223="", O223=""), "[Aviso] Ciclo de vida no capturado ()", IF(ISNA(MATCH(O223, Criterios!$D$123:$D$124, 0)), "Ciclo de vida no válido", ""))))</f>
        <v/>
      </c>
      <c r="AC223" s="56" t="n"/>
      <c r="AD223" s="51" t="n"/>
      <c r="AE223" s="156" t="n"/>
      <c r="AF223" s="51" t="n"/>
      <c r="AG223" s="156" t="inlineStr">
        <is>
          <t>Nuevo – Carga Hoja2 01/10/2026</t>
        </is>
      </c>
      <c r="AH223" s="156" t="inlineStr">
        <is>
          <t>Alta 01/10/2026 desde Hoja2 (fila 12); Precio de compra en 0/vacío en origen | 01/10/2026: Odoo Universal Unique Brands trae Género «Unisex» — se conservó el valor de Productos | 01/10/2026: Odoo Universal Unique Brands trae Género «Unisex» — se conservó el valor de Productos | Homologación G1522 06/10/2026: Validador Shopify: WB: precio con IVA no termina en 9</t>
        </is>
      </c>
      <c r="AI223" s="156" t="n"/>
      <c r="AJ223" s="156" t="n"/>
      <c r="AK223" s="155" t="inlineStr">
        <is>
          <t>Hoja2: fila 12 | Odoo: producto 15649 / plantilla 20002 | Odoo: producto 27078 / plantilla 33778</t>
        </is>
      </c>
      <c r="AL223" s="58" t="n"/>
      <c r="AM223" s="58" t="n"/>
      <c r="AN223" s="155" t="inlineStr">
        <is>
          <t>Odoo Universal Unique Brands</t>
        </is>
      </c>
      <c r="AO223" s="59" t="n"/>
      <c r="AP223" s="59" t="n"/>
      <c r="AQ223" s="59" t="n">
        <v>57</v>
      </c>
      <c r="AR223" s="155" t="inlineStr">
        <is>
          <t>Odoo Universal Unique Brands › Bodega 25 › Bodega 25/General: 33 | Odoo Universal Unique Brands › Bodega 25 › Bodega 25/General: 24</t>
        </is>
      </c>
    </row>
    <row r="224">
      <c r="A224" s="50" t="inlineStr">
        <is>
          <t>717325207839</t>
        </is>
      </c>
      <c r="B224" s="51" t="inlineStr">
        <is>
          <t>15628</t>
        </is>
      </c>
      <c r="C224" s="156" t="inlineStr">
        <is>
          <t>Montana West</t>
        </is>
      </c>
      <c r="D224" s="156" t="inlineStr">
        <is>
          <t>MW1317-8360BR</t>
        </is>
      </c>
      <c r="E224" s="156" t="inlineStr">
        <is>
          <t>MW1317-8360BR</t>
        </is>
      </c>
      <c r="F224" s="156" t="inlineStr">
        <is>
          <t>Talla única</t>
        </is>
      </c>
      <c r="G224" s="156" t="inlineStr">
        <is>
          <t>One Size</t>
        </is>
      </c>
      <c r="H224" s="156" t="inlineStr">
        <is>
          <t>Montana West</t>
        </is>
      </c>
      <c r="I224" s="156" t="inlineStr">
        <is>
          <t>Bolsa Montana West Café</t>
        </is>
      </c>
      <c r="J224" s="156" t="inlineStr">
        <is>
          <t>Accesorios</t>
        </is>
      </c>
      <c r="K224" s="156" t="inlineStr">
        <is>
          <t>Bolsos</t>
        </is>
      </c>
      <c r="L224" s="156" t="inlineStr">
        <is>
          <t>Mujer</t>
        </is>
      </c>
      <c r="M224" s="156" t="inlineStr">
        <is>
          <t>Montana West</t>
        </is>
      </c>
      <c r="N224" s="156" t="n"/>
      <c r="O224" s="156" t="inlineStr">
        <is>
          <t>Core</t>
        </is>
      </c>
      <c r="P224" s="156" t="inlineStr">
        <is>
          <t>Cafe</t>
        </is>
      </c>
      <c r="Q224" s="156" t="n"/>
      <c r="R224" s="156" t="n"/>
      <c r="S224" s="156" t="n"/>
      <c r="T224" s="156" t="inlineStr">
        <is>
          <t>Bolsa Montana West. Color: Café. Talla única. Mujer. Referencia: MW1317-8360BR.</t>
        </is>
      </c>
      <c r="U224" s="156" t="n"/>
      <c r="V224" s="156" t="inlineStr">
        <is>
          <t>PZS</t>
        </is>
      </c>
      <c r="W224" s="51" t="inlineStr">
        <is>
          <t>53121601</t>
        </is>
      </c>
      <c r="X224" s="156" t="n"/>
      <c r="Y224" s="54" t="n"/>
      <c r="Z224" s="54" t="n">
        <v>479</v>
      </c>
      <c r="AA224" s="55">
        <f>IF(AND(A224="", B224="", E224=""), "", IF(AB224="", "Válido", IF((LEN(AB224)-LEN(SUBSTITUTE(AB224,"; ","")))/2+1&gt;(LEN(AB224)-LEN(SUBSTITUTE(AB224,"[Aviso]","")))/7, "Con Incidencias", "Válido")))</f>
        <v/>
      </c>
      <c r="AB224" s="56">
        <f>IF(AND(A224="", B224="", E224=""), "", TEXTJOIN("; ", TRUE, IF(OR(TRIM(A224&amp;"")="", ISNUMBER(SEARCH("FALTA", A224))), "UPC faltante/inválido", ""), IF(AND(A224&lt;&gt;"", IFERROR(_xlfn.XMATCH(A224,$A$2:$A$1063,0,1)&lt;&gt;_xlfn.XMATCH(A224,$A$2:$A$1063,0,-1),FALSE)), "Código de barras duplicado", ""), IF(AND(E224&lt;&gt;"", COUNTIF($E$2:$E$1063, E224)&gt;1), "SKU duplicado", ""), IF(OR(J224="", J224=""), "[Aviso] División no capturada ()", IF(ISNA(MATCH(J224, Criterios!$A$123:$A$126, 0)), "División no válida", "")), IF(OR(K224="", K224=""), "[Aviso] Categoría no capturada ()", IF(ISNA(MATCH(K224, Criterios!$A$81:$A$120, 0)), "Categoría no válida", IF(AND(J224&lt;&gt;"", J224&lt;&gt;"", J224&lt;&gt;VLOOKUP(K224, Criterios!$A$81:$B$120, 2, FALSE)), "División no coincide con Categoría", ""))), IF(OR(L224="", L224=""), "[Aviso] Género no capturado ()", IF(ISNA(MATCH(L224, Criterios!$B$123:$B$127, 0)), "Género no válido", "")), IF(OR(N224="", N224=""), "[Aviso] Temporada no capturada ()", IF(ISNA(MATCH(N224, Criterios!$C$123:$C$128, 0)), "Temporada no válida", "")), IF(OR(O224="", O224=""), "[Aviso] Ciclo de vida no capturado ()", IF(ISNA(MATCH(O224, Criterios!$D$123:$D$124, 0)), "Ciclo de vida no válido", ""))))</f>
        <v/>
      </c>
      <c r="AC224" s="56" t="n"/>
      <c r="AD224" s="51" t="n"/>
      <c r="AE224" s="156" t="n"/>
      <c r="AF224" s="51" t="n"/>
      <c r="AG224" s="156" t="inlineStr">
        <is>
          <t>Nuevo – Carga Hoja2 01/10/2026</t>
        </is>
      </c>
      <c r="AH224" s="156" t="inlineStr">
        <is>
          <t>Alta 01/10/2026 desde Hoja2 (fila 14);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24" s="156" t="n"/>
      <c r="AJ224" s="156" t="n"/>
      <c r="AK224" s="155" t="inlineStr">
        <is>
          <t>Hoja2: fila 14 | Odoo: producto 15628 / plantilla 19981</t>
        </is>
      </c>
      <c r="AL224" s="58" t="n"/>
      <c r="AM224" s="58" t="n"/>
      <c r="AN224" s="155" t="inlineStr">
        <is>
          <t>Odoo Universal Unique Brands</t>
        </is>
      </c>
      <c r="AO224" s="59" t="n"/>
      <c r="AP224" s="59" t="n"/>
      <c r="AQ224" s="59" t="n">
        <v>30</v>
      </c>
      <c r="AR224" s="155" t="inlineStr">
        <is>
          <t>Odoo Universal Unique Brands › Bodega 25 › Bodega 25/General: 30</t>
        </is>
      </c>
    </row>
    <row r="225">
      <c r="A225" s="50" t="inlineStr">
        <is>
          <t>717325207853</t>
        </is>
      </c>
      <c r="B225" s="51" t="inlineStr">
        <is>
          <t>15625</t>
        </is>
      </c>
      <c r="C225" s="156" t="inlineStr">
        <is>
          <t>Montana West</t>
        </is>
      </c>
      <c r="D225" s="156" t="inlineStr">
        <is>
          <t>MW1317-8360CF</t>
        </is>
      </c>
      <c r="E225" s="156" t="inlineStr">
        <is>
          <t>MW1317-8360CF</t>
        </is>
      </c>
      <c r="F225" s="156" t="inlineStr">
        <is>
          <t>Talla única</t>
        </is>
      </c>
      <c r="G225" s="156" t="inlineStr">
        <is>
          <t>One Size</t>
        </is>
      </c>
      <c r="H225" s="156" t="inlineStr">
        <is>
          <t>Montana West</t>
        </is>
      </c>
      <c r="I225" s="156" t="inlineStr">
        <is>
          <t>Bolsa Montana West Café Oscuro</t>
        </is>
      </c>
      <c r="J225" s="156" t="inlineStr">
        <is>
          <t>Accesorios</t>
        </is>
      </c>
      <c r="K225" s="156" t="inlineStr">
        <is>
          <t>Bolsos</t>
        </is>
      </c>
      <c r="L225" s="156" t="inlineStr">
        <is>
          <t>Mujer</t>
        </is>
      </c>
      <c r="M225" s="156" t="inlineStr">
        <is>
          <t>Montana West</t>
        </is>
      </c>
      <c r="N225" s="156" t="n"/>
      <c r="O225" s="156" t="inlineStr">
        <is>
          <t>Core</t>
        </is>
      </c>
      <c r="P225" s="156" t="inlineStr">
        <is>
          <t>Cafe</t>
        </is>
      </c>
      <c r="Q225" s="156" t="n"/>
      <c r="R225" s="156" t="n"/>
      <c r="S225" s="156" t="n"/>
      <c r="T225" s="156" t="inlineStr">
        <is>
          <t>Bolsa Montana West. Color: Café Oscuro. Talla única. Mujer. Referencia: MW1317-8360CF.</t>
        </is>
      </c>
      <c r="U225" s="156" t="n"/>
      <c r="V225" s="156" t="inlineStr">
        <is>
          <t>PZS</t>
        </is>
      </c>
      <c r="W225" s="51" t="inlineStr">
        <is>
          <t>53121601</t>
        </is>
      </c>
      <c r="X225" s="156" t="n"/>
      <c r="Y225" s="54" t="n"/>
      <c r="Z225" s="54" t="n">
        <v>479</v>
      </c>
      <c r="AA225" s="55">
        <f>IF(AND(A225="", B225="", E225=""), "", IF(AB225="", "Válido", IF((LEN(AB225)-LEN(SUBSTITUTE(AB225,"; ","")))/2+1&gt;(LEN(AB225)-LEN(SUBSTITUTE(AB225,"[Aviso]","")))/7, "Con Incidencias", "Válido")))</f>
        <v/>
      </c>
      <c r="AB225" s="56">
        <f>IF(AND(A225="", B225="", E225=""), "", TEXTJOIN("; ", TRUE, IF(OR(TRIM(A225&amp;"")="", ISNUMBER(SEARCH("FALTA", A225))), "UPC faltante/inválido", ""), IF(AND(A225&lt;&gt;"", IFERROR(_xlfn.XMATCH(A225,$A$2:$A$1063,0,1)&lt;&gt;_xlfn.XMATCH(A225,$A$2:$A$1063,0,-1),FALSE)), "Código de barras duplicado", ""), IF(AND(E225&lt;&gt;"", COUNTIF($E$2:$E$1063, E225)&gt;1), "SKU duplicado", ""), IF(OR(J225="", J225=""), "[Aviso] División no capturada ()", IF(ISNA(MATCH(J225, Criterios!$A$123:$A$126, 0)), "División no válida", "")), IF(OR(K225="", K225=""), "[Aviso] Categoría no capturada ()", IF(ISNA(MATCH(K225, Criterios!$A$81:$A$120, 0)), "Categoría no válida", IF(AND(J225&lt;&gt;"", J225&lt;&gt;"", J225&lt;&gt;VLOOKUP(K225, Criterios!$A$81:$B$120, 2, FALSE)), "División no coincide con Categoría", ""))), IF(OR(L225="", L225=""), "[Aviso] Género no capturado ()", IF(ISNA(MATCH(L225, Criterios!$B$123:$B$127, 0)), "Género no válido", "")), IF(OR(N225="", N225=""), "[Aviso] Temporada no capturada ()", IF(ISNA(MATCH(N225, Criterios!$C$123:$C$128, 0)), "Temporada no válida", "")), IF(OR(O225="", O225=""), "[Aviso] Ciclo de vida no capturado ()", IF(ISNA(MATCH(O225, Criterios!$D$123:$D$124, 0)), "Ciclo de vida no válido", ""))))</f>
        <v/>
      </c>
      <c r="AC225" s="56" t="n"/>
      <c r="AD225" s="51" t="n"/>
      <c r="AE225" s="156" t="n"/>
      <c r="AF225" s="51" t="n"/>
      <c r="AG225" s="156" t="inlineStr">
        <is>
          <t>Nuevo – Carga Hoja2 01/10/2026</t>
        </is>
      </c>
      <c r="AH225" s="156" t="inlineStr">
        <is>
          <t>Alta 01/10/2026 desde Hoja2 (fila 15);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25" s="156" t="n"/>
      <c r="AJ225" s="156" t="n"/>
      <c r="AK225" s="155" t="inlineStr">
        <is>
          <t>Hoja2: fila 15 | Odoo: producto 15625 / plantilla 19978</t>
        </is>
      </c>
      <c r="AL225" s="58" t="n"/>
      <c r="AM225" s="58" t="n"/>
      <c r="AN225" s="155" t="inlineStr">
        <is>
          <t>Odoo Universal Unique Brands</t>
        </is>
      </c>
      <c r="AO225" s="59" t="n"/>
      <c r="AP225" s="59" t="n"/>
      <c r="AQ225" s="59" t="n">
        <v>28</v>
      </c>
      <c r="AR225" s="155" t="inlineStr">
        <is>
          <t>Odoo Universal Unique Brands › Bodega 25 › Bodega 25/General: 28</t>
        </is>
      </c>
    </row>
    <row r="226">
      <c r="A226" s="50" t="inlineStr">
        <is>
          <t>717325207822</t>
        </is>
      </c>
      <c r="B226" s="51" t="inlineStr">
        <is>
          <t>15629</t>
        </is>
      </c>
      <c r="C226" s="156" t="inlineStr">
        <is>
          <t>Montana West</t>
        </is>
      </c>
      <c r="D226" s="156" t="n"/>
      <c r="E226" s="156" t="inlineStr">
        <is>
          <t>MW1317-8360TQ</t>
        </is>
      </c>
      <c r="F226" s="156" t="inlineStr">
        <is>
          <t>Talla única</t>
        </is>
      </c>
      <c r="G226" s="156" t="inlineStr">
        <is>
          <t>One Size</t>
        </is>
      </c>
      <c r="H226" s="156" t="inlineStr">
        <is>
          <t>Montana West</t>
        </is>
      </c>
      <c r="I226" s="156" t="inlineStr">
        <is>
          <t>MONTANA WEST MW BAG</t>
        </is>
      </c>
      <c r="J226" s="156" t="inlineStr">
        <is>
          <t>Accesorios</t>
        </is>
      </c>
      <c r="K226" s="156" t="inlineStr">
        <is>
          <t>Bolsos</t>
        </is>
      </c>
      <c r="L226" s="156" t="inlineStr">
        <is>
          <t>Unisex</t>
        </is>
      </c>
      <c r="M226" s="156" t="n"/>
      <c r="N226" s="156" t="n"/>
      <c r="O226" s="156" t="n"/>
      <c r="P226" s="156" t="n"/>
      <c r="Q226" s="156" t="n"/>
      <c r="R226" s="156" t="n"/>
      <c r="S226" s="156" t="n"/>
      <c r="T226" s="156" t="n"/>
      <c r="U226" s="156" t="n"/>
      <c r="V226" s="156" t="inlineStr">
        <is>
          <t>PZS</t>
        </is>
      </c>
      <c r="W226" s="51" t="inlineStr">
        <is>
          <t>53121601</t>
        </is>
      </c>
      <c r="X226" s="156" t="n"/>
      <c r="Y226" s="54" t="n"/>
      <c r="Z226" s="54" t="n">
        <v>479</v>
      </c>
      <c r="AA226" s="55">
        <f>IF(AND(A226="", B226="", E226=""), "", IF(AB226="", "Válido", IF((LEN(AB226)-LEN(SUBSTITUTE(AB226,"; ","")))/2+1&gt;(LEN(AB226)-LEN(SUBSTITUTE(AB226,"[Aviso]","")))/7, "Con Incidencias", "Válido")))</f>
        <v/>
      </c>
      <c r="AB226" s="56">
        <f>IF(AND(A226="", B226="", E226=""), "", TEXTJOIN("; ", TRUE, IF(OR(TRIM(A226&amp;"")="", ISNUMBER(SEARCH("FALTA", A226))), "UPC faltante/inválido", ""), IF(AND(A226&lt;&gt;"", IFERROR(_xlfn.XMATCH(A226,$A$2:$A$1063,0,1)&lt;&gt;_xlfn.XMATCH(A226,$A$2:$A$1063,0,-1),FALSE)), "Código de barras duplicado", ""), IF(AND(E226&lt;&gt;"", COUNTIF($E$2:$E$1063, E226)&gt;1), "SKU duplicado", ""), IF(OR(J226="", J226=""), "[Aviso] División no capturada ()", IF(ISNA(MATCH(J226, Criterios!$A$123:$A$126, 0)), "División no válida", "")), IF(OR(K226="", K226=""), "[Aviso] Categoría no capturada ()", IF(ISNA(MATCH(K226, Criterios!$A$81:$A$120, 0)), "Categoría no válida", IF(AND(J226&lt;&gt;"", J226&lt;&gt;"", J226&lt;&gt;VLOOKUP(K226, Criterios!$A$81:$B$120, 2, FALSE)), "División no coincide con Categoría", ""))), IF(OR(L226="", L226=""), "[Aviso] Género no capturado ()", IF(ISNA(MATCH(L226, Criterios!$B$123:$B$127, 0)), "Género no válido", "")), IF(OR(N226="", N226=""), "[Aviso] Temporada no capturada ()", IF(ISNA(MATCH(N226, Criterios!$C$123:$C$128, 0)), "Temporada no válida", "")), IF(OR(O226="", O226=""), "[Aviso] Ciclo de vida no capturado ()", IF(ISNA(MATCH(O226, Criterios!$D$123:$D$124, 0)), "Ciclo de vida no válido", ""))))</f>
        <v/>
      </c>
      <c r="AC226" s="56" t="n"/>
      <c r="AD226" s="51" t="n"/>
      <c r="AE226" s="156" t="n"/>
      <c r="AF226" s="51" t="n"/>
      <c r="AG226" s="156" t="inlineStr">
        <is>
          <t>Nuevo – Carga Hoja2 01/10/2026</t>
        </is>
      </c>
      <c r="AH226" s="156" t="inlineStr">
        <is>
          <t>Alta 01/10/2026 desde Hoja2 (fila 16);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226" s="156" t="n"/>
      <c r="AJ226" s="156" t="n"/>
      <c r="AK226" s="155" t="inlineStr">
        <is>
          <t>Hoja2: fila 16 | Odoo: producto 15629 / plantilla 19982</t>
        </is>
      </c>
      <c r="AL226" s="58" t="n"/>
      <c r="AM226" s="58" t="n"/>
      <c r="AN226" s="155" t="inlineStr">
        <is>
          <t>Odoo Universal Unique Brands</t>
        </is>
      </c>
      <c r="AO226" s="59" t="n"/>
      <c r="AP226" s="59" t="n"/>
      <c r="AQ226" s="59" t="n">
        <v>27</v>
      </c>
      <c r="AR226" s="155" t="inlineStr">
        <is>
          <t>Odoo Universal Unique Brands › Bodega 25 › Bodega 25/General: 27</t>
        </is>
      </c>
    </row>
    <row r="227">
      <c r="A227" s="50" t="inlineStr">
        <is>
          <t>717325207921</t>
        </is>
      </c>
      <c r="B227" s="51" t="inlineStr">
        <is>
          <t>22024</t>
        </is>
      </c>
      <c r="C227" s="156" t="inlineStr">
        <is>
          <t>Montana West</t>
        </is>
      </c>
      <c r="D227" s="156" t="inlineStr">
        <is>
          <t>MW1317-W052BR</t>
        </is>
      </c>
      <c r="E227" s="156" t="inlineStr">
        <is>
          <t>MW1317-W052BR</t>
        </is>
      </c>
      <c r="F227" s="156" t="inlineStr">
        <is>
          <t>Talla única</t>
        </is>
      </c>
      <c r="G227" s="156" t="inlineStr">
        <is>
          <t>One Size</t>
        </is>
      </c>
      <c r="H227" s="156" t="inlineStr">
        <is>
          <t>Montana West</t>
        </is>
      </c>
      <c r="I227" s="156" t="inlineStr">
        <is>
          <t>Cartera Montana West Colección Azteca Bordada Café</t>
        </is>
      </c>
      <c r="J227" s="156" t="inlineStr">
        <is>
          <t>Accesorios</t>
        </is>
      </c>
      <c r="K227" s="156" t="inlineStr">
        <is>
          <t>Carteras</t>
        </is>
      </c>
      <c r="L227" s="156" t="inlineStr">
        <is>
          <t>Mujer</t>
        </is>
      </c>
      <c r="M227" s="156" t="inlineStr">
        <is>
          <t>Montana West</t>
        </is>
      </c>
      <c r="N227" s="156" t="n"/>
      <c r="O227" s="156" t="inlineStr">
        <is>
          <t>Core</t>
        </is>
      </c>
      <c r="P227" s="156" t="inlineStr">
        <is>
          <t>Cafe</t>
        </is>
      </c>
      <c r="Q227" s="156" t="n"/>
      <c r="R227" s="156" t="n"/>
      <c r="S227" s="156" t="n"/>
      <c r="T227" s="156" t="inlineStr">
        <is>
          <t>Cartera Montana West. Modelo: Colección Azteca Bordada. Color: Café. Talla única. Mujer. Referencia: MW1317-W052BR.</t>
        </is>
      </c>
      <c r="U227" s="156" t="n"/>
      <c r="V227" s="156" t="inlineStr">
        <is>
          <t>PZS</t>
        </is>
      </c>
      <c r="W227" s="51" t="inlineStr">
        <is>
          <t>53121700</t>
        </is>
      </c>
      <c r="X227" s="156" t="n"/>
      <c r="Y227" s="54" t="n">
        <v>6</v>
      </c>
      <c r="Z227" s="54" t="n">
        <v>319</v>
      </c>
      <c r="AA227" s="55">
        <f>IF(AND(A227="", B227="", E227=""), "", IF(AB227="", "Válido", IF((LEN(AB227)-LEN(SUBSTITUTE(AB227,"; ","")))/2+1&gt;(LEN(AB227)-LEN(SUBSTITUTE(AB227,"[Aviso]","")))/7, "Con Incidencias", "Válido")))</f>
        <v/>
      </c>
      <c r="AB227" s="56">
        <f>IF(AND(A227="", B227="", E227=""), "", TEXTJOIN("; ", TRUE, IF(OR(TRIM(A227&amp;"")="", ISNUMBER(SEARCH("FALTA", A227))), "UPC faltante/inválido", ""), IF(AND(A227&lt;&gt;"", IFERROR(_xlfn.XMATCH(A227,$A$2:$A$1063,0,1)&lt;&gt;_xlfn.XMATCH(A227,$A$2:$A$1063,0,-1),FALSE)), "Código de barras duplicado", ""), IF(AND(E227&lt;&gt;"", COUNTIF($E$2:$E$1063, E227)&gt;1), "SKU duplicado", ""), IF(OR(J227="", J227=""), "[Aviso] División no capturada ()", IF(ISNA(MATCH(J227, Criterios!$A$123:$A$126, 0)), "División no válida", "")), IF(OR(K227="", K227=""), "[Aviso] Categoría no capturada ()", IF(ISNA(MATCH(K227, Criterios!$A$81:$A$120, 0)), "Categoría no válida", IF(AND(J227&lt;&gt;"", J227&lt;&gt;"", J227&lt;&gt;VLOOKUP(K227, Criterios!$A$81:$B$120, 2, FALSE)), "División no coincide con Categoría", ""))), IF(OR(L227="", L227=""), "[Aviso] Género no capturado ()", IF(ISNA(MATCH(L227, Criterios!$B$123:$B$127, 0)), "Género no válido", "")), IF(OR(N227="", N227=""), "[Aviso] Temporada no capturada ()", IF(ISNA(MATCH(N227, Criterios!$C$123:$C$128, 0)), "Temporada no válida", "")), IF(OR(O227="", O227=""), "[Aviso] Ciclo de vida no capturado ()", IF(ISNA(MATCH(O227, Criterios!$D$123:$D$124, 0)), "Ciclo de vida no válido", ""))))</f>
        <v/>
      </c>
      <c r="AC227" s="56" t="n"/>
      <c r="AD227" s="51" t="n"/>
      <c r="AE227" s="156" t="n"/>
      <c r="AF227" s="51" t="n"/>
      <c r="AG227" s="156" t="inlineStr">
        <is>
          <t>Nuevo – Carga Hoja2 01/10/2026</t>
        </is>
      </c>
      <c r="AH227" s="156" t="inlineStr">
        <is>
          <t>Alta 01/10/2026 desde Hoja2 (fila 17) | 01/10/2026: Odoo Universal Unique Brands trae Género «Unisex» — se conservó el valor de Productos | Homologación G1522 06/10/2026: Validación G1522: [Aviso] Precio de compra posiblemente en USD · Validador Shopify: WB: precio con IVA no termina en 9</t>
        </is>
      </c>
      <c r="AI227" s="156" t="n"/>
      <c r="AJ227" s="156" t="n"/>
      <c r="AK227" s="155" t="inlineStr">
        <is>
          <t>Hoja2: fila 17 | Odoo: producto 22024 / plantilla 28167</t>
        </is>
      </c>
      <c r="AL227" s="58" t="n"/>
      <c r="AM227" s="58" t="n"/>
      <c r="AN227" s="155" t="inlineStr">
        <is>
          <t>Odoo Universal Unique Brands</t>
        </is>
      </c>
      <c r="AO227" s="59" t="n"/>
      <c r="AP227" s="59" t="n"/>
      <c r="AQ227" s="59" t="n">
        <v>-3</v>
      </c>
      <c r="AR227" s="155" t="n"/>
    </row>
    <row r="228">
      <c r="A228" s="50" t="inlineStr">
        <is>
          <t>717325207914</t>
        </is>
      </c>
      <c r="B228" s="51" t="inlineStr">
        <is>
          <t>27080</t>
        </is>
      </c>
      <c r="C228" s="156" t="inlineStr">
        <is>
          <t>Montana West</t>
        </is>
      </c>
      <c r="D228" s="156" t="inlineStr">
        <is>
          <t>MW1317-W052TQ</t>
        </is>
      </c>
      <c r="E228" s="156" t="inlineStr">
        <is>
          <t>MW1317-W052TQ</t>
        </is>
      </c>
      <c r="F228" s="156" t="inlineStr">
        <is>
          <t>Talla única</t>
        </is>
      </c>
      <c r="G228" s="156" t="inlineStr">
        <is>
          <t>One Size</t>
        </is>
      </c>
      <c r="H228" s="156" t="inlineStr">
        <is>
          <t>Montana West</t>
        </is>
      </c>
      <c r="I228" s="156" t="inlineStr">
        <is>
          <t>Cartera Montana West Colección Azteca Bordada Turquesa</t>
        </is>
      </c>
      <c r="J228" s="156" t="inlineStr">
        <is>
          <t>Accesorios</t>
        </is>
      </c>
      <c r="K228" s="156" t="inlineStr">
        <is>
          <t>Carteras</t>
        </is>
      </c>
      <c r="L228" s="156" t="inlineStr">
        <is>
          <t>Mujer</t>
        </is>
      </c>
      <c r="M228" s="156" t="inlineStr">
        <is>
          <t>Montana West</t>
        </is>
      </c>
      <c r="N228" s="156" t="n"/>
      <c r="O228" s="156" t="inlineStr">
        <is>
          <t>Core</t>
        </is>
      </c>
      <c r="P228" s="156" t="inlineStr">
        <is>
          <t>Azul</t>
        </is>
      </c>
      <c r="Q228" s="156" t="n"/>
      <c r="R228" s="156" t="n"/>
      <c r="S228" s="156" t="n"/>
      <c r="T228" s="156" t="inlineStr">
        <is>
          <t>Cartera Montana West. Modelo: Colección Azteca Bordada. Color: Turquesa. Talla única. Mujer. Referencia: MW1317-W052TQ.</t>
        </is>
      </c>
      <c r="U228" s="156" t="n"/>
      <c r="V228" s="156" t="inlineStr">
        <is>
          <t>PZS</t>
        </is>
      </c>
      <c r="W228" s="51" t="inlineStr">
        <is>
          <t>53121700</t>
        </is>
      </c>
      <c r="X228" s="156" t="n"/>
      <c r="Y228" s="54" t="n">
        <v>96.59999999999999</v>
      </c>
      <c r="Z228" s="54" t="n">
        <v>199</v>
      </c>
      <c r="AA228" s="55">
        <f>IF(AND(A228="", B228="", E228=""), "", IF(AB228="", "Válido", IF((LEN(AB228)-LEN(SUBSTITUTE(AB228,"; ","")))/2+1&gt;(LEN(AB228)-LEN(SUBSTITUTE(AB228,"[Aviso]","")))/7, "Con Incidencias", "Válido")))</f>
        <v/>
      </c>
      <c r="AB228" s="56">
        <f>IF(AND(A228="", B228="", E228=""), "", TEXTJOIN("; ", TRUE, IF(OR(TRIM(A228&amp;"")="", ISNUMBER(SEARCH("FALTA", A228))), "UPC faltante/inválido", ""), IF(AND(A228&lt;&gt;"", IFERROR(_xlfn.XMATCH(A228,$A$2:$A$1063,0,1)&lt;&gt;_xlfn.XMATCH(A228,$A$2:$A$1063,0,-1),FALSE)), "Código de barras duplicado", ""), IF(AND(E228&lt;&gt;"", COUNTIF($E$2:$E$1063, E228)&gt;1), "SKU duplicado", ""), IF(OR(J228="", J228=""), "[Aviso] División no capturada ()", IF(ISNA(MATCH(J228, Criterios!$A$123:$A$126, 0)), "División no válida", "")), IF(OR(K228="", K228=""), "[Aviso] Categoría no capturada ()", IF(ISNA(MATCH(K228, Criterios!$A$81:$A$120, 0)), "Categoría no válida", IF(AND(J228&lt;&gt;"", J228&lt;&gt;"", J228&lt;&gt;VLOOKUP(K228, Criterios!$A$81:$B$120, 2, FALSE)), "División no coincide con Categoría", ""))), IF(OR(L228="", L228=""), "[Aviso] Género no capturado ()", IF(ISNA(MATCH(L228, Criterios!$B$123:$B$127, 0)), "Género no válido", "")), IF(OR(N228="", N228=""), "[Aviso] Temporada no capturada ()", IF(ISNA(MATCH(N228, Criterios!$C$123:$C$128, 0)), "Temporada no válida", "")), IF(OR(O228="", O228=""), "[Aviso] Ciclo de vida no capturado ()", IF(ISNA(MATCH(O228, Criterios!$D$123:$D$124, 0)), "Ciclo de vida no válido", ""))))</f>
        <v/>
      </c>
      <c r="AC228" s="56" t="n"/>
      <c r="AD228" s="51" t="n"/>
      <c r="AE228" s="156" t="n"/>
      <c r="AF228" s="51" t="n"/>
      <c r="AG228" s="156" t="inlineStr">
        <is>
          <t>Nuevo – Carga Hoja2 01/10/2026</t>
        </is>
      </c>
      <c r="AH228" s="156" t="inlineStr">
        <is>
          <t>Alta 01/10/2026 desde Hoja2 (fila 18) | 01/10/2026: Odoo Universal Unique Brands trae Género «Unisex» — se conservó el valor de Productos | Homologación G1522 06/10/2026: Validador Shopify: WB: precio con IVA no termina en 9</t>
        </is>
      </c>
      <c r="AI228" s="156" t="n"/>
      <c r="AJ228" s="156" t="n"/>
      <c r="AK228" s="155" t="inlineStr">
        <is>
          <t>Hoja2: fila 18 | Odoo: producto 27080 / plantilla 33780</t>
        </is>
      </c>
      <c r="AL228" s="58" t="n"/>
      <c r="AM228" s="58" t="n"/>
      <c r="AN228" s="155" t="inlineStr">
        <is>
          <t>Odoo Universal Unique Brands</t>
        </is>
      </c>
      <c r="AO228" s="59" t="n"/>
      <c r="AP228" s="59" t="n"/>
      <c r="AQ228" s="59" t="n">
        <v>5</v>
      </c>
      <c r="AR228" s="155" t="inlineStr">
        <is>
          <t>Odoo Universal Unique Brands › Bodega 25 › Bodega 25/General: 5</t>
        </is>
      </c>
    </row>
    <row r="229">
      <c r="A229" s="50" t="inlineStr">
        <is>
          <t>717019745159</t>
        </is>
      </c>
      <c r="B229" s="51" t="inlineStr">
        <is>
          <t>27081</t>
        </is>
      </c>
      <c r="C229" s="156" t="inlineStr">
        <is>
          <t>Montana West</t>
        </is>
      </c>
      <c r="D229" s="156" t="inlineStr">
        <is>
          <t>MW1318-194BK</t>
        </is>
      </c>
      <c r="E229" s="156" t="inlineStr">
        <is>
          <t>MW1318-194BK</t>
        </is>
      </c>
      <c r="F229" s="156" t="inlineStr">
        <is>
          <t>Talla única</t>
        </is>
      </c>
      <c r="G229" s="156" t="inlineStr">
        <is>
          <t>One Size</t>
        </is>
      </c>
      <c r="H229" s="156" t="inlineStr">
        <is>
          <t>Montana West</t>
        </is>
      </c>
      <c r="I229" s="156" t="inlineStr">
        <is>
          <t>Bolsa Montana West Negro</t>
        </is>
      </c>
      <c r="J229" s="156" t="inlineStr">
        <is>
          <t>Accesorios</t>
        </is>
      </c>
      <c r="K229" s="156" t="inlineStr">
        <is>
          <t>Bolsos</t>
        </is>
      </c>
      <c r="L229" s="156" t="inlineStr">
        <is>
          <t>Mujer</t>
        </is>
      </c>
      <c r="M229" s="156" t="inlineStr">
        <is>
          <t>Montana West</t>
        </is>
      </c>
      <c r="N229" s="156" t="n"/>
      <c r="O229" s="156" t="inlineStr">
        <is>
          <t>Core</t>
        </is>
      </c>
      <c r="P229" s="156" t="inlineStr">
        <is>
          <t>Negro</t>
        </is>
      </c>
      <c r="Q229" s="156" t="n"/>
      <c r="R229" s="156" t="n"/>
      <c r="S229" s="156" t="n"/>
      <c r="T229" s="156" t="inlineStr">
        <is>
          <t>Bolsa Montana West. Color: Negro. Talla única. Mujer. Referencia: MW1318-194BK.</t>
        </is>
      </c>
      <c r="U229" s="156" t="n"/>
      <c r="V229" s="156" t="inlineStr">
        <is>
          <t>PZS</t>
        </is>
      </c>
      <c r="W229" s="51" t="inlineStr">
        <is>
          <t>53121601</t>
        </is>
      </c>
      <c r="X229" s="156" t="inlineStr">
        <is>
          <t>https://cdn.shopify.com/s/files/1/0005/9015/1741/files/Montana_West_Floral_Tooled_Fanny_Pack_Black1.webp?v=1749800882</t>
        </is>
      </c>
      <c r="Y229" s="54" t="n">
        <v>273.7</v>
      </c>
      <c r="Z229" s="54" t="n">
        <v>449</v>
      </c>
      <c r="AA229" s="55">
        <f>IF(AND(A229="", B229="", E229=""), "", IF(AB229="", "Válido", IF((LEN(AB229)-LEN(SUBSTITUTE(AB229,"; ","")))/2+1&gt;(LEN(AB229)-LEN(SUBSTITUTE(AB229,"[Aviso]","")))/7, "Con Incidencias", "Válido")))</f>
        <v/>
      </c>
      <c r="AB229" s="56">
        <f>IF(AND(A229="", B229="", E229=""), "", TEXTJOIN("; ", TRUE, IF(OR(TRIM(A229&amp;"")="", ISNUMBER(SEARCH("FALTA", A229))), "UPC faltante/inválido", ""), IF(AND(A229&lt;&gt;"", IFERROR(_xlfn.XMATCH(A229,$A$2:$A$1063,0,1)&lt;&gt;_xlfn.XMATCH(A229,$A$2:$A$1063,0,-1),FALSE)), "Código de barras duplicado", ""), IF(AND(E229&lt;&gt;"", COUNTIF($E$2:$E$1063, E229)&gt;1), "SKU duplicado", ""), IF(OR(J229="", J229=""), "[Aviso] División no capturada ()", IF(ISNA(MATCH(J229, Criterios!$A$123:$A$126, 0)), "División no válida", "")), IF(OR(K229="", K229=""), "[Aviso] Categoría no capturada ()", IF(ISNA(MATCH(K229, Criterios!$A$81:$A$120, 0)), "Categoría no válida", IF(AND(J229&lt;&gt;"", J229&lt;&gt;"", J229&lt;&gt;VLOOKUP(K229, Criterios!$A$81:$B$120, 2, FALSE)), "División no coincide con Categoría", ""))), IF(OR(L229="", L229=""), "[Aviso] Género no capturado ()", IF(ISNA(MATCH(L229, Criterios!$B$123:$B$127, 0)), "Género no válido", "")), IF(OR(N229="", N229=""), "[Aviso] Temporada no capturada ()", IF(ISNA(MATCH(N229, Criterios!$C$123:$C$128, 0)), "Temporada no válida", "")), IF(OR(O229="", O229=""), "[Aviso] Ciclo de vida no capturado ()", IF(ISNA(MATCH(O229, Criterios!$D$123:$D$124, 0)), "Ciclo de vida no válido", ""))))</f>
        <v/>
      </c>
      <c r="AC229" s="56" t="n"/>
      <c r="AD229" s="51" t="n"/>
      <c r="AE229" s="156" t="n"/>
      <c r="AF229" s="51" t="n"/>
      <c r="AG229" s="156" t="inlineStr">
        <is>
          <t>Nuevo – Carga Hoja2 01/10/2026</t>
        </is>
      </c>
      <c r="AH229" s="156" t="inlineStr">
        <is>
          <t>Alta 01/10/2026 desde Hoja2 (fila 19) | 01/10/2026: Odoo Universal Unique Brands trae Género «Unisex» — se conservó el valor de Productos | Homologación G1522 06/10/2026: Enlace de imagen: «» → «https://cdn.shopify.com/s/files/1/0005/9015/1741/files/Montana_West_Floral_Tooled_Fanny_Pack_Black1.webp?v=1749800882» (Completado por investigación en línea) · Validador Shopify: WB: precio con IVA no termina en 9</t>
        </is>
      </c>
      <c r="AI229" s="156" t="n"/>
      <c r="AJ229" s="156" t="n"/>
      <c r="AK229" s="155" t="inlineStr">
        <is>
          <t>Hoja2: fila 19 | Odoo: producto 27081 / plantilla 33781 | Investigación en línea 06/10/2026: https://montanawestworld.com/products/montana-west-floral-tooled-fanny-pack</t>
        </is>
      </c>
      <c r="AL229" s="58" t="n"/>
      <c r="AM229" s="58" t="n"/>
      <c r="AN229" s="155" t="inlineStr">
        <is>
          <t>Odoo Universal Unique Brands</t>
        </is>
      </c>
      <c r="AO229" s="59" t="n"/>
      <c r="AP229" s="59" t="n"/>
      <c r="AQ229" s="59" t="n">
        <v>2</v>
      </c>
      <c r="AR229" s="155" t="inlineStr">
        <is>
          <t>Odoo Universal Unique Brands › Bodega 25 › Bodega 25/General: 2</t>
        </is>
      </c>
    </row>
    <row r="230">
      <c r="A230" s="50" t="n"/>
      <c r="B230" s="51" t="inlineStr">
        <is>
          <t>27082</t>
        </is>
      </c>
      <c r="C230" s="156" t="inlineStr">
        <is>
          <t>Montana West</t>
        </is>
      </c>
      <c r="D230" s="156" t="n"/>
      <c r="E230" s="156" t="inlineStr">
        <is>
          <t>MW1318-194BR</t>
        </is>
      </c>
      <c r="F230" s="156" t="inlineStr">
        <is>
          <t>Talla única</t>
        </is>
      </c>
      <c r="G230" s="156" t="inlineStr">
        <is>
          <t>One Size</t>
        </is>
      </c>
      <c r="H230" s="156" t="inlineStr">
        <is>
          <t>Montana West</t>
        </is>
      </c>
      <c r="I230" s="156" t="inlineStr">
        <is>
          <t>MW BAG</t>
        </is>
      </c>
      <c r="J230" s="156" t="inlineStr">
        <is>
          <t>Accesorios</t>
        </is>
      </c>
      <c r="K230" s="156" t="inlineStr">
        <is>
          <t>Bolsos</t>
        </is>
      </c>
      <c r="L230" s="156" t="inlineStr">
        <is>
          <t>Unisex</t>
        </is>
      </c>
      <c r="M230" s="156" t="n"/>
      <c r="N230" s="156" t="n"/>
      <c r="O230" s="156" t="n"/>
      <c r="P230" s="156" t="inlineStr">
        <is>
          <t>Cafe</t>
        </is>
      </c>
      <c r="Q230" s="156" t="n"/>
      <c r="R230" s="156" t="n"/>
      <c r="S230" s="156" t="n"/>
      <c r="T230" s="156" t="n"/>
      <c r="U230" s="156" t="n"/>
      <c r="V230" s="156" t="inlineStr">
        <is>
          <t>PZS</t>
        </is>
      </c>
      <c r="W230" s="51" t="inlineStr">
        <is>
          <t>53121601</t>
        </is>
      </c>
      <c r="X230" s="156" t="inlineStr">
        <is>
          <t>https://cdn.shopify.com/s/files/1/0005/9015/1741/files/Montana_West_Floral_Tooled_Fanny_Pack_Brown2.webp?v=1749800882</t>
        </is>
      </c>
      <c r="Y230" s="54" t="n">
        <v>273.7</v>
      </c>
      <c r="Z230" s="54" t="n">
        <v>449</v>
      </c>
      <c r="AA230" s="55">
        <f>IF(AND(A230="", B230="", E230=""), "", IF(AB230="", "Válido", IF((LEN(AB230)-LEN(SUBSTITUTE(AB230,"; ","")))/2+1&gt;(LEN(AB230)-LEN(SUBSTITUTE(AB230,"[Aviso]","")))/7, "Con Incidencias", "Válido")))</f>
        <v/>
      </c>
      <c r="AB230" s="56">
        <f>IF(AND(A230="", B230="", E230=""), "", TEXTJOIN("; ", TRUE, IF(OR(TRIM(A230&amp;"")="", ISNUMBER(SEARCH("FALTA", A230))), "UPC faltante/inválido", ""), IF(AND(A230&lt;&gt;"", IFERROR(_xlfn.XMATCH(A230,$A$2:$A$1063,0,1)&lt;&gt;_xlfn.XMATCH(A230,$A$2:$A$1063,0,-1),FALSE)), "Código de barras duplicado", ""), IF(AND(E230&lt;&gt;"", COUNTIF($E$2:$E$1063, E230)&gt;1), "SKU duplicado", ""), IF(OR(J230="", J230=""), "[Aviso] División no capturada ()", IF(ISNA(MATCH(J230, Criterios!$A$123:$A$126, 0)), "División no válida", "")), IF(OR(K230="", K230=""), "[Aviso] Categoría no capturada ()", IF(ISNA(MATCH(K230, Criterios!$A$81:$A$120, 0)), "Categoría no válida", IF(AND(J230&lt;&gt;"", J230&lt;&gt;"", J230&lt;&gt;VLOOKUP(K230, Criterios!$A$81:$B$120, 2, FALSE)), "División no coincide con Categoría", ""))), IF(OR(L230="", L230=""), "[Aviso] Género no capturado ()", IF(ISNA(MATCH(L230, Criterios!$B$123:$B$127, 0)), "Género no válido", "")), IF(OR(N230="", N230=""), "[Aviso] Temporada no capturada ()", IF(ISNA(MATCH(N230, Criterios!$C$123:$C$128, 0)), "Temporada no válida", "")), IF(OR(O230="", O230=""), "[Aviso] Ciclo de vida no capturado ()", IF(ISNA(MATCH(O230, Criterios!$D$123:$D$124, 0)), "Ciclo de vida no válido", ""))))</f>
        <v/>
      </c>
      <c r="AC230" s="56" t="n"/>
      <c r="AD230" s="51" t="n"/>
      <c r="AE230" s="156" t="n"/>
      <c r="AF230" s="51" t="n"/>
      <c r="AG230" s="156" t="inlineStr">
        <is>
          <t>Nuevo – Carga Hoja2 01/10/2026</t>
        </is>
      </c>
      <c r="AH230" s="156" t="inlineStr">
        <is>
          <t>Alta 01/10/2026 desde Hoja2 (fila 20) | 01/10/2026: complementado desde Odoo Universal Unique Brands (match por SKU): WB Talla, WB Talla de EE. UU., WB Género | Homologación G1522 06/10/2026: Enlace de imagen: «» → «https://cdn.shopify.com/s/files/1/0005/9015/1741/files/Montana_West_Floral_Tooled_Fanny_Pack_Brown2.webp?v=1749800882» (Completado por investigación en línea) · WB Color: «» → «Cafe»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230" s="156" t="n"/>
      <c r="AJ230" s="156" t="n"/>
      <c r="AK230" s="155" t="inlineStr">
        <is>
          <t>Hoja2: fila 20 | Odoo: producto 27082 / plantilla 33782 | Investigación en línea 06/10/2026: https://montanawestworld.com/products/montana-west-floral-tooled-fanny-pack</t>
        </is>
      </c>
      <c r="AL230" s="58" t="n"/>
      <c r="AM230" s="58" t="n"/>
      <c r="AN230" s="155" t="inlineStr">
        <is>
          <t>Odoo Universal Unique Brands</t>
        </is>
      </c>
      <c r="AO230" s="59" t="n"/>
      <c r="AP230" s="59" t="n"/>
      <c r="AQ230" s="59" t="n">
        <v>1</v>
      </c>
      <c r="AR230" s="155" t="inlineStr">
        <is>
          <t>Odoo Universal Unique Brands › Bodega 25 › Bodega 25/General: 1</t>
        </is>
      </c>
    </row>
    <row r="231">
      <c r="A231" s="50" t="inlineStr">
        <is>
          <t>717019745098</t>
        </is>
      </c>
      <c r="B231" s="51" t="inlineStr">
        <is>
          <t>27083</t>
        </is>
      </c>
      <c r="C231" s="156" t="inlineStr">
        <is>
          <t>Montana West</t>
        </is>
      </c>
      <c r="D231" s="156" t="inlineStr">
        <is>
          <t>MW1318-194LP</t>
        </is>
      </c>
      <c r="E231" s="156" t="inlineStr">
        <is>
          <t>MW1318-194LP</t>
        </is>
      </c>
      <c r="F231" s="156" t="inlineStr">
        <is>
          <t>Talla única</t>
        </is>
      </c>
      <c r="G231" s="156" t="inlineStr">
        <is>
          <t>One Size</t>
        </is>
      </c>
      <c r="H231" s="156" t="inlineStr">
        <is>
          <t>Montana West</t>
        </is>
      </c>
      <c r="I231" s="156" t="inlineStr">
        <is>
          <t>Bolsa Montana West Leopardo</t>
        </is>
      </c>
      <c r="J231" s="156" t="inlineStr">
        <is>
          <t>Accesorios</t>
        </is>
      </c>
      <c r="K231" s="156" t="inlineStr">
        <is>
          <t>Bolsos</t>
        </is>
      </c>
      <c r="L231" s="156" t="inlineStr">
        <is>
          <t>Mujer</t>
        </is>
      </c>
      <c r="M231" s="156" t="inlineStr">
        <is>
          <t>Montana West</t>
        </is>
      </c>
      <c r="N231" s="156" t="n"/>
      <c r="O231" s="156" t="inlineStr">
        <is>
          <t>Core</t>
        </is>
      </c>
      <c r="P231" s="156" t="inlineStr">
        <is>
          <t>Varios</t>
        </is>
      </c>
      <c r="Q231" s="156" t="n"/>
      <c r="R231" s="156" t="n"/>
      <c r="S231" s="156" t="n"/>
      <c r="T231" s="156" t="inlineStr">
        <is>
          <t>Bolsa Montana West. Color: Leopardo. Talla única. Mujer. Referencia: MW1318-194LP.</t>
        </is>
      </c>
      <c r="U231" s="156" t="n"/>
      <c r="V231" s="156" t="inlineStr">
        <is>
          <t>PZS</t>
        </is>
      </c>
      <c r="W231" s="51" t="inlineStr">
        <is>
          <t>53121601</t>
        </is>
      </c>
      <c r="X231" s="156" t="inlineStr">
        <is>
          <t>https://cdn.shopify.com/s/files/1/0005/9015/1741/files/Montana_West_Floral_Tooled_Fanny_Pack_Leopard.webp?v=1730803008</t>
        </is>
      </c>
      <c r="Y231" s="54" t="n">
        <v>273.7</v>
      </c>
      <c r="Z231" s="54" t="n">
        <v>449</v>
      </c>
      <c r="AA231" s="55">
        <f>IF(AND(A231="", B231="", E231=""), "", IF(AB231="", "Válido", IF((LEN(AB231)-LEN(SUBSTITUTE(AB231,"; ","")))/2+1&gt;(LEN(AB231)-LEN(SUBSTITUTE(AB231,"[Aviso]","")))/7, "Con Incidencias", "Válido")))</f>
        <v/>
      </c>
      <c r="AB231" s="56">
        <f>IF(AND(A231="", B231="", E231=""), "", TEXTJOIN("; ", TRUE, IF(OR(TRIM(A231&amp;"")="", ISNUMBER(SEARCH("FALTA", A231))), "UPC faltante/inválido", ""), IF(AND(A231&lt;&gt;"", IFERROR(_xlfn.XMATCH(A231,$A$2:$A$1063,0,1)&lt;&gt;_xlfn.XMATCH(A231,$A$2:$A$1063,0,-1),FALSE)), "Código de barras duplicado", ""), IF(AND(E231&lt;&gt;"", COUNTIF($E$2:$E$1063, E231)&gt;1), "SKU duplicado", ""), IF(OR(J231="", J231=""), "[Aviso] División no capturada ()", IF(ISNA(MATCH(J231, Criterios!$A$123:$A$126, 0)), "División no válida", "")), IF(OR(K231="", K231=""), "[Aviso] Categoría no capturada ()", IF(ISNA(MATCH(K231, Criterios!$A$81:$A$120, 0)), "Categoría no válida", IF(AND(J231&lt;&gt;"", J231&lt;&gt;"", J231&lt;&gt;VLOOKUP(K231, Criterios!$A$81:$B$120, 2, FALSE)), "División no coincide con Categoría", ""))), IF(OR(L231="", L231=""), "[Aviso] Género no capturado ()", IF(ISNA(MATCH(L231, Criterios!$B$123:$B$127, 0)), "Género no válido", "")), IF(OR(N231="", N231=""), "[Aviso] Temporada no capturada ()", IF(ISNA(MATCH(N231, Criterios!$C$123:$C$128, 0)), "Temporada no válida", "")), IF(OR(O231="", O231=""), "[Aviso] Ciclo de vida no capturado ()", IF(ISNA(MATCH(O231, Criterios!$D$123:$D$124, 0)), "Ciclo de vida no válido", ""))))</f>
        <v/>
      </c>
      <c r="AC231" s="56" t="n"/>
      <c r="AD231" s="51" t="n"/>
      <c r="AE231" s="156" t="n"/>
      <c r="AF231" s="51" t="n"/>
      <c r="AG231" s="156" t="inlineStr">
        <is>
          <t>Nuevo – Carga Hoja2 01/10/2026</t>
        </is>
      </c>
      <c r="AH231" s="156" t="inlineStr">
        <is>
          <t>Alta 01/10/2026 desde Hoja2 (fila 21) | 01/10/2026: Odoo Universal Unique Brands trae Género «Unisex» — se conservó el valor de Productos | Homologación G1522 06/10/2026: Enlace de imagen: «» → «https://cdn.shopify.com/s/files/1/0005/9015/1741/files/Montana_West_Floral_Tooled_Fanny_Pack_Leopard.webp?v=1730803008» (Completado por investigación en línea) · Validador Shopify: WB: precio con IVA no termina en 9</t>
        </is>
      </c>
      <c r="AI231" s="156" t="n"/>
      <c r="AJ231" s="156" t="n"/>
      <c r="AK231" s="155" t="inlineStr">
        <is>
          <t>Hoja2: fila 21 | Odoo: producto 27083 / plantilla 33783 | Investigación en línea 06/10/2026: https://montanawestworld.com/products/montana-west-floral-tooled-fanny-pack</t>
        </is>
      </c>
      <c r="AL231" s="58" t="n"/>
      <c r="AM231" s="58" t="n"/>
      <c r="AN231" s="155" t="inlineStr">
        <is>
          <t>Odoo Universal Unique Brands</t>
        </is>
      </c>
      <c r="AO231" s="59" t="n"/>
      <c r="AP231" s="59" t="n"/>
      <c r="AQ231" s="59" t="n">
        <v>5</v>
      </c>
      <c r="AR231" s="155" t="inlineStr">
        <is>
          <t>Odoo Universal Unique Brands › Bodega 25 › Bodega 25/General: 5</t>
        </is>
      </c>
    </row>
    <row r="232">
      <c r="A232" s="50" t="inlineStr">
        <is>
          <t>717019744978</t>
        </is>
      </c>
      <c r="B232" s="51" t="inlineStr">
        <is>
          <t>15650</t>
        </is>
      </c>
      <c r="C232" s="156" t="inlineStr">
        <is>
          <t>Montana West</t>
        </is>
      </c>
      <c r="D232" s="156" t="inlineStr">
        <is>
          <t>MW1318-5110BK</t>
        </is>
      </c>
      <c r="E232" s="156" t="inlineStr">
        <is>
          <t>MW1318-5110BK</t>
        </is>
      </c>
      <c r="F232" s="156" t="inlineStr">
        <is>
          <t>Talla única</t>
        </is>
      </c>
      <c r="G232" s="156" t="inlineStr">
        <is>
          <t>One Size</t>
        </is>
      </c>
      <c r="H232" s="156" t="inlineStr">
        <is>
          <t>Montana West</t>
        </is>
      </c>
      <c r="I232" s="156" t="inlineStr">
        <is>
          <t>Bolsa Montana West Negro</t>
        </is>
      </c>
      <c r="J232" s="156" t="inlineStr">
        <is>
          <t>Accesorios</t>
        </is>
      </c>
      <c r="K232" s="156" t="inlineStr">
        <is>
          <t>Bolsos</t>
        </is>
      </c>
      <c r="L232" s="156" t="inlineStr">
        <is>
          <t>Mujer</t>
        </is>
      </c>
      <c r="M232" s="156" t="inlineStr">
        <is>
          <t>Montana West</t>
        </is>
      </c>
      <c r="N232" s="156" t="n"/>
      <c r="O232" s="156" t="inlineStr">
        <is>
          <t>Core</t>
        </is>
      </c>
      <c r="P232" s="156" t="inlineStr">
        <is>
          <t>Negro</t>
        </is>
      </c>
      <c r="Q232" s="156" t="n"/>
      <c r="R232" s="156" t="n"/>
      <c r="S232" s="156" t="n"/>
      <c r="T232" s="156" t="inlineStr">
        <is>
          <t>Bolsa Montana West. Color: Negro. Talla única. Mujer. Referencia: MW1318-5110BK.</t>
        </is>
      </c>
      <c r="U232" s="156" t="n"/>
      <c r="V232" s="156" t="inlineStr">
        <is>
          <t>PZS</t>
        </is>
      </c>
      <c r="W232" s="51" t="inlineStr">
        <is>
          <t>53121601</t>
        </is>
      </c>
      <c r="X232" s="156" t="n"/>
      <c r="Y232" s="54" t="n"/>
      <c r="Z232" s="54" t="n">
        <v>769</v>
      </c>
      <c r="AA232" s="55">
        <f>IF(AND(A232="", B232="", E232=""), "", IF(AB232="", "Válido", IF((LEN(AB232)-LEN(SUBSTITUTE(AB232,"; ","")))/2+1&gt;(LEN(AB232)-LEN(SUBSTITUTE(AB232,"[Aviso]","")))/7, "Con Incidencias", "Válido")))</f>
        <v/>
      </c>
      <c r="AB232" s="56">
        <f>IF(AND(A232="", B232="", E232=""), "", TEXTJOIN("; ", TRUE, IF(OR(TRIM(A232&amp;"")="", ISNUMBER(SEARCH("FALTA", A232))), "UPC faltante/inválido", ""), IF(AND(A232&lt;&gt;"", IFERROR(_xlfn.XMATCH(A232,$A$2:$A$1063,0,1)&lt;&gt;_xlfn.XMATCH(A232,$A$2:$A$1063,0,-1),FALSE)), "Código de barras duplicado", ""), IF(AND(E232&lt;&gt;"", COUNTIF($E$2:$E$1063, E232)&gt;1), "SKU duplicado", ""), IF(OR(J232="", J232=""), "[Aviso] División no capturada ()", IF(ISNA(MATCH(J232, Criterios!$A$123:$A$126, 0)), "División no válida", "")), IF(OR(K232="", K232=""), "[Aviso] Categoría no capturada ()", IF(ISNA(MATCH(K232, Criterios!$A$81:$A$120, 0)), "Categoría no válida", IF(AND(J232&lt;&gt;"", J232&lt;&gt;"", J232&lt;&gt;VLOOKUP(K232, Criterios!$A$81:$B$120, 2, FALSE)), "División no coincide con Categoría", ""))), IF(OR(L232="", L232=""), "[Aviso] Género no capturado ()", IF(ISNA(MATCH(L232, Criterios!$B$123:$B$127, 0)), "Género no válido", "")), IF(OR(N232="", N232=""), "[Aviso] Temporada no capturada ()", IF(ISNA(MATCH(N232, Criterios!$C$123:$C$128, 0)), "Temporada no válida", "")), IF(OR(O232="", O232=""), "[Aviso] Ciclo de vida no capturado ()", IF(ISNA(MATCH(O232, Criterios!$D$123:$D$124, 0)), "Ciclo de vida no válido", ""))))</f>
        <v/>
      </c>
      <c r="AC232" s="56" t="n"/>
      <c r="AD232" s="51" t="n"/>
      <c r="AE232" s="156" t="n"/>
      <c r="AF232" s="51" t="n"/>
      <c r="AG232" s="156" t="inlineStr">
        <is>
          <t>Nuevo – Carga Hoja2 01/10/2026</t>
        </is>
      </c>
      <c r="AH232" s="156" t="inlineStr">
        <is>
          <t>Alta 01/10/2026 desde Hoja2 (fila 22);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32" s="156" t="n"/>
      <c r="AJ232" s="156" t="n"/>
      <c r="AK232" s="155" t="inlineStr">
        <is>
          <t>Hoja2: fila 22 | Odoo: producto 15650 / plantilla 20003</t>
        </is>
      </c>
      <c r="AL232" s="58" t="n"/>
      <c r="AM232" s="58" t="n"/>
      <c r="AN232" s="155" t="inlineStr">
        <is>
          <t>Odoo Universal Unique Brands</t>
        </is>
      </c>
      <c r="AO232" s="59" t="n"/>
      <c r="AP232" s="59" t="n"/>
      <c r="AQ232" s="59" t="n">
        <v>26</v>
      </c>
      <c r="AR232" s="155" t="inlineStr">
        <is>
          <t>Odoo Universal Unique Brands › Bodega 25 › Bodega 25/General: 26</t>
        </is>
      </c>
    </row>
    <row r="233">
      <c r="A233" s="50" t="inlineStr">
        <is>
          <t>717019745067</t>
        </is>
      </c>
      <c r="B233" s="51" t="inlineStr">
        <is>
          <t>27084</t>
        </is>
      </c>
      <c r="C233" s="156" t="inlineStr">
        <is>
          <t>Montana West</t>
        </is>
      </c>
      <c r="D233" s="156" t="inlineStr">
        <is>
          <t>MW1318-8365BK</t>
        </is>
      </c>
      <c r="E233" s="156" t="inlineStr">
        <is>
          <t>MW1318-8365BK</t>
        </is>
      </c>
      <c r="F233" s="156" t="inlineStr">
        <is>
          <t>Talla única</t>
        </is>
      </c>
      <c r="G233" s="156" t="inlineStr">
        <is>
          <t>One Size</t>
        </is>
      </c>
      <c r="H233" s="156" t="inlineStr">
        <is>
          <t>Montana West</t>
        </is>
      </c>
      <c r="I233" s="156" t="inlineStr">
        <is>
          <t>Bolsa Montana West Negro</t>
        </is>
      </c>
      <c r="J233" s="156" t="inlineStr">
        <is>
          <t>Accesorios</t>
        </is>
      </c>
      <c r="K233" s="156" t="inlineStr">
        <is>
          <t>Bolsos</t>
        </is>
      </c>
      <c r="L233" s="156" t="inlineStr">
        <is>
          <t>Mujer</t>
        </is>
      </c>
      <c r="M233" s="156" t="inlineStr">
        <is>
          <t>Montana West</t>
        </is>
      </c>
      <c r="N233" s="156" t="n"/>
      <c r="O233" s="156" t="inlineStr">
        <is>
          <t>Core</t>
        </is>
      </c>
      <c r="P233" s="156" t="inlineStr">
        <is>
          <t>Negro</t>
        </is>
      </c>
      <c r="Q233" s="156" t="n"/>
      <c r="R233" s="156" t="n"/>
      <c r="S233" s="156" t="n"/>
      <c r="T233" s="156" t="inlineStr">
        <is>
          <t>Bolsa Montana West. Color: Negro. Talla única. Mujer. Referencia: MW1318-8365BK.</t>
        </is>
      </c>
      <c r="U233" s="156" t="n"/>
      <c r="V233" s="156" t="inlineStr">
        <is>
          <t>PZS</t>
        </is>
      </c>
      <c r="W233" s="51" t="inlineStr">
        <is>
          <t>53121601</t>
        </is>
      </c>
      <c r="X233" s="156" t="n"/>
      <c r="Y233" s="54" t="n">
        <v>305.9</v>
      </c>
      <c r="Z233" s="54" t="n">
        <v>499</v>
      </c>
      <c r="AA233" s="55">
        <f>IF(AND(A233="", B233="", E233=""), "", IF(AB233="", "Válido", IF((LEN(AB233)-LEN(SUBSTITUTE(AB233,"; ","")))/2+1&gt;(LEN(AB233)-LEN(SUBSTITUTE(AB233,"[Aviso]","")))/7, "Con Incidencias", "Válido")))</f>
        <v/>
      </c>
      <c r="AB233" s="56">
        <f>IF(AND(A233="", B233="", E233=""), "", TEXTJOIN("; ", TRUE, IF(OR(TRIM(A233&amp;"")="", ISNUMBER(SEARCH("FALTA", A233))), "UPC faltante/inválido", ""), IF(AND(A233&lt;&gt;"", IFERROR(_xlfn.XMATCH(A233,$A$2:$A$1063,0,1)&lt;&gt;_xlfn.XMATCH(A233,$A$2:$A$1063,0,-1),FALSE)), "Código de barras duplicado", ""), IF(AND(E233&lt;&gt;"", COUNTIF($E$2:$E$1063, E233)&gt;1), "SKU duplicado", ""), IF(OR(J233="", J233=""), "[Aviso] División no capturada ()", IF(ISNA(MATCH(J233, Criterios!$A$123:$A$126, 0)), "División no válida", "")), IF(OR(K233="", K233=""), "[Aviso] Categoría no capturada ()", IF(ISNA(MATCH(K233, Criterios!$A$81:$A$120, 0)), "Categoría no válida", IF(AND(J233&lt;&gt;"", J233&lt;&gt;"", J233&lt;&gt;VLOOKUP(K233, Criterios!$A$81:$B$120, 2, FALSE)), "División no coincide con Categoría", ""))), IF(OR(L233="", L233=""), "[Aviso] Género no capturado ()", IF(ISNA(MATCH(L233, Criterios!$B$123:$B$127, 0)), "Género no válido", "")), IF(OR(N233="", N233=""), "[Aviso] Temporada no capturada ()", IF(ISNA(MATCH(N233, Criterios!$C$123:$C$128, 0)), "Temporada no válida", "")), IF(OR(O233="", O233=""), "[Aviso] Ciclo de vida no capturado ()", IF(ISNA(MATCH(O233, Criterios!$D$123:$D$124, 0)), "Ciclo de vida no válido", ""))))</f>
        <v/>
      </c>
      <c r="AC233" s="56" t="n"/>
      <c r="AD233" s="51" t="n"/>
      <c r="AE233" s="156" t="n"/>
      <c r="AF233" s="51" t="n"/>
      <c r="AG233" s="156" t="inlineStr">
        <is>
          <t>Nuevo – Carga Hoja2 01/10/2026</t>
        </is>
      </c>
      <c r="AH233" s="156" t="inlineStr">
        <is>
          <t>Alta 01/10/2026 desde Hoja2 (fila 23) | 01/10/2026: Odoo Universal Unique Brands trae Género «Unisex» — se conservó el valor de Productos | Homologación G1522 06/10/2026: Validador Shopify: WB: precio con IVA no termina en 9</t>
        </is>
      </c>
      <c r="AI233" s="156" t="n"/>
      <c r="AJ233" s="156" t="n"/>
      <c r="AK233" s="155" t="inlineStr">
        <is>
          <t>Hoja2: fila 23 | Odoo: producto 27084 / plantilla 33784</t>
        </is>
      </c>
      <c r="AL233" s="58" t="n"/>
      <c r="AM233" s="58" t="n"/>
      <c r="AN233" s="155" t="inlineStr">
        <is>
          <t>Odoo Universal Unique Brands</t>
        </is>
      </c>
      <c r="AO233" s="59" t="n"/>
      <c r="AP233" s="59" t="n"/>
      <c r="AQ233" s="59" t="n">
        <v>3</v>
      </c>
      <c r="AR233" s="155" t="inlineStr">
        <is>
          <t>Odoo Universal Unique Brands › Bodega 25 › Bodega 25/General: 3</t>
        </is>
      </c>
    </row>
    <row r="234">
      <c r="A234" s="50" t="inlineStr">
        <is>
          <t>717019745036</t>
        </is>
      </c>
      <c r="B234" s="51" t="inlineStr">
        <is>
          <t>27085</t>
        </is>
      </c>
      <c r="C234" s="156" t="inlineStr">
        <is>
          <t>Montana West</t>
        </is>
      </c>
      <c r="D234" s="156" t="inlineStr">
        <is>
          <t>MW1318-8365BR</t>
        </is>
      </c>
      <c r="E234" s="156" t="inlineStr">
        <is>
          <t>MW1318-8365BR</t>
        </is>
      </c>
      <c r="F234" s="156" t="inlineStr">
        <is>
          <t>Talla única</t>
        </is>
      </c>
      <c r="G234" s="156" t="inlineStr">
        <is>
          <t>One Size</t>
        </is>
      </c>
      <c r="H234" s="156" t="inlineStr">
        <is>
          <t>Montana West</t>
        </is>
      </c>
      <c r="I234" s="156" t="inlineStr">
        <is>
          <t>Bolsa Montana West Café</t>
        </is>
      </c>
      <c r="J234" s="156" t="inlineStr">
        <is>
          <t>Accesorios</t>
        </is>
      </c>
      <c r="K234" s="156" t="inlineStr">
        <is>
          <t>Bolsos</t>
        </is>
      </c>
      <c r="L234" s="156" t="inlineStr">
        <is>
          <t>Mujer</t>
        </is>
      </c>
      <c r="M234" s="156" t="inlineStr">
        <is>
          <t>Montana West</t>
        </is>
      </c>
      <c r="N234" s="156" t="n"/>
      <c r="O234" s="156" t="inlineStr">
        <is>
          <t>Core</t>
        </is>
      </c>
      <c r="P234" s="156" t="inlineStr">
        <is>
          <t>Cafe</t>
        </is>
      </c>
      <c r="Q234" s="156" t="n"/>
      <c r="R234" s="156" t="n"/>
      <c r="S234" s="156" t="n"/>
      <c r="T234" s="156" t="inlineStr">
        <is>
          <t>Bolsa Montana West. Color: Café. Talla única. Mujer. Referencia: MW1318-8365BR.</t>
        </is>
      </c>
      <c r="U234" s="156" t="n"/>
      <c r="V234" s="156" t="inlineStr">
        <is>
          <t>PZS</t>
        </is>
      </c>
      <c r="W234" s="51" t="inlineStr">
        <is>
          <t>53121601</t>
        </is>
      </c>
      <c r="X234" s="156" t="n"/>
      <c r="Y234" s="54" t="n">
        <v>305.9</v>
      </c>
      <c r="Z234" s="54" t="n">
        <v>499</v>
      </c>
      <c r="AA234" s="55">
        <f>IF(AND(A234="", B234="", E234=""), "", IF(AB234="", "Válido", IF((LEN(AB234)-LEN(SUBSTITUTE(AB234,"; ","")))/2+1&gt;(LEN(AB234)-LEN(SUBSTITUTE(AB234,"[Aviso]","")))/7, "Con Incidencias", "Válido")))</f>
        <v/>
      </c>
      <c r="AB234" s="56">
        <f>IF(AND(A234="", B234="", E234=""), "", TEXTJOIN("; ", TRUE, IF(OR(TRIM(A234&amp;"")="", ISNUMBER(SEARCH("FALTA", A234))), "UPC faltante/inválido", ""), IF(AND(A234&lt;&gt;"", IFERROR(_xlfn.XMATCH(A234,$A$2:$A$1063,0,1)&lt;&gt;_xlfn.XMATCH(A234,$A$2:$A$1063,0,-1),FALSE)), "Código de barras duplicado", ""), IF(AND(E234&lt;&gt;"", COUNTIF($E$2:$E$1063, E234)&gt;1), "SKU duplicado", ""), IF(OR(J234="", J234=""), "[Aviso] División no capturada ()", IF(ISNA(MATCH(J234, Criterios!$A$123:$A$126, 0)), "División no válida", "")), IF(OR(K234="", K234=""), "[Aviso] Categoría no capturada ()", IF(ISNA(MATCH(K234, Criterios!$A$81:$A$120, 0)), "Categoría no válida", IF(AND(J234&lt;&gt;"", J234&lt;&gt;"", J234&lt;&gt;VLOOKUP(K234, Criterios!$A$81:$B$120, 2, FALSE)), "División no coincide con Categoría", ""))), IF(OR(L234="", L234=""), "[Aviso] Género no capturado ()", IF(ISNA(MATCH(L234, Criterios!$B$123:$B$127, 0)), "Género no válido", "")), IF(OR(N234="", N234=""), "[Aviso] Temporada no capturada ()", IF(ISNA(MATCH(N234, Criterios!$C$123:$C$128, 0)), "Temporada no válida", "")), IF(OR(O234="", O234=""), "[Aviso] Ciclo de vida no capturado ()", IF(ISNA(MATCH(O234, Criterios!$D$123:$D$124, 0)), "Ciclo de vida no válido", ""))))</f>
        <v/>
      </c>
      <c r="AC234" s="56" t="n"/>
      <c r="AD234" s="51" t="n"/>
      <c r="AE234" s="156" t="n"/>
      <c r="AF234" s="51" t="n"/>
      <c r="AG234" s="156" t="inlineStr">
        <is>
          <t>Nuevo – Carga Hoja2 01/10/2026</t>
        </is>
      </c>
      <c r="AH234" s="156" t="inlineStr">
        <is>
          <t>Alta 01/10/2026 desde Hoja2 (fila 24) | 01/10/2026: Odoo Universal Unique Brands trae Género «Unisex» — se conservó el valor de Productos | Homologación G1522 06/10/2026: Validador Shopify: WB: precio con IVA no termina en 9</t>
        </is>
      </c>
      <c r="AI234" s="156" t="n"/>
      <c r="AJ234" s="156" t="n"/>
      <c r="AK234" s="155" t="inlineStr">
        <is>
          <t>Hoja2: fila 24 | Odoo: producto 27085 / plantilla 33785</t>
        </is>
      </c>
      <c r="AL234" s="58" t="n"/>
      <c r="AM234" s="58" t="n"/>
      <c r="AN234" s="155" t="inlineStr">
        <is>
          <t>Odoo Universal Unique Brands</t>
        </is>
      </c>
      <c r="AO234" s="59" t="n"/>
      <c r="AP234" s="59" t="n"/>
      <c r="AQ234" s="59" t="n">
        <v>3</v>
      </c>
      <c r="AR234" s="155" t="inlineStr">
        <is>
          <t>Odoo Universal Unique Brands › Bodega 25 › Bodega 25/General: 3</t>
        </is>
      </c>
    </row>
    <row r="235">
      <c r="A235" s="50" t="n"/>
      <c r="B235" s="51" t="inlineStr">
        <is>
          <t>27086</t>
        </is>
      </c>
      <c r="C235" s="156" t="inlineStr">
        <is>
          <t>Montana West</t>
        </is>
      </c>
      <c r="D235" s="156" t="n"/>
      <c r="E235" s="156" t="inlineStr">
        <is>
          <t>MW1318-8365LP</t>
        </is>
      </c>
      <c r="F235" s="156" t="inlineStr">
        <is>
          <t>Talla única</t>
        </is>
      </c>
      <c r="G235" s="156" t="inlineStr">
        <is>
          <t>One Size</t>
        </is>
      </c>
      <c r="H235" s="156" t="inlineStr">
        <is>
          <t>Montana West</t>
        </is>
      </c>
      <c r="I235" s="156" t="inlineStr">
        <is>
          <t>MW BAG</t>
        </is>
      </c>
      <c r="J235" s="156" t="inlineStr">
        <is>
          <t>Accesorios</t>
        </is>
      </c>
      <c r="K235" s="156" t="inlineStr">
        <is>
          <t>Bolsos</t>
        </is>
      </c>
      <c r="L235" s="156" t="inlineStr">
        <is>
          <t>Unisex</t>
        </is>
      </c>
      <c r="M235" s="156" t="n"/>
      <c r="N235" s="156" t="n"/>
      <c r="O235" s="156" t="n"/>
      <c r="P235" s="156" t="n"/>
      <c r="Q235" s="156" t="n"/>
      <c r="R235" s="156" t="n"/>
      <c r="S235" s="156" t="n"/>
      <c r="T235" s="156" t="n"/>
      <c r="U235" s="156" t="n"/>
      <c r="V235" s="156" t="inlineStr">
        <is>
          <t>PZS</t>
        </is>
      </c>
      <c r="W235" s="51" t="inlineStr">
        <is>
          <t>53121601</t>
        </is>
      </c>
      <c r="X235" s="156" t="n"/>
      <c r="Y235" s="54" t="n">
        <v>305.9</v>
      </c>
      <c r="Z235" s="54" t="n">
        <v>499</v>
      </c>
      <c r="AA235" s="55">
        <f>IF(AND(A235="", B235="", E235=""), "", IF(AB235="", "Válido", IF((LEN(AB235)-LEN(SUBSTITUTE(AB235,"; ","")))/2+1&gt;(LEN(AB235)-LEN(SUBSTITUTE(AB235,"[Aviso]","")))/7, "Con Incidencias", "Válido")))</f>
        <v/>
      </c>
      <c r="AB235" s="56">
        <f>IF(AND(A235="", B235="", E235=""), "", TEXTJOIN("; ", TRUE, IF(OR(TRIM(A235&amp;"")="", ISNUMBER(SEARCH("FALTA", A235))), "UPC faltante/inválido", ""), IF(AND(A235&lt;&gt;"", IFERROR(_xlfn.XMATCH(A235,$A$2:$A$1063,0,1)&lt;&gt;_xlfn.XMATCH(A235,$A$2:$A$1063,0,-1),FALSE)), "Código de barras duplicado", ""), IF(AND(E235&lt;&gt;"", COUNTIF($E$2:$E$1063, E235)&gt;1), "SKU duplicado", ""), IF(OR(J235="", J235=""), "[Aviso] División no capturada ()", IF(ISNA(MATCH(J235, Criterios!$A$123:$A$126, 0)), "División no válida", "")), IF(OR(K235="", K235=""), "[Aviso] Categoría no capturada ()", IF(ISNA(MATCH(K235, Criterios!$A$81:$A$120, 0)), "Categoría no válida", IF(AND(J235&lt;&gt;"", J235&lt;&gt;"", J235&lt;&gt;VLOOKUP(K235, Criterios!$A$81:$B$120, 2, FALSE)), "División no coincide con Categoría", ""))), IF(OR(L235="", L235=""), "[Aviso] Género no capturado ()", IF(ISNA(MATCH(L235, Criterios!$B$123:$B$127, 0)), "Género no válido", "")), IF(OR(N235="", N235=""), "[Aviso] Temporada no capturada ()", IF(ISNA(MATCH(N235, Criterios!$C$123:$C$128, 0)), "Temporada no válida", "")), IF(OR(O235="", O235=""), "[Aviso] Ciclo de vida no capturado ()", IF(ISNA(MATCH(O235, Criterios!$D$123:$D$124, 0)), "Ciclo de vida no válido", ""))))</f>
        <v/>
      </c>
      <c r="AC235" s="56" t="n"/>
      <c r="AD235" s="51" t="n"/>
      <c r="AE235" s="156" t="n"/>
      <c r="AF235" s="51" t="n"/>
      <c r="AG235" s="156" t="inlineStr">
        <is>
          <t>Nuevo – Carga Hoja2 01/10/2026</t>
        </is>
      </c>
      <c r="AH235" s="156" t="inlineStr">
        <is>
          <t>Alta 01/10/2026 desde Hoja2 (fila 25)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235" s="156" t="n"/>
      <c r="AJ235" s="156" t="n"/>
      <c r="AK235" s="155" t="inlineStr">
        <is>
          <t>Hoja2: fila 25 | Odoo: producto 27086 / plantilla 33786</t>
        </is>
      </c>
      <c r="AL235" s="58" t="n"/>
      <c r="AM235" s="58" t="n"/>
      <c r="AN235" s="155" t="inlineStr">
        <is>
          <t>Odoo Universal Unique Brands</t>
        </is>
      </c>
      <c r="AO235" s="59" t="n"/>
      <c r="AP235" s="59" t="n"/>
      <c r="AQ235" s="59" t="n">
        <v>1</v>
      </c>
      <c r="AR235" s="155" t="inlineStr">
        <is>
          <t>Odoo Universal Unique Brands › Bodega 25 › Bodega 25/General: 1</t>
        </is>
      </c>
    </row>
    <row r="236">
      <c r="A236" s="50" t="inlineStr">
        <is>
          <t>717019744886</t>
        </is>
      </c>
      <c r="B236" s="51" t="inlineStr">
        <is>
          <t>27087</t>
        </is>
      </c>
      <c r="C236" s="156" t="inlineStr">
        <is>
          <t>Montana West</t>
        </is>
      </c>
      <c r="D236" s="156" t="inlineStr">
        <is>
          <t>MW1318G-8318BK</t>
        </is>
      </c>
      <c r="E236" s="156" t="inlineStr">
        <is>
          <t>MW1318G-8318BK</t>
        </is>
      </c>
      <c r="F236" s="156" t="inlineStr">
        <is>
          <t>Talla única</t>
        </is>
      </c>
      <c r="G236" s="156" t="inlineStr">
        <is>
          <t>One Size</t>
        </is>
      </c>
      <c r="H236" s="156" t="inlineStr">
        <is>
          <t>Montana West</t>
        </is>
      </c>
      <c r="I236" s="156" t="inlineStr">
        <is>
          <t>Bolsa Montana West Negro</t>
        </is>
      </c>
      <c r="J236" s="156" t="inlineStr">
        <is>
          <t>Accesorios</t>
        </is>
      </c>
      <c r="K236" s="156" t="inlineStr">
        <is>
          <t>Bolsos</t>
        </is>
      </c>
      <c r="L236" s="156" t="inlineStr">
        <is>
          <t>Mujer</t>
        </is>
      </c>
      <c r="M236" s="156" t="inlineStr">
        <is>
          <t>Montana West</t>
        </is>
      </c>
      <c r="N236" s="156" t="n"/>
      <c r="O236" s="156" t="inlineStr">
        <is>
          <t>Core</t>
        </is>
      </c>
      <c r="P236" s="156" t="inlineStr">
        <is>
          <t>Negro</t>
        </is>
      </c>
      <c r="Q236" s="156" t="n"/>
      <c r="R236" s="156" t="n"/>
      <c r="S236" s="156" t="n"/>
      <c r="T236" s="156" t="inlineStr">
        <is>
          <t>Bolsa Montana West. Color: Negro. Talla única. Mujer. Referencia: MW1318G-8318BK.</t>
        </is>
      </c>
      <c r="U236" s="156" t="n"/>
      <c r="V236" s="156" t="inlineStr">
        <is>
          <t>PZS</t>
        </is>
      </c>
      <c r="W236" s="51" t="inlineStr">
        <is>
          <t>53121601</t>
        </is>
      </c>
      <c r="X236" s="156" t="n"/>
      <c r="Y236" s="54" t="n">
        <v>466.9</v>
      </c>
      <c r="Z236" s="54" t="n">
        <v>749</v>
      </c>
      <c r="AA236" s="55">
        <f>IF(AND(A236="", B236="", E236=""), "", IF(AB236="", "Válido", IF((LEN(AB236)-LEN(SUBSTITUTE(AB236,"; ","")))/2+1&gt;(LEN(AB236)-LEN(SUBSTITUTE(AB236,"[Aviso]","")))/7, "Con Incidencias", "Válido")))</f>
        <v/>
      </c>
      <c r="AB236" s="56">
        <f>IF(AND(A236="", B236="", E236=""), "", TEXTJOIN("; ", TRUE, IF(OR(TRIM(A236&amp;"")="", ISNUMBER(SEARCH("FALTA", A236))), "UPC faltante/inválido", ""), IF(AND(A236&lt;&gt;"", IFERROR(_xlfn.XMATCH(A236,$A$2:$A$1063,0,1)&lt;&gt;_xlfn.XMATCH(A236,$A$2:$A$1063,0,-1),FALSE)), "Código de barras duplicado", ""), IF(AND(E236&lt;&gt;"", COUNTIF($E$2:$E$1063, E236)&gt;1), "SKU duplicado", ""), IF(OR(J236="", J236=""), "[Aviso] División no capturada ()", IF(ISNA(MATCH(J236, Criterios!$A$123:$A$126, 0)), "División no válida", "")), IF(OR(K236="", K236=""), "[Aviso] Categoría no capturada ()", IF(ISNA(MATCH(K236, Criterios!$A$81:$A$120, 0)), "Categoría no válida", IF(AND(J236&lt;&gt;"", J236&lt;&gt;"", J236&lt;&gt;VLOOKUP(K236, Criterios!$A$81:$B$120, 2, FALSE)), "División no coincide con Categoría", ""))), IF(OR(L236="", L236=""), "[Aviso] Género no capturado ()", IF(ISNA(MATCH(L236, Criterios!$B$123:$B$127, 0)), "Género no válido", "")), IF(OR(N236="", N236=""), "[Aviso] Temporada no capturada ()", IF(ISNA(MATCH(N236, Criterios!$C$123:$C$128, 0)), "Temporada no válida", "")), IF(OR(O236="", O236=""), "[Aviso] Ciclo de vida no capturado ()", IF(ISNA(MATCH(O236, Criterios!$D$123:$D$124, 0)), "Ciclo de vida no válido", ""))))</f>
        <v/>
      </c>
      <c r="AC236" s="56" t="n"/>
      <c r="AD236" s="51" t="n"/>
      <c r="AE236" s="156" t="n"/>
      <c r="AF236" s="51" t="n"/>
      <c r="AG236" s="156" t="inlineStr">
        <is>
          <t>Nuevo – Carga Hoja2 01/10/2026</t>
        </is>
      </c>
      <c r="AH236" s="156" t="inlineStr">
        <is>
          <t>Alta 01/10/2026 desde Hoja2 (fila 26) | 01/10/2026: Odoo Universal Unique Brands trae Género «Unisex» — se conservó el valor de Productos | Homologación G1522 06/10/2026: Validador Shopify: WB: precio con IVA no termina en 9</t>
        </is>
      </c>
      <c r="AI236" s="156" t="n"/>
      <c r="AJ236" s="156" t="n"/>
      <c r="AK236" s="155" t="inlineStr">
        <is>
          <t>Hoja2: fila 26 | Odoo: producto 27087 / plantilla 33787</t>
        </is>
      </c>
      <c r="AL236" s="58" t="n"/>
      <c r="AM236" s="58" t="n"/>
      <c r="AN236" s="155" t="inlineStr">
        <is>
          <t>Odoo Universal Unique Brands</t>
        </is>
      </c>
      <c r="AO236" s="59" t="n"/>
      <c r="AP236" s="59" t="n"/>
      <c r="AQ236" s="59" t="n">
        <v>0</v>
      </c>
      <c r="AR236" s="155" t="n"/>
    </row>
    <row r="237">
      <c r="A237" s="50" t="inlineStr">
        <is>
          <t>717325217371</t>
        </is>
      </c>
      <c r="B237" s="51" t="inlineStr">
        <is>
          <t>27088</t>
        </is>
      </c>
      <c r="C237" s="156" t="inlineStr">
        <is>
          <t>Montana West</t>
        </is>
      </c>
      <c r="D237" s="156" t="inlineStr">
        <is>
          <t>MW1323-8011BK</t>
        </is>
      </c>
      <c r="E237" s="156" t="inlineStr">
        <is>
          <t>MW1323-8011BK</t>
        </is>
      </c>
      <c r="F237" s="156" t="inlineStr">
        <is>
          <t>Talla única</t>
        </is>
      </c>
      <c r="G237" s="156" t="inlineStr">
        <is>
          <t>One Size</t>
        </is>
      </c>
      <c r="H237" s="156" t="inlineStr">
        <is>
          <t>Montana West</t>
        </is>
      </c>
      <c r="I237" s="156" t="inlineStr">
        <is>
          <t>Bolsa Montana West Negro</t>
        </is>
      </c>
      <c r="J237" s="156" t="inlineStr">
        <is>
          <t>Accesorios</t>
        </is>
      </c>
      <c r="K237" s="156" t="inlineStr">
        <is>
          <t>Bolsos</t>
        </is>
      </c>
      <c r="L237" s="156" t="inlineStr">
        <is>
          <t>Mujer</t>
        </is>
      </c>
      <c r="M237" s="156" t="inlineStr">
        <is>
          <t>Montana West</t>
        </is>
      </c>
      <c r="N237" s="156" t="n"/>
      <c r="O237" s="156" t="inlineStr">
        <is>
          <t>Core</t>
        </is>
      </c>
      <c r="P237" s="156" t="inlineStr">
        <is>
          <t>Negro</t>
        </is>
      </c>
      <c r="Q237" s="156" t="n"/>
      <c r="R237" s="156" t="n"/>
      <c r="S237" s="156" t="n"/>
      <c r="T237" s="156" t="inlineStr">
        <is>
          <t>Bolsa Montana West. Color: Negro. Talla única. Mujer. Referencia: MW1323-8011BK.</t>
        </is>
      </c>
      <c r="U237" s="156" t="n"/>
      <c r="V237" s="156" t="inlineStr">
        <is>
          <t>PZS</t>
        </is>
      </c>
      <c r="W237" s="51" t="inlineStr">
        <is>
          <t>53121601</t>
        </is>
      </c>
      <c r="X237" s="156" t="inlineStr">
        <is>
          <t>https://cdn.shopify.com/s/files/1/0005/9015/1741/files/Montana_West_Floral_Tooled_Tote_Bag_Black4.webp?v=1753338738</t>
        </is>
      </c>
      <c r="Y237" s="54" t="n">
        <v>402.5</v>
      </c>
      <c r="Z237" s="54" t="n">
        <v>649</v>
      </c>
      <c r="AA237" s="55">
        <f>IF(AND(A237="", B237="", E237=""), "", IF(AB237="", "Válido", IF((LEN(AB237)-LEN(SUBSTITUTE(AB237,"; ","")))/2+1&gt;(LEN(AB237)-LEN(SUBSTITUTE(AB237,"[Aviso]","")))/7, "Con Incidencias", "Válido")))</f>
        <v/>
      </c>
      <c r="AB237" s="56">
        <f>IF(AND(A237="", B237="", E237=""), "", TEXTJOIN("; ", TRUE, IF(OR(TRIM(A237&amp;"")="", ISNUMBER(SEARCH("FALTA", A237))), "UPC faltante/inválido", ""), IF(AND(A237&lt;&gt;"", IFERROR(_xlfn.XMATCH(A237,$A$2:$A$1063,0,1)&lt;&gt;_xlfn.XMATCH(A237,$A$2:$A$1063,0,-1),FALSE)), "Código de barras duplicado", ""), IF(AND(E237&lt;&gt;"", COUNTIF($E$2:$E$1063, E237)&gt;1), "SKU duplicado", ""), IF(OR(J237="", J237=""), "[Aviso] División no capturada ()", IF(ISNA(MATCH(J237, Criterios!$A$123:$A$126, 0)), "División no válida", "")), IF(OR(K237="", K237=""), "[Aviso] Categoría no capturada ()", IF(ISNA(MATCH(K237, Criterios!$A$81:$A$120, 0)), "Categoría no válida", IF(AND(J237&lt;&gt;"", J237&lt;&gt;"", J237&lt;&gt;VLOOKUP(K237, Criterios!$A$81:$B$120, 2, FALSE)), "División no coincide con Categoría", ""))), IF(OR(L237="", L237=""), "[Aviso] Género no capturado ()", IF(ISNA(MATCH(L237, Criterios!$B$123:$B$127, 0)), "Género no válido", "")), IF(OR(N237="", N237=""), "[Aviso] Temporada no capturada ()", IF(ISNA(MATCH(N237, Criterios!$C$123:$C$128, 0)), "Temporada no válida", "")), IF(OR(O237="", O237=""), "[Aviso] Ciclo de vida no capturado ()", IF(ISNA(MATCH(O237, Criterios!$D$123:$D$124, 0)), "Ciclo de vida no válido", ""))))</f>
        <v/>
      </c>
      <c r="AC237" s="56" t="n"/>
      <c r="AD237" s="51" t="n"/>
      <c r="AE237" s="156" t="n"/>
      <c r="AF237" s="51" t="n"/>
      <c r="AG237" s="156" t="inlineStr">
        <is>
          <t>Nuevo – Carga Hoja2 01/10/2026</t>
        </is>
      </c>
      <c r="AH237" s="156" t="inlineStr">
        <is>
          <t>Alta 01/10/2026 desde Hoja2 (fila 27) | 01/10/2026: Odoo Universal Unique Brands trae Género «Unisex» — se conservó el valor de Productos | Homologación G1522 06/10/2026: Enlace de imagen: «» → «https://cdn.shopify.com/s/files/1/0005/9015/1741/files/Montana_West_Floral_Tooled_Tote_Bag_Black4.webp?v=1753338738» (Completado por investigación en línea) · Validador Shopify: WB: precio con IVA no termina en 9</t>
        </is>
      </c>
      <c r="AI237" s="156" t="n"/>
      <c r="AJ237" s="156" t="n"/>
      <c r="AK237" s="155" t="inlineStr">
        <is>
          <t>Hoja2: fila 27 | Odoo: producto 27088 / plantilla 33788 | Investigación en línea 06/10/2026: https://montanawestworld.com/products/montana-west-floral-tooled-tote-bag-collection</t>
        </is>
      </c>
      <c r="AL237" s="58" t="n"/>
      <c r="AM237" s="58" t="n"/>
      <c r="AN237" s="155" t="inlineStr">
        <is>
          <t>Odoo Universal Unique Brands</t>
        </is>
      </c>
      <c r="AO237" s="59" t="n"/>
      <c r="AP237" s="59" t="n"/>
      <c r="AQ237" s="59" t="n">
        <v>4</v>
      </c>
      <c r="AR237" s="155" t="inlineStr">
        <is>
          <t>Odoo Universal Unique Brands › Bodega 25 › Bodega 25/General: 4</t>
        </is>
      </c>
    </row>
    <row r="238">
      <c r="A238" s="50" t="inlineStr">
        <is>
          <t>717325217395</t>
        </is>
      </c>
      <c r="B238" s="51" t="inlineStr">
        <is>
          <t>27089</t>
        </is>
      </c>
      <c r="C238" s="156" t="inlineStr">
        <is>
          <t>Montana West</t>
        </is>
      </c>
      <c r="D238" s="156" t="inlineStr">
        <is>
          <t>MW1323-8011GN</t>
        </is>
      </c>
      <c r="E238" s="156" t="inlineStr">
        <is>
          <t>MW1323-8011GN</t>
        </is>
      </c>
      <c r="F238" s="156" t="inlineStr">
        <is>
          <t>Talla única</t>
        </is>
      </c>
      <c r="G238" s="156" t="inlineStr">
        <is>
          <t>One Size</t>
        </is>
      </c>
      <c r="H238" s="156" t="inlineStr">
        <is>
          <t>Montana West</t>
        </is>
      </c>
      <c r="I238" s="156" t="inlineStr">
        <is>
          <t>Bolsa Montana West Verde</t>
        </is>
      </c>
      <c r="J238" s="156" t="inlineStr">
        <is>
          <t>Accesorios</t>
        </is>
      </c>
      <c r="K238" s="156" t="inlineStr">
        <is>
          <t>Bolsos</t>
        </is>
      </c>
      <c r="L238" s="156" t="inlineStr">
        <is>
          <t>Mujer</t>
        </is>
      </c>
      <c r="M238" s="156" t="inlineStr">
        <is>
          <t>Montana West</t>
        </is>
      </c>
      <c r="N238" s="156" t="n"/>
      <c r="O238" s="156" t="inlineStr">
        <is>
          <t>Core</t>
        </is>
      </c>
      <c r="P238" s="156" t="inlineStr">
        <is>
          <t>Verde</t>
        </is>
      </c>
      <c r="Q238" s="156" t="n"/>
      <c r="R238" s="156" t="n"/>
      <c r="S238" s="156" t="n"/>
      <c r="T238" s="156" t="inlineStr">
        <is>
          <t>Bolsa Montana West. Color: Verde. Talla única. Mujer. Referencia: MW1323-8011GN.</t>
        </is>
      </c>
      <c r="U238" s="156" t="n"/>
      <c r="V238" s="156" t="inlineStr">
        <is>
          <t>PZS</t>
        </is>
      </c>
      <c r="W238" s="51" t="inlineStr">
        <is>
          <t>53121601</t>
        </is>
      </c>
      <c r="X238" s="156" t="n"/>
      <c r="Y238" s="54" t="n">
        <v>402.5</v>
      </c>
      <c r="Z238" s="54" t="n">
        <v>649</v>
      </c>
      <c r="AA238" s="55">
        <f>IF(AND(A238="", B238="", E238=""), "", IF(AB238="", "Válido", IF((LEN(AB238)-LEN(SUBSTITUTE(AB238,"; ","")))/2+1&gt;(LEN(AB238)-LEN(SUBSTITUTE(AB238,"[Aviso]","")))/7, "Con Incidencias", "Válido")))</f>
        <v/>
      </c>
      <c r="AB238" s="56">
        <f>IF(AND(A238="", B238="", E238=""), "", TEXTJOIN("; ", TRUE, IF(OR(TRIM(A238&amp;"")="", ISNUMBER(SEARCH("FALTA", A238))), "UPC faltante/inválido", ""), IF(AND(A238&lt;&gt;"", IFERROR(_xlfn.XMATCH(A238,$A$2:$A$1063,0,1)&lt;&gt;_xlfn.XMATCH(A238,$A$2:$A$1063,0,-1),FALSE)), "Código de barras duplicado", ""), IF(AND(E238&lt;&gt;"", COUNTIF($E$2:$E$1063, E238)&gt;1), "SKU duplicado", ""), IF(OR(J238="", J238=""), "[Aviso] División no capturada ()", IF(ISNA(MATCH(J238, Criterios!$A$123:$A$126, 0)), "División no válida", "")), IF(OR(K238="", K238=""), "[Aviso] Categoría no capturada ()", IF(ISNA(MATCH(K238, Criterios!$A$81:$A$120, 0)), "Categoría no válida", IF(AND(J238&lt;&gt;"", J238&lt;&gt;"", J238&lt;&gt;VLOOKUP(K238, Criterios!$A$81:$B$120, 2, FALSE)), "División no coincide con Categoría", ""))), IF(OR(L238="", L238=""), "[Aviso] Género no capturado ()", IF(ISNA(MATCH(L238, Criterios!$B$123:$B$127, 0)), "Género no válido", "")), IF(OR(N238="", N238=""), "[Aviso] Temporada no capturada ()", IF(ISNA(MATCH(N238, Criterios!$C$123:$C$128, 0)), "Temporada no válida", "")), IF(OR(O238="", O238=""), "[Aviso] Ciclo de vida no capturado ()", IF(ISNA(MATCH(O238, Criterios!$D$123:$D$124, 0)), "Ciclo de vida no válido", ""))))</f>
        <v/>
      </c>
      <c r="AC238" s="56" t="n"/>
      <c r="AD238" s="51" t="n"/>
      <c r="AE238" s="156" t="n"/>
      <c r="AF238" s="51" t="n"/>
      <c r="AG238" s="156" t="inlineStr">
        <is>
          <t>Nuevo – Carga Hoja2 01/10/2026</t>
        </is>
      </c>
      <c r="AH238" s="156" t="inlineStr">
        <is>
          <t>Alta 01/10/2026 desde Hoja2 (fila 28) | 01/10/2026: Odoo Universal Unique Brands trae Género «Unisex» — se conservó el valor de Productos | Homologación G1522 06/10/2026: Validador Shopify: WB: precio con IVA no termina en 9</t>
        </is>
      </c>
      <c r="AI238" s="156" t="n"/>
      <c r="AJ238" s="156" t="n"/>
      <c r="AK238" s="155" t="inlineStr">
        <is>
          <t>Hoja2: fila 28 | Odoo: producto 27089 / plantilla 33789</t>
        </is>
      </c>
      <c r="AL238" s="58" t="n"/>
      <c r="AM238" s="58" t="n"/>
      <c r="AN238" s="155" t="inlineStr">
        <is>
          <t>Odoo Universal Unique Brands</t>
        </is>
      </c>
      <c r="AO238" s="59" t="n"/>
      <c r="AP238" s="59" t="n"/>
      <c r="AQ238" s="59" t="n">
        <v>3</v>
      </c>
      <c r="AR238" s="155" t="inlineStr">
        <is>
          <t>Odoo Universal Unique Brands › Bodega 25 › Bodega 25/General: 3</t>
        </is>
      </c>
    </row>
    <row r="239">
      <c r="A239" s="50" t="inlineStr">
        <is>
          <t>717325217456</t>
        </is>
      </c>
      <c r="B239" s="51" t="inlineStr">
        <is>
          <t>27091</t>
        </is>
      </c>
      <c r="C239" s="156" t="inlineStr">
        <is>
          <t>Montana West</t>
        </is>
      </c>
      <c r="D239" s="156" t="inlineStr">
        <is>
          <t>MW1323-W049BK</t>
        </is>
      </c>
      <c r="E239" s="156" t="inlineStr">
        <is>
          <t>MW1323-W049BK</t>
        </is>
      </c>
      <c r="F239" s="156" t="inlineStr">
        <is>
          <t>Talla única</t>
        </is>
      </c>
      <c r="G239" s="156" t="inlineStr">
        <is>
          <t>One Size</t>
        </is>
      </c>
      <c r="H239" s="156" t="inlineStr">
        <is>
          <t>Montana West</t>
        </is>
      </c>
      <c r="I239" s="156" t="inlineStr">
        <is>
          <t>Cartera Montana West Negro</t>
        </is>
      </c>
      <c r="J239" s="156" t="inlineStr">
        <is>
          <t>Accesorios</t>
        </is>
      </c>
      <c r="K239" s="156" t="inlineStr">
        <is>
          <t>Carteras</t>
        </is>
      </c>
      <c r="L239" s="156" t="inlineStr">
        <is>
          <t>Mujer</t>
        </is>
      </c>
      <c r="M239" s="156" t="inlineStr">
        <is>
          <t>Montana West</t>
        </is>
      </c>
      <c r="N239" s="156" t="n"/>
      <c r="O239" s="156" t="inlineStr">
        <is>
          <t>Core</t>
        </is>
      </c>
      <c r="P239" s="156" t="inlineStr">
        <is>
          <t>Negro</t>
        </is>
      </c>
      <c r="Q239" s="156" t="n"/>
      <c r="R239" s="156" t="n"/>
      <c r="S239" s="156" t="n"/>
      <c r="T239" s="156" t="inlineStr">
        <is>
          <t>Cartera Montana West. Color: Negro. Talla única. Mujer. Referencia: MW1323-W049BK.</t>
        </is>
      </c>
      <c r="U239" s="156" t="n"/>
      <c r="V239" s="156" t="inlineStr">
        <is>
          <t>PZS</t>
        </is>
      </c>
      <c r="W239" s="51" t="inlineStr">
        <is>
          <t>53121700</t>
        </is>
      </c>
      <c r="X239" s="156" t="n"/>
      <c r="Y239" s="54" t="n">
        <v>152.95</v>
      </c>
      <c r="Z239" s="54" t="n">
        <v>249</v>
      </c>
      <c r="AA239" s="55">
        <f>IF(AND(A239="", B239="", E239=""), "", IF(AB239="", "Válido", IF((LEN(AB239)-LEN(SUBSTITUTE(AB239,"; ","")))/2+1&gt;(LEN(AB239)-LEN(SUBSTITUTE(AB239,"[Aviso]","")))/7, "Con Incidencias", "Válido")))</f>
        <v/>
      </c>
      <c r="AB239" s="56">
        <f>IF(AND(A239="", B239="", E239=""), "", TEXTJOIN("; ", TRUE, IF(OR(TRIM(A239&amp;"")="", ISNUMBER(SEARCH("FALTA", A239))), "UPC faltante/inválido", ""), IF(AND(A239&lt;&gt;"", IFERROR(_xlfn.XMATCH(A239,$A$2:$A$1063,0,1)&lt;&gt;_xlfn.XMATCH(A239,$A$2:$A$1063,0,-1),FALSE)), "Código de barras duplicado", ""), IF(AND(E239&lt;&gt;"", COUNTIF($E$2:$E$1063, E239)&gt;1), "SKU duplicado", ""), IF(OR(J239="", J239=""), "[Aviso] División no capturada ()", IF(ISNA(MATCH(J239, Criterios!$A$123:$A$126, 0)), "División no válida", "")), IF(OR(K239="", K239=""), "[Aviso] Categoría no capturada ()", IF(ISNA(MATCH(K239, Criterios!$A$81:$A$120, 0)), "Categoría no válida", IF(AND(J239&lt;&gt;"", J239&lt;&gt;"", J239&lt;&gt;VLOOKUP(K239, Criterios!$A$81:$B$120, 2, FALSE)), "División no coincide con Categoría", ""))), IF(OR(L239="", L239=""), "[Aviso] Género no capturado ()", IF(ISNA(MATCH(L239, Criterios!$B$123:$B$127, 0)), "Género no válido", "")), IF(OR(N239="", N239=""), "[Aviso] Temporada no capturada ()", IF(ISNA(MATCH(N239, Criterios!$C$123:$C$128, 0)), "Temporada no válida", "")), IF(OR(O239="", O239=""), "[Aviso] Ciclo de vida no capturado ()", IF(ISNA(MATCH(O239, Criterios!$D$123:$D$124, 0)), "Ciclo de vida no válido", ""))))</f>
        <v/>
      </c>
      <c r="AC239" s="56" t="n"/>
      <c r="AD239" s="51" t="n"/>
      <c r="AE239" s="156" t="n"/>
      <c r="AF239" s="51" t="n"/>
      <c r="AG239" s="156" t="inlineStr">
        <is>
          <t>Nuevo – Carga Hoja2 01/10/2026</t>
        </is>
      </c>
      <c r="AH239" s="156" t="inlineStr">
        <is>
          <t>Alta 01/10/2026 desde Hoja2 (fila 29) | 01/10/2026: Odoo Universal Unique Brands trae Género «Unisex» — se conservó el valor de Productos | Homologación G1522 06/10/2026: Validador Shopify: WB: precio con IVA no termina en 9</t>
        </is>
      </c>
      <c r="AI239" s="156" t="n"/>
      <c r="AJ239" s="156" t="n"/>
      <c r="AK239" s="155" t="inlineStr">
        <is>
          <t>Hoja2: fila 29 | Odoo: producto 27091 / plantilla 33791</t>
        </is>
      </c>
      <c r="AL239" s="58" t="n"/>
      <c r="AM239" s="58" t="n"/>
      <c r="AN239" s="155" t="inlineStr">
        <is>
          <t>Odoo Universal Unique Brands</t>
        </is>
      </c>
      <c r="AO239" s="59" t="n"/>
      <c r="AP239" s="59" t="n"/>
      <c r="AQ239" s="59" t="n">
        <v>2</v>
      </c>
      <c r="AR239" s="155" t="inlineStr">
        <is>
          <t>Odoo Universal Unique Brands › Bodega 25 › Bodega 25/General: 2</t>
        </is>
      </c>
    </row>
    <row r="240">
      <c r="A240" s="50" t="inlineStr">
        <is>
          <t>717325217432</t>
        </is>
      </c>
      <c r="B240" s="51" t="inlineStr">
        <is>
          <t>27092</t>
        </is>
      </c>
      <c r="C240" s="156" t="inlineStr">
        <is>
          <t>Montana West</t>
        </is>
      </c>
      <c r="D240" s="156" t="inlineStr">
        <is>
          <t>MW1323-W049BR</t>
        </is>
      </c>
      <c r="E240" s="156" t="inlineStr">
        <is>
          <t>MW1323-W049BR</t>
        </is>
      </c>
      <c r="F240" s="156" t="inlineStr">
        <is>
          <t>Talla única</t>
        </is>
      </c>
      <c r="G240" s="156" t="inlineStr">
        <is>
          <t>One Size</t>
        </is>
      </c>
      <c r="H240" s="156" t="inlineStr">
        <is>
          <t>Montana West</t>
        </is>
      </c>
      <c r="I240" s="156" t="inlineStr">
        <is>
          <t>Cartera Montana West Café</t>
        </is>
      </c>
      <c r="J240" s="156" t="inlineStr">
        <is>
          <t>Accesorios</t>
        </is>
      </c>
      <c r="K240" s="156" t="inlineStr">
        <is>
          <t>Carteras</t>
        </is>
      </c>
      <c r="L240" s="156" t="inlineStr">
        <is>
          <t>Mujer</t>
        </is>
      </c>
      <c r="M240" s="156" t="inlineStr">
        <is>
          <t>Montana West</t>
        </is>
      </c>
      <c r="N240" s="156" t="n"/>
      <c r="O240" s="156" t="inlineStr">
        <is>
          <t>Core</t>
        </is>
      </c>
      <c r="P240" s="156" t="inlineStr">
        <is>
          <t>Cafe</t>
        </is>
      </c>
      <c r="Q240" s="156" t="n"/>
      <c r="R240" s="156" t="n"/>
      <c r="S240" s="156" t="n"/>
      <c r="T240" s="156" t="inlineStr">
        <is>
          <t>Cartera Montana West. Color: Café. Talla única. Mujer. Referencia: MW1323-W049BR.</t>
        </is>
      </c>
      <c r="U240" s="156" t="n"/>
      <c r="V240" s="156" t="inlineStr">
        <is>
          <t>PZS</t>
        </is>
      </c>
      <c r="W240" s="51" t="inlineStr">
        <is>
          <t>53121700</t>
        </is>
      </c>
      <c r="X240" s="156" t="n"/>
      <c r="Y240" s="54" t="n">
        <v>152.95</v>
      </c>
      <c r="Z240" s="54" t="n">
        <v>249</v>
      </c>
      <c r="AA240" s="55">
        <f>IF(AND(A240="", B240="", E240=""), "", IF(AB240="", "Válido", IF((LEN(AB240)-LEN(SUBSTITUTE(AB240,"; ","")))/2+1&gt;(LEN(AB240)-LEN(SUBSTITUTE(AB240,"[Aviso]","")))/7, "Con Incidencias", "Válido")))</f>
        <v/>
      </c>
      <c r="AB240" s="56">
        <f>IF(AND(A240="", B240="", E240=""), "", TEXTJOIN("; ", TRUE, IF(OR(TRIM(A240&amp;"")="", ISNUMBER(SEARCH("FALTA", A240))), "UPC faltante/inválido", ""), IF(AND(A240&lt;&gt;"", IFERROR(_xlfn.XMATCH(A240,$A$2:$A$1063,0,1)&lt;&gt;_xlfn.XMATCH(A240,$A$2:$A$1063,0,-1),FALSE)), "Código de barras duplicado", ""), IF(AND(E240&lt;&gt;"", COUNTIF($E$2:$E$1063, E240)&gt;1), "SKU duplicado", ""), IF(OR(J240="", J240=""), "[Aviso] División no capturada ()", IF(ISNA(MATCH(J240, Criterios!$A$123:$A$126, 0)), "División no válida", "")), IF(OR(K240="", K240=""), "[Aviso] Categoría no capturada ()", IF(ISNA(MATCH(K240, Criterios!$A$81:$A$120, 0)), "Categoría no válida", IF(AND(J240&lt;&gt;"", J240&lt;&gt;"", J240&lt;&gt;VLOOKUP(K240, Criterios!$A$81:$B$120, 2, FALSE)), "División no coincide con Categoría", ""))), IF(OR(L240="", L240=""), "[Aviso] Género no capturado ()", IF(ISNA(MATCH(L240, Criterios!$B$123:$B$127, 0)), "Género no válido", "")), IF(OR(N240="", N240=""), "[Aviso] Temporada no capturada ()", IF(ISNA(MATCH(N240, Criterios!$C$123:$C$128, 0)), "Temporada no válida", "")), IF(OR(O240="", O240=""), "[Aviso] Ciclo de vida no capturado ()", IF(ISNA(MATCH(O240, Criterios!$D$123:$D$124, 0)), "Ciclo de vida no válido", ""))))</f>
        <v/>
      </c>
      <c r="AC240" s="56" t="n"/>
      <c r="AD240" s="51" t="n"/>
      <c r="AE240" s="156" t="n"/>
      <c r="AF240" s="51" t="n"/>
      <c r="AG240" s="156" t="inlineStr">
        <is>
          <t>Nuevo – Carga Hoja2 01/10/2026</t>
        </is>
      </c>
      <c r="AH240" s="156" t="inlineStr">
        <is>
          <t>Alta 01/10/2026 desde Hoja2 (fila 30) | 01/10/2026: Odoo Universal Unique Brands trae Género «Unisex» — se conservó el valor de Productos | Homologación G1522 06/10/2026: Validador Shopify: WB: precio con IVA no termina en 9</t>
        </is>
      </c>
      <c r="AI240" s="156" t="n"/>
      <c r="AJ240" s="156" t="n"/>
      <c r="AK240" s="155" t="inlineStr">
        <is>
          <t>Hoja2: fila 30 | Odoo: producto 27092 / plantilla 33792</t>
        </is>
      </c>
      <c r="AL240" s="58" t="n"/>
      <c r="AM240" s="58" t="n"/>
      <c r="AN240" s="155" t="inlineStr">
        <is>
          <t>Odoo Universal Unique Brands</t>
        </is>
      </c>
      <c r="AO240" s="59" t="n"/>
      <c r="AP240" s="59" t="n"/>
      <c r="AQ240" s="59" t="n">
        <v>2</v>
      </c>
      <c r="AR240" s="155" t="inlineStr">
        <is>
          <t>Odoo Universal Unique Brands › Bodega 25 › Bodega 25/General: 2</t>
        </is>
      </c>
    </row>
    <row r="241">
      <c r="A241" s="50" t="inlineStr">
        <is>
          <t>717325217463</t>
        </is>
      </c>
      <c r="B241" s="51" t="inlineStr">
        <is>
          <t>27093</t>
        </is>
      </c>
      <c r="C241" s="156" t="inlineStr">
        <is>
          <t>Montana West</t>
        </is>
      </c>
      <c r="D241" s="156" t="inlineStr">
        <is>
          <t>MW1323-W049GN</t>
        </is>
      </c>
      <c r="E241" s="156" t="inlineStr">
        <is>
          <t>MW1323-W049GN</t>
        </is>
      </c>
      <c r="F241" s="156" t="inlineStr">
        <is>
          <t>Talla única</t>
        </is>
      </c>
      <c r="G241" s="156" t="inlineStr">
        <is>
          <t>One Size</t>
        </is>
      </c>
      <c r="H241" s="156" t="inlineStr">
        <is>
          <t>Montana West</t>
        </is>
      </c>
      <c r="I241" s="156" t="inlineStr">
        <is>
          <t>Cartera Montana West Verde</t>
        </is>
      </c>
      <c r="J241" s="156" t="inlineStr">
        <is>
          <t>Accesorios</t>
        </is>
      </c>
      <c r="K241" s="156" t="inlineStr">
        <is>
          <t>Carteras</t>
        </is>
      </c>
      <c r="L241" s="156" t="inlineStr">
        <is>
          <t>Mujer</t>
        </is>
      </c>
      <c r="M241" s="156" t="inlineStr">
        <is>
          <t>Montana West</t>
        </is>
      </c>
      <c r="N241" s="156" t="n"/>
      <c r="O241" s="156" t="inlineStr">
        <is>
          <t>Core</t>
        </is>
      </c>
      <c r="P241" s="156" t="inlineStr">
        <is>
          <t>Verde</t>
        </is>
      </c>
      <c r="Q241" s="156" t="n"/>
      <c r="R241" s="156" t="n"/>
      <c r="S241" s="156" t="n"/>
      <c r="T241" s="156" t="inlineStr">
        <is>
          <t>Cartera Montana West. Color: Verde. Talla única. Mujer. Referencia: MW1323-W049GN.</t>
        </is>
      </c>
      <c r="U241" s="156" t="n"/>
      <c r="V241" s="156" t="inlineStr">
        <is>
          <t>PZS</t>
        </is>
      </c>
      <c r="W241" s="51" t="inlineStr">
        <is>
          <t>53121700</t>
        </is>
      </c>
      <c r="X241" s="156" t="n"/>
      <c r="Y241" s="54" t="n">
        <v>152.95</v>
      </c>
      <c r="Z241" s="54" t="n">
        <v>249</v>
      </c>
      <c r="AA241" s="55">
        <f>IF(AND(A241="", B241="", E241=""), "", IF(AB241="", "Válido", IF((LEN(AB241)-LEN(SUBSTITUTE(AB241,"; ","")))/2+1&gt;(LEN(AB241)-LEN(SUBSTITUTE(AB241,"[Aviso]","")))/7, "Con Incidencias", "Válido")))</f>
        <v/>
      </c>
      <c r="AB241" s="56">
        <f>IF(AND(A241="", B241="", E241=""), "", TEXTJOIN("; ", TRUE, IF(OR(TRIM(A241&amp;"")="", ISNUMBER(SEARCH("FALTA", A241))), "UPC faltante/inválido", ""), IF(AND(A241&lt;&gt;"", IFERROR(_xlfn.XMATCH(A241,$A$2:$A$1063,0,1)&lt;&gt;_xlfn.XMATCH(A241,$A$2:$A$1063,0,-1),FALSE)), "Código de barras duplicado", ""), IF(AND(E241&lt;&gt;"", COUNTIF($E$2:$E$1063, E241)&gt;1), "SKU duplicado", ""), IF(OR(J241="", J241=""), "[Aviso] División no capturada ()", IF(ISNA(MATCH(J241, Criterios!$A$123:$A$126, 0)), "División no válida", "")), IF(OR(K241="", K241=""), "[Aviso] Categoría no capturada ()", IF(ISNA(MATCH(K241, Criterios!$A$81:$A$120, 0)), "Categoría no válida", IF(AND(J241&lt;&gt;"", J241&lt;&gt;"", J241&lt;&gt;VLOOKUP(K241, Criterios!$A$81:$B$120, 2, FALSE)), "División no coincide con Categoría", ""))), IF(OR(L241="", L241=""), "[Aviso] Género no capturado ()", IF(ISNA(MATCH(L241, Criterios!$B$123:$B$127, 0)), "Género no válido", "")), IF(OR(N241="", N241=""), "[Aviso] Temporada no capturada ()", IF(ISNA(MATCH(N241, Criterios!$C$123:$C$128, 0)), "Temporada no válida", "")), IF(OR(O241="", O241=""), "[Aviso] Ciclo de vida no capturado ()", IF(ISNA(MATCH(O241, Criterios!$D$123:$D$124, 0)), "Ciclo de vida no válido", ""))))</f>
        <v/>
      </c>
      <c r="AC241" s="56" t="n"/>
      <c r="AD241" s="51" t="n"/>
      <c r="AE241" s="156" t="n"/>
      <c r="AF241" s="51" t="n"/>
      <c r="AG241" s="156" t="inlineStr">
        <is>
          <t>Nuevo – Carga Hoja2 01/10/2026</t>
        </is>
      </c>
      <c r="AH241" s="156" t="inlineStr">
        <is>
          <t>Alta 01/10/2026 desde Hoja2 (fila 31) | 01/10/2026: Odoo Universal Unique Brands trae Género «Unisex» — se conservó el valor de Productos | Homologación G1522 06/10/2026: Validador Shopify: WB: precio con IVA no termina en 9</t>
        </is>
      </c>
      <c r="AI241" s="156" t="n"/>
      <c r="AJ241" s="156" t="n"/>
      <c r="AK241" s="155" t="inlineStr">
        <is>
          <t>Hoja2: fila 31 | Odoo: producto 27093 / plantilla 33793</t>
        </is>
      </c>
      <c r="AL241" s="58" t="n"/>
      <c r="AM241" s="58" t="n"/>
      <c r="AN241" s="155" t="inlineStr">
        <is>
          <t>Odoo Universal Unique Brands</t>
        </is>
      </c>
      <c r="AO241" s="59" t="n"/>
      <c r="AP241" s="59" t="n"/>
      <c r="AQ241" s="59" t="n">
        <v>4</v>
      </c>
      <c r="AR241" s="155" t="inlineStr">
        <is>
          <t>Odoo Universal Unique Brands › Bodega 25 › Bodega 25/General: 4</t>
        </is>
      </c>
    </row>
    <row r="242">
      <c r="A242" s="50" t="inlineStr">
        <is>
          <t>717325217302</t>
        </is>
      </c>
      <c r="B242" s="51" t="inlineStr">
        <is>
          <t>27090</t>
        </is>
      </c>
      <c r="C242" s="156" t="inlineStr">
        <is>
          <t>Montana West</t>
        </is>
      </c>
      <c r="D242" s="156" t="inlineStr">
        <is>
          <t>MW1323G-918BK</t>
        </is>
      </c>
      <c r="E242" s="156" t="inlineStr">
        <is>
          <t>MW1323G-918BK</t>
        </is>
      </c>
      <c r="F242" s="156" t="inlineStr">
        <is>
          <t>Talla única</t>
        </is>
      </c>
      <c r="G242" s="156" t="inlineStr">
        <is>
          <t>One Size</t>
        </is>
      </c>
      <c r="H242" s="156" t="inlineStr">
        <is>
          <t>Montana West</t>
        </is>
      </c>
      <c r="I242" s="156" t="inlineStr">
        <is>
          <t>Bolsa Montana West Negro</t>
        </is>
      </c>
      <c r="J242" s="156" t="inlineStr">
        <is>
          <t>Accesorios</t>
        </is>
      </c>
      <c r="K242" s="156" t="inlineStr">
        <is>
          <t>Bolsos</t>
        </is>
      </c>
      <c r="L242" s="156" t="inlineStr">
        <is>
          <t>Mujer</t>
        </is>
      </c>
      <c r="M242" s="156" t="inlineStr">
        <is>
          <t>Montana West</t>
        </is>
      </c>
      <c r="N242" s="156" t="n"/>
      <c r="O242" s="156" t="inlineStr">
        <is>
          <t>Core</t>
        </is>
      </c>
      <c r="P242" s="156" t="inlineStr">
        <is>
          <t>Negro</t>
        </is>
      </c>
      <c r="Q242" s="156" t="n"/>
      <c r="R242" s="156" t="n"/>
      <c r="S242" s="156" t="n"/>
      <c r="T242" s="156" t="inlineStr">
        <is>
          <t>Bolsa Montana West. Color: Negro. Talla única. Mujer. Referencia: MW1323G-918BK.</t>
        </is>
      </c>
      <c r="U242" s="156" t="n"/>
      <c r="V242" s="156" t="inlineStr">
        <is>
          <t>PZS</t>
        </is>
      </c>
      <c r="W242" s="51" t="inlineStr">
        <is>
          <t>53121601</t>
        </is>
      </c>
      <c r="X242" s="156" t="n"/>
      <c r="Y242" s="54" t="n">
        <v>402.5</v>
      </c>
      <c r="Z242" s="54" t="n">
        <v>649</v>
      </c>
      <c r="AA242" s="55">
        <f>IF(AND(A242="", B242="", E242=""), "", IF(AB242="", "Válido", IF((LEN(AB242)-LEN(SUBSTITUTE(AB242,"; ","")))/2+1&gt;(LEN(AB242)-LEN(SUBSTITUTE(AB242,"[Aviso]","")))/7, "Con Incidencias", "Válido")))</f>
        <v/>
      </c>
      <c r="AB242" s="56">
        <f>IF(AND(A242="", B242="", E242=""), "", TEXTJOIN("; ", TRUE, IF(OR(TRIM(A242&amp;"")="", ISNUMBER(SEARCH("FALTA", A242))), "UPC faltante/inválido", ""), IF(AND(A242&lt;&gt;"", IFERROR(_xlfn.XMATCH(A242,$A$2:$A$1063,0,1)&lt;&gt;_xlfn.XMATCH(A242,$A$2:$A$1063,0,-1),FALSE)), "Código de barras duplicado", ""), IF(AND(E242&lt;&gt;"", COUNTIF($E$2:$E$1063, E242)&gt;1), "SKU duplicado", ""), IF(OR(J242="", J242=""), "[Aviso] División no capturada ()", IF(ISNA(MATCH(J242, Criterios!$A$123:$A$126, 0)), "División no válida", "")), IF(OR(K242="", K242=""), "[Aviso] Categoría no capturada ()", IF(ISNA(MATCH(K242, Criterios!$A$81:$A$120, 0)), "Categoría no válida", IF(AND(J242&lt;&gt;"", J242&lt;&gt;"", J242&lt;&gt;VLOOKUP(K242, Criterios!$A$81:$B$120, 2, FALSE)), "División no coincide con Categoría", ""))), IF(OR(L242="", L242=""), "[Aviso] Género no capturado ()", IF(ISNA(MATCH(L242, Criterios!$B$123:$B$127, 0)), "Género no válido", "")), IF(OR(N242="", N242=""), "[Aviso] Temporada no capturada ()", IF(ISNA(MATCH(N242, Criterios!$C$123:$C$128, 0)), "Temporada no válida", "")), IF(OR(O242="", O242=""), "[Aviso] Ciclo de vida no capturado ()", IF(ISNA(MATCH(O242, Criterios!$D$123:$D$124, 0)), "Ciclo de vida no válido", ""))))</f>
        <v/>
      </c>
      <c r="AC242" s="56" t="n"/>
      <c r="AD242" s="51" t="n"/>
      <c r="AE242" s="156" t="n"/>
      <c r="AF242" s="51" t="n"/>
      <c r="AG242" s="156" t="inlineStr">
        <is>
          <t>Nuevo – Carga Hoja2 01/10/2026</t>
        </is>
      </c>
      <c r="AH242" s="156" t="inlineStr">
        <is>
          <t>Alta 01/10/2026 desde Hoja2 (fila 32) | 01/10/2026: Odoo Universal Unique Brands trae Género «Unisex» — se conservó el valor de Productos | Homologación G1522 06/10/2026: Validador Shopify: WB: precio con IVA no termina en 9</t>
        </is>
      </c>
      <c r="AI242" s="156" t="n"/>
      <c r="AJ242" s="156" t="n"/>
      <c r="AK242" s="155" t="inlineStr">
        <is>
          <t>Hoja2: fila 32 | Odoo: producto 27090 / plantilla 33790</t>
        </is>
      </c>
      <c r="AL242" s="58" t="n"/>
      <c r="AM242" s="58" t="n"/>
      <c r="AN242" s="155" t="inlineStr">
        <is>
          <t>Odoo Universal Unique Brands</t>
        </is>
      </c>
      <c r="AO242" s="59" t="n"/>
      <c r="AP242" s="59" t="n"/>
      <c r="AQ242" s="59" t="n">
        <v>1</v>
      </c>
      <c r="AR242" s="155" t="inlineStr">
        <is>
          <t>Odoo Universal Unique Brands › Bodega 25 › Bodega 25/General: 1</t>
        </is>
      </c>
    </row>
    <row r="243">
      <c r="A243" s="50" t="inlineStr">
        <is>
          <t>717325223815</t>
        </is>
      </c>
      <c r="B243" s="51" t="inlineStr">
        <is>
          <t>27094</t>
        </is>
      </c>
      <c r="C243" s="156" t="inlineStr">
        <is>
          <t>Montana West</t>
        </is>
      </c>
      <c r="D243" s="156" t="inlineStr">
        <is>
          <t>MW1325-8360BR</t>
        </is>
      </c>
      <c r="E243" s="156" t="inlineStr">
        <is>
          <t>MW1325-8360BR</t>
        </is>
      </c>
      <c r="F243" s="156" t="inlineStr">
        <is>
          <t>Talla única</t>
        </is>
      </c>
      <c r="G243" s="156" t="inlineStr">
        <is>
          <t>One Size</t>
        </is>
      </c>
      <c r="H243" s="156" t="inlineStr">
        <is>
          <t>Montana West</t>
        </is>
      </c>
      <c r="I243" s="156" t="inlineStr">
        <is>
          <t>Bolsa Montana West Café</t>
        </is>
      </c>
      <c r="J243" s="156" t="inlineStr">
        <is>
          <t>Accesorios</t>
        </is>
      </c>
      <c r="K243" s="156" t="inlineStr">
        <is>
          <t>Bolsos</t>
        </is>
      </c>
      <c r="L243" s="156" t="inlineStr">
        <is>
          <t>Mujer</t>
        </is>
      </c>
      <c r="M243" s="156" t="inlineStr">
        <is>
          <t>Montana West</t>
        </is>
      </c>
      <c r="N243" s="156" t="n"/>
      <c r="O243" s="156" t="inlineStr">
        <is>
          <t>Core</t>
        </is>
      </c>
      <c r="P243" s="156" t="inlineStr">
        <is>
          <t>Cafe</t>
        </is>
      </c>
      <c r="Q243" s="156" t="n"/>
      <c r="R243" s="156" t="n"/>
      <c r="S243" s="156" t="n"/>
      <c r="T243" s="156" t="inlineStr">
        <is>
          <t>Bolsa Montana West. Color: Café. Talla única. Mujer. Referencia: MW1325-8360BR.</t>
        </is>
      </c>
      <c r="U243" s="156" t="n"/>
      <c r="V243" s="156" t="inlineStr">
        <is>
          <t>PZS</t>
        </is>
      </c>
      <c r="W243" s="51" t="inlineStr">
        <is>
          <t>53121601</t>
        </is>
      </c>
      <c r="X243" s="156" t="n"/>
      <c r="Y243" s="54" t="n">
        <v>273.7</v>
      </c>
      <c r="Z243" s="54" t="n">
        <v>449</v>
      </c>
      <c r="AA243" s="55">
        <f>IF(AND(A243="", B243="", E243=""), "", IF(AB243="", "Válido", IF((LEN(AB243)-LEN(SUBSTITUTE(AB243,"; ","")))/2+1&gt;(LEN(AB243)-LEN(SUBSTITUTE(AB243,"[Aviso]","")))/7, "Con Incidencias", "Válido")))</f>
        <v/>
      </c>
      <c r="AB243" s="56">
        <f>IF(AND(A243="", B243="", E243=""), "", TEXTJOIN("; ", TRUE, IF(OR(TRIM(A243&amp;"")="", ISNUMBER(SEARCH("FALTA", A243))), "UPC faltante/inválido", ""), IF(AND(A243&lt;&gt;"", IFERROR(_xlfn.XMATCH(A243,$A$2:$A$1063,0,1)&lt;&gt;_xlfn.XMATCH(A243,$A$2:$A$1063,0,-1),FALSE)), "Código de barras duplicado", ""), IF(AND(E243&lt;&gt;"", COUNTIF($E$2:$E$1063, E243)&gt;1), "SKU duplicado", ""), IF(OR(J243="", J243=""), "[Aviso] División no capturada ()", IF(ISNA(MATCH(J243, Criterios!$A$123:$A$126, 0)), "División no válida", "")), IF(OR(K243="", K243=""), "[Aviso] Categoría no capturada ()", IF(ISNA(MATCH(K243, Criterios!$A$81:$A$120, 0)), "Categoría no válida", IF(AND(J243&lt;&gt;"", J243&lt;&gt;"", J243&lt;&gt;VLOOKUP(K243, Criterios!$A$81:$B$120, 2, FALSE)), "División no coincide con Categoría", ""))), IF(OR(L243="", L243=""), "[Aviso] Género no capturado ()", IF(ISNA(MATCH(L243, Criterios!$B$123:$B$127, 0)), "Género no válido", "")), IF(OR(N243="", N243=""), "[Aviso] Temporada no capturada ()", IF(ISNA(MATCH(N243, Criterios!$C$123:$C$128, 0)), "Temporada no válida", "")), IF(OR(O243="", O243=""), "[Aviso] Ciclo de vida no capturado ()", IF(ISNA(MATCH(O243, Criterios!$D$123:$D$124, 0)), "Ciclo de vida no válido", ""))))</f>
        <v/>
      </c>
      <c r="AC243" s="56" t="n"/>
      <c r="AD243" s="51" t="n"/>
      <c r="AE243" s="156" t="n"/>
      <c r="AF243" s="51" t="n"/>
      <c r="AG243" s="156" t="inlineStr">
        <is>
          <t>Nuevo – Carga Hoja2 01/10/2026</t>
        </is>
      </c>
      <c r="AH243" s="156" t="inlineStr">
        <is>
          <t>Alta 01/10/2026 desde Hoja2 (fila 33) | 01/10/2026: Odoo Universal Unique Brands trae Género «Unisex» — se conservó el valor de Productos | Homologación G1522 06/10/2026: Validador Shopify: WB: precio con IVA no termina en 9</t>
        </is>
      </c>
      <c r="AI243" s="156" t="n"/>
      <c r="AJ243" s="156" t="n"/>
      <c r="AK243" s="155" t="inlineStr">
        <is>
          <t>Hoja2: fila 33 | Odoo: producto 27094 / plantilla 33794</t>
        </is>
      </c>
      <c r="AL243" s="58" t="n"/>
      <c r="AM243" s="58" t="n"/>
      <c r="AN243" s="155" t="inlineStr">
        <is>
          <t>Odoo Universal Unique Brands</t>
        </is>
      </c>
      <c r="AO243" s="59" t="n"/>
      <c r="AP243" s="59" t="n"/>
      <c r="AQ243" s="59" t="n">
        <v>2</v>
      </c>
      <c r="AR243" s="155" t="inlineStr">
        <is>
          <t>Odoo Universal Unique Brands › Bodega 25 › Bodega 25/General: 2</t>
        </is>
      </c>
    </row>
    <row r="244">
      <c r="A244" s="50" t="inlineStr">
        <is>
          <t>717325223846</t>
        </is>
      </c>
      <c r="B244" s="51" t="inlineStr">
        <is>
          <t>27095</t>
        </is>
      </c>
      <c r="C244" s="156" t="inlineStr">
        <is>
          <t>Montana West</t>
        </is>
      </c>
      <c r="D244" s="156" t="inlineStr">
        <is>
          <t>MW1325-8360PK</t>
        </is>
      </c>
      <c r="E244" s="156" t="inlineStr">
        <is>
          <t>MW1325-8360PK</t>
        </is>
      </c>
      <c r="F244" s="156" t="inlineStr">
        <is>
          <t>Talla única</t>
        </is>
      </c>
      <c r="G244" s="156" t="inlineStr">
        <is>
          <t>One Size</t>
        </is>
      </c>
      <c r="H244" s="156" t="inlineStr">
        <is>
          <t>Montana West</t>
        </is>
      </c>
      <c r="I244" s="156" t="inlineStr">
        <is>
          <t>Bolsa Montana West Rosa</t>
        </is>
      </c>
      <c r="J244" s="156" t="inlineStr">
        <is>
          <t>Accesorios</t>
        </is>
      </c>
      <c r="K244" s="156" t="inlineStr">
        <is>
          <t>Bolsos</t>
        </is>
      </c>
      <c r="L244" s="156" t="inlineStr">
        <is>
          <t>Mujer</t>
        </is>
      </c>
      <c r="M244" s="156" t="inlineStr">
        <is>
          <t>Montana West</t>
        </is>
      </c>
      <c r="N244" s="156" t="n"/>
      <c r="O244" s="156" t="inlineStr">
        <is>
          <t>Core</t>
        </is>
      </c>
      <c r="P244" s="156" t="inlineStr">
        <is>
          <t>Rosa</t>
        </is>
      </c>
      <c r="Q244" s="156" t="n"/>
      <c r="R244" s="156" t="n"/>
      <c r="S244" s="156" t="n"/>
      <c r="T244" s="156" t="inlineStr">
        <is>
          <t>Bolsa Montana West. Color: Rosa. Talla única. Mujer. Referencia: MW1325-8360PK.</t>
        </is>
      </c>
      <c r="U244" s="156" t="n"/>
      <c r="V244" s="156" t="inlineStr">
        <is>
          <t>PZS</t>
        </is>
      </c>
      <c r="W244" s="51" t="inlineStr">
        <is>
          <t>53121601</t>
        </is>
      </c>
      <c r="X244" s="156" t="n"/>
      <c r="Y244" s="54" t="n">
        <v>273.7</v>
      </c>
      <c r="Z244" s="54" t="n">
        <v>449</v>
      </c>
      <c r="AA244" s="55">
        <f>IF(AND(A244="", B244="", E244=""), "", IF(AB244="", "Válido", IF((LEN(AB244)-LEN(SUBSTITUTE(AB244,"; ","")))/2+1&gt;(LEN(AB244)-LEN(SUBSTITUTE(AB244,"[Aviso]","")))/7, "Con Incidencias", "Válido")))</f>
        <v/>
      </c>
      <c r="AB244" s="56">
        <f>IF(AND(A244="", B244="", E244=""), "", TEXTJOIN("; ", TRUE, IF(OR(TRIM(A244&amp;"")="", ISNUMBER(SEARCH("FALTA", A244))), "UPC faltante/inválido", ""), IF(AND(A244&lt;&gt;"", IFERROR(_xlfn.XMATCH(A244,$A$2:$A$1063,0,1)&lt;&gt;_xlfn.XMATCH(A244,$A$2:$A$1063,0,-1),FALSE)), "Código de barras duplicado", ""), IF(AND(E244&lt;&gt;"", COUNTIF($E$2:$E$1063, E244)&gt;1), "SKU duplicado", ""), IF(OR(J244="", J244=""), "[Aviso] División no capturada ()", IF(ISNA(MATCH(J244, Criterios!$A$123:$A$126, 0)), "División no válida", "")), IF(OR(K244="", K244=""), "[Aviso] Categoría no capturada ()", IF(ISNA(MATCH(K244, Criterios!$A$81:$A$120, 0)), "Categoría no válida", IF(AND(J244&lt;&gt;"", J244&lt;&gt;"", J244&lt;&gt;VLOOKUP(K244, Criterios!$A$81:$B$120, 2, FALSE)), "División no coincide con Categoría", ""))), IF(OR(L244="", L244=""), "[Aviso] Género no capturado ()", IF(ISNA(MATCH(L244, Criterios!$B$123:$B$127, 0)), "Género no válido", "")), IF(OR(N244="", N244=""), "[Aviso] Temporada no capturada ()", IF(ISNA(MATCH(N244, Criterios!$C$123:$C$128, 0)), "Temporada no válida", "")), IF(OR(O244="", O244=""), "[Aviso] Ciclo de vida no capturado ()", IF(ISNA(MATCH(O244, Criterios!$D$123:$D$124, 0)), "Ciclo de vida no válido", ""))))</f>
        <v/>
      </c>
      <c r="AC244" s="56" t="n"/>
      <c r="AD244" s="51" t="n"/>
      <c r="AE244" s="156" t="n"/>
      <c r="AF244" s="51" t="n"/>
      <c r="AG244" s="156" t="inlineStr">
        <is>
          <t>Nuevo – Carga Hoja2 01/10/2026</t>
        </is>
      </c>
      <c r="AH244" s="156" t="inlineStr">
        <is>
          <t>Alta 01/10/2026 desde Hoja2 (fila 34) | 01/10/2026: Odoo Universal Unique Brands trae Género «Unisex» — se conservó el valor de Productos | Homologación G1522 06/10/2026: Validador Shopify: WB: precio con IVA no termina en 9</t>
        </is>
      </c>
      <c r="AI244" s="156" t="n"/>
      <c r="AJ244" s="156" t="n"/>
      <c r="AK244" s="155" t="inlineStr">
        <is>
          <t>Hoja2: fila 34 | Odoo: producto 27095 / plantilla 33795</t>
        </is>
      </c>
      <c r="AL244" s="58" t="n"/>
      <c r="AM244" s="58" t="n"/>
      <c r="AN244" s="155" t="inlineStr">
        <is>
          <t>Odoo Universal Unique Brands</t>
        </is>
      </c>
      <c r="AO244" s="59" t="n"/>
      <c r="AP244" s="59" t="n"/>
      <c r="AQ244" s="59" t="n">
        <v>4</v>
      </c>
      <c r="AR244" s="155" t="inlineStr">
        <is>
          <t>Odoo Universal Unique Brands › Bodega 25 › Bodega 25/General: 4</t>
        </is>
      </c>
    </row>
    <row r="245">
      <c r="A245" s="50" t="inlineStr">
        <is>
          <t>717325223822</t>
        </is>
      </c>
      <c r="B245" s="51" t="inlineStr">
        <is>
          <t>27096</t>
        </is>
      </c>
      <c r="C245" s="156" t="inlineStr">
        <is>
          <t>Montana West</t>
        </is>
      </c>
      <c r="D245" s="156" t="inlineStr">
        <is>
          <t>MW1325-8360TN</t>
        </is>
      </c>
      <c r="E245" s="156" t="inlineStr">
        <is>
          <t>MW1325-8360TN</t>
        </is>
      </c>
      <c r="F245" s="156" t="inlineStr">
        <is>
          <t>Talla única</t>
        </is>
      </c>
      <c r="G245" s="156" t="inlineStr">
        <is>
          <t>One Size</t>
        </is>
      </c>
      <c r="H245" s="156" t="inlineStr">
        <is>
          <t>Montana West</t>
        </is>
      </c>
      <c r="I245" s="156" t="inlineStr">
        <is>
          <t>Bolsa Montana West Camel</t>
        </is>
      </c>
      <c r="J245" s="156" t="inlineStr">
        <is>
          <t>Accesorios</t>
        </is>
      </c>
      <c r="K245" s="156" t="inlineStr">
        <is>
          <t>Bolsos</t>
        </is>
      </c>
      <c r="L245" s="156" t="inlineStr">
        <is>
          <t>Mujer</t>
        </is>
      </c>
      <c r="M245" s="156" t="inlineStr">
        <is>
          <t>Montana West</t>
        </is>
      </c>
      <c r="N245" s="156" t="n"/>
      <c r="O245" s="156" t="inlineStr">
        <is>
          <t>Core</t>
        </is>
      </c>
      <c r="P245" s="156" t="inlineStr">
        <is>
          <t>Beige</t>
        </is>
      </c>
      <c r="Q245" s="156" t="n"/>
      <c r="R245" s="156" t="n"/>
      <c r="S245" s="156" t="n"/>
      <c r="T245" s="156" t="inlineStr">
        <is>
          <t>Bolsa Montana West. Color: Camel. Talla única. Mujer. Referencia: MW1325-8360TN.</t>
        </is>
      </c>
      <c r="U245" s="156" t="n"/>
      <c r="V245" s="156" t="inlineStr">
        <is>
          <t>PZS</t>
        </is>
      </c>
      <c r="W245" s="51" t="inlineStr">
        <is>
          <t>53121601</t>
        </is>
      </c>
      <c r="X245" s="156" t="n"/>
      <c r="Y245" s="54" t="n">
        <v>273.7</v>
      </c>
      <c r="Z245" s="54" t="n">
        <v>449</v>
      </c>
      <c r="AA245" s="55">
        <f>IF(AND(A245="", B245="", E245=""), "", IF(AB245="", "Válido", IF((LEN(AB245)-LEN(SUBSTITUTE(AB245,"; ","")))/2+1&gt;(LEN(AB245)-LEN(SUBSTITUTE(AB245,"[Aviso]","")))/7, "Con Incidencias", "Válido")))</f>
        <v/>
      </c>
      <c r="AB245" s="56">
        <f>IF(AND(A245="", B245="", E245=""), "", TEXTJOIN("; ", TRUE, IF(OR(TRIM(A245&amp;"")="", ISNUMBER(SEARCH("FALTA", A245))), "UPC faltante/inválido", ""), IF(AND(A245&lt;&gt;"", IFERROR(_xlfn.XMATCH(A245,$A$2:$A$1063,0,1)&lt;&gt;_xlfn.XMATCH(A245,$A$2:$A$1063,0,-1),FALSE)), "Código de barras duplicado", ""), IF(AND(E245&lt;&gt;"", COUNTIF($E$2:$E$1063, E245)&gt;1), "SKU duplicado", ""), IF(OR(J245="", J245=""), "[Aviso] División no capturada ()", IF(ISNA(MATCH(J245, Criterios!$A$123:$A$126, 0)), "División no válida", "")), IF(OR(K245="", K245=""), "[Aviso] Categoría no capturada ()", IF(ISNA(MATCH(K245, Criterios!$A$81:$A$120, 0)), "Categoría no válida", IF(AND(J245&lt;&gt;"", J245&lt;&gt;"", J245&lt;&gt;VLOOKUP(K245, Criterios!$A$81:$B$120, 2, FALSE)), "División no coincide con Categoría", ""))), IF(OR(L245="", L245=""), "[Aviso] Género no capturado ()", IF(ISNA(MATCH(L245, Criterios!$B$123:$B$127, 0)), "Género no válido", "")), IF(OR(N245="", N245=""), "[Aviso] Temporada no capturada ()", IF(ISNA(MATCH(N245, Criterios!$C$123:$C$128, 0)), "Temporada no válida", "")), IF(OR(O245="", O245=""), "[Aviso] Ciclo de vida no capturado ()", IF(ISNA(MATCH(O245, Criterios!$D$123:$D$124, 0)), "Ciclo de vida no válido", ""))))</f>
        <v/>
      </c>
      <c r="AC245" s="56" t="n"/>
      <c r="AD245" s="51" t="n"/>
      <c r="AE245" s="156" t="n"/>
      <c r="AF245" s="51" t="n"/>
      <c r="AG245" s="156" t="inlineStr">
        <is>
          <t>Nuevo – Carga Hoja2 01/10/2026</t>
        </is>
      </c>
      <c r="AH245" s="156" t="inlineStr">
        <is>
          <t>Alta 01/10/2026 desde Hoja2 (fila 35) | 01/10/2026: Odoo Universal Unique Brands trae Género «Unisex» — se conservó el valor de Productos | Homologación G1522 06/10/2026: Validador Shopify: WB: precio con IVA no termina en 9</t>
        </is>
      </c>
      <c r="AI245" s="156" t="n"/>
      <c r="AJ245" s="156" t="n"/>
      <c r="AK245" s="155" t="inlineStr">
        <is>
          <t>Hoja2: fila 35 | Odoo: producto 27096 / plantilla 33796</t>
        </is>
      </c>
      <c r="AL245" s="58" t="n"/>
      <c r="AM245" s="58" t="n"/>
      <c r="AN245" s="155" t="inlineStr">
        <is>
          <t>Odoo Universal Unique Brands</t>
        </is>
      </c>
      <c r="AO245" s="59" t="n"/>
      <c r="AP245" s="59" t="n"/>
      <c r="AQ245" s="59" t="n">
        <v>4</v>
      </c>
      <c r="AR245" s="155" t="inlineStr">
        <is>
          <t>Odoo Universal Unique Brands › Bodega 25 › Bodega 25/General: 4</t>
        </is>
      </c>
    </row>
    <row r="246">
      <c r="A246" s="50" t="inlineStr">
        <is>
          <t>717325223853</t>
        </is>
      </c>
      <c r="B246" s="51" t="inlineStr">
        <is>
          <t>27100</t>
        </is>
      </c>
      <c r="C246" s="156" t="inlineStr">
        <is>
          <t>Montana West</t>
        </is>
      </c>
      <c r="D246" s="156" t="inlineStr">
        <is>
          <t>MW1325-W018BR</t>
        </is>
      </c>
      <c r="E246" s="156" t="inlineStr">
        <is>
          <t>MW1325-W018BR</t>
        </is>
      </c>
      <c r="F246" s="156" t="inlineStr">
        <is>
          <t>Talla única</t>
        </is>
      </c>
      <c r="G246" s="156" t="inlineStr">
        <is>
          <t>One Size</t>
        </is>
      </c>
      <c r="H246" s="156" t="inlineStr">
        <is>
          <t>Montana West</t>
        </is>
      </c>
      <c r="I246" s="156" t="inlineStr">
        <is>
          <t>Cartera Montana West Café</t>
        </is>
      </c>
      <c r="J246" s="156" t="inlineStr">
        <is>
          <t>Accesorios</t>
        </is>
      </c>
      <c r="K246" s="156" t="inlineStr">
        <is>
          <t>Carteras</t>
        </is>
      </c>
      <c r="L246" s="156" t="inlineStr">
        <is>
          <t>Mujer</t>
        </is>
      </c>
      <c r="M246" s="156" t="inlineStr">
        <is>
          <t>Montana West</t>
        </is>
      </c>
      <c r="N246" s="156" t="n"/>
      <c r="O246" s="156" t="inlineStr">
        <is>
          <t>Core</t>
        </is>
      </c>
      <c r="P246" s="156" t="inlineStr">
        <is>
          <t>Cafe</t>
        </is>
      </c>
      <c r="Q246" s="156" t="n"/>
      <c r="R246" s="156" t="n"/>
      <c r="S246" s="156" t="n"/>
      <c r="T246" s="156" t="inlineStr">
        <is>
          <t>Cartera Montana West. Color: Café. Talla única. Mujer. Referencia: MW1325-W018BR.</t>
        </is>
      </c>
      <c r="U246" s="156" t="n"/>
      <c r="V246" s="156" t="inlineStr">
        <is>
          <t>PZS</t>
        </is>
      </c>
      <c r="W246" s="51" t="inlineStr">
        <is>
          <t>53121700</t>
        </is>
      </c>
      <c r="X246" s="156" t="n"/>
      <c r="Y246" s="54" t="n">
        <v>205.275</v>
      </c>
      <c r="Z246" s="54" t="n">
        <v>349</v>
      </c>
      <c r="AA246" s="55">
        <f>IF(AND(A246="", B246="", E246=""), "", IF(AB246="", "Válido", IF((LEN(AB246)-LEN(SUBSTITUTE(AB246,"; ","")))/2+1&gt;(LEN(AB246)-LEN(SUBSTITUTE(AB246,"[Aviso]","")))/7, "Con Incidencias", "Válido")))</f>
        <v/>
      </c>
      <c r="AB246" s="56">
        <f>IF(AND(A246="", B246="", E246=""), "", TEXTJOIN("; ", TRUE, IF(OR(TRIM(A246&amp;"")="", ISNUMBER(SEARCH("FALTA", A246))), "UPC faltante/inválido", ""), IF(AND(A246&lt;&gt;"", IFERROR(_xlfn.XMATCH(A246,$A$2:$A$1063,0,1)&lt;&gt;_xlfn.XMATCH(A246,$A$2:$A$1063,0,-1),FALSE)), "Código de barras duplicado", ""), IF(AND(E246&lt;&gt;"", COUNTIF($E$2:$E$1063, E246)&gt;1), "SKU duplicado", ""), IF(OR(J246="", J246=""), "[Aviso] División no capturada ()", IF(ISNA(MATCH(J246, Criterios!$A$123:$A$126, 0)), "División no válida", "")), IF(OR(K246="", K246=""), "[Aviso] Categoría no capturada ()", IF(ISNA(MATCH(K246, Criterios!$A$81:$A$120, 0)), "Categoría no válida", IF(AND(J246&lt;&gt;"", J246&lt;&gt;"", J246&lt;&gt;VLOOKUP(K246, Criterios!$A$81:$B$120, 2, FALSE)), "División no coincide con Categoría", ""))), IF(OR(L246="", L246=""), "[Aviso] Género no capturado ()", IF(ISNA(MATCH(L246, Criterios!$B$123:$B$127, 0)), "Género no válido", "")), IF(OR(N246="", N246=""), "[Aviso] Temporada no capturada ()", IF(ISNA(MATCH(N246, Criterios!$C$123:$C$128, 0)), "Temporada no válida", "")), IF(OR(O246="", O246=""), "[Aviso] Ciclo de vida no capturado ()", IF(ISNA(MATCH(O246, Criterios!$D$123:$D$124, 0)), "Ciclo de vida no válido", ""))))</f>
        <v/>
      </c>
      <c r="AC246" s="56" t="n"/>
      <c r="AD246" s="51" t="n"/>
      <c r="AE246" s="156" t="n"/>
      <c r="AF246" s="51" t="n"/>
      <c r="AG246" s="156" t="inlineStr">
        <is>
          <t>Nuevo – Carga Hoja2 01/10/2026</t>
        </is>
      </c>
      <c r="AH246" s="156" t="inlineStr">
        <is>
          <t>Alta 01/10/2026 desde Hoja2 (fila 36) | 01/10/2026: Odoo Universal Unique Brands trae Género «Unisex» — se conservó el valor de Productos | Homologación G1522 06/10/2026: Validador Shopify: WB: precio con IVA no termina en 9</t>
        </is>
      </c>
      <c r="AI246" s="156" t="n"/>
      <c r="AJ246" s="156" t="n"/>
      <c r="AK246" s="155" t="inlineStr">
        <is>
          <t>Hoja2: fila 36 | Odoo: producto 27100 / plantilla 33800</t>
        </is>
      </c>
      <c r="AL246" s="58" t="n"/>
      <c r="AM246" s="58" t="n"/>
      <c r="AN246" s="155" t="inlineStr">
        <is>
          <t>Odoo Universal Unique Brands</t>
        </is>
      </c>
      <c r="AO246" s="59" t="n"/>
      <c r="AP246" s="59" t="n"/>
      <c r="AQ246" s="59" t="n">
        <v>0</v>
      </c>
      <c r="AR246" s="155" t="n"/>
    </row>
    <row r="247">
      <c r="A247" s="50" t="inlineStr">
        <is>
          <t>717325223884</t>
        </is>
      </c>
      <c r="B247" s="51" t="inlineStr">
        <is>
          <t>15651</t>
        </is>
      </c>
      <c r="C247" s="156" t="inlineStr">
        <is>
          <t>Montana West</t>
        </is>
      </c>
      <c r="D247" s="156" t="inlineStr">
        <is>
          <t>MW1325-W018PK</t>
        </is>
      </c>
      <c r="E247" s="156" t="inlineStr">
        <is>
          <t>MW1325-W018PK</t>
        </is>
      </c>
      <c r="F247" s="156" t="inlineStr">
        <is>
          <t>Talla única</t>
        </is>
      </c>
      <c r="G247" s="156" t="inlineStr">
        <is>
          <t>One Size</t>
        </is>
      </c>
      <c r="H247" s="156" t="inlineStr">
        <is>
          <t>Montana West</t>
        </is>
      </c>
      <c r="I247" s="156" t="inlineStr">
        <is>
          <t>Cartera Montana West Rosa</t>
        </is>
      </c>
      <c r="J247" s="156" t="inlineStr">
        <is>
          <t>Accesorios</t>
        </is>
      </c>
      <c r="K247" s="156" t="inlineStr">
        <is>
          <t>Carteras</t>
        </is>
      </c>
      <c r="L247" s="156" t="inlineStr">
        <is>
          <t>Mujer</t>
        </is>
      </c>
      <c r="M247" s="156" t="inlineStr">
        <is>
          <t>Montana West</t>
        </is>
      </c>
      <c r="N247" s="156" t="n"/>
      <c r="O247" s="156" t="inlineStr">
        <is>
          <t>Core</t>
        </is>
      </c>
      <c r="P247" s="156" t="inlineStr">
        <is>
          <t>Rosa</t>
        </is>
      </c>
      <c r="Q247" s="156" t="n"/>
      <c r="R247" s="156" t="n"/>
      <c r="S247" s="156" t="n"/>
      <c r="T247" s="156" t="inlineStr">
        <is>
          <t>Cartera Montana West. Color: Rosa. Talla única. Mujer. Referencia: MW1325-W018PK.</t>
        </is>
      </c>
      <c r="U247" s="156" t="n"/>
      <c r="V247" s="156" t="inlineStr">
        <is>
          <t>PZS</t>
        </is>
      </c>
      <c r="W247" s="51" t="inlineStr">
        <is>
          <t>53121700</t>
        </is>
      </c>
      <c r="X247" s="156" t="n"/>
      <c r="Y247" s="54" t="n"/>
      <c r="Z247" s="54" t="n">
        <v>309</v>
      </c>
      <c r="AA247" s="55">
        <f>IF(AND(A247="", B247="", E247=""), "", IF(AB247="", "Válido", IF((LEN(AB247)-LEN(SUBSTITUTE(AB247,"; ","")))/2+1&gt;(LEN(AB247)-LEN(SUBSTITUTE(AB247,"[Aviso]","")))/7, "Con Incidencias", "Válido")))</f>
        <v/>
      </c>
      <c r="AB247" s="56">
        <f>IF(AND(A247="", B247="", E247=""), "", TEXTJOIN("; ", TRUE, IF(OR(TRIM(A247&amp;"")="", ISNUMBER(SEARCH("FALTA", A247))), "UPC faltante/inválido", ""), IF(AND(A247&lt;&gt;"", IFERROR(_xlfn.XMATCH(A247,$A$2:$A$1063,0,1)&lt;&gt;_xlfn.XMATCH(A247,$A$2:$A$1063,0,-1),FALSE)), "Código de barras duplicado", ""), IF(AND(E247&lt;&gt;"", COUNTIF($E$2:$E$1063, E247)&gt;1), "SKU duplicado", ""), IF(OR(J247="", J247=""), "[Aviso] División no capturada ()", IF(ISNA(MATCH(J247, Criterios!$A$123:$A$126, 0)), "División no válida", "")), IF(OR(K247="", K247=""), "[Aviso] Categoría no capturada ()", IF(ISNA(MATCH(K247, Criterios!$A$81:$A$120, 0)), "Categoría no válida", IF(AND(J247&lt;&gt;"", J247&lt;&gt;"", J247&lt;&gt;VLOOKUP(K247, Criterios!$A$81:$B$120, 2, FALSE)), "División no coincide con Categoría", ""))), IF(OR(L247="", L247=""), "[Aviso] Género no capturado ()", IF(ISNA(MATCH(L247, Criterios!$B$123:$B$127, 0)), "Género no válido", "")), IF(OR(N247="", N247=""), "[Aviso] Temporada no capturada ()", IF(ISNA(MATCH(N247, Criterios!$C$123:$C$128, 0)), "Temporada no válida", "")), IF(OR(O247="", O247=""), "[Aviso] Ciclo de vida no capturado ()", IF(ISNA(MATCH(O247, Criterios!$D$123:$D$124, 0)), "Ciclo de vida no válido", ""))))</f>
        <v/>
      </c>
      <c r="AC247" s="56" t="n"/>
      <c r="AD247" s="51" t="n"/>
      <c r="AE247" s="156" t="n"/>
      <c r="AF247" s="51" t="n"/>
      <c r="AG247" s="156" t="inlineStr">
        <is>
          <t>Nuevo – Carga Hoja2 01/10/2026</t>
        </is>
      </c>
      <c r="AH247" s="156" t="inlineStr">
        <is>
          <t>Alta 01/10/2026 desde Hoja2 (fila 37); Precio de compra en 0/vacío en origen | 01/10/2026: Odoo Universal Unique Brands trae Género «Unisex» — se conservó el valor de Productos | 01/10/2026: Odoo Universal Unique Brands trae Género «Unisex» — se conservó el valor de Productos | Homologación G1522 06/10/2026: Validador Shopify: WB: precio con IVA no termina en 9</t>
        </is>
      </c>
      <c r="AI247" s="156" t="n"/>
      <c r="AJ247" s="156" t="n"/>
      <c r="AK247" s="155" t="inlineStr">
        <is>
          <t>Hoja2: fila 37 | Odoo: producto 15651 / plantilla 20004 | Odoo: producto 27101 / plantilla 33801</t>
        </is>
      </c>
      <c r="AL247" s="58" t="n"/>
      <c r="AM247" s="58" t="n"/>
      <c r="AN247" s="155" t="inlineStr">
        <is>
          <t>Odoo Universal Unique Brands</t>
        </is>
      </c>
      <c r="AO247" s="59" t="n"/>
      <c r="AP247" s="59" t="n"/>
      <c r="AQ247" s="59" t="n">
        <v>34</v>
      </c>
      <c r="AR247" s="155" t="inlineStr">
        <is>
          <t>Odoo Universal Unique Brands › Bodega 25 › Bodega 25/General: 29 | Odoo Universal Unique Brands › Bodega 25 › Bodega 25/General: 5</t>
        </is>
      </c>
    </row>
    <row r="248">
      <c r="A248" s="50" t="inlineStr">
        <is>
          <t>717325223877</t>
        </is>
      </c>
      <c r="B248" s="51" t="inlineStr">
        <is>
          <t>15623</t>
        </is>
      </c>
      <c r="C248" s="156" t="inlineStr">
        <is>
          <t>Montana West</t>
        </is>
      </c>
      <c r="D248" s="156" t="inlineStr">
        <is>
          <t>MW1325-W018TN</t>
        </is>
      </c>
      <c r="E248" s="156" t="inlineStr">
        <is>
          <t>MW1325-W018TN</t>
        </is>
      </c>
      <c r="F248" s="156" t="inlineStr">
        <is>
          <t>Talla única</t>
        </is>
      </c>
      <c r="G248" s="156" t="inlineStr">
        <is>
          <t>One Size</t>
        </is>
      </c>
      <c r="H248" s="156" t="inlineStr">
        <is>
          <t>Montana West</t>
        </is>
      </c>
      <c r="I248" s="156" t="inlineStr">
        <is>
          <t>Cartera Montana West Camel</t>
        </is>
      </c>
      <c r="J248" s="156" t="inlineStr">
        <is>
          <t>Accesorios</t>
        </is>
      </c>
      <c r="K248" s="156" t="inlineStr">
        <is>
          <t>Carteras</t>
        </is>
      </c>
      <c r="L248" s="156" t="inlineStr">
        <is>
          <t>Mujer</t>
        </is>
      </c>
      <c r="M248" s="156" t="inlineStr">
        <is>
          <t>Montana West</t>
        </is>
      </c>
      <c r="N248" s="156" t="n"/>
      <c r="O248" s="156" t="inlineStr">
        <is>
          <t>Core</t>
        </is>
      </c>
      <c r="P248" s="156" t="inlineStr">
        <is>
          <t>Beige</t>
        </is>
      </c>
      <c r="Q248" s="156" t="n"/>
      <c r="R248" s="156" t="n"/>
      <c r="S248" s="156" t="n"/>
      <c r="T248" s="156" t="inlineStr">
        <is>
          <t>Cartera Montana West. Color: Camel. Talla única. Mujer. Referencia: MW1325-W018TN.</t>
        </is>
      </c>
      <c r="U248" s="156" t="n"/>
      <c r="V248" s="156" t="inlineStr">
        <is>
          <t>PZS</t>
        </is>
      </c>
      <c r="W248" s="51" t="inlineStr">
        <is>
          <t>53121700</t>
        </is>
      </c>
      <c r="X248" s="156" t="n"/>
      <c r="Y248" s="54" t="n">
        <v>12.75</v>
      </c>
      <c r="Z248" s="54" t="n">
        <v>309</v>
      </c>
      <c r="AA248" s="55">
        <f>IF(AND(A248="", B248="", E248=""), "", IF(AB248="", "Válido", IF((LEN(AB248)-LEN(SUBSTITUTE(AB248,"; ","")))/2+1&gt;(LEN(AB248)-LEN(SUBSTITUTE(AB248,"[Aviso]","")))/7, "Con Incidencias", "Válido")))</f>
        <v/>
      </c>
      <c r="AB248" s="56">
        <f>IF(AND(A248="", B248="", E248=""), "", TEXTJOIN("; ", TRUE, IF(OR(TRIM(A248&amp;"")="", ISNUMBER(SEARCH("FALTA", A248))), "UPC faltante/inválido", ""), IF(AND(A248&lt;&gt;"", IFERROR(_xlfn.XMATCH(A248,$A$2:$A$1063,0,1)&lt;&gt;_xlfn.XMATCH(A248,$A$2:$A$1063,0,-1),FALSE)), "Código de barras duplicado", ""), IF(AND(E248&lt;&gt;"", COUNTIF($E$2:$E$1063, E248)&gt;1), "SKU duplicado", ""), IF(OR(J248="", J248=""), "[Aviso] División no capturada ()", IF(ISNA(MATCH(J248, Criterios!$A$123:$A$126, 0)), "División no válida", "")), IF(OR(K248="", K248=""), "[Aviso] Categoría no capturada ()", IF(ISNA(MATCH(K248, Criterios!$A$81:$A$120, 0)), "Categoría no válida", IF(AND(J248&lt;&gt;"", J248&lt;&gt;"", J248&lt;&gt;VLOOKUP(K248, Criterios!$A$81:$B$120, 2, FALSE)), "División no coincide con Categoría", ""))), IF(OR(L248="", L248=""), "[Aviso] Género no capturado ()", IF(ISNA(MATCH(L248, Criterios!$B$123:$B$127, 0)), "Género no válido", "")), IF(OR(N248="", N248=""), "[Aviso] Temporada no capturada ()", IF(ISNA(MATCH(N248, Criterios!$C$123:$C$128, 0)), "Temporada no válida", "")), IF(OR(O248="", O248=""), "[Aviso] Ciclo de vida no capturado ()", IF(ISNA(MATCH(O248, Criterios!$D$123:$D$124, 0)), "Ciclo de vida no válido", ""))))</f>
        <v/>
      </c>
      <c r="AC248" s="56" t="n"/>
      <c r="AD248" s="51" t="n"/>
      <c r="AE248" s="156" t="n"/>
      <c r="AF248" s="51" t="n"/>
      <c r="AG248" s="156" t="inlineStr">
        <is>
          <t>Nuevo – Carga Hoja2 01/10/2026</t>
        </is>
      </c>
      <c r="AH248" s="156" t="inlineStr">
        <is>
          <t>Alta 01/10/2026 desde Hoja2 (fila 38) | 01/10/2026: Odoo Universal Unique Brands trae Género «Unisex» — se conservó el valor de Productos | 01/10/2026: Odoo Universal Unique Brands trae Género «Unisex» — se conservó el valor de Productos | Homologación G1522 06/10/2026: Validación G1522: [Aviso] Precio de compra posiblemente en USD · Validador Shopify: WB: precio con IVA no termina en 9</t>
        </is>
      </c>
      <c r="AI248" s="156" t="n"/>
      <c r="AJ248" s="156" t="n"/>
      <c r="AK248" s="155" t="inlineStr">
        <is>
          <t>Hoja2: fila 38 | Odoo: producto 15623 / plantilla 19976 | Odoo: producto 27102 / plantilla 33802</t>
        </is>
      </c>
      <c r="AL248" s="58" t="n"/>
      <c r="AM248" s="58" t="n"/>
      <c r="AN248" s="155" t="inlineStr">
        <is>
          <t>Odoo Universal Unique Brands</t>
        </is>
      </c>
      <c r="AO248" s="59" t="n"/>
      <c r="AP248" s="59" t="n"/>
      <c r="AQ248" s="59" t="n">
        <v>19</v>
      </c>
      <c r="AR248" s="155" t="inlineStr">
        <is>
          <t>Odoo Universal Unique Brands › Bodega 25 › Bodega 25/General: 13 | Odoo Universal Unique Brands › Bodega 25 › Bodega 25/General: 6</t>
        </is>
      </c>
    </row>
    <row r="249">
      <c r="A249" s="50" t="inlineStr">
        <is>
          <t>717325223723</t>
        </is>
      </c>
      <c r="B249" s="51" t="inlineStr">
        <is>
          <t>15671</t>
        </is>
      </c>
      <c r="C249" s="156" t="inlineStr">
        <is>
          <t>Montana West</t>
        </is>
      </c>
      <c r="D249" s="156" t="n"/>
      <c r="E249" s="156" t="inlineStr">
        <is>
          <t>MW1325G-8085BR</t>
        </is>
      </c>
      <c r="F249" s="156" t="inlineStr">
        <is>
          <t>Talla única</t>
        </is>
      </c>
      <c r="G249" s="156" t="inlineStr">
        <is>
          <t>One Size</t>
        </is>
      </c>
      <c r="H249" s="156" t="inlineStr">
        <is>
          <t>Montana West</t>
        </is>
      </c>
      <c r="I249" s="156" t="inlineStr">
        <is>
          <t>MONTANA WEST MW BAG</t>
        </is>
      </c>
      <c r="J249" s="156" t="inlineStr">
        <is>
          <t>Accesorios</t>
        </is>
      </c>
      <c r="K249" s="156" t="inlineStr">
        <is>
          <t>Bolsos</t>
        </is>
      </c>
      <c r="L249" s="156" t="inlineStr">
        <is>
          <t>Unisex</t>
        </is>
      </c>
      <c r="M249" s="156" t="n"/>
      <c r="N249" s="156" t="n"/>
      <c r="O249" s="156" t="n"/>
      <c r="P249" s="156" t="n"/>
      <c r="Q249" s="156" t="n"/>
      <c r="R249" s="156" t="n"/>
      <c r="S249" s="156" t="n"/>
      <c r="T249" s="156" t="n"/>
      <c r="U249" s="156" t="n"/>
      <c r="V249" s="156" t="inlineStr">
        <is>
          <t>PZS</t>
        </is>
      </c>
      <c r="W249" s="51" t="inlineStr">
        <is>
          <t>53121600</t>
        </is>
      </c>
      <c r="X249" s="156" t="n"/>
      <c r="Y249" s="54" t="n"/>
      <c r="Z249" s="54" t="n">
        <v>649</v>
      </c>
      <c r="AA249" s="55">
        <f>IF(AND(A249="", B249="", E249=""), "", IF(AB249="", "Válido", IF((LEN(AB249)-LEN(SUBSTITUTE(AB249,"; ","")))/2+1&gt;(LEN(AB249)-LEN(SUBSTITUTE(AB249,"[Aviso]","")))/7, "Con Incidencias", "Válido")))</f>
        <v/>
      </c>
      <c r="AB249" s="56">
        <f>IF(AND(A249="", B249="", E249=""), "", TEXTJOIN("; ", TRUE, IF(OR(TRIM(A249&amp;"")="", ISNUMBER(SEARCH("FALTA", A249))), "UPC faltante/inválido", ""), IF(AND(A249&lt;&gt;"", IFERROR(_xlfn.XMATCH(A249,$A$2:$A$1063,0,1)&lt;&gt;_xlfn.XMATCH(A249,$A$2:$A$1063,0,-1),FALSE)), "Código de barras duplicado", ""), IF(AND(E249&lt;&gt;"", COUNTIF($E$2:$E$1063, E249)&gt;1), "SKU duplicado", ""), IF(OR(J249="", J249=""), "[Aviso] División no capturada ()", IF(ISNA(MATCH(J249, Criterios!$A$123:$A$126, 0)), "División no válida", "")), IF(OR(K249="", K249=""), "[Aviso] Categoría no capturada ()", IF(ISNA(MATCH(K249, Criterios!$A$81:$A$120, 0)), "Categoría no válida", IF(AND(J249&lt;&gt;"", J249&lt;&gt;"", J249&lt;&gt;VLOOKUP(K249, Criterios!$A$81:$B$120, 2, FALSE)), "División no coincide con Categoría", ""))), IF(OR(L249="", L249=""), "[Aviso] Género no capturado ()", IF(ISNA(MATCH(L249, Criterios!$B$123:$B$127, 0)), "Género no válido", "")), IF(OR(N249="", N249=""), "[Aviso] Temporada no capturada ()", IF(ISNA(MATCH(N249, Criterios!$C$123:$C$128, 0)), "Temporada no válida", "")), IF(OR(O249="", O249=""), "[Aviso] Ciclo de vida no capturado ()", IF(ISNA(MATCH(O249, Criterios!$D$123:$D$124, 0)), "Ciclo de vida no válido", ""))))</f>
        <v/>
      </c>
      <c r="AC249" s="56" t="n"/>
      <c r="AD249" s="51" t="n"/>
      <c r="AE249" s="156" t="n"/>
      <c r="AF249" s="51" t="n"/>
      <c r="AG249" s="156" t="inlineStr">
        <is>
          <t>Nuevo – Carga Hoja2 01/10/2026</t>
        </is>
      </c>
      <c r="AH249" s="156" t="inlineStr">
        <is>
          <t>Alta 01/10/2026 desde Hoja2 (fila 39);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249" s="156" t="n"/>
      <c r="AJ249" s="156" t="n"/>
      <c r="AK249" s="155" t="inlineStr">
        <is>
          <t>Hoja2: fila 39 | Odoo: producto 15671 / plantilla 20024</t>
        </is>
      </c>
      <c r="AL249" s="58" t="n"/>
      <c r="AM249" s="58" t="n"/>
      <c r="AN249" s="155" t="inlineStr">
        <is>
          <t>Odoo Universal Unique Brands</t>
        </is>
      </c>
      <c r="AO249" s="59" t="n"/>
      <c r="AP249" s="59" t="n"/>
      <c r="AQ249" s="59" t="n">
        <v>28</v>
      </c>
      <c r="AR249" s="155" t="inlineStr">
        <is>
          <t>Odoo Universal Unique Brands › Bodega 25 › Bodega 25/General: 28</t>
        </is>
      </c>
    </row>
    <row r="250">
      <c r="A250" s="50" t="n"/>
      <c r="B250" s="51" t="inlineStr">
        <is>
          <t>27097</t>
        </is>
      </c>
      <c r="C250" s="156" t="inlineStr">
        <is>
          <t>Montana West</t>
        </is>
      </c>
      <c r="D250" s="156" t="n"/>
      <c r="E250" s="156" t="inlineStr">
        <is>
          <t>MW1325G-8085PK</t>
        </is>
      </c>
      <c r="F250" s="156" t="inlineStr">
        <is>
          <t>Talla única</t>
        </is>
      </c>
      <c r="G250" s="156" t="inlineStr">
        <is>
          <t>One Size</t>
        </is>
      </c>
      <c r="H250" s="156" t="inlineStr">
        <is>
          <t>Montana West</t>
        </is>
      </c>
      <c r="I250" s="156" t="inlineStr">
        <is>
          <t>MW BAG</t>
        </is>
      </c>
      <c r="J250" s="156" t="inlineStr">
        <is>
          <t>Accesorios</t>
        </is>
      </c>
      <c r="K250" s="156" t="inlineStr">
        <is>
          <t>Bolsos</t>
        </is>
      </c>
      <c r="L250" s="156" t="inlineStr">
        <is>
          <t>Unisex</t>
        </is>
      </c>
      <c r="M250" s="156" t="n"/>
      <c r="N250" s="156" t="n"/>
      <c r="O250" s="156" t="n"/>
      <c r="P250" s="156" t="n"/>
      <c r="Q250" s="156" t="n"/>
      <c r="R250" s="156" t="n"/>
      <c r="S250" s="156" t="n"/>
      <c r="T250" s="156" t="n"/>
      <c r="U250" s="156" t="n"/>
      <c r="V250" s="156" t="inlineStr">
        <is>
          <t>PZS</t>
        </is>
      </c>
      <c r="W250" s="51" t="inlineStr">
        <is>
          <t>53121601</t>
        </is>
      </c>
      <c r="X250" s="156" t="n"/>
      <c r="Y250" s="54" t="n">
        <v>434.7</v>
      </c>
      <c r="Z250" s="54" t="n">
        <v>699</v>
      </c>
      <c r="AA250" s="55">
        <f>IF(AND(A250="", B250="", E250=""), "", IF(AB250="", "Válido", IF((LEN(AB250)-LEN(SUBSTITUTE(AB250,"; ","")))/2+1&gt;(LEN(AB250)-LEN(SUBSTITUTE(AB250,"[Aviso]","")))/7, "Con Incidencias", "Válido")))</f>
        <v/>
      </c>
      <c r="AB250" s="56">
        <f>IF(AND(A250="", B250="", E250=""), "", TEXTJOIN("; ", TRUE, IF(OR(TRIM(A250&amp;"")="", ISNUMBER(SEARCH("FALTA", A250))), "UPC faltante/inválido", ""), IF(AND(A250&lt;&gt;"", IFERROR(_xlfn.XMATCH(A250,$A$2:$A$1063,0,1)&lt;&gt;_xlfn.XMATCH(A250,$A$2:$A$1063,0,-1),FALSE)), "Código de barras duplicado", ""), IF(AND(E250&lt;&gt;"", COUNTIF($E$2:$E$1063, E250)&gt;1), "SKU duplicado", ""), IF(OR(J250="", J250=""), "[Aviso] División no capturada ()", IF(ISNA(MATCH(J250, Criterios!$A$123:$A$126, 0)), "División no válida", "")), IF(OR(K250="", K250=""), "[Aviso] Categoría no capturada ()", IF(ISNA(MATCH(K250, Criterios!$A$81:$A$120, 0)), "Categoría no válida", IF(AND(J250&lt;&gt;"", J250&lt;&gt;"", J250&lt;&gt;VLOOKUP(K250, Criterios!$A$81:$B$120, 2, FALSE)), "División no coincide con Categoría", ""))), IF(OR(L250="", L250=""), "[Aviso] Género no capturado ()", IF(ISNA(MATCH(L250, Criterios!$B$123:$B$127, 0)), "Género no válido", "")), IF(OR(N250="", N250=""), "[Aviso] Temporada no capturada ()", IF(ISNA(MATCH(N250, Criterios!$C$123:$C$128, 0)), "Temporada no válida", "")), IF(OR(O250="", O250=""), "[Aviso] Ciclo de vida no capturado ()", IF(ISNA(MATCH(O250, Criterios!$D$123:$D$124, 0)), "Ciclo de vida no válido", ""))))</f>
        <v/>
      </c>
      <c r="AC250" s="56" t="n"/>
      <c r="AD250" s="51" t="n"/>
      <c r="AE250" s="156" t="n"/>
      <c r="AF250" s="51" t="n"/>
      <c r="AG250" s="156" t="inlineStr">
        <is>
          <t>Nuevo – Carga Hoja2 01/10/2026</t>
        </is>
      </c>
      <c r="AH250" s="156" t="inlineStr">
        <is>
          <t>Alta 01/10/2026 desde Hoja2 (fila 40)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250" s="156" t="n"/>
      <c r="AJ250" s="156" t="n"/>
      <c r="AK250" s="155" t="inlineStr">
        <is>
          <t>Hoja2: fila 40 | Odoo: producto 27097 / plantilla 33797</t>
        </is>
      </c>
      <c r="AL250" s="58" t="n"/>
      <c r="AM250" s="58" t="n"/>
      <c r="AN250" s="155" t="inlineStr">
        <is>
          <t>Odoo Universal Unique Brands</t>
        </is>
      </c>
      <c r="AO250" s="59" t="n"/>
      <c r="AP250" s="59" t="n"/>
      <c r="AQ250" s="59" t="n">
        <v>0</v>
      </c>
      <c r="AR250" s="155" t="n"/>
    </row>
    <row r="251">
      <c r="A251" s="50" t="inlineStr">
        <is>
          <t>717325223730</t>
        </is>
      </c>
      <c r="B251" s="51" t="inlineStr">
        <is>
          <t>15618</t>
        </is>
      </c>
      <c r="C251" s="156" t="inlineStr">
        <is>
          <t>Montana West</t>
        </is>
      </c>
      <c r="D251" s="156" t="inlineStr">
        <is>
          <t>MW1325G-8085TN</t>
        </is>
      </c>
      <c r="E251" s="156" t="inlineStr">
        <is>
          <t>MW1325G-8085TN</t>
        </is>
      </c>
      <c r="F251" s="156" t="inlineStr">
        <is>
          <t>Talla única</t>
        </is>
      </c>
      <c r="G251" s="156" t="inlineStr">
        <is>
          <t>One Size</t>
        </is>
      </c>
      <c r="H251" s="156" t="inlineStr">
        <is>
          <t>Montana West</t>
        </is>
      </c>
      <c r="I251" s="156" t="inlineStr">
        <is>
          <t>Bolsa Montana West Camel</t>
        </is>
      </c>
      <c r="J251" s="156" t="inlineStr">
        <is>
          <t>Accesorios</t>
        </is>
      </c>
      <c r="K251" s="156" t="inlineStr">
        <is>
          <t>Bolsos</t>
        </is>
      </c>
      <c r="L251" s="156" t="inlineStr">
        <is>
          <t>Mujer</t>
        </is>
      </c>
      <c r="M251" s="156" t="inlineStr">
        <is>
          <t>Montana West</t>
        </is>
      </c>
      <c r="N251" s="156" t="n"/>
      <c r="O251" s="156" t="inlineStr">
        <is>
          <t>Core</t>
        </is>
      </c>
      <c r="P251" s="156" t="inlineStr">
        <is>
          <t>Beige</t>
        </is>
      </c>
      <c r="Q251" s="156" t="n"/>
      <c r="R251" s="156" t="n"/>
      <c r="S251" s="156" t="n"/>
      <c r="T251" s="156" t="inlineStr">
        <is>
          <t>Bolsa Montana West. Color: Camel. Talla única. Mujer. Referencia: MW1325G-8085TN.</t>
        </is>
      </c>
      <c r="U251" s="156" t="n"/>
      <c r="V251" s="156" t="inlineStr">
        <is>
          <t>PZS</t>
        </is>
      </c>
      <c r="W251" s="51" t="inlineStr">
        <is>
          <t>53121601</t>
        </is>
      </c>
      <c r="X251" s="156" t="n"/>
      <c r="Y251" s="54" t="n"/>
      <c r="Z251" s="54" t="n">
        <v>649</v>
      </c>
      <c r="AA251" s="55">
        <f>IF(AND(A251="", B251="", E251=""), "", IF(AB251="", "Válido", IF((LEN(AB251)-LEN(SUBSTITUTE(AB251,"; ","")))/2+1&gt;(LEN(AB251)-LEN(SUBSTITUTE(AB251,"[Aviso]","")))/7, "Con Incidencias", "Válido")))</f>
        <v/>
      </c>
      <c r="AB251" s="56">
        <f>IF(AND(A251="", B251="", E251=""), "", TEXTJOIN("; ", TRUE, IF(OR(TRIM(A251&amp;"")="", ISNUMBER(SEARCH("FALTA", A251))), "UPC faltante/inválido", ""), IF(AND(A251&lt;&gt;"", IFERROR(_xlfn.XMATCH(A251,$A$2:$A$1063,0,1)&lt;&gt;_xlfn.XMATCH(A251,$A$2:$A$1063,0,-1),FALSE)), "Código de barras duplicado", ""), IF(AND(E251&lt;&gt;"", COUNTIF($E$2:$E$1063, E251)&gt;1), "SKU duplicado", ""), IF(OR(J251="", J251=""), "[Aviso] División no capturada ()", IF(ISNA(MATCH(J251, Criterios!$A$123:$A$126, 0)), "División no válida", "")), IF(OR(K251="", K251=""), "[Aviso] Categoría no capturada ()", IF(ISNA(MATCH(K251, Criterios!$A$81:$A$120, 0)), "Categoría no válida", IF(AND(J251&lt;&gt;"", J251&lt;&gt;"", J251&lt;&gt;VLOOKUP(K251, Criterios!$A$81:$B$120, 2, FALSE)), "División no coincide con Categoría", ""))), IF(OR(L251="", L251=""), "[Aviso] Género no capturado ()", IF(ISNA(MATCH(L251, Criterios!$B$123:$B$127, 0)), "Género no válido", "")), IF(OR(N251="", N251=""), "[Aviso] Temporada no capturada ()", IF(ISNA(MATCH(N251, Criterios!$C$123:$C$128, 0)), "Temporada no válida", "")), IF(OR(O251="", O251=""), "[Aviso] Ciclo de vida no capturado ()", IF(ISNA(MATCH(O251, Criterios!$D$123:$D$124, 0)), "Ciclo de vida no válido", ""))))</f>
        <v/>
      </c>
      <c r="AC251" s="56" t="n"/>
      <c r="AD251" s="51" t="n"/>
      <c r="AE251" s="156" t="n"/>
      <c r="AF251" s="51" t="n"/>
      <c r="AG251" s="156" t="inlineStr">
        <is>
          <t>Nuevo – Carga Hoja2 01/10/2026</t>
        </is>
      </c>
      <c r="AH251" s="156" t="inlineStr">
        <is>
          <t>Alta 01/10/2026 desde Hoja2 (fila 41); Precio de compra en 0/vacío en origen | 01/10/2026: Odoo Universal Unique Brands trae Género «Unisex» — se conservó el valor de Productos | 01/10/2026: Odoo Universal Unique Brands trae Género «Unisex» — se conservó el valor de Productos | Homologación G1522 06/10/2026: Validador Shopify: WB: precio con IVA no termina en 9</t>
        </is>
      </c>
      <c r="AI251" s="156" t="n"/>
      <c r="AJ251" s="156" t="n"/>
      <c r="AK251" s="155" t="inlineStr">
        <is>
          <t>Hoja2: fila 41 | Odoo: producto 15618 / plantilla 19971 | Odoo: producto 27098 / plantilla 33798</t>
        </is>
      </c>
      <c r="AL251" s="58" t="n"/>
      <c r="AM251" s="58" t="n"/>
      <c r="AN251" s="155" t="inlineStr">
        <is>
          <t>Odoo Universal Unique Brands</t>
        </is>
      </c>
      <c r="AO251" s="59" t="n"/>
      <c r="AP251" s="59" t="n"/>
      <c r="AQ251" s="59" t="n">
        <v>31</v>
      </c>
      <c r="AR251" s="155" t="inlineStr">
        <is>
          <t>Odoo Universal Unique Brands › Bodega 25 › Bodega 25/General: 25 | Odoo Universal Unique Brands › Bodega 25 › Bodega 25/General: 6</t>
        </is>
      </c>
    </row>
    <row r="252">
      <c r="A252" s="50" t="inlineStr">
        <is>
          <t>717325223785</t>
        </is>
      </c>
      <c r="B252" s="51" t="inlineStr">
        <is>
          <t>27099</t>
        </is>
      </c>
      <c r="C252" s="156" t="inlineStr">
        <is>
          <t>Montana West</t>
        </is>
      </c>
      <c r="D252" s="156" t="inlineStr">
        <is>
          <t>MW1325G-8317TN</t>
        </is>
      </c>
      <c r="E252" s="156" t="inlineStr">
        <is>
          <t>MW1325G-8317TN</t>
        </is>
      </c>
      <c r="F252" s="156" t="inlineStr">
        <is>
          <t>Talla única</t>
        </is>
      </c>
      <c r="G252" s="156" t="inlineStr">
        <is>
          <t>One Size</t>
        </is>
      </c>
      <c r="H252" s="156" t="inlineStr">
        <is>
          <t>Montana West</t>
        </is>
      </c>
      <c r="I252" s="156" t="inlineStr">
        <is>
          <t>Bolsa Montana West Camel</t>
        </is>
      </c>
      <c r="J252" s="156" t="inlineStr">
        <is>
          <t>Accesorios</t>
        </is>
      </c>
      <c r="K252" s="156" t="inlineStr">
        <is>
          <t>Bolsos</t>
        </is>
      </c>
      <c r="L252" s="156" t="inlineStr">
        <is>
          <t>Mujer</t>
        </is>
      </c>
      <c r="M252" s="156" t="inlineStr">
        <is>
          <t>Montana West</t>
        </is>
      </c>
      <c r="N252" s="156" t="n"/>
      <c r="O252" s="156" t="inlineStr">
        <is>
          <t>Core</t>
        </is>
      </c>
      <c r="P252" s="156" t="inlineStr">
        <is>
          <t>Beige</t>
        </is>
      </c>
      <c r="Q252" s="156" t="n"/>
      <c r="R252" s="156" t="n"/>
      <c r="S252" s="156" t="n"/>
      <c r="T252" s="156" t="inlineStr">
        <is>
          <t>Bolsa Montana West. Color: Camel. Talla única. Mujer. Referencia: MW1325G-8317TN.</t>
        </is>
      </c>
      <c r="U252" s="156" t="n"/>
      <c r="V252" s="156" t="inlineStr">
        <is>
          <t>PZS</t>
        </is>
      </c>
      <c r="W252" s="51" t="inlineStr">
        <is>
          <t>53121601</t>
        </is>
      </c>
      <c r="X252" s="156" t="n"/>
      <c r="Y252" s="54" t="n">
        <v>434.7</v>
      </c>
      <c r="Z252" s="54" t="n">
        <v>699</v>
      </c>
      <c r="AA252" s="55">
        <f>IF(AND(A252="", B252="", E252=""), "", IF(AB252="", "Válido", IF((LEN(AB252)-LEN(SUBSTITUTE(AB252,"; ","")))/2+1&gt;(LEN(AB252)-LEN(SUBSTITUTE(AB252,"[Aviso]","")))/7, "Con Incidencias", "Válido")))</f>
        <v/>
      </c>
      <c r="AB252" s="56">
        <f>IF(AND(A252="", B252="", E252=""), "", TEXTJOIN("; ", TRUE, IF(OR(TRIM(A252&amp;"")="", ISNUMBER(SEARCH("FALTA", A252))), "UPC faltante/inválido", ""), IF(AND(A252&lt;&gt;"", IFERROR(_xlfn.XMATCH(A252,$A$2:$A$1063,0,1)&lt;&gt;_xlfn.XMATCH(A252,$A$2:$A$1063,0,-1),FALSE)), "Código de barras duplicado", ""), IF(AND(E252&lt;&gt;"", COUNTIF($E$2:$E$1063, E252)&gt;1), "SKU duplicado", ""), IF(OR(J252="", J252=""), "[Aviso] División no capturada ()", IF(ISNA(MATCH(J252, Criterios!$A$123:$A$126, 0)), "División no válida", "")), IF(OR(K252="", K252=""), "[Aviso] Categoría no capturada ()", IF(ISNA(MATCH(K252, Criterios!$A$81:$A$120, 0)), "Categoría no válida", IF(AND(J252&lt;&gt;"", J252&lt;&gt;"", J252&lt;&gt;VLOOKUP(K252, Criterios!$A$81:$B$120, 2, FALSE)), "División no coincide con Categoría", ""))), IF(OR(L252="", L252=""), "[Aviso] Género no capturado ()", IF(ISNA(MATCH(L252, Criterios!$B$123:$B$127, 0)), "Género no válido", "")), IF(OR(N252="", N252=""), "[Aviso] Temporada no capturada ()", IF(ISNA(MATCH(N252, Criterios!$C$123:$C$128, 0)), "Temporada no válida", "")), IF(OR(O252="", O252=""), "[Aviso] Ciclo de vida no capturado ()", IF(ISNA(MATCH(O252, Criterios!$D$123:$D$124, 0)), "Ciclo de vida no válido", ""))))</f>
        <v/>
      </c>
      <c r="AC252" s="56" t="n"/>
      <c r="AD252" s="51" t="n"/>
      <c r="AE252" s="156" t="n"/>
      <c r="AF252" s="51" t="n"/>
      <c r="AG252" s="156" t="inlineStr">
        <is>
          <t>Nuevo – Carga Hoja2 01/10/2026</t>
        </is>
      </c>
      <c r="AH252" s="156" t="inlineStr">
        <is>
          <t>Alta 01/10/2026 desde Hoja2 (fila 43) | 01/10/2026: Odoo Universal Unique Brands trae Género «Unisex» — se conservó el valor de Productos | Homologación G1522 06/10/2026: Validador Shopify: WB: precio con IVA no termina en 9</t>
        </is>
      </c>
      <c r="AI252" s="156" t="n"/>
      <c r="AJ252" s="156" t="n"/>
      <c r="AK252" s="155" t="inlineStr">
        <is>
          <t>Hoja2: fila 43 | Odoo: producto 27099 / plantilla 33799</t>
        </is>
      </c>
      <c r="AL252" s="58" t="n"/>
      <c r="AM252" s="58" t="n"/>
      <c r="AN252" s="155" t="inlineStr">
        <is>
          <t>Odoo Universal Unique Brands</t>
        </is>
      </c>
      <c r="AO252" s="59" t="n"/>
      <c r="AP252" s="59" t="n"/>
      <c r="AQ252" s="59" t="n">
        <v>-3</v>
      </c>
      <c r="AR252" s="155" t="n"/>
    </row>
    <row r="253">
      <c r="A253" s="50" t="inlineStr">
        <is>
          <t>717325217197</t>
        </is>
      </c>
      <c r="B253" s="51" t="inlineStr">
        <is>
          <t>27103</t>
        </is>
      </c>
      <c r="C253" s="156" t="inlineStr">
        <is>
          <t>Montana West</t>
        </is>
      </c>
      <c r="D253" s="156" t="inlineStr">
        <is>
          <t>MW1329-8360BR</t>
        </is>
      </c>
      <c r="E253" s="156" t="inlineStr">
        <is>
          <t>MW1329-8360BR</t>
        </is>
      </c>
      <c r="F253" s="156" t="inlineStr">
        <is>
          <t>Talla única</t>
        </is>
      </c>
      <c r="G253" s="156" t="inlineStr">
        <is>
          <t>One Size</t>
        </is>
      </c>
      <c r="H253" s="156" t="inlineStr">
        <is>
          <t>Montana West</t>
        </is>
      </c>
      <c r="I253" s="156" t="inlineStr">
        <is>
          <t>Bolsa Montana West Café</t>
        </is>
      </c>
      <c r="J253" s="156" t="inlineStr">
        <is>
          <t>Accesorios</t>
        </is>
      </c>
      <c r="K253" s="156" t="inlineStr">
        <is>
          <t>Bolsos</t>
        </is>
      </c>
      <c r="L253" s="156" t="inlineStr">
        <is>
          <t>Mujer</t>
        </is>
      </c>
      <c r="M253" s="156" t="inlineStr">
        <is>
          <t>Montana West</t>
        </is>
      </c>
      <c r="N253" s="156" t="n"/>
      <c r="O253" s="156" t="inlineStr">
        <is>
          <t>Core</t>
        </is>
      </c>
      <c r="P253" s="156" t="inlineStr">
        <is>
          <t>Cafe</t>
        </is>
      </c>
      <c r="Q253" s="156" t="n"/>
      <c r="R253" s="156" t="n"/>
      <c r="S253" s="156" t="n"/>
      <c r="T253" s="156" t="inlineStr">
        <is>
          <t>Bolsa Montana West. Color: Café. Talla única. Mujer. Referencia: MW1329-8360BR.</t>
        </is>
      </c>
      <c r="U253" s="156" t="n"/>
      <c r="V253" s="156" t="inlineStr">
        <is>
          <t>PZS</t>
        </is>
      </c>
      <c r="W253" s="51" t="inlineStr">
        <is>
          <t>53121601</t>
        </is>
      </c>
      <c r="X253" s="156" t="n"/>
      <c r="Y253" s="54" t="n">
        <v>354.2</v>
      </c>
      <c r="Z253" s="54" t="n">
        <v>599</v>
      </c>
      <c r="AA253" s="55">
        <f>IF(AND(A253="", B253="", E253=""), "", IF(AB253="", "Válido", IF((LEN(AB253)-LEN(SUBSTITUTE(AB253,"; ","")))/2+1&gt;(LEN(AB253)-LEN(SUBSTITUTE(AB253,"[Aviso]","")))/7, "Con Incidencias", "Válido")))</f>
        <v/>
      </c>
      <c r="AB253" s="56">
        <f>IF(AND(A253="", B253="", E253=""), "", TEXTJOIN("; ", TRUE, IF(OR(TRIM(A253&amp;"")="", ISNUMBER(SEARCH("FALTA", A253))), "UPC faltante/inválido", ""), IF(AND(A253&lt;&gt;"", IFERROR(_xlfn.XMATCH(A253,$A$2:$A$1063,0,1)&lt;&gt;_xlfn.XMATCH(A253,$A$2:$A$1063,0,-1),FALSE)), "Código de barras duplicado", ""), IF(AND(E253&lt;&gt;"", COUNTIF($E$2:$E$1063, E253)&gt;1), "SKU duplicado", ""), IF(OR(J253="", J253=""), "[Aviso] División no capturada ()", IF(ISNA(MATCH(J253, Criterios!$A$123:$A$126, 0)), "División no válida", "")), IF(OR(K253="", K253=""), "[Aviso] Categoría no capturada ()", IF(ISNA(MATCH(K253, Criterios!$A$81:$A$120, 0)), "Categoría no válida", IF(AND(J253&lt;&gt;"", J253&lt;&gt;"", J253&lt;&gt;VLOOKUP(K253, Criterios!$A$81:$B$120, 2, FALSE)), "División no coincide con Categoría", ""))), IF(OR(L253="", L253=""), "[Aviso] Género no capturado ()", IF(ISNA(MATCH(L253, Criterios!$B$123:$B$127, 0)), "Género no válido", "")), IF(OR(N253="", N253=""), "[Aviso] Temporada no capturada ()", IF(ISNA(MATCH(N253, Criterios!$C$123:$C$128, 0)), "Temporada no válida", "")), IF(OR(O253="", O253=""), "[Aviso] Ciclo de vida no capturado ()", IF(ISNA(MATCH(O253, Criterios!$D$123:$D$124, 0)), "Ciclo de vida no válido", ""))))</f>
        <v/>
      </c>
      <c r="AC253" s="56" t="n"/>
      <c r="AD253" s="51" t="n"/>
      <c r="AE253" s="156" t="n"/>
      <c r="AF253" s="51" t="n"/>
      <c r="AG253" s="156" t="inlineStr">
        <is>
          <t>Nuevo – Carga Hoja2 01/10/2026</t>
        </is>
      </c>
      <c r="AH253" s="156" t="inlineStr">
        <is>
          <t>Alta 01/10/2026 desde Hoja2 (fila 44) | 01/10/2026: Odoo Universal Unique Brands trae Género «Unisex» — se conservó el valor de Productos | Homologación G1522 06/10/2026: Validador Shopify: WB: precio con IVA no termina en 9</t>
        </is>
      </c>
      <c r="AI253" s="156" t="n"/>
      <c r="AJ253" s="156" t="n"/>
      <c r="AK253" s="155" t="inlineStr">
        <is>
          <t>Hoja2: fila 44 | Odoo: producto 27103 / plantilla 33803</t>
        </is>
      </c>
      <c r="AL253" s="58" t="n"/>
      <c r="AM253" s="58" t="n"/>
      <c r="AN253" s="155" t="inlineStr">
        <is>
          <t>Odoo Universal Unique Brands</t>
        </is>
      </c>
      <c r="AO253" s="59" t="n"/>
      <c r="AP253" s="59" t="n"/>
      <c r="AQ253" s="59" t="n">
        <v>1</v>
      </c>
      <c r="AR253" s="155" t="inlineStr">
        <is>
          <t>Odoo Universal Unique Brands › Bodega 25 › Bodega 25/General: 1</t>
        </is>
      </c>
    </row>
    <row r="254">
      <c r="A254" s="50" t="n"/>
      <c r="B254" s="51" t="inlineStr">
        <is>
          <t>27104</t>
        </is>
      </c>
      <c r="C254" s="156" t="inlineStr">
        <is>
          <t>Montana West</t>
        </is>
      </c>
      <c r="D254" s="156" t="n"/>
      <c r="E254" s="156" t="inlineStr">
        <is>
          <t>MW1329-8360CF</t>
        </is>
      </c>
      <c r="F254" s="156" t="inlineStr">
        <is>
          <t>Talla única</t>
        </is>
      </c>
      <c r="G254" s="156" t="inlineStr">
        <is>
          <t>One Size</t>
        </is>
      </c>
      <c r="H254" s="156" t="inlineStr">
        <is>
          <t>Montana West</t>
        </is>
      </c>
      <c r="I254" s="156" t="inlineStr">
        <is>
          <t>MW BAG</t>
        </is>
      </c>
      <c r="J254" s="156" t="inlineStr">
        <is>
          <t>Accesorios</t>
        </is>
      </c>
      <c r="K254" s="156" t="inlineStr">
        <is>
          <t>Bolsos</t>
        </is>
      </c>
      <c r="L254" s="156" t="inlineStr">
        <is>
          <t>Unisex</t>
        </is>
      </c>
      <c r="M254" s="156" t="n"/>
      <c r="N254" s="156" t="n"/>
      <c r="O254" s="156" t="n"/>
      <c r="P254" s="156" t="n"/>
      <c r="Q254" s="156" t="n"/>
      <c r="R254" s="156" t="n"/>
      <c r="S254" s="156" t="n"/>
      <c r="T254" s="156" t="n"/>
      <c r="U254" s="156" t="n"/>
      <c r="V254" s="156" t="inlineStr">
        <is>
          <t>PZS</t>
        </is>
      </c>
      <c r="W254" s="51" t="inlineStr">
        <is>
          <t>53121601</t>
        </is>
      </c>
      <c r="X254" s="156" t="n"/>
      <c r="Y254" s="54" t="n">
        <v>354.2</v>
      </c>
      <c r="Z254" s="54" t="n">
        <v>599</v>
      </c>
      <c r="AA254" s="55">
        <f>IF(AND(A254="", B254="", E254=""), "", IF(AB254="", "Válido", IF((LEN(AB254)-LEN(SUBSTITUTE(AB254,"; ","")))/2+1&gt;(LEN(AB254)-LEN(SUBSTITUTE(AB254,"[Aviso]","")))/7, "Con Incidencias", "Válido")))</f>
        <v/>
      </c>
      <c r="AB254" s="56">
        <f>IF(AND(A254="", B254="", E254=""), "", TEXTJOIN("; ", TRUE, IF(OR(TRIM(A254&amp;"")="", ISNUMBER(SEARCH("FALTA", A254))), "UPC faltante/inválido", ""), IF(AND(A254&lt;&gt;"", IFERROR(_xlfn.XMATCH(A254,$A$2:$A$1063,0,1)&lt;&gt;_xlfn.XMATCH(A254,$A$2:$A$1063,0,-1),FALSE)), "Código de barras duplicado", ""), IF(AND(E254&lt;&gt;"", COUNTIF($E$2:$E$1063, E254)&gt;1), "SKU duplicado", ""), IF(OR(J254="", J254=""), "[Aviso] División no capturada ()", IF(ISNA(MATCH(J254, Criterios!$A$123:$A$126, 0)), "División no válida", "")), IF(OR(K254="", K254=""), "[Aviso] Categoría no capturada ()", IF(ISNA(MATCH(K254, Criterios!$A$81:$A$120, 0)), "Categoría no válida", IF(AND(J254&lt;&gt;"", J254&lt;&gt;"", J254&lt;&gt;VLOOKUP(K254, Criterios!$A$81:$B$120, 2, FALSE)), "División no coincide con Categoría", ""))), IF(OR(L254="", L254=""), "[Aviso] Género no capturado ()", IF(ISNA(MATCH(L254, Criterios!$B$123:$B$127, 0)), "Género no válido", "")), IF(OR(N254="", N254=""), "[Aviso] Temporada no capturada ()", IF(ISNA(MATCH(N254, Criterios!$C$123:$C$128, 0)), "Temporada no válida", "")), IF(OR(O254="", O254=""), "[Aviso] Ciclo de vida no capturado ()", IF(ISNA(MATCH(O254, Criterios!$D$123:$D$124, 0)), "Ciclo de vida no válido", ""))))</f>
        <v/>
      </c>
      <c r="AC254" s="56" t="n"/>
      <c r="AD254" s="51" t="n"/>
      <c r="AE254" s="156" t="n"/>
      <c r="AF254" s="51" t="n"/>
      <c r="AG254" s="156" t="inlineStr">
        <is>
          <t>Nuevo – Carga Hoja2 01/10/2026</t>
        </is>
      </c>
      <c r="AH254" s="156" t="inlineStr">
        <is>
          <t>Alta 01/10/2026 desde Hoja2 (fila 45)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254" s="156" t="n"/>
      <c r="AJ254" s="156" t="n"/>
      <c r="AK254" s="155" t="inlineStr">
        <is>
          <t>Hoja2: fila 45 | Odoo: producto 27104 / plantilla 33804</t>
        </is>
      </c>
      <c r="AL254" s="58" t="n"/>
      <c r="AM254" s="58" t="n"/>
      <c r="AN254" s="155" t="inlineStr">
        <is>
          <t>Odoo Universal Unique Brands</t>
        </is>
      </c>
      <c r="AO254" s="59" t="n"/>
      <c r="AP254" s="59" t="n"/>
      <c r="AQ254" s="59" t="n">
        <v>0</v>
      </c>
      <c r="AR254" s="155" t="n"/>
    </row>
    <row r="255">
      <c r="A255" s="50" t="inlineStr">
        <is>
          <t>717325217210</t>
        </is>
      </c>
      <c r="B255" s="51" t="inlineStr">
        <is>
          <t>11267</t>
        </is>
      </c>
      <c r="C255" s="156" t="inlineStr">
        <is>
          <t>Montana West</t>
        </is>
      </c>
      <c r="D255" s="156" t="inlineStr">
        <is>
          <t>MW1329-8360TN</t>
        </is>
      </c>
      <c r="E255" s="156" t="inlineStr">
        <is>
          <t>MW1329-8360TN</t>
        </is>
      </c>
      <c r="F255" s="156" t="inlineStr">
        <is>
          <t>Talla única</t>
        </is>
      </c>
      <c r="G255" s="156" t="inlineStr">
        <is>
          <t>One Size</t>
        </is>
      </c>
      <c r="H255" s="156" t="inlineStr">
        <is>
          <t>Montana West</t>
        </is>
      </c>
      <c r="I255" s="156" t="inlineStr">
        <is>
          <t>Bolsa Montana West Camel</t>
        </is>
      </c>
      <c r="J255" s="156" t="inlineStr">
        <is>
          <t>Accesorios</t>
        </is>
      </c>
      <c r="K255" s="156" t="inlineStr">
        <is>
          <t>Bolsos</t>
        </is>
      </c>
      <c r="L255" s="156" t="inlineStr">
        <is>
          <t>Mujer</t>
        </is>
      </c>
      <c r="M255" s="156" t="inlineStr">
        <is>
          <t>Montana West</t>
        </is>
      </c>
      <c r="N255" s="156" t="n"/>
      <c r="O255" s="156" t="inlineStr">
        <is>
          <t>Core</t>
        </is>
      </c>
      <c r="P255" s="156" t="inlineStr">
        <is>
          <t>Beige</t>
        </is>
      </c>
      <c r="Q255" s="156" t="n"/>
      <c r="R255" s="156" t="n"/>
      <c r="S255" s="156" t="n"/>
      <c r="T255" s="156" t="inlineStr">
        <is>
          <t>Bolsa Montana West. Color: Camel. Talla única. Mujer. Referencia: MW1329-8360TN.</t>
        </is>
      </c>
      <c r="U255" s="156" t="n"/>
      <c r="V255" s="156" t="inlineStr">
        <is>
          <t>PZS</t>
        </is>
      </c>
      <c r="W255" s="51" t="inlineStr">
        <is>
          <t>53121601</t>
        </is>
      </c>
      <c r="X255" s="156" t="n"/>
      <c r="Y255" s="54" t="n">
        <v>379.5</v>
      </c>
      <c r="Z255" s="54" t="n">
        <v>569</v>
      </c>
      <c r="AA255" s="55">
        <f>IF(AND(A255="", B255="", E255=""), "", IF(AB255="", "Válido", IF((LEN(AB255)-LEN(SUBSTITUTE(AB255,"; ","")))/2+1&gt;(LEN(AB255)-LEN(SUBSTITUTE(AB255,"[Aviso]","")))/7, "Con Incidencias", "Válido")))</f>
        <v/>
      </c>
      <c r="AB255" s="56">
        <f>IF(AND(A255="", B255="", E255=""), "", TEXTJOIN("; ", TRUE, IF(OR(TRIM(A255&amp;"")="", ISNUMBER(SEARCH("FALTA", A255))), "UPC faltante/inválido", ""), IF(AND(A255&lt;&gt;"", IFERROR(_xlfn.XMATCH(A255,$A$2:$A$1063,0,1)&lt;&gt;_xlfn.XMATCH(A255,$A$2:$A$1063,0,-1),FALSE)), "Código de barras duplicado", ""), IF(AND(E255&lt;&gt;"", COUNTIF($E$2:$E$1063, E255)&gt;1), "SKU duplicado", ""), IF(OR(J255="", J255=""), "[Aviso] División no capturada ()", IF(ISNA(MATCH(J255, Criterios!$A$123:$A$126, 0)), "División no válida", "")), IF(OR(K255="", K255=""), "[Aviso] Categoría no capturada ()", IF(ISNA(MATCH(K255, Criterios!$A$81:$A$120, 0)), "Categoría no válida", IF(AND(J255&lt;&gt;"", J255&lt;&gt;"", J255&lt;&gt;VLOOKUP(K255, Criterios!$A$81:$B$120, 2, FALSE)), "División no coincide con Categoría", ""))), IF(OR(L255="", L255=""), "[Aviso] Género no capturado ()", IF(ISNA(MATCH(L255, Criterios!$B$123:$B$127, 0)), "Género no válido", "")), IF(OR(N255="", N255=""), "[Aviso] Temporada no capturada ()", IF(ISNA(MATCH(N255, Criterios!$C$123:$C$128, 0)), "Temporada no válida", "")), IF(OR(O255="", O255=""), "[Aviso] Ciclo de vida no capturado ()", IF(ISNA(MATCH(O255, Criterios!$D$123:$D$124, 0)), "Ciclo de vida no válido", ""))))</f>
        <v/>
      </c>
      <c r="AC255" s="56" t="n"/>
      <c r="AD255" s="51" t="n"/>
      <c r="AE255" s="156" t="n"/>
      <c r="AF255" s="51" t="n"/>
      <c r="AG255" s="156" t="inlineStr">
        <is>
          <t>Nuevo – Carga Hoja2 01/10/2026</t>
        </is>
      </c>
      <c r="AH255" s="156" t="inlineStr">
        <is>
          <t>Alta 01/10/2026 desde Hoja2 (fila 47) | 01/10/2026: Odoo Universal Unique Brands trae Género «Unisex» — se conservó el valor de Productos | 01/10/2026: Odoo Universal Unique Brands trae Género «Unisex» — se conservó el valor de Productos | Homologación G1522 06/10/2026: Validador Shopify: WB: precio con IVA no termina en 9</t>
        </is>
      </c>
      <c r="AI255" s="156" t="n"/>
      <c r="AJ255" s="156" t="n"/>
      <c r="AK255" s="155" t="inlineStr">
        <is>
          <t>Hoja2: fila 47 | Odoo: producto 11267 / plantilla 14702 | Odoo: producto 27105 / plantilla 33805</t>
        </is>
      </c>
      <c r="AL255" s="58" t="n"/>
      <c r="AM255" s="58" t="n"/>
      <c r="AN255" s="155" t="inlineStr">
        <is>
          <t>Odoo Universal Unique Brands</t>
        </is>
      </c>
      <c r="AO255" s="59" t="n"/>
      <c r="AP255" s="59" t="n"/>
      <c r="AQ255" s="59" t="n">
        <v>23</v>
      </c>
      <c r="AR255" s="155" t="inlineStr">
        <is>
          <t>Odoo Universal Unique Brands › Bodega 25 › Bodega 25/General: 11 | Odoo Universal Unique Brands › Bodega 25 › Bodega 25/General: 12</t>
        </is>
      </c>
    </row>
    <row r="256">
      <c r="A256" s="50" t="inlineStr">
        <is>
          <t>717325224096</t>
        </is>
      </c>
      <c r="B256" s="51" t="inlineStr">
        <is>
          <t>27106</t>
        </is>
      </c>
      <c r="C256" s="156" t="inlineStr">
        <is>
          <t>Montana West</t>
        </is>
      </c>
      <c r="D256" s="156" t="inlineStr">
        <is>
          <t>MW1330G-8317LGN</t>
        </is>
      </c>
      <c r="E256" s="156" t="inlineStr">
        <is>
          <t>MW1330G-8317LGN</t>
        </is>
      </c>
      <c r="F256" s="156" t="inlineStr">
        <is>
          <t>Talla única</t>
        </is>
      </c>
      <c r="G256" s="156" t="inlineStr">
        <is>
          <t>One Size</t>
        </is>
      </c>
      <c r="H256" s="156" t="inlineStr">
        <is>
          <t>Montana West</t>
        </is>
      </c>
      <c r="I256" s="156" t="inlineStr">
        <is>
          <t>Bolsa Montana West Verde Claro</t>
        </is>
      </c>
      <c r="J256" s="156" t="inlineStr">
        <is>
          <t>Accesorios</t>
        </is>
      </c>
      <c r="K256" s="156" t="inlineStr">
        <is>
          <t>Bolsos</t>
        </is>
      </c>
      <c r="L256" s="156" t="inlineStr">
        <is>
          <t>Mujer</t>
        </is>
      </c>
      <c r="M256" s="156" t="inlineStr">
        <is>
          <t>Montana West</t>
        </is>
      </c>
      <c r="N256" s="156" t="n"/>
      <c r="O256" s="156" t="inlineStr">
        <is>
          <t>Core</t>
        </is>
      </c>
      <c r="P256" s="156" t="inlineStr">
        <is>
          <t>Verde</t>
        </is>
      </c>
      <c r="Q256" s="156" t="n"/>
      <c r="R256" s="156" t="n"/>
      <c r="S256" s="156" t="n"/>
      <c r="T256" s="156" t="inlineStr">
        <is>
          <t>Bolsa Montana West. Color: Verde Claro. Talla única. Mujer. Referencia: MW1330G-8317LGN.</t>
        </is>
      </c>
      <c r="U256" s="156" t="n"/>
      <c r="V256" s="156" t="inlineStr">
        <is>
          <t>PZS</t>
        </is>
      </c>
      <c r="W256" s="51" t="inlineStr">
        <is>
          <t>53121601</t>
        </is>
      </c>
      <c r="X256" s="156" t="n"/>
      <c r="Y256" s="54" t="n">
        <v>466.9</v>
      </c>
      <c r="Z256" s="54" t="n">
        <v>749</v>
      </c>
      <c r="AA256" s="55">
        <f>IF(AND(A256="", B256="", E256=""), "", IF(AB256="", "Válido", IF((LEN(AB256)-LEN(SUBSTITUTE(AB256,"; ","")))/2+1&gt;(LEN(AB256)-LEN(SUBSTITUTE(AB256,"[Aviso]","")))/7, "Con Incidencias", "Válido")))</f>
        <v/>
      </c>
      <c r="AB256" s="56">
        <f>IF(AND(A256="", B256="", E256=""), "", TEXTJOIN("; ", TRUE, IF(OR(TRIM(A256&amp;"")="", ISNUMBER(SEARCH("FALTA", A256))), "UPC faltante/inválido", ""), IF(AND(A256&lt;&gt;"", IFERROR(_xlfn.XMATCH(A256,$A$2:$A$1063,0,1)&lt;&gt;_xlfn.XMATCH(A256,$A$2:$A$1063,0,-1),FALSE)), "Código de barras duplicado", ""), IF(AND(E256&lt;&gt;"", COUNTIF($E$2:$E$1063, E256)&gt;1), "SKU duplicado", ""), IF(OR(J256="", J256=""), "[Aviso] División no capturada ()", IF(ISNA(MATCH(J256, Criterios!$A$123:$A$126, 0)), "División no válida", "")), IF(OR(K256="", K256=""), "[Aviso] Categoría no capturada ()", IF(ISNA(MATCH(K256, Criterios!$A$81:$A$120, 0)), "Categoría no válida", IF(AND(J256&lt;&gt;"", J256&lt;&gt;"", J256&lt;&gt;VLOOKUP(K256, Criterios!$A$81:$B$120, 2, FALSE)), "División no coincide con Categoría", ""))), IF(OR(L256="", L256=""), "[Aviso] Género no capturado ()", IF(ISNA(MATCH(L256, Criterios!$B$123:$B$127, 0)), "Género no válido", "")), IF(OR(N256="", N256=""), "[Aviso] Temporada no capturada ()", IF(ISNA(MATCH(N256, Criterios!$C$123:$C$128, 0)), "Temporada no válida", "")), IF(OR(O256="", O256=""), "[Aviso] Ciclo de vida no capturado ()", IF(ISNA(MATCH(O256, Criterios!$D$123:$D$124, 0)), "Ciclo de vida no válido", ""))))</f>
        <v/>
      </c>
      <c r="AC256" s="56" t="n"/>
      <c r="AD256" s="51" t="n"/>
      <c r="AE256" s="156" t="n"/>
      <c r="AF256" s="51" t="n"/>
      <c r="AG256" s="156" t="inlineStr">
        <is>
          <t>Nuevo – Carga Hoja2 01/10/2026</t>
        </is>
      </c>
      <c r="AH256" s="156" t="inlineStr">
        <is>
          <t>Alta 01/10/2026 desde Hoja2 (fila 48) | 01/10/2026: Odoo Universal Unique Brands trae Género «Unisex» — se conservó el valor de Productos | Homologación G1522 06/10/2026: Validador Shopify: WB: precio con IVA no termina en 9</t>
        </is>
      </c>
      <c r="AI256" s="156" t="n"/>
      <c r="AJ256" s="156" t="n"/>
      <c r="AK256" s="155" t="inlineStr">
        <is>
          <t>Hoja2: fila 48 | Odoo: producto 27106 / plantilla 33806</t>
        </is>
      </c>
      <c r="AL256" s="58" t="n"/>
      <c r="AM256" s="58" t="n"/>
      <c r="AN256" s="155" t="inlineStr">
        <is>
          <t>Odoo Universal Unique Brands</t>
        </is>
      </c>
      <c r="AO256" s="59" t="n"/>
      <c r="AP256" s="59" t="n"/>
      <c r="AQ256" s="59" t="n">
        <v>3</v>
      </c>
      <c r="AR256" s="155" t="inlineStr">
        <is>
          <t>Odoo Universal Unique Brands › Bodega 25 › Bodega 25/General: 3</t>
        </is>
      </c>
    </row>
    <row r="257">
      <c r="A257" s="50" t="inlineStr">
        <is>
          <t>717325224980</t>
        </is>
      </c>
      <c r="B257" s="51" t="inlineStr">
        <is>
          <t>31008</t>
        </is>
      </c>
      <c r="C257" s="156" t="inlineStr">
        <is>
          <t>Montana West</t>
        </is>
      </c>
      <c r="D257" s="156" t="inlineStr">
        <is>
          <t>MW1332-160BK</t>
        </is>
      </c>
      <c r="E257" s="156" t="inlineStr">
        <is>
          <t>MW1332-160BK</t>
        </is>
      </c>
      <c r="F257" s="156" t="inlineStr">
        <is>
          <t>Talla única</t>
        </is>
      </c>
      <c r="G257" s="156" t="inlineStr">
        <is>
          <t>One Size</t>
        </is>
      </c>
      <c r="H257" s="156" t="inlineStr">
        <is>
          <t>Montana West</t>
        </is>
      </c>
      <c r="I257" s="156" t="inlineStr">
        <is>
          <t>Bolsa Cruzada Montana West Colección Azteca Negro</t>
        </is>
      </c>
      <c r="J257" s="156" t="inlineStr">
        <is>
          <t>Accesorios</t>
        </is>
      </c>
      <c r="K257" s="156" t="inlineStr">
        <is>
          <t>Bolsos</t>
        </is>
      </c>
      <c r="L257" s="156" t="inlineStr">
        <is>
          <t>Mujer</t>
        </is>
      </c>
      <c r="M257" s="156" t="inlineStr">
        <is>
          <t>Montana West</t>
        </is>
      </c>
      <c r="N257" s="156" t="inlineStr">
        <is>
          <t>FW26</t>
        </is>
      </c>
      <c r="O257" s="156" t="inlineStr">
        <is>
          <t>Seasonal</t>
        </is>
      </c>
      <c r="P257" s="156" t="inlineStr">
        <is>
          <t>Negro</t>
        </is>
      </c>
      <c r="Q257" s="156" t="n"/>
      <c r="R257" s="156" t="n"/>
      <c r="S257" s="156" t="n"/>
      <c r="T257" s="156" t="inlineStr">
        <is>
          <t>Bolsa Cruzada Montana West. Modelo: Colección Azteca. Color: Negro. Talla única. Mujer. Referencia: MW1332-160BK.</t>
        </is>
      </c>
      <c r="U257" s="156" t="n"/>
      <c r="V257" s="156" t="inlineStr">
        <is>
          <t>PZS</t>
        </is>
      </c>
      <c r="W257" s="51" t="inlineStr">
        <is>
          <t>53121601</t>
        </is>
      </c>
      <c r="X257" s="156" t="n"/>
      <c r="Y257" s="54" t="n">
        <v>245</v>
      </c>
      <c r="Z257" s="54" t="n">
        <v>499.5</v>
      </c>
      <c r="AA257" s="55">
        <f>IF(AND(A257="", B257="", E257=""), "", IF(AB257="", "Válido", IF((LEN(AB257)-LEN(SUBSTITUTE(AB257,"; ","")))/2+1&gt;(LEN(AB257)-LEN(SUBSTITUTE(AB257,"[Aviso]","")))/7, "Con Incidencias", "Válido")))</f>
        <v/>
      </c>
      <c r="AB257" s="56">
        <f>IF(AND(A257="", B257="", E257=""), "", TEXTJOIN("; ", TRUE, IF(OR(TRIM(A257&amp;"")="", ISNUMBER(SEARCH("FALTA", A257))), "UPC faltante/inválido", ""), IF(AND(A257&lt;&gt;"", IFERROR(_xlfn.XMATCH(A257,$A$2:$A$1063,0,1)&lt;&gt;_xlfn.XMATCH(A257,$A$2:$A$1063,0,-1),FALSE)), "Código de barras duplicado", ""), IF(AND(E257&lt;&gt;"", COUNTIF($E$2:$E$1063, E257)&gt;1), "SKU duplicado", ""), IF(OR(J257="", J257=""), "[Aviso] División no capturada ()", IF(ISNA(MATCH(J257, Criterios!$A$123:$A$126, 0)), "División no válida", "")), IF(OR(K257="", K257=""), "[Aviso] Categoría no capturada ()", IF(ISNA(MATCH(K257, Criterios!$A$81:$A$120, 0)), "Categoría no válida", IF(AND(J257&lt;&gt;"", J257&lt;&gt;"", J257&lt;&gt;VLOOKUP(K257, Criterios!$A$81:$B$120, 2, FALSE)), "División no coincide con Categoría", ""))), IF(OR(L257="", L257=""), "[Aviso] Género no capturado ()", IF(ISNA(MATCH(L257, Criterios!$B$123:$B$127, 0)), "Género no válido", "")), IF(OR(N257="", N257=""), "[Aviso] Temporada no capturada ()", IF(ISNA(MATCH(N257, Criterios!$C$123:$C$128, 0)), "Temporada no válida", "")), IF(OR(O257="", O257=""), "[Aviso] Ciclo de vida no capturado ()", IF(ISNA(MATCH(O257, Criterios!$D$123:$D$124, 0)), "Ciclo de vida no válido", ""))))</f>
        <v/>
      </c>
      <c r="AC257" s="56" t="n"/>
      <c r="AD257" s="51" t="n"/>
      <c r="AE257" s="156" t="n"/>
      <c r="AF257" s="51" t="n"/>
      <c r="AG257" s="156" t="inlineStr">
        <is>
          <t>Nuevo – Carga Hoja2 01/10/2026</t>
        </is>
      </c>
      <c r="AH257" s="156" t="inlineStr">
        <is>
          <t>Alta 01/10/2026 desde Hoja2 (fila 49) | 01/10/2026: Odoo Universal Unique Brands trae Género «Unisex» — se conservó el valor de Productos</t>
        </is>
      </c>
      <c r="AI257" s="156" t="n"/>
      <c r="AJ257" s="156" t="n"/>
      <c r="AK257" s="155" t="inlineStr">
        <is>
          <t>Hoja2: fila 49 | Odoo: producto 31008 / plantilla 39667</t>
        </is>
      </c>
      <c r="AL257" s="58" t="n"/>
      <c r="AM257" s="58" t="n"/>
      <c r="AN257" s="155" t="inlineStr">
        <is>
          <t>Odoo Universal Unique Brands</t>
        </is>
      </c>
      <c r="AO257" s="59" t="n"/>
      <c r="AP257" s="59" t="n"/>
      <c r="AQ257" s="59" t="n">
        <v>6</v>
      </c>
      <c r="AR257" s="155" t="inlineStr">
        <is>
          <t>Odoo Universal Unique Brands › Bodega 25 › Bodega 25/General: 6</t>
        </is>
      </c>
    </row>
    <row r="258">
      <c r="A258" s="50" t="inlineStr">
        <is>
          <t>717325224997</t>
        </is>
      </c>
      <c r="B258" s="51" t="inlineStr">
        <is>
          <t>31007</t>
        </is>
      </c>
      <c r="C258" s="156" t="inlineStr">
        <is>
          <t>Montana West</t>
        </is>
      </c>
      <c r="D258" s="156" t="inlineStr">
        <is>
          <t>MW1332-160BR</t>
        </is>
      </c>
      <c r="E258" s="156" t="inlineStr">
        <is>
          <t>MW1332-160BR</t>
        </is>
      </c>
      <c r="F258" s="156" t="inlineStr">
        <is>
          <t>Talla única</t>
        </is>
      </c>
      <c r="G258" s="156" t="inlineStr">
        <is>
          <t>One Size</t>
        </is>
      </c>
      <c r="H258" s="156" t="inlineStr">
        <is>
          <t>Montana West</t>
        </is>
      </c>
      <c r="I258" s="156" t="inlineStr">
        <is>
          <t>Bolsa Cruzada Montana West Colección Azteca Café</t>
        </is>
      </c>
      <c r="J258" s="156" t="inlineStr">
        <is>
          <t>Accesorios</t>
        </is>
      </c>
      <c r="K258" s="156" t="inlineStr">
        <is>
          <t>Bolsos</t>
        </is>
      </c>
      <c r="L258" s="156" t="inlineStr">
        <is>
          <t>Mujer</t>
        </is>
      </c>
      <c r="M258" s="156" t="inlineStr">
        <is>
          <t>Montana West</t>
        </is>
      </c>
      <c r="N258" s="156" t="inlineStr">
        <is>
          <t>FW26</t>
        </is>
      </c>
      <c r="O258" s="156" t="inlineStr">
        <is>
          <t>Seasonal</t>
        </is>
      </c>
      <c r="P258" s="156" t="inlineStr">
        <is>
          <t>Cafe</t>
        </is>
      </c>
      <c r="Q258" s="156" t="n"/>
      <c r="R258" s="156" t="n"/>
      <c r="S258" s="156" t="n"/>
      <c r="T258" s="156" t="inlineStr">
        <is>
          <t>Bolsa Cruzada Montana West. Modelo: Colección Azteca. Color: Café. Talla única. Mujer. Referencia: MW1332-160BR.</t>
        </is>
      </c>
      <c r="U258" s="156" t="n"/>
      <c r="V258" s="156" t="inlineStr">
        <is>
          <t>PZS</t>
        </is>
      </c>
      <c r="W258" s="51" t="inlineStr">
        <is>
          <t>53121601</t>
        </is>
      </c>
      <c r="X258" s="156" t="n"/>
      <c r="Y258" s="54" t="n">
        <v>245</v>
      </c>
      <c r="Z258" s="54" t="n">
        <v>499.5</v>
      </c>
      <c r="AA258" s="55">
        <f>IF(AND(A258="", B258="", E258=""), "", IF(AB258="", "Válido", IF((LEN(AB258)-LEN(SUBSTITUTE(AB258,"; ","")))/2+1&gt;(LEN(AB258)-LEN(SUBSTITUTE(AB258,"[Aviso]","")))/7, "Con Incidencias", "Válido")))</f>
        <v/>
      </c>
      <c r="AB258" s="56">
        <f>IF(AND(A258="", B258="", E258=""), "", TEXTJOIN("; ", TRUE, IF(OR(TRIM(A258&amp;"")="", ISNUMBER(SEARCH("FALTA", A258))), "UPC faltante/inválido", ""), IF(AND(A258&lt;&gt;"", IFERROR(_xlfn.XMATCH(A258,$A$2:$A$1063,0,1)&lt;&gt;_xlfn.XMATCH(A258,$A$2:$A$1063,0,-1),FALSE)), "Código de barras duplicado", ""), IF(AND(E258&lt;&gt;"", COUNTIF($E$2:$E$1063, E258)&gt;1), "SKU duplicado", ""), IF(OR(J258="", J258=""), "[Aviso] División no capturada ()", IF(ISNA(MATCH(J258, Criterios!$A$123:$A$126, 0)), "División no válida", "")), IF(OR(K258="", K258=""), "[Aviso] Categoría no capturada ()", IF(ISNA(MATCH(K258, Criterios!$A$81:$A$120, 0)), "Categoría no válida", IF(AND(J258&lt;&gt;"", J258&lt;&gt;"", J258&lt;&gt;VLOOKUP(K258, Criterios!$A$81:$B$120, 2, FALSE)), "División no coincide con Categoría", ""))), IF(OR(L258="", L258=""), "[Aviso] Género no capturado ()", IF(ISNA(MATCH(L258, Criterios!$B$123:$B$127, 0)), "Género no válido", "")), IF(OR(N258="", N258=""), "[Aviso] Temporada no capturada ()", IF(ISNA(MATCH(N258, Criterios!$C$123:$C$128, 0)), "Temporada no válida", "")), IF(OR(O258="", O258=""), "[Aviso] Ciclo de vida no capturado ()", IF(ISNA(MATCH(O258, Criterios!$D$123:$D$124, 0)), "Ciclo de vida no válido", ""))))</f>
        <v/>
      </c>
      <c r="AC258" s="56" t="n"/>
      <c r="AD258" s="51" t="n"/>
      <c r="AE258" s="156" t="n"/>
      <c r="AF258" s="51" t="n"/>
      <c r="AG258" s="156" t="inlineStr">
        <is>
          <t>Nuevo – Carga Hoja2 01/10/2026</t>
        </is>
      </c>
      <c r="AH258" s="156" t="inlineStr">
        <is>
          <t>Alta 01/10/2026 desde Hoja2 (fila 50) | 01/10/2026: Odoo Universal Unique Brands trae Género «Unisex», Color «Varios» — se conservó el valor de Productos</t>
        </is>
      </c>
      <c r="AI258" s="156" t="n"/>
      <c r="AJ258" s="156" t="n"/>
      <c r="AK258" s="155" t="inlineStr">
        <is>
          <t>Hoja2: fila 50 | Odoo: producto 31007 / plantilla 39667</t>
        </is>
      </c>
      <c r="AL258" s="58" t="n"/>
      <c r="AM258" s="58" t="n"/>
      <c r="AN258" s="155" t="inlineStr">
        <is>
          <t>Odoo Universal Unique Brands</t>
        </is>
      </c>
      <c r="AO258" s="59" t="n"/>
      <c r="AP258" s="59" t="n"/>
      <c r="AQ258" s="59" t="n">
        <v>-4</v>
      </c>
      <c r="AR258" s="155" t="n"/>
    </row>
    <row r="259">
      <c r="A259" s="50" t="inlineStr">
        <is>
          <t>717325225017</t>
        </is>
      </c>
      <c r="B259" s="51" t="inlineStr">
        <is>
          <t>11260</t>
        </is>
      </c>
      <c r="C259" s="156" t="inlineStr">
        <is>
          <t>Montana West</t>
        </is>
      </c>
      <c r="D259" s="156" t="inlineStr">
        <is>
          <t>MW1332-160TN</t>
        </is>
      </c>
      <c r="E259" s="156" t="inlineStr">
        <is>
          <t>MW1332-160TN</t>
        </is>
      </c>
      <c r="F259" s="156" t="inlineStr">
        <is>
          <t>Talla única</t>
        </is>
      </c>
      <c r="G259" s="156" t="inlineStr">
        <is>
          <t>One Size</t>
        </is>
      </c>
      <c r="H259" s="156" t="inlineStr">
        <is>
          <t>Montana West</t>
        </is>
      </c>
      <c r="I259" s="156" t="inlineStr">
        <is>
          <t>Bolsa Cruzada Montana West Colección Azteca Camel</t>
        </is>
      </c>
      <c r="J259" s="156" t="inlineStr">
        <is>
          <t>Accesorios</t>
        </is>
      </c>
      <c r="K259" s="156" t="inlineStr">
        <is>
          <t>Bolsos</t>
        </is>
      </c>
      <c r="L259" s="156" t="inlineStr">
        <is>
          <t>Mujer</t>
        </is>
      </c>
      <c r="M259" s="156" t="inlineStr">
        <is>
          <t>Montana West</t>
        </is>
      </c>
      <c r="N259" s="156" t="n"/>
      <c r="O259" s="156" t="inlineStr">
        <is>
          <t>Core</t>
        </is>
      </c>
      <c r="P259" s="156" t="inlineStr">
        <is>
          <t>Beige</t>
        </is>
      </c>
      <c r="Q259" s="156" t="n"/>
      <c r="R259" s="156" t="n"/>
      <c r="S259" s="156" t="n"/>
      <c r="T259" s="156" t="inlineStr">
        <is>
          <t>Bolsa Cruzada Montana West. Modelo: Colección Azteca. Color: Camel. Talla única. Mujer. Referencia: MW1332-160TN.</t>
        </is>
      </c>
      <c r="U259" s="156" t="n"/>
      <c r="V259" s="156" t="inlineStr">
        <is>
          <t>PZS</t>
        </is>
      </c>
      <c r="W259" s="51" t="inlineStr">
        <is>
          <t>53121601</t>
        </is>
      </c>
      <c r="X259" s="156" t="n"/>
      <c r="Y259" s="54" t="n">
        <v>345</v>
      </c>
      <c r="Z259" s="54" t="n">
        <v>519</v>
      </c>
      <c r="AA259" s="55">
        <f>IF(AND(A259="", B259="", E259=""), "", IF(AB259="", "Válido", IF((LEN(AB259)-LEN(SUBSTITUTE(AB259,"; ","")))/2+1&gt;(LEN(AB259)-LEN(SUBSTITUTE(AB259,"[Aviso]","")))/7, "Con Incidencias", "Válido")))</f>
        <v/>
      </c>
      <c r="AB259" s="56">
        <f>IF(AND(A259="", B259="", E259=""), "", TEXTJOIN("; ", TRUE, IF(OR(TRIM(A259&amp;"")="", ISNUMBER(SEARCH("FALTA", A259))), "UPC faltante/inválido", ""), IF(AND(A259&lt;&gt;"", IFERROR(_xlfn.XMATCH(A259,$A$2:$A$1063,0,1)&lt;&gt;_xlfn.XMATCH(A259,$A$2:$A$1063,0,-1),FALSE)), "Código de barras duplicado", ""), IF(AND(E259&lt;&gt;"", COUNTIF($E$2:$E$1063, E259)&gt;1), "SKU duplicado", ""), IF(OR(J259="", J259=""), "[Aviso] División no capturada ()", IF(ISNA(MATCH(J259, Criterios!$A$123:$A$126, 0)), "División no válida", "")), IF(OR(K259="", K259=""), "[Aviso] Categoría no capturada ()", IF(ISNA(MATCH(K259, Criterios!$A$81:$A$120, 0)), "Categoría no válida", IF(AND(J259&lt;&gt;"", J259&lt;&gt;"", J259&lt;&gt;VLOOKUP(K259, Criterios!$A$81:$B$120, 2, FALSE)), "División no coincide con Categoría", ""))), IF(OR(L259="", L259=""), "[Aviso] Género no capturado ()", IF(ISNA(MATCH(L259, Criterios!$B$123:$B$127, 0)), "Género no válido", "")), IF(OR(N259="", N259=""), "[Aviso] Temporada no capturada ()", IF(ISNA(MATCH(N259, Criterios!$C$123:$C$128, 0)), "Temporada no válida", "")), IF(OR(O259="", O259=""), "[Aviso] Ciclo de vida no capturado ()", IF(ISNA(MATCH(O259, Criterios!$D$123:$D$124, 0)), "Ciclo de vida no válido", ""))))</f>
        <v/>
      </c>
      <c r="AC259" s="56" t="n"/>
      <c r="AD259" s="51" t="n"/>
      <c r="AE259" s="156" t="n"/>
      <c r="AF259" s="51" t="n"/>
      <c r="AG259" s="156" t="inlineStr">
        <is>
          <t>Nuevo – Carga Hoja2 01/10/2026</t>
        </is>
      </c>
      <c r="AH259" s="156" t="inlineStr">
        <is>
          <t>Alta 01/10/2026 desde Hoja2 (fila 51) | 01/10/2026: Odoo Universal Unique Brands trae Género «Unisex» — se conservó el valor de Productos | Homologación G1522 06/10/2026: Validador Shopify: WB: precio con IVA no termina en 9</t>
        </is>
      </c>
      <c r="AI259" s="156" t="n"/>
      <c r="AJ259" s="156" t="n"/>
      <c r="AK259" s="155" t="inlineStr">
        <is>
          <t>Hoja2: fila 51 | Odoo: producto 11260 / plantilla 14695</t>
        </is>
      </c>
      <c r="AL259" s="58" t="n"/>
      <c r="AM259" s="58" t="n"/>
      <c r="AN259" s="155" t="inlineStr">
        <is>
          <t>Odoo Universal Unique Brands</t>
        </is>
      </c>
      <c r="AO259" s="59" t="n"/>
      <c r="AP259" s="59" t="n"/>
      <c r="AQ259" s="59" t="n">
        <v>10</v>
      </c>
      <c r="AR259" s="155" t="inlineStr">
        <is>
          <t>Odoo Universal Unique Brands › Bodega 25 › Bodega 25/General: 10</t>
        </is>
      </c>
    </row>
    <row r="260">
      <c r="A260" s="50" t="inlineStr">
        <is>
          <t>717325224874</t>
        </is>
      </c>
      <c r="B260" s="51" t="inlineStr">
        <is>
          <t>15652</t>
        </is>
      </c>
      <c r="C260" s="156" t="inlineStr">
        <is>
          <t>Montana West</t>
        </is>
      </c>
      <c r="D260" s="156" t="inlineStr">
        <is>
          <t>MW1332-8322BR</t>
        </is>
      </c>
      <c r="E260" s="156" t="inlineStr">
        <is>
          <t>MW1332-8322BR</t>
        </is>
      </c>
      <c r="F260" s="156" t="inlineStr">
        <is>
          <t>Talla única</t>
        </is>
      </c>
      <c r="G260" s="156" t="inlineStr">
        <is>
          <t>One Size</t>
        </is>
      </c>
      <c r="H260" s="156" t="inlineStr">
        <is>
          <t>Montana West</t>
        </is>
      </c>
      <c r="I260" s="156" t="inlineStr">
        <is>
          <t>Bolsa Montana West Café</t>
        </is>
      </c>
      <c r="J260" s="156" t="inlineStr">
        <is>
          <t>Accesorios</t>
        </is>
      </c>
      <c r="K260" s="156" t="inlineStr">
        <is>
          <t>Bolsos</t>
        </is>
      </c>
      <c r="L260" s="156" t="inlineStr">
        <is>
          <t>Mujer</t>
        </is>
      </c>
      <c r="M260" s="156" t="inlineStr">
        <is>
          <t>Montana West</t>
        </is>
      </c>
      <c r="N260" s="156" t="n"/>
      <c r="O260" s="156" t="inlineStr">
        <is>
          <t>Core</t>
        </is>
      </c>
      <c r="P260" s="156" t="inlineStr">
        <is>
          <t>Cafe</t>
        </is>
      </c>
      <c r="Q260" s="156" t="n"/>
      <c r="R260" s="156" t="n"/>
      <c r="S260" s="156" t="n"/>
      <c r="T260" s="156" t="inlineStr">
        <is>
          <t>Bolsa Montana West. Color: Café. Talla única. Mujer. Referencia: MW1332-8322BR.</t>
        </is>
      </c>
      <c r="U260" s="156" t="n"/>
      <c r="V260" s="156" t="inlineStr">
        <is>
          <t>PZS</t>
        </is>
      </c>
      <c r="W260" s="51" t="inlineStr">
        <is>
          <t>53121601</t>
        </is>
      </c>
      <c r="X260" s="156" t="n"/>
      <c r="Y260" s="54" t="n"/>
      <c r="Z260" s="54" t="n">
        <v>629</v>
      </c>
      <c r="AA260" s="55">
        <f>IF(AND(A260="", B260="", E260=""), "", IF(AB260="", "Válido", IF((LEN(AB260)-LEN(SUBSTITUTE(AB260,"; ","")))/2+1&gt;(LEN(AB260)-LEN(SUBSTITUTE(AB260,"[Aviso]","")))/7, "Con Incidencias", "Válido")))</f>
        <v/>
      </c>
      <c r="AB260" s="56">
        <f>IF(AND(A260="", B260="", E260=""), "", TEXTJOIN("; ", TRUE, IF(OR(TRIM(A260&amp;"")="", ISNUMBER(SEARCH("FALTA", A260))), "UPC faltante/inválido", ""), IF(AND(A260&lt;&gt;"", IFERROR(_xlfn.XMATCH(A260,$A$2:$A$1063,0,1)&lt;&gt;_xlfn.XMATCH(A260,$A$2:$A$1063,0,-1),FALSE)), "Código de barras duplicado", ""), IF(AND(E260&lt;&gt;"", COUNTIF($E$2:$E$1063, E260)&gt;1), "SKU duplicado", ""), IF(OR(J260="", J260=""), "[Aviso] División no capturada ()", IF(ISNA(MATCH(J260, Criterios!$A$123:$A$126, 0)), "División no válida", "")), IF(OR(K260="", K260=""), "[Aviso] Categoría no capturada ()", IF(ISNA(MATCH(K260, Criterios!$A$81:$A$120, 0)), "Categoría no válida", IF(AND(J260&lt;&gt;"", J260&lt;&gt;"", J260&lt;&gt;VLOOKUP(K260, Criterios!$A$81:$B$120, 2, FALSE)), "División no coincide con Categoría", ""))), IF(OR(L260="", L260=""), "[Aviso] Género no capturado ()", IF(ISNA(MATCH(L260, Criterios!$B$123:$B$127, 0)), "Género no válido", "")), IF(OR(N260="", N260=""), "[Aviso] Temporada no capturada ()", IF(ISNA(MATCH(N260, Criterios!$C$123:$C$128, 0)), "Temporada no válida", "")), IF(OR(O260="", O260=""), "[Aviso] Ciclo de vida no capturado ()", IF(ISNA(MATCH(O260, Criterios!$D$123:$D$124, 0)), "Ciclo de vida no válido", ""))))</f>
        <v/>
      </c>
      <c r="AC260" s="56" t="n"/>
      <c r="AD260" s="51" t="n"/>
      <c r="AE260" s="156" t="n"/>
      <c r="AF260" s="51" t="n"/>
      <c r="AG260" s="156" t="inlineStr">
        <is>
          <t>Nuevo – Carga Hoja2 01/10/2026</t>
        </is>
      </c>
      <c r="AH260" s="156" t="inlineStr">
        <is>
          <t>Alta 01/10/2026 desde Hoja2 (fila 52); Precio de compra en 0/vacío en origen | 01/10/2026: Odoo Universal Unique Brands trae Género «Unisex» — se conservó el valor de Productos</t>
        </is>
      </c>
      <c r="AI260" s="156" t="n"/>
      <c r="AJ260" s="156" t="n"/>
      <c r="AK260" s="155" t="inlineStr">
        <is>
          <t>Hoja2: fila 52 | Odoo: producto 15652 / plantilla 20005</t>
        </is>
      </c>
      <c r="AL260" s="58" t="n"/>
      <c r="AM260" s="58" t="n"/>
      <c r="AN260" s="155" t="inlineStr">
        <is>
          <t>Odoo Universal Unique Brands</t>
        </is>
      </c>
      <c r="AO260" s="59" t="n"/>
      <c r="AP260" s="59" t="n"/>
      <c r="AQ260" s="59" t="n">
        <v>32</v>
      </c>
      <c r="AR260" s="155" t="inlineStr">
        <is>
          <t>Odoo Universal Unique Brands › Bodega 25 › Bodega 25/General: 32</t>
        </is>
      </c>
    </row>
    <row r="261">
      <c r="A261" s="50" t="inlineStr">
        <is>
          <t>717325224904</t>
        </is>
      </c>
      <c r="B261" s="51" t="inlineStr">
        <is>
          <t>11264</t>
        </is>
      </c>
      <c r="C261" s="156" t="inlineStr">
        <is>
          <t>Montana West</t>
        </is>
      </c>
      <c r="D261" s="156" t="inlineStr">
        <is>
          <t>MW1332-8322DPK</t>
        </is>
      </c>
      <c r="E261" s="156" t="inlineStr">
        <is>
          <t>MW1332-8322DPK</t>
        </is>
      </c>
      <c r="F261" s="156" t="inlineStr">
        <is>
          <t>Talla única</t>
        </is>
      </c>
      <c r="G261" s="156" t="inlineStr">
        <is>
          <t>One Size</t>
        </is>
      </c>
      <c r="H261" s="156" t="inlineStr">
        <is>
          <t>Montana West</t>
        </is>
      </c>
      <c r="I261" s="156" t="inlineStr">
        <is>
          <t>Bolsa Montana West Rosa Oscuro</t>
        </is>
      </c>
      <c r="J261" s="156" t="inlineStr">
        <is>
          <t>Accesorios</t>
        </is>
      </c>
      <c r="K261" s="156" t="inlineStr">
        <is>
          <t>Bolsos</t>
        </is>
      </c>
      <c r="L261" s="156" t="inlineStr">
        <is>
          <t>Mujer</t>
        </is>
      </c>
      <c r="M261" s="156" t="inlineStr">
        <is>
          <t>Montana West</t>
        </is>
      </c>
      <c r="N261" s="156" t="n"/>
      <c r="O261" s="156" t="inlineStr">
        <is>
          <t>Core</t>
        </is>
      </c>
      <c r="P261" s="156" t="inlineStr">
        <is>
          <t>Rosa</t>
        </is>
      </c>
      <c r="Q261" s="156" t="n"/>
      <c r="R261" s="156" t="n"/>
      <c r="S261" s="156" t="n"/>
      <c r="T261" s="156" t="inlineStr">
        <is>
          <t>Bolsa Montana West. Color: Rosa Oscuro. Talla única. Mujer. Referencia: MW1332-8322DPK.</t>
        </is>
      </c>
      <c r="U261" s="156" t="n"/>
      <c r="V261" s="156" t="inlineStr">
        <is>
          <t>PZS</t>
        </is>
      </c>
      <c r="W261" s="51" t="inlineStr">
        <is>
          <t>53121601</t>
        </is>
      </c>
      <c r="X261" s="156" t="n"/>
      <c r="Y261" s="54" t="n">
        <v>448.5</v>
      </c>
      <c r="Z261" s="54" t="n">
        <v>669</v>
      </c>
      <c r="AA261" s="55">
        <f>IF(AND(A261="", B261="", E261=""), "", IF(AB261="", "Válido", IF((LEN(AB261)-LEN(SUBSTITUTE(AB261,"; ","")))/2+1&gt;(LEN(AB261)-LEN(SUBSTITUTE(AB261,"[Aviso]","")))/7, "Con Incidencias", "Válido")))</f>
        <v/>
      </c>
      <c r="AB261" s="56">
        <f>IF(AND(A261="", B261="", E261=""), "", TEXTJOIN("; ", TRUE, IF(OR(TRIM(A261&amp;"")="", ISNUMBER(SEARCH("FALTA", A261))), "UPC faltante/inválido", ""), IF(AND(A261&lt;&gt;"", IFERROR(_xlfn.XMATCH(A261,$A$2:$A$1063,0,1)&lt;&gt;_xlfn.XMATCH(A261,$A$2:$A$1063,0,-1),FALSE)), "Código de barras duplicado", ""), IF(AND(E261&lt;&gt;"", COUNTIF($E$2:$E$1063, E261)&gt;1), "SKU duplicado", ""), IF(OR(J261="", J261=""), "[Aviso] División no capturada ()", IF(ISNA(MATCH(J261, Criterios!$A$123:$A$126, 0)), "División no válida", "")), IF(OR(K261="", K261=""), "[Aviso] Categoría no capturada ()", IF(ISNA(MATCH(K261, Criterios!$A$81:$A$120, 0)), "Categoría no válida", IF(AND(J261&lt;&gt;"", J261&lt;&gt;"", J261&lt;&gt;VLOOKUP(K261, Criterios!$A$81:$B$120, 2, FALSE)), "División no coincide con Categoría", ""))), IF(OR(L261="", L261=""), "[Aviso] Género no capturado ()", IF(ISNA(MATCH(L261, Criterios!$B$123:$B$127, 0)), "Género no válido", "")), IF(OR(N261="", N261=""), "[Aviso] Temporada no capturada ()", IF(ISNA(MATCH(N261, Criterios!$C$123:$C$128, 0)), "Temporada no válida", "")), IF(OR(O261="", O261=""), "[Aviso] Ciclo de vida no capturado ()", IF(ISNA(MATCH(O261, Criterios!$D$123:$D$124, 0)), "Ciclo de vida no válido", ""))))</f>
        <v/>
      </c>
      <c r="AC261" s="56" t="n"/>
      <c r="AD261" s="51" t="n"/>
      <c r="AE261" s="156" t="n"/>
      <c r="AF261" s="51" t="n"/>
      <c r="AG261" s="156" t="inlineStr">
        <is>
          <t>Nuevo – Carga Hoja2 01/10/2026</t>
        </is>
      </c>
      <c r="AH261" s="156" t="inlineStr">
        <is>
          <t>Alta 01/10/2026 desde Hoja2 (fila 53) | 01/10/2026: Odoo Universal Unique Brands trae Género «Unisex» — se conservó el valor de Productos | Homologación G1522 06/10/2026: Validador Shopify: WB: precio con IVA no termina en 9</t>
        </is>
      </c>
      <c r="AI261" s="156" t="n"/>
      <c r="AJ261" s="156" t="n"/>
      <c r="AK261" s="155" t="inlineStr">
        <is>
          <t>Hoja2: fila 53 | Odoo: producto 11264 / plantilla 14699</t>
        </is>
      </c>
      <c r="AL261" s="58" t="n"/>
      <c r="AM261" s="58" t="n"/>
      <c r="AN261" s="155" t="inlineStr">
        <is>
          <t>Odoo Universal Unique Brands</t>
        </is>
      </c>
      <c r="AO261" s="59" t="n"/>
      <c r="AP261" s="59" t="n"/>
      <c r="AQ261" s="59" t="n">
        <v>9</v>
      </c>
      <c r="AR261" s="155" t="inlineStr">
        <is>
          <t>Odoo Universal Unique Brands › Bodega 25 › Bodega 25/General: 9</t>
        </is>
      </c>
    </row>
    <row r="262">
      <c r="A262" s="50" t="inlineStr">
        <is>
          <t>717325224898</t>
        </is>
      </c>
      <c r="B262" s="51" t="inlineStr">
        <is>
          <t>15654</t>
        </is>
      </c>
      <c r="C262" s="156" t="inlineStr">
        <is>
          <t>Montana West</t>
        </is>
      </c>
      <c r="D262" s="156" t="n"/>
      <c r="E262" s="156" t="inlineStr">
        <is>
          <t>MW1332-8322TN</t>
        </is>
      </c>
      <c r="F262" s="156" t="inlineStr">
        <is>
          <t>Talla única</t>
        </is>
      </c>
      <c r="G262" s="156" t="inlineStr">
        <is>
          <t>One Size</t>
        </is>
      </c>
      <c r="H262" s="156" t="inlineStr">
        <is>
          <t>Montana West</t>
        </is>
      </c>
      <c r="I262" s="156" t="inlineStr">
        <is>
          <t>MONTANA WEST MW BAG</t>
        </is>
      </c>
      <c r="J262" s="156" t="inlineStr">
        <is>
          <t>Accesorios</t>
        </is>
      </c>
      <c r="K262" s="156" t="inlineStr">
        <is>
          <t>Bolsos</t>
        </is>
      </c>
      <c r="L262" s="156" t="inlineStr">
        <is>
          <t>Unisex</t>
        </is>
      </c>
      <c r="M262" s="156" t="n"/>
      <c r="N262" s="156" t="n"/>
      <c r="O262" s="156" t="n"/>
      <c r="P262" s="156" t="n"/>
      <c r="Q262" s="156" t="n"/>
      <c r="R262" s="156" t="n"/>
      <c r="S262" s="156" t="n"/>
      <c r="T262" s="156" t="n"/>
      <c r="U262" s="156" t="n"/>
      <c r="V262" s="156" t="inlineStr">
        <is>
          <t>PZS</t>
        </is>
      </c>
      <c r="W262" s="51" t="inlineStr">
        <is>
          <t>53121600</t>
        </is>
      </c>
      <c r="X262" s="156" t="n"/>
      <c r="Y262" s="54" t="n"/>
      <c r="Z262" s="54" t="n">
        <v>629</v>
      </c>
      <c r="AA262" s="55">
        <f>IF(AND(A262="", B262="", E262=""), "", IF(AB262="", "Válido", IF((LEN(AB262)-LEN(SUBSTITUTE(AB262,"; ","")))/2+1&gt;(LEN(AB262)-LEN(SUBSTITUTE(AB262,"[Aviso]","")))/7, "Con Incidencias", "Válido")))</f>
        <v/>
      </c>
      <c r="AB262" s="56">
        <f>IF(AND(A262="", B262="", E262=""), "", TEXTJOIN("; ", TRUE, IF(OR(TRIM(A262&amp;"")="", ISNUMBER(SEARCH("FALTA", A262))), "UPC faltante/inválido", ""), IF(AND(A262&lt;&gt;"", IFERROR(_xlfn.XMATCH(A262,$A$2:$A$1063,0,1)&lt;&gt;_xlfn.XMATCH(A262,$A$2:$A$1063,0,-1),FALSE)), "Código de barras duplicado", ""), IF(AND(E262&lt;&gt;"", COUNTIF($E$2:$E$1063, E262)&gt;1), "SKU duplicado", ""), IF(OR(J262="", J262=""), "[Aviso] División no capturada ()", IF(ISNA(MATCH(J262, Criterios!$A$123:$A$126, 0)), "División no válida", "")), IF(OR(K262="", K262=""), "[Aviso] Categoría no capturada ()", IF(ISNA(MATCH(K262, Criterios!$A$81:$A$120, 0)), "Categoría no válida", IF(AND(J262&lt;&gt;"", J262&lt;&gt;"", J262&lt;&gt;VLOOKUP(K262, Criterios!$A$81:$B$120, 2, FALSE)), "División no coincide con Categoría", ""))), IF(OR(L262="", L262=""), "[Aviso] Género no capturado ()", IF(ISNA(MATCH(L262, Criterios!$B$123:$B$127, 0)), "Género no válido", "")), IF(OR(N262="", N262=""), "[Aviso] Temporada no capturada ()", IF(ISNA(MATCH(N262, Criterios!$C$123:$C$128, 0)), "Temporada no válida", "")), IF(OR(O262="", O262=""), "[Aviso] Ciclo de vida no capturado ()", IF(ISNA(MATCH(O262, Criterios!$D$123:$D$124, 0)), "Ciclo de vida no válido", ""))))</f>
        <v/>
      </c>
      <c r="AC262" s="56" t="n"/>
      <c r="AD262" s="51" t="n"/>
      <c r="AE262" s="156" t="n"/>
      <c r="AF262" s="51" t="n"/>
      <c r="AG262" s="156" t="inlineStr">
        <is>
          <t>Nuevo – Carga Hoja2 01/10/2026</t>
        </is>
      </c>
      <c r="AH262" s="156" t="inlineStr">
        <is>
          <t>Alta 01/10/2026 desde Hoja2 (fila 54);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</t>
        </is>
      </c>
      <c r="AI262" s="156" t="n"/>
      <c r="AJ262" s="156" t="n"/>
      <c r="AK262" s="155" t="inlineStr">
        <is>
          <t>Hoja2: fila 54 | Odoo: producto 15654 / plantilla 20007</t>
        </is>
      </c>
      <c r="AL262" s="58" t="n"/>
      <c r="AM262" s="58" t="n"/>
      <c r="AN262" s="155" t="inlineStr">
        <is>
          <t>Odoo Universal Unique Brands</t>
        </is>
      </c>
      <c r="AO262" s="59" t="n"/>
      <c r="AP262" s="59" t="n"/>
      <c r="AQ262" s="59" t="n">
        <v>28</v>
      </c>
      <c r="AR262" s="155" t="inlineStr">
        <is>
          <t>Odoo Universal Unique Brands › Bodega 25 › Bodega 25/General: 28</t>
        </is>
      </c>
    </row>
    <row r="263">
      <c r="A263" s="50" t="inlineStr">
        <is>
          <t>717325225048</t>
        </is>
      </c>
      <c r="B263" s="51" t="inlineStr">
        <is>
          <t>30893</t>
        </is>
      </c>
      <c r="C263" s="156" t="inlineStr">
        <is>
          <t>Wrangler</t>
        </is>
      </c>
      <c r="D263" s="156" t="inlineStr">
        <is>
          <t>MW1332-W010BK</t>
        </is>
      </c>
      <c r="E263" s="156" t="inlineStr">
        <is>
          <t>MW1332-W010BK</t>
        </is>
      </c>
      <c r="F263" s="156" t="inlineStr">
        <is>
          <t>Talla única</t>
        </is>
      </c>
      <c r="G263" s="156" t="inlineStr">
        <is>
          <t>One Size</t>
        </is>
      </c>
      <c r="H263" s="156" t="inlineStr">
        <is>
          <t>Wrangler</t>
        </is>
      </c>
      <c r="I263" s="156" t="inlineStr">
        <is>
          <t>Cartera Wrangler Colección Azteca Negro</t>
        </is>
      </c>
      <c r="J263" s="156" t="inlineStr">
        <is>
          <t>Accesorios</t>
        </is>
      </c>
      <c r="K263" s="156" t="inlineStr">
        <is>
          <t>Carteras</t>
        </is>
      </c>
      <c r="L263" s="156" t="inlineStr">
        <is>
          <t>Unisex</t>
        </is>
      </c>
      <c r="M263" s="156" t="inlineStr">
        <is>
          <t>Wrangler</t>
        </is>
      </c>
      <c r="N263" s="156" t="inlineStr">
        <is>
          <t>FW26</t>
        </is>
      </c>
      <c r="O263" s="156" t="inlineStr">
        <is>
          <t>Seasonal</t>
        </is>
      </c>
      <c r="P263" s="156" t="inlineStr">
        <is>
          <t>Negro</t>
        </is>
      </c>
      <c r="Q263" s="156" t="n"/>
      <c r="R263" s="156" t="n"/>
      <c r="S263" s="156" t="n"/>
      <c r="T263" s="156" t="inlineStr">
        <is>
          <t>Cartera Wrangler. Modelo: Colección Azteca. Color: Negro. Talla única. Unisex. Referencia: MW1332-W010BK.</t>
        </is>
      </c>
      <c r="U263" s="156" t="n"/>
      <c r="V263" s="156" t="inlineStr">
        <is>
          <t>PZS</t>
        </is>
      </c>
      <c r="W263" s="51" t="inlineStr">
        <is>
          <t>53121700</t>
        </is>
      </c>
      <c r="X263" s="156" t="n"/>
      <c r="Y263" s="54" t="n">
        <v>156.1875</v>
      </c>
      <c r="Z263" s="54" t="n">
        <v>324.5</v>
      </c>
      <c r="AA263" s="55">
        <f>IF(AND(A263="", B263="", E263=""), "", IF(AB263="", "Válido", IF((LEN(AB263)-LEN(SUBSTITUTE(AB263,"; ","")))/2+1&gt;(LEN(AB263)-LEN(SUBSTITUTE(AB263,"[Aviso]","")))/7, "Con Incidencias", "Válido")))</f>
        <v/>
      </c>
      <c r="AB263" s="56">
        <f>IF(AND(A263="", B263="", E263=""), "", TEXTJOIN("; ", TRUE, IF(OR(TRIM(A263&amp;"")="", ISNUMBER(SEARCH("FALTA", A263))), "UPC faltante/inválido", ""), IF(AND(A263&lt;&gt;"", IFERROR(_xlfn.XMATCH(A263,$A$2:$A$1063,0,1)&lt;&gt;_xlfn.XMATCH(A263,$A$2:$A$1063,0,-1),FALSE)), "Código de barras duplicado", ""), IF(AND(E263&lt;&gt;"", COUNTIF($E$2:$E$1063, E263)&gt;1), "SKU duplicado", ""), IF(OR(J263="", J263=""), "[Aviso] División no capturada ()", IF(ISNA(MATCH(J263, Criterios!$A$123:$A$126, 0)), "División no válida", "")), IF(OR(K263="", K263=""), "[Aviso] Categoría no capturada ()", IF(ISNA(MATCH(K263, Criterios!$A$81:$A$120, 0)), "Categoría no válida", IF(AND(J263&lt;&gt;"", J263&lt;&gt;"", J263&lt;&gt;VLOOKUP(K263, Criterios!$A$81:$B$120, 2, FALSE)), "División no coincide con Categoría", ""))), IF(OR(L263="", L263=""), "[Aviso] Género no capturado ()", IF(ISNA(MATCH(L263, Criterios!$B$123:$B$127, 0)), "Género no válido", "")), IF(OR(N263="", N263=""), "[Aviso] Temporada no capturada ()", IF(ISNA(MATCH(N263, Criterios!$C$123:$C$128, 0)), "Temporada no válida", "")), IF(OR(O263="", O263=""), "[Aviso] Ciclo de vida no capturado ()", IF(ISNA(MATCH(O263, Criterios!$D$123:$D$124, 0)), "Ciclo de vida no válido", ""))))</f>
        <v/>
      </c>
      <c r="AC263" s="56" t="n"/>
      <c r="AD263" s="51" t="n"/>
      <c r="AE263" s="156" t="n"/>
      <c r="AF263" s="51" t="n"/>
      <c r="AG263" s="156" t="inlineStr">
        <is>
          <t>Nuevo – Carga Hoja2 01/10/2026</t>
        </is>
      </c>
      <c r="AH263" s="156" t="inlineStr">
        <is>
          <t>Alta 01/10/2026 desde Hoja2 (fila 55) | 01/10/2026: Odoo Universal Unique Brands trae Marca «Montana West» — se conservó el valor de Productos | Homologación G1522 06/10/2026: Validador Shopify: WB: precio con IVA no termina en 9</t>
        </is>
      </c>
      <c r="AI263" s="156" t="n"/>
      <c r="AJ263" s="156" t="n"/>
      <c r="AK263" s="155" t="inlineStr">
        <is>
          <t>Hoja2: fila 55 | Odoo: producto 30893 / plantilla 39649</t>
        </is>
      </c>
      <c r="AL263" s="58" t="n"/>
      <c r="AM263" s="58" t="n"/>
      <c r="AN263" s="155" t="inlineStr">
        <is>
          <t>Odoo Universal Unique Brands</t>
        </is>
      </c>
      <c r="AO263" s="59" t="n"/>
      <c r="AP263" s="59" t="n"/>
      <c r="AQ263" s="59" t="n">
        <v>34</v>
      </c>
      <c r="AR263" s="155" t="inlineStr">
        <is>
          <t>Odoo Universal Unique Brands › Bodega 25 › Bodega 25/General: 34</t>
        </is>
      </c>
    </row>
    <row r="264">
      <c r="A264" s="50" t="inlineStr">
        <is>
          <t>717325225055</t>
        </is>
      </c>
      <c r="B264" s="51" t="inlineStr">
        <is>
          <t>30839</t>
        </is>
      </c>
      <c r="C264" s="156" t="inlineStr">
        <is>
          <t>Montana West</t>
        </is>
      </c>
      <c r="D264" s="156" t="inlineStr">
        <is>
          <t>MW1332-W010BR</t>
        </is>
      </c>
      <c r="E264" s="156" t="inlineStr">
        <is>
          <t>MW1332-W010BR</t>
        </is>
      </c>
      <c r="F264" s="156" t="inlineStr">
        <is>
          <t>Talla única</t>
        </is>
      </c>
      <c r="G264" s="156" t="inlineStr">
        <is>
          <t>One Size</t>
        </is>
      </c>
      <c r="H264" s="156" t="inlineStr">
        <is>
          <t>Montana West</t>
        </is>
      </c>
      <c r="I264" s="156" t="inlineStr">
        <is>
          <t>Cartera Montana West Colección Azteca Café</t>
        </is>
      </c>
      <c r="J264" s="156" t="inlineStr">
        <is>
          <t>Accesorios</t>
        </is>
      </c>
      <c r="K264" s="156" t="inlineStr">
        <is>
          <t>Carteras</t>
        </is>
      </c>
      <c r="L264" s="156" t="inlineStr">
        <is>
          <t>Mujer</t>
        </is>
      </c>
      <c r="M264" s="156" t="inlineStr">
        <is>
          <t>Montana West</t>
        </is>
      </c>
      <c r="N264" s="156" t="inlineStr">
        <is>
          <t>FW26</t>
        </is>
      </c>
      <c r="O264" s="156" t="inlineStr">
        <is>
          <t>Seasonal</t>
        </is>
      </c>
      <c r="P264" s="156" t="inlineStr">
        <is>
          <t>Cafe</t>
        </is>
      </c>
      <c r="Q264" s="156" t="n"/>
      <c r="R264" s="156" t="n"/>
      <c r="S264" s="156" t="n"/>
      <c r="T264" s="156" t="inlineStr">
        <is>
          <t>Cartera Montana West. Modelo: Colección Azteca. Color: Café. Talla única. Mujer. Referencia: MW1332-W010BR.</t>
        </is>
      </c>
      <c r="U264" s="156" t="n"/>
      <c r="V264" s="156" t="inlineStr">
        <is>
          <t>PZS</t>
        </is>
      </c>
      <c r="W264" s="51" t="inlineStr">
        <is>
          <t>53121700</t>
        </is>
      </c>
      <c r="X264" s="156" t="n"/>
      <c r="Y264" s="54" t="n">
        <v>156.1875</v>
      </c>
      <c r="Z264" s="54" t="n">
        <v>324.5</v>
      </c>
      <c r="AA264" s="55">
        <f>IF(AND(A264="", B264="", E264=""), "", IF(AB264="", "Válido", IF((LEN(AB264)-LEN(SUBSTITUTE(AB264,"; ","")))/2+1&gt;(LEN(AB264)-LEN(SUBSTITUTE(AB264,"[Aviso]","")))/7, "Con Incidencias", "Válido")))</f>
        <v/>
      </c>
      <c r="AB264" s="56">
        <f>IF(AND(A264="", B264="", E264=""), "", TEXTJOIN("; ", TRUE, IF(OR(TRIM(A264&amp;"")="", ISNUMBER(SEARCH("FALTA", A264))), "UPC faltante/inválido", ""), IF(AND(A264&lt;&gt;"", IFERROR(_xlfn.XMATCH(A264,$A$2:$A$1063,0,1)&lt;&gt;_xlfn.XMATCH(A264,$A$2:$A$1063,0,-1),FALSE)), "Código de barras duplicado", ""), IF(AND(E264&lt;&gt;"", COUNTIF($E$2:$E$1063, E264)&gt;1), "SKU duplicado", ""), IF(OR(J264="", J264=""), "[Aviso] División no capturada ()", IF(ISNA(MATCH(J264, Criterios!$A$123:$A$126, 0)), "División no válida", "")), IF(OR(K264="", K264=""), "[Aviso] Categoría no capturada ()", IF(ISNA(MATCH(K264, Criterios!$A$81:$A$120, 0)), "Categoría no válida", IF(AND(J264&lt;&gt;"", J264&lt;&gt;"", J264&lt;&gt;VLOOKUP(K264, Criterios!$A$81:$B$120, 2, FALSE)), "División no coincide con Categoría", ""))), IF(OR(L264="", L264=""), "[Aviso] Género no capturado ()", IF(ISNA(MATCH(L264, Criterios!$B$123:$B$127, 0)), "Género no válido", "")), IF(OR(N264="", N264=""), "[Aviso] Temporada no capturada ()", IF(ISNA(MATCH(N264, Criterios!$C$123:$C$128, 0)), "Temporada no válida", "")), IF(OR(O264="", O264=""), "[Aviso] Ciclo de vida no capturado ()", IF(ISNA(MATCH(O264, Criterios!$D$123:$D$124, 0)), "Ciclo de vida no válido", ""))))</f>
        <v/>
      </c>
      <c r="AC264" s="56" t="n"/>
      <c r="AD264" s="51" t="n"/>
      <c r="AE264" s="156" t="n"/>
      <c r="AF264" s="51" t="n"/>
      <c r="AG264" s="156" t="inlineStr">
        <is>
          <t>Nuevo – Carga Hoja2 01/10/2026</t>
        </is>
      </c>
      <c r="AH264" s="156" t="inlineStr">
        <is>
          <t>Alta 01/10/2026 desde Hoja2 (fila 56) | 01/10/2026: Odoo Universal Unique Brands trae Género «Unisex» — se conservó el valor de Productos | 01/10/2026: Odoo Universal Unique Brands trae Género «Unisex» — se conservó el valor de Productos | Homologación G1522 06/10/2026: Validador Shopify: WB: precio con IVA no termina en 9</t>
        </is>
      </c>
      <c r="AI264" s="156" t="n"/>
      <c r="AJ264" s="156" t="n"/>
      <c r="AK264" s="155" t="inlineStr">
        <is>
          <t>Hoja2: fila 56 | Odoo: producto 27107 / plantilla 33807 | Odoo: producto 30839 / plantilla 39595</t>
        </is>
      </c>
      <c r="AL264" s="58" t="n"/>
      <c r="AM264" s="58" t="n"/>
      <c r="AN264" s="155" t="inlineStr">
        <is>
          <t>Odoo Universal Unique Brands</t>
        </is>
      </c>
      <c r="AO264" s="59" t="n"/>
      <c r="AP264" s="59" t="n"/>
      <c r="AQ264" s="59" t="n">
        <v>8</v>
      </c>
      <c r="AR264" s="155" t="inlineStr">
        <is>
          <t>Odoo Universal Unique Brands › Bodega 25 › Bodega 25/General: 34</t>
        </is>
      </c>
    </row>
    <row r="265">
      <c r="A265" s="50" t="inlineStr">
        <is>
          <t>717325221781</t>
        </is>
      </c>
      <c r="B265" s="51" t="inlineStr">
        <is>
          <t>15619</t>
        </is>
      </c>
      <c r="C265" s="156" t="inlineStr">
        <is>
          <t>Montana West</t>
        </is>
      </c>
      <c r="D265" s="156" t="n"/>
      <c r="E265" s="156" t="inlineStr">
        <is>
          <t>MW1333-8113BG</t>
        </is>
      </c>
      <c r="F265" s="156" t="inlineStr">
        <is>
          <t>Talla única</t>
        </is>
      </c>
      <c r="G265" s="156" t="inlineStr">
        <is>
          <t>One Size</t>
        </is>
      </c>
      <c r="H265" s="156" t="inlineStr">
        <is>
          <t>Montana West</t>
        </is>
      </c>
      <c r="I265" s="156" t="inlineStr">
        <is>
          <t>MONTANA WEST MW BAG</t>
        </is>
      </c>
      <c r="J265" s="156" t="inlineStr">
        <is>
          <t>Accesorios</t>
        </is>
      </c>
      <c r="K265" s="156" t="inlineStr">
        <is>
          <t>Bolsos</t>
        </is>
      </c>
      <c r="L265" s="156" t="inlineStr">
        <is>
          <t>Unisex</t>
        </is>
      </c>
      <c r="M265" s="156" t="n"/>
      <c r="N265" s="156" t="n"/>
      <c r="O265" s="156" t="n"/>
      <c r="P265" s="156" t="inlineStr">
        <is>
          <t>Beige</t>
        </is>
      </c>
      <c r="Q265" s="156" t="n"/>
      <c r="R265" s="156" t="n"/>
      <c r="S265" s="156" t="n"/>
      <c r="T265" s="156" t="n"/>
      <c r="U265" s="156" t="n"/>
      <c r="V265" s="156" t="inlineStr">
        <is>
          <t>PZS</t>
        </is>
      </c>
      <c r="W265" s="51" t="inlineStr">
        <is>
          <t>53121600</t>
        </is>
      </c>
      <c r="X265" s="156" t="inlineStr">
        <is>
          <t>https://cdn.shopify.com/s/files/1/0005/9015/1741/files/Montana_West_Aztec_Retro_Arrows_Dual_Sided_Print_Wide_Tote_Beige.webp?v=1746685854</t>
        </is>
      </c>
      <c r="Y265" s="54" t="n">
        <v>289.8</v>
      </c>
      <c r="Z265" s="54" t="n">
        <v>669</v>
      </c>
      <c r="AA265" s="55">
        <f>IF(AND(A265="", B265="", E265=""), "", IF(AB265="", "Válido", IF((LEN(AB265)-LEN(SUBSTITUTE(AB265,"; ","")))/2+1&gt;(LEN(AB265)-LEN(SUBSTITUTE(AB265,"[Aviso]","")))/7, "Con Incidencias", "Válido")))</f>
        <v/>
      </c>
      <c r="AB265" s="56">
        <f>IF(AND(A265="", B265="", E265=""), "", TEXTJOIN("; ", TRUE, IF(OR(TRIM(A265&amp;"")="", ISNUMBER(SEARCH("FALTA", A265))), "UPC faltante/inválido", ""), IF(AND(A265&lt;&gt;"", IFERROR(_xlfn.XMATCH(A265,$A$2:$A$1063,0,1)&lt;&gt;_xlfn.XMATCH(A265,$A$2:$A$1063,0,-1),FALSE)), "Código de barras duplicado", ""), IF(AND(E265&lt;&gt;"", COUNTIF($E$2:$E$1063, E265)&gt;1), "SKU duplicado", ""), IF(OR(J265="", J265=""), "[Aviso] División no capturada ()", IF(ISNA(MATCH(J265, Criterios!$A$123:$A$126, 0)), "División no válida", "")), IF(OR(K265="", K265=""), "[Aviso] Categoría no capturada ()", IF(ISNA(MATCH(K265, Criterios!$A$81:$A$120, 0)), "Categoría no válida", IF(AND(J265&lt;&gt;"", J265&lt;&gt;"", J265&lt;&gt;VLOOKUP(K265, Criterios!$A$81:$B$120, 2, FALSE)), "División no coincide con Categoría", ""))), IF(OR(L265="", L265=""), "[Aviso] Género no capturado ()", IF(ISNA(MATCH(L265, Criterios!$B$123:$B$127, 0)), "Género no válido", "")), IF(OR(N265="", N265=""), "[Aviso] Temporada no capturada ()", IF(ISNA(MATCH(N265, Criterios!$C$123:$C$128, 0)), "Temporada no válida", "")), IF(OR(O265="", O265=""), "[Aviso] Ciclo de vida no capturado ()", IF(ISNA(MATCH(O265, Criterios!$D$123:$D$124, 0)), "Ciclo de vida no válido", ""))))</f>
        <v/>
      </c>
      <c r="AC265" s="56" t="inlineStr">
        <is>
          <t>Homologación G1522: integra 1 registro(s) iguales por mismo WB SKU</t>
        </is>
      </c>
      <c r="AD265" s="51" t="n"/>
      <c r="AE265" s="156" t="n"/>
      <c r="AF265" s="51" t="n"/>
      <c r="AG265" s="156" t="inlineStr">
        <is>
          <t>Nuevo – Carga Hoja2 01/10/2026</t>
        </is>
      </c>
      <c r="AH265" s="156" t="inlineStr">
        <is>
          <t>Alta 01/10/2026 desde Hoja2 (fila 57); Precio de compra en 0/vacío en origen | 01/10/2026: complementado desde Odoo Universal Unique Brands (match por código de barras): WB Talla, WB Talla de EE. UU., WB Género | Homologación G1522 06/10/2026: WB Género: «» → «Mujer» (Completado por investigación en línea) · Enlace de imagen: «» → «https://cdn.shopify.com/s/files/1/0005/9015/1741/files/Montana_West_Aztec_Retro_Arrows_Dual_Sided_Print_Wide_Tote_Beige.webp?v=1746685854» (Completado por investigación en línea) · WB Color: «» → «Beige» (Completado por investigación en línea) · WB Talla: «» → «Talla única» (Completado por regla) · WB Talla de EE. UU.: «» → «One Size» (Completado por regla) · WB Descripcion: «MW BAG» → «MONTANA WEST MW BAG» (Conflicto entre duplicados) · WB Género: «Mujer» → «Unisex» (Conflicto entre duplicados) · SAT Clave de producto: «53121601» → «53121600» (Conflicto entre duplicados) · Precio de compra: «» → «289.8» (Integrado de duplicado) · Precio de venta: «499» → «669» (Conflicto entre duplicados) · Validación G1522: Falta estilo · Validador NetSuite / Odoo: V6: falta estilo · Validador Shopify: V6: falta estilo; WB: precio con IVA no termina en 9</t>
        </is>
      </c>
      <c r="AI265" s="156" t="n"/>
      <c r="AJ265" s="156" t="n"/>
      <c r="AK265" s="155" t="inlineStr">
        <is>
          <t>Hoja2: fila 57 | Odoo: producto 15619 / plantilla 19972 | Odoo: producto 27108 / plantilla 33808; Hoja2: fila 58 | Investigación en línea 06/10/2026: https://montanawestworld.com/products/montana-west-aztec-retro-arrows-dual-sided-print-wide-tote | Investigación en línea 06/10/2026: https://montanawestworld.com/products/montana-west-aztec-retro-arrows-dual-sided-print-wide-tote; Hoja2: fila 58</t>
        </is>
      </c>
      <c r="AL265" s="58" t="n"/>
      <c r="AM265" s="58" t="n"/>
      <c r="AN265" s="155" t="inlineStr">
        <is>
          <t>Odoo Universal Unique Brands</t>
        </is>
      </c>
      <c r="AO265" s="59" t="n"/>
      <c r="AP265" s="59" t="n"/>
      <c r="AQ265" s="59" t="n">
        <v>42</v>
      </c>
      <c r="AR265" s="155" t="inlineStr">
        <is>
          <t>Odoo Universal Unique Brands › Bodega 25 › Bodega 25/General: 36 | Odoo Universal Unique Brands › Bodega 25 › Bodega 25/General: 6</t>
        </is>
      </c>
    </row>
    <row r="266">
      <c r="A266" s="50" t="inlineStr">
        <is>
          <t>717325221750</t>
        </is>
      </c>
      <c r="B266" s="51" t="inlineStr">
        <is>
          <t>15615</t>
        </is>
      </c>
      <c r="C266" s="156" t="inlineStr">
        <is>
          <t>Montana West</t>
        </is>
      </c>
      <c r="D266" s="156" t="n"/>
      <c r="E266" s="156" t="inlineStr">
        <is>
          <t>MW1333-8113BR</t>
        </is>
      </c>
      <c r="F266" s="156" t="inlineStr">
        <is>
          <t>Talla única</t>
        </is>
      </c>
      <c r="G266" s="156" t="inlineStr">
        <is>
          <t>One Size</t>
        </is>
      </c>
      <c r="H266" s="156" t="inlineStr">
        <is>
          <t>Montana West</t>
        </is>
      </c>
      <c r="I266" s="156" t="inlineStr">
        <is>
          <t>MONTANA WEST MW BAG</t>
        </is>
      </c>
      <c r="J266" s="156" t="inlineStr">
        <is>
          <t>Accesorios</t>
        </is>
      </c>
      <c r="K266" s="156" t="inlineStr">
        <is>
          <t>Bolsos</t>
        </is>
      </c>
      <c r="L266" s="156" t="inlineStr">
        <is>
          <t>Unisex</t>
        </is>
      </c>
      <c r="M266" s="156" t="n"/>
      <c r="N266" s="156" t="n"/>
      <c r="O266" s="156" t="n"/>
      <c r="P266" s="156" t="inlineStr">
        <is>
          <t>Cafe</t>
        </is>
      </c>
      <c r="Q266" s="156" t="n"/>
      <c r="R266" s="156" t="n"/>
      <c r="S266" s="156" t="n"/>
      <c r="T266" s="156" t="n"/>
      <c r="U266" s="156" t="n"/>
      <c r="V266" s="156" t="inlineStr">
        <is>
          <t>PZS</t>
        </is>
      </c>
      <c r="W266" s="51" t="inlineStr">
        <is>
          <t>53121600</t>
        </is>
      </c>
      <c r="X266" s="156" t="inlineStr">
        <is>
          <t>https://cdn.shopify.com/s/files/1/0005/9015/1741/files/Montana_West_Aztec_Retro_Arrows_Dual_Sided_Print_Wide_Tote_Brown2.webp?v=1746685956</t>
        </is>
      </c>
      <c r="Y266" s="54" t="n">
        <v>289.8</v>
      </c>
      <c r="Z266" s="54" t="n">
        <v>669</v>
      </c>
      <c r="AA266" s="55">
        <f>IF(AND(A266="", B266="", E266=""), "", IF(AB266="", "Válido", IF((LEN(AB266)-LEN(SUBSTITUTE(AB266,"; ","")))/2+1&gt;(LEN(AB266)-LEN(SUBSTITUTE(AB266,"[Aviso]","")))/7, "Con Incidencias", "Válido")))</f>
        <v/>
      </c>
      <c r="AB266" s="56">
        <f>IF(AND(A266="", B266="", E266=""), "", TEXTJOIN("; ", TRUE, IF(OR(TRIM(A266&amp;"")="", ISNUMBER(SEARCH("FALTA", A266))), "UPC faltante/inválido", ""), IF(AND(A266&lt;&gt;"", IFERROR(_xlfn.XMATCH(A266,$A$2:$A$1063,0,1)&lt;&gt;_xlfn.XMATCH(A266,$A$2:$A$1063,0,-1),FALSE)), "Código de barras duplicado", ""), IF(AND(E266&lt;&gt;"", COUNTIF($E$2:$E$1063, E266)&gt;1), "SKU duplicado", ""), IF(OR(J266="", J266=""), "[Aviso] División no capturada ()", IF(ISNA(MATCH(J266, Criterios!$A$123:$A$126, 0)), "División no válida", "")), IF(OR(K266="", K266=""), "[Aviso] Categoría no capturada ()", IF(ISNA(MATCH(K266, Criterios!$A$81:$A$120, 0)), "Categoría no válida", IF(AND(J266&lt;&gt;"", J266&lt;&gt;"", J266&lt;&gt;VLOOKUP(K266, Criterios!$A$81:$B$120, 2, FALSE)), "División no coincide con Categoría", ""))), IF(OR(L266="", L266=""), "[Aviso] Género no capturado ()", IF(ISNA(MATCH(L266, Criterios!$B$123:$B$127, 0)), "Género no válido", "")), IF(OR(N266="", N266=""), "[Aviso] Temporada no capturada ()", IF(ISNA(MATCH(N266, Criterios!$C$123:$C$128, 0)), "Temporada no válida", "")), IF(OR(O266="", O266=""), "[Aviso] Ciclo de vida no capturado ()", IF(ISNA(MATCH(O266, Criterios!$D$123:$D$124, 0)), "Ciclo de vida no válido", ""))))</f>
        <v/>
      </c>
      <c r="AC266" s="56" t="inlineStr">
        <is>
          <t>Homologación G1522: integra 1 registro(s) iguales por mismo WB SKU</t>
        </is>
      </c>
      <c r="AD266" s="51" t="n"/>
      <c r="AE266" s="156" t="n"/>
      <c r="AF266" s="51" t="n"/>
      <c r="AG266" s="156" t="inlineStr">
        <is>
          <t>Nuevo – Carga Hoja2 01/10/2026</t>
        </is>
      </c>
      <c r="AH266" s="156" t="inlineStr">
        <is>
          <t>Alta 01/10/2026 desde Hoja2 (fila 59); Precio de compra en 0/vacío en origen | 01/10/2026: complementado desde Odoo Universal Unique Brands (match por código de barras): WB Talla, WB Talla de EE. UU., WB Género | Homologación G1522 06/10/2026: WB Género: «» → «Mujer» (Completado por investigación en línea) · Enlace de imagen: «» → «https://cdn.shopify.com/s/files/1/0005/9015/1741/files/Montana_West_Aztec_Retro_Arrows_Dual_Sided_Print_Wide_Tote_Brown2.webp?v=1746685956» (Completado por investigación en línea) · WB Color: «» → «Cafe» (Completado por investigación en línea) · WB Talla: «» → «Talla única» (Completado por regla) · WB Talla de EE. UU.: «» → «One Size» (Completado por regla) · WB Descripcion: «MW BAG» → «MONTANA WEST MW BAG» (Conflicto entre duplicados) · WB Género: «Mujer» → «Unisex» (Conflicto entre duplicados) · SAT Clave de producto: «53121601» → «53121600» (Conflicto entre duplicados) · Precio de compra: «» → «289.8» (Integrado de duplicado) · Precio de venta: «499» → «669» (Conflicto entre duplicados) · Validación G1522: Falta estilo · Validador NetSuite / Odoo: V6: falta estilo · Validador Shopify: V6: falta estilo; WB: precio con IVA no termina en 9</t>
        </is>
      </c>
      <c r="AI266" s="156" t="n"/>
      <c r="AJ266" s="156" t="n"/>
      <c r="AK266" s="155" t="inlineStr">
        <is>
          <t>Hoja2: fila 59 | Odoo: producto 15615 / plantilla 19968 | Odoo: producto 27109 / plantilla 33809; Hoja2: fila 60 | Investigación en línea 06/10/2026: https://montanawestworld.com/products/montana-west-aztec-retro-arrows-dual-sided-print-wide-tote | Investigación en línea 06/10/2026: https://montanawestworld.com/products/montana-west-aztec-retro-arrows-dual-sided-print-wide-tote; Hoja2: fila 60</t>
        </is>
      </c>
      <c r="AL266" s="58" t="n"/>
      <c r="AM266" s="58" t="n"/>
      <c r="AN266" s="155" t="inlineStr">
        <is>
          <t>Odoo Universal Unique Brands</t>
        </is>
      </c>
      <c r="AO266" s="59" t="n"/>
      <c r="AP266" s="59" t="n"/>
      <c r="AQ266" s="59" t="n">
        <v>40</v>
      </c>
      <c r="AR266" s="155" t="inlineStr">
        <is>
          <t>Odoo Universal Unique Brands › Bodega 25 › Bodega 25/General: 29 | Odoo Universal Unique Brands › Bodega 25 › Bodega 25/General: 11</t>
        </is>
      </c>
    </row>
    <row r="267">
      <c r="A267" s="50" t="inlineStr">
        <is>
          <t>717325221835</t>
        </is>
      </c>
      <c r="B267" s="51" t="inlineStr">
        <is>
          <t>15616</t>
        </is>
      </c>
      <c r="C267" s="156" t="inlineStr">
        <is>
          <t>Montana West</t>
        </is>
      </c>
      <c r="D267" s="156" t="inlineStr">
        <is>
          <t>MW1333-8113GN</t>
        </is>
      </c>
      <c r="E267" s="156" t="inlineStr">
        <is>
          <t>MW1333-8113GN</t>
        </is>
      </c>
      <c r="F267" s="156" t="inlineStr">
        <is>
          <t>Talla única</t>
        </is>
      </c>
      <c r="G267" s="156" t="inlineStr">
        <is>
          <t>One Size</t>
        </is>
      </c>
      <c r="H267" s="156" t="inlineStr">
        <is>
          <t>Montana West</t>
        </is>
      </c>
      <c r="I267" s="156" t="inlineStr">
        <is>
          <t>Bolsa Montana West Verde</t>
        </is>
      </c>
      <c r="J267" s="156" t="inlineStr">
        <is>
          <t>Accesorios</t>
        </is>
      </c>
      <c r="K267" s="156" t="inlineStr">
        <is>
          <t>Bolsos</t>
        </is>
      </c>
      <c r="L267" s="156" t="inlineStr">
        <is>
          <t>Mujer</t>
        </is>
      </c>
      <c r="M267" s="156" t="inlineStr">
        <is>
          <t>Montana West</t>
        </is>
      </c>
      <c r="N267" s="156" t="n"/>
      <c r="O267" s="156" t="inlineStr">
        <is>
          <t>Core</t>
        </is>
      </c>
      <c r="P267" s="156" t="inlineStr">
        <is>
          <t>Verde</t>
        </is>
      </c>
      <c r="Q267" s="156" t="n"/>
      <c r="R267" s="156" t="n"/>
      <c r="S267" s="156" t="n"/>
      <c r="T267" s="156" t="inlineStr">
        <is>
          <t>Bolsa Montana West. Color: Verde. Talla única. Mujer. Referencia: MW1333-8113GN.</t>
        </is>
      </c>
      <c r="U267" s="156" t="n"/>
      <c r="V267" s="156" t="inlineStr">
        <is>
          <t>PZS</t>
        </is>
      </c>
      <c r="W267" s="51" t="inlineStr">
        <is>
          <t>53121601</t>
        </is>
      </c>
      <c r="X267" s="156" t="inlineStr">
        <is>
          <t>https://cdn.shopify.com/s/files/1/0005/9015/1741/files/Montana_West_Aztec_Retro_Arrows_Dual_Sided_Print_Wide_Tote_Green2.webp?v=1746686041</t>
        </is>
      </c>
      <c r="Y267" s="54" t="n"/>
      <c r="Z267" s="54" t="n">
        <v>669</v>
      </c>
      <c r="AA267" s="55">
        <f>IF(AND(A267="", B267="", E267=""), "", IF(AB267="", "Válido", IF((LEN(AB267)-LEN(SUBSTITUTE(AB267,"; ","")))/2+1&gt;(LEN(AB267)-LEN(SUBSTITUTE(AB267,"[Aviso]","")))/7, "Con Incidencias", "Válido")))</f>
        <v/>
      </c>
      <c r="AB267" s="56">
        <f>IF(AND(A267="", B267="", E267=""), "", TEXTJOIN("; ", TRUE, IF(OR(TRIM(A267&amp;"")="", ISNUMBER(SEARCH("FALTA", A267))), "UPC faltante/inválido", ""), IF(AND(A267&lt;&gt;"", IFERROR(_xlfn.XMATCH(A267,$A$2:$A$1063,0,1)&lt;&gt;_xlfn.XMATCH(A267,$A$2:$A$1063,0,-1),FALSE)), "Código de barras duplicado", ""), IF(AND(E267&lt;&gt;"", COUNTIF($E$2:$E$1063, E267)&gt;1), "SKU duplicado", ""), IF(OR(J267="", J267=""), "[Aviso] División no capturada ()", IF(ISNA(MATCH(J267, Criterios!$A$123:$A$126, 0)), "División no válida", "")), IF(OR(K267="", K267=""), "[Aviso] Categoría no capturada ()", IF(ISNA(MATCH(K267, Criterios!$A$81:$A$120, 0)), "Categoría no válida", IF(AND(J267&lt;&gt;"", J267&lt;&gt;"", J267&lt;&gt;VLOOKUP(K267, Criterios!$A$81:$B$120, 2, FALSE)), "División no coincide con Categoría", ""))), IF(OR(L267="", L267=""), "[Aviso] Género no capturado ()", IF(ISNA(MATCH(L267, Criterios!$B$123:$B$127, 0)), "Género no válido", "")), IF(OR(N267="", N267=""), "[Aviso] Temporada no capturada ()", IF(ISNA(MATCH(N267, Criterios!$C$123:$C$128, 0)), "Temporada no válida", "")), IF(OR(O267="", O267=""), "[Aviso] Ciclo de vida no capturado ()", IF(ISNA(MATCH(O267, Criterios!$D$123:$D$124, 0)), "Ciclo de vida no válido", ""))))</f>
        <v/>
      </c>
      <c r="AC267" s="56" t="n"/>
      <c r="AD267" s="51" t="n"/>
      <c r="AE267" s="156" t="n"/>
      <c r="AF267" s="51" t="n"/>
      <c r="AG267" s="156" t="inlineStr">
        <is>
          <t>Nuevo – Carga Hoja2 01/10/2026</t>
        </is>
      </c>
      <c r="AH267" s="156" t="inlineStr">
        <is>
          <t>Alta 01/10/2026 desde Hoja2 (fila 61); Precio de compra en 0/vacío en origen | 01/10/2026: Odoo Universal Unique Brands trae Género «Unisex» — se conservó el valor de Productos | 01/10/2026: Odoo Universal Unique Brands trae Género «Unisex» — se conservó el valor de Productos | Homologación G1522 06/10/2026: Enlace de imagen: «» → «https://cdn.shopify.com/s/files/1/0005/9015/1741/files/Montana_West_Aztec_Retro_Arrows_Dual_Sided_Print_Wide_Tote_Green2.webp?v=1746686041» (Completado por investigación en línea) · Validador Shopify: WB: precio con IVA no termina en 9</t>
        </is>
      </c>
      <c r="AI267" s="156" t="n"/>
      <c r="AJ267" s="156" t="n"/>
      <c r="AK267" s="155" t="inlineStr">
        <is>
          <t>Hoja2: fila 61 | Odoo: producto 15616 / plantilla 19969 | Odoo: producto 27110 / plantilla 33810 | Investigación en línea 06/10/2026: https://montanawestworld.com/products/montana-west-aztec-retro-arrows-dual-sided-print-wide-tote</t>
        </is>
      </c>
      <c r="AL267" s="58" t="n"/>
      <c r="AM267" s="58" t="n"/>
      <c r="AN267" s="155" t="inlineStr">
        <is>
          <t>Odoo Universal Unique Brands</t>
        </is>
      </c>
      <c r="AO267" s="59" t="n"/>
      <c r="AP267" s="59" t="n"/>
      <c r="AQ267" s="59" t="n">
        <v>38</v>
      </c>
      <c r="AR267" s="155" t="inlineStr">
        <is>
          <t>Odoo Universal Unique Brands › Bodega 25 › Bodega 25/General: 32 | Odoo Universal Unique Brands › Bodega 25 › Bodega 25/General: 6</t>
        </is>
      </c>
    </row>
    <row r="268">
      <c r="A268" s="50" t="inlineStr">
        <is>
          <t>717325221804</t>
        </is>
      </c>
      <c r="B268" s="51" t="inlineStr">
        <is>
          <t>15647</t>
        </is>
      </c>
      <c r="C268" s="156" t="inlineStr">
        <is>
          <t>Montana West</t>
        </is>
      </c>
      <c r="D268" s="156" t="inlineStr">
        <is>
          <t>MW1333-8113JN</t>
        </is>
      </c>
      <c r="E268" s="156" t="inlineStr">
        <is>
          <t>MW1333-8113JN</t>
        </is>
      </c>
      <c r="F268" s="156" t="inlineStr">
        <is>
          <t>Talla única</t>
        </is>
      </c>
      <c r="G268" s="156" t="inlineStr">
        <is>
          <t>One Size</t>
        </is>
      </c>
      <c r="H268" s="156" t="inlineStr">
        <is>
          <t>Montana West</t>
        </is>
      </c>
      <c r="I268" s="156" t="inlineStr">
        <is>
          <t>Bolsa Montana West Mezclilla</t>
        </is>
      </c>
      <c r="J268" s="156" t="inlineStr">
        <is>
          <t>Accesorios</t>
        </is>
      </c>
      <c r="K268" s="156" t="inlineStr">
        <is>
          <t>Bolsos</t>
        </is>
      </c>
      <c r="L268" s="156" t="inlineStr">
        <is>
          <t>Mujer</t>
        </is>
      </c>
      <c r="M268" s="156" t="inlineStr">
        <is>
          <t>Montana West</t>
        </is>
      </c>
      <c r="N268" s="156" t="n"/>
      <c r="O268" s="156" t="inlineStr">
        <is>
          <t>Core</t>
        </is>
      </c>
      <c r="P268" s="156" t="inlineStr">
        <is>
          <t>Varios</t>
        </is>
      </c>
      <c r="Q268" s="156" t="n"/>
      <c r="R268" s="156" t="n"/>
      <c r="S268" s="156" t="n"/>
      <c r="T268" s="156" t="inlineStr">
        <is>
          <t>Bolsa Montana West. Color: Mezclilla. Talla única. Mujer. Referencia: MW1333-8113JN.</t>
        </is>
      </c>
      <c r="U268" s="156" t="n"/>
      <c r="V268" s="156" t="inlineStr">
        <is>
          <t>PZS</t>
        </is>
      </c>
      <c r="W268" s="51" t="inlineStr">
        <is>
          <t>53121601</t>
        </is>
      </c>
      <c r="X268" s="156" t="inlineStr">
        <is>
          <t>https://cdn.shopify.com/s/files/1/0005/9015/1741/files/Montana_West_Aztec_Retro_Arrows_Dual_Sided_Print_Wide_Tote_Jean2.webp?v=1746685928</t>
        </is>
      </c>
      <c r="Y268" s="54" t="n"/>
      <c r="Z268" s="54" t="n">
        <v>669</v>
      </c>
      <c r="AA268" s="55">
        <f>IF(AND(A268="", B268="", E268=""), "", IF(AB268="", "Válido", IF((LEN(AB268)-LEN(SUBSTITUTE(AB268,"; ","")))/2+1&gt;(LEN(AB268)-LEN(SUBSTITUTE(AB268,"[Aviso]","")))/7, "Con Incidencias", "Válido")))</f>
        <v/>
      </c>
      <c r="AB268" s="56">
        <f>IF(AND(A268="", B268="", E268=""), "", TEXTJOIN("; ", TRUE, IF(OR(TRIM(A268&amp;"")="", ISNUMBER(SEARCH("FALTA", A268))), "UPC faltante/inválido", ""), IF(AND(A268&lt;&gt;"", IFERROR(_xlfn.XMATCH(A268,$A$2:$A$1063,0,1)&lt;&gt;_xlfn.XMATCH(A268,$A$2:$A$1063,0,-1),FALSE)), "Código de barras duplicado", ""), IF(AND(E268&lt;&gt;"", COUNTIF($E$2:$E$1063, E268)&gt;1), "SKU duplicado", ""), IF(OR(J268="", J268=""), "[Aviso] División no capturada ()", IF(ISNA(MATCH(J268, Criterios!$A$123:$A$126, 0)), "División no válida", "")), IF(OR(K268="", K268=""), "[Aviso] Categoría no capturada ()", IF(ISNA(MATCH(K268, Criterios!$A$81:$A$120, 0)), "Categoría no válida", IF(AND(J268&lt;&gt;"", J268&lt;&gt;"", J268&lt;&gt;VLOOKUP(K268, Criterios!$A$81:$B$120, 2, FALSE)), "División no coincide con Categoría", ""))), IF(OR(L268="", L268=""), "[Aviso] Género no capturado ()", IF(ISNA(MATCH(L268, Criterios!$B$123:$B$127, 0)), "Género no válido", "")), IF(OR(N268="", N268=""), "[Aviso] Temporada no capturada ()", IF(ISNA(MATCH(N268, Criterios!$C$123:$C$128, 0)), "Temporada no válida", "")), IF(OR(O268="", O268=""), "[Aviso] Ciclo de vida no capturado ()", IF(ISNA(MATCH(O268, Criterios!$D$123:$D$124, 0)), "Ciclo de vida no válido", ""))))</f>
        <v/>
      </c>
      <c r="AC268" s="56" t="n"/>
      <c r="AD268" s="51" t="n"/>
      <c r="AE268" s="156" t="n"/>
      <c r="AF268" s="51" t="n"/>
      <c r="AG268" s="156" t="inlineStr">
        <is>
          <t>Nuevo – Carga Hoja2 01/10/2026</t>
        </is>
      </c>
      <c r="AH268" s="156" t="inlineStr">
        <is>
          <t>Alta 01/10/2026 desde Hoja2 (fila 62); Precio de compra en 0/vacío en origen | 01/10/2026: Odoo Universal Unique Brands trae Género «Unisex» — se conservó el valor de Productos | 01/10/2026: Odoo Universal Unique Brands trae Género «Unisex» — se conservó el valor de Productos | Homologación G1522 06/10/2026: Enlace de imagen: «» → «https://cdn.shopify.com/s/files/1/0005/9015/1741/files/Montana_West_Aztec_Retro_Arrows_Dual_Sided_Print_Wide_Tote_Jean2.webp?v=1746685928» (Completado por investigación en línea) · Validador Shopify: WB: precio con IVA no termina en 9</t>
        </is>
      </c>
      <c r="AI268" s="156" t="n"/>
      <c r="AJ268" s="156" t="n"/>
      <c r="AK268" s="155" t="inlineStr">
        <is>
          <t>Hoja2: fila 62 | Odoo: producto 15647 / plantilla 20000 | Odoo: producto 27111 / plantilla 33811 | Investigación en línea 06/10/2026: https://montanawestworld.com/products/montana-west-aztec-retro-arrows-dual-sided-print-wide-tote</t>
        </is>
      </c>
      <c r="AL268" s="58" t="n"/>
      <c r="AM268" s="58" t="n"/>
      <c r="AN268" s="155" t="inlineStr">
        <is>
          <t>Odoo Universal Unique Brands</t>
        </is>
      </c>
      <c r="AO268" s="59" t="n"/>
      <c r="AP268" s="59" t="n"/>
      <c r="AQ268" s="59" t="n">
        <v>37</v>
      </c>
      <c r="AR268" s="155" t="inlineStr">
        <is>
          <t>Odoo Universal Unique Brands › Bodega 25 › Bodega 25/General: 31 | Odoo Universal Unique Brands › Bodega 25 › Bodega 25/General: 6</t>
        </is>
      </c>
    </row>
    <row r="269">
      <c r="A269" s="50" t="inlineStr">
        <is>
          <t>717325221811</t>
        </is>
      </c>
      <c r="B269" s="51" t="inlineStr">
        <is>
          <t>15630</t>
        </is>
      </c>
      <c r="C269" s="156" t="inlineStr">
        <is>
          <t>Montana West</t>
        </is>
      </c>
      <c r="D269" s="156" t="n"/>
      <c r="E269" s="156" t="inlineStr">
        <is>
          <t>MW1333-8113PK</t>
        </is>
      </c>
      <c r="F269" s="156" t="inlineStr">
        <is>
          <t>Talla única</t>
        </is>
      </c>
      <c r="G269" s="156" t="inlineStr">
        <is>
          <t>One Size</t>
        </is>
      </c>
      <c r="H269" s="156" t="inlineStr">
        <is>
          <t>Montana West</t>
        </is>
      </c>
      <c r="I269" s="156" t="inlineStr">
        <is>
          <t>MONTANA WEST MW BAG</t>
        </is>
      </c>
      <c r="J269" s="156" t="inlineStr">
        <is>
          <t>Accesorios</t>
        </is>
      </c>
      <c r="K269" s="156" t="inlineStr">
        <is>
          <t>Bolsos</t>
        </is>
      </c>
      <c r="L269" s="156" t="inlineStr">
        <is>
          <t>Unisex</t>
        </is>
      </c>
      <c r="M269" s="156" t="n"/>
      <c r="N269" s="156" t="n"/>
      <c r="O269" s="156" t="n"/>
      <c r="P269" s="156" t="inlineStr">
        <is>
          <t>Rosa</t>
        </is>
      </c>
      <c r="Q269" s="156" t="n"/>
      <c r="R269" s="156" t="n"/>
      <c r="S269" s="156" t="n"/>
      <c r="T269" s="156" t="n"/>
      <c r="U269" s="156" t="n"/>
      <c r="V269" s="156" t="inlineStr">
        <is>
          <t>PZS</t>
        </is>
      </c>
      <c r="W269" s="51" t="inlineStr">
        <is>
          <t>53121601</t>
        </is>
      </c>
      <c r="X269" s="156" t="inlineStr">
        <is>
          <t>https://cdn.shopify.com/s/files/1/0005/9015/1741/files/Montana_West_Aztec_Retro_Arrows_Dual_Sided_Print_Wide_Tote_Pink2.webp?v=1746686070</t>
        </is>
      </c>
      <c r="Y269" s="54" t="n">
        <v>18</v>
      </c>
      <c r="Z269" s="54" t="n">
        <v>669</v>
      </c>
      <c r="AA269" s="55">
        <f>IF(AND(A269="", B269="", E269=""), "", IF(AB269="", "Válido", IF((LEN(AB269)-LEN(SUBSTITUTE(AB269,"; ","")))/2+1&gt;(LEN(AB269)-LEN(SUBSTITUTE(AB269,"[Aviso]","")))/7, "Con Incidencias", "Válido")))</f>
        <v/>
      </c>
      <c r="AB269" s="56">
        <f>IF(AND(A269="", B269="", E269=""), "", TEXTJOIN("; ", TRUE, IF(OR(TRIM(A269&amp;"")="", ISNUMBER(SEARCH("FALTA", A269))), "UPC faltante/inválido", ""), IF(AND(A269&lt;&gt;"", IFERROR(_xlfn.XMATCH(A269,$A$2:$A$1063,0,1)&lt;&gt;_xlfn.XMATCH(A269,$A$2:$A$1063,0,-1),FALSE)), "Código de barras duplicado", ""), IF(AND(E269&lt;&gt;"", COUNTIF($E$2:$E$1063, E269)&gt;1), "SKU duplicado", ""), IF(OR(J269="", J269=""), "[Aviso] División no capturada ()", IF(ISNA(MATCH(J269, Criterios!$A$123:$A$126, 0)), "División no válida", "")), IF(OR(K269="", K269=""), "[Aviso] Categoría no capturada ()", IF(ISNA(MATCH(K269, Criterios!$A$81:$A$120, 0)), "Categoría no válida", IF(AND(J269&lt;&gt;"", J269&lt;&gt;"", J269&lt;&gt;VLOOKUP(K269, Criterios!$A$81:$B$120, 2, FALSE)), "División no coincide con Categoría", ""))), IF(OR(L269="", L269=""), "[Aviso] Género no capturado ()", IF(ISNA(MATCH(L269, Criterios!$B$123:$B$127, 0)), "Género no válido", "")), IF(OR(N269="", N269=""), "[Aviso] Temporada no capturada ()", IF(ISNA(MATCH(N269, Criterios!$C$123:$C$128, 0)), "Temporada no válida", "")), IF(OR(O269="", O269=""), "[Aviso] Ciclo de vida no capturado ()", IF(ISNA(MATCH(O269, Criterios!$D$123:$D$124, 0)), "Ciclo de vida no válido", ""))))</f>
        <v/>
      </c>
      <c r="AC269" s="56" t="inlineStr">
        <is>
          <t>Homologación G1522: integra 1 registro(s) iguales por mismo WB SKU</t>
        </is>
      </c>
      <c r="AD269" s="51" t="n"/>
      <c r="AE269" s="156" t="n"/>
      <c r="AF269" s="51" t="n"/>
      <c r="AG269" s="156" t="inlineStr">
        <is>
          <t>Nuevo – Carga Hoja2 01/10/2026</t>
        </is>
      </c>
      <c r="AH269" s="156" t="inlineStr">
        <is>
          <t>Alta 01/10/2026 desde Hoja2 (fila 63) | 01/10/2026: complementado desde Odoo Universal Unique Brands (match por código de barras): WB Talla, WB Talla de EE. UU., WB Género | Homologación G1522 06/10/2026: WB Género: «» → «Mujer» (Completado por investigación en línea) · Enlace de imagen: «» → «https://cdn.shopify.com/s/files/1/0005/9015/1741/files/Montana_West_Aztec_Retro_Arrows_Dual_Sided_Print_Wide_Tote_Pink2.webp?v=1746686070» (Completado por investigación en línea) · WB Color: «» → «Rosa» (Completado por investigación en línea) · WB Talla: «» → «Talla única» (Completado por regla) · WB Talla de EE. UU.: «» → «One Size» (Completado por regla) · WB Descripcion: «MW BAG» → «MONTANA WEST MW BAG» (Conflicto entre duplicados) · WB Género: «Mujer» → «Unisex» (Conflicto entre duplicados) · Precio de compra: «289.8» → «18» (Conflicto entre duplicados) · Precio de venta: «499» → «669» (Conflicto entre duplicados) · Validación G1522: Falta estilo; [Aviso] Precio de compra posiblemente en USD · Validador NetSuite / Odoo: V6: falta estilo · Validador Shopify: V6: falta estilo; WB: precio con IVA no termina en 9</t>
        </is>
      </c>
      <c r="AI269" s="156" t="n"/>
      <c r="AJ269" s="156" t="n"/>
      <c r="AK269" s="155" t="inlineStr">
        <is>
          <t>Hoja2: fila 63 | Odoo: producto 15630 / plantilla 19983 | Odoo: producto 27112 / plantilla 33812; Hoja2: fila 64 | Investigación en línea 06/10/2026: https://montanawestworld.com/products/montana-west-aztec-retro-arrows-dual-sided-print-wide-tote | Investigación en línea 06/10/2026: https://montanawestworld.com/products/montana-west-aztec-retro-arrows-dual-sided-print-wide-tote; Hoja2: fila 64</t>
        </is>
      </c>
      <c r="AL269" s="58" t="n"/>
      <c r="AM269" s="58" t="n"/>
      <c r="AN269" s="155" t="inlineStr">
        <is>
          <t>Odoo Universal Unique Brands</t>
        </is>
      </c>
      <c r="AO269" s="59" t="n"/>
      <c r="AP269" s="59" t="n"/>
      <c r="AQ269" s="59" t="n">
        <v>29</v>
      </c>
      <c r="AR269" s="155" t="inlineStr">
        <is>
          <t>Odoo Universal Unique Brands › Bodega 25 › Bodega 25/General: 23 | Odoo Universal Unique Brands › Bodega 25 › Bodega 25/General: 6</t>
        </is>
      </c>
    </row>
    <row r="270">
      <c r="A270" s="50" t="inlineStr">
        <is>
          <t>717325221774</t>
        </is>
      </c>
      <c r="B270" s="51" t="inlineStr">
        <is>
          <t>15660</t>
        </is>
      </c>
      <c r="C270" s="156" t="inlineStr">
        <is>
          <t>Montana West</t>
        </is>
      </c>
      <c r="D270" s="156" t="inlineStr">
        <is>
          <t>MW1333-8113TN</t>
        </is>
      </c>
      <c r="E270" s="156" t="inlineStr">
        <is>
          <t>MW1333-8113TN</t>
        </is>
      </c>
      <c r="F270" s="156" t="inlineStr">
        <is>
          <t>Talla única</t>
        </is>
      </c>
      <c r="G270" s="156" t="inlineStr">
        <is>
          <t>One Size</t>
        </is>
      </c>
      <c r="H270" s="156" t="inlineStr">
        <is>
          <t>Montana West</t>
        </is>
      </c>
      <c r="I270" s="156" t="inlineStr">
        <is>
          <t>Bolsa Montana West Camel</t>
        </is>
      </c>
      <c r="J270" s="156" t="inlineStr">
        <is>
          <t>Accesorios</t>
        </is>
      </c>
      <c r="K270" s="156" t="inlineStr">
        <is>
          <t>Bolsos</t>
        </is>
      </c>
      <c r="L270" s="156" t="inlineStr">
        <is>
          <t>Mujer</t>
        </is>
      </c>
      <c r="M270" s="156" t="inlineStr">
        <is>
          <t>Montana West</t>
        </is>
      </c>
      <c r="N270" s="156" t="n"/>
      <c r="O270" s="156" t="inlineStr">
        <is>
          <t>Core</t>
        </is>
      </c>
      <c r="P270" s="156" t="inlineStr">
        <is>
          <t>Beige</t>
        </is>
      </c>
      <c r="Q270" s="156" t="n"/>
      <c r="R270" s="156" t="n"/>
      <c r="S270" s="156" t="n"/>
      <c r="T270" s="156" t="inlineStr">
        <is>
          <t>Bolsa Montana West. Color: Camel. Talla única. Mujer. Referencia: MW1333-8113TN.</t>
        </is>
      </c>
      <c r="U270" s="156" t="n"/>
      <c r="V270" s="156" t="inlineStr">
        <is>
          <t>PZS</t>
        </is>
      </c>
      <c r="W270" s="51" t="inlineStr">
        <is>
          <t>53121601</t>
        </is>
      </c>
      <c r="X270" s="156" t="inlineStr">
        <is>
          <t>https://cdn.shopify.com/s/files/1/0005/9015/1741/files/Montana_West_Aztec_Retro_Arrows_Dual_Sided_Print_Wide_Tote_Tan2.webp?v=1746685986</t>
        </is>
      </c>
      <c r="Y270" s="54" t="n">
        <v>18</v>
      </c>
      <c r="Z270" s="54" t="n">
        <v>669</v>
      </c>
      <c r="AA270" s="55">
        <f>IF(AND(A270="", B270="", E270=""), "", IF(AB270="", "Válido", IF((LEN(AB270)-LEN(SUBSTITUTE(AB270,"; ","")))/2+1&gt;(LEN(AB270)-LEN(SUBSTITUTE(AB270,"[Aviso]","")))/7, "Con Incidencias", "Válido")))</f>
        <v/>
      </c>
      <c r="AB270" s="56">
        <f>IF(AND(A270="", B270="", E270=""), "", TEXTJOIN("; ", TRUE, IF(OR(TRIM(A270&amp;"")="", ISNUMBER(SEARCH("FALTA", A270))), "UPC faltante/inválido", ""), IF(AND(A270&lt;&gt;"", IFERROR(_xlfn.XMATCH(A270,$A$2:$A$1063,0,1)&lt;&gt;_xlfn.XMATCH(A270,$A$2:$A$1063,0,-1),FALSE)), "Código de barras duplicado", ""), IF(AND(E270&lt;&gt;"", COUNTIF($E$2:$E$1063, E270)&gt;1), "SKU duplicado", ""), IF(OR(J270="", J270=""), "[Aviso] División no capturada ()", IF(ISNA(MATCH(J270, Criterios!$A$123:$A$126, 0)), "División no válida", "")), IF(OR(K270="", K270=""), "[Aviso] Categoría no capturada ()", IF(ISNA(MATCH(K270, Criterios!$A$81:$A$120, 0)), "Categoría no válida", IF(AND(J270&lt;&gt;"", J270&lt;&gt;"", J270&lt;&gt;VLOOKUP(K270, Criterios!$A$81:$B$120, 2, FALSE)), "División no coincide con Categoría", ""))), IF(OR(L270="", L270=""), "[Aviso] Género no capturado ()", IF(ISNA(MATCH(L270, Criterios!$B$123:$B$127, 0)), "Género no válido", "")), IF(OR(N270="", N270=""), "[Aviso] Temporada no capturada ()", IF(ISNA(MATCH(N270, Criterios!$C$123:$C$128, 0)), "Temporada no válida", "")), IF(OR(O270="", O270=""), "[Aviso] Ciclo de vida no capturado ()", IF(ISNA(MATCH(O270, Criterios!$D$123:$D$124, 0)), "Ciclo de vida no válido", ""))))</f>
        <v/>
      </c>
      <c r="AC270" s="56" t="n"/>
      <c r="AD270" s="51" t="n"/>
      <c r="AE270" s="156" t="n"/>
      <c r="AF270" s="51" t="n"/>
      <c r="AG270" s="156" t="inlineStr">
        <is>
          <t>Nuevo – Carga Hoja2 01/10/2026</t>
        </is>
      </c>
      <c r="AH270" s="156" t="inlineStr">
        <is>
          <t>Alta 01/10/2026 desde Hoja2 (fila 65) | 01/10/2026: Odoo Universal Unique Brands trae Género «Unisex» — se conservó el valor de Productos | 01/10/2026: Odoo Universal Unique Brands trae Género «Unisex» — se conservó el valor de Productos | Homologación G1522 06/10/2026: Enlace de imagen: «» → «https://cdn.shopify.com/s/files/1/0005/9015/1741/files/Montana_West_Aztec_Retro_Arrows_Dual_Sided_Print_Wide_Tote_Tan2.webp?v=1746685986» (Completado por investigación en línea) · Validación G1522: [Aviso] Precio de compra posiblemente en USD · Validador Shopify: WB: precio con IVA no termina en 9</t>
        </is>
      </c>
      <c r="AI270" s="156" t="n"/>
      <c r="AJ270" s="156" t="n"/>
      <c r="AK270" s="155" t="inlineStr">
        <is>
          <t>Hoja2: fila 65 | Odoo: producto 15660 / plantilla 20013 | Odoo: producto 27113 / plantilla 33813 | Investigación en línea 06/10/2026: https://montanawestworld.com/products/montana-west-aztec-retro-arrows-dual-sided-print-wide-tote</t>
        </is>
      </c>
      <c r="AL270" s="58" t="n"/>
      <c r="AM270" s="58" t="n"/>
      <c r="AN270" s="155" t="inlineStr">
        <is>
          <t>Odoo Universal Unique Brands</t>
        </is>
      </c>
      <c r="AO270" s="59" t="n"/>
      <c r="AP270" s="59" t="n"/>
      <c r="AQ270" s="59" t="n">
        <v>39</v>
      </c>
      <c r="AR270" s="155" t="inlineStr">
        <is>
          <t>Odoo Universal Unique Brands › Bodega 25 › Bodega 25/General: 32 | Odoo Universal Unique Brands › Bodega 25 › Bodega 25/General: 7</t>
        </is>
      </c>
    </row>
    <row r="271">
      <c r="A271" s="50" t="inlineStr">
        <is>
          <t>717325230554</t>
        </is>
      </c>
      <c r="B271" s="51" t="inlineStr">
        <is>
          <t>15655</t>
        </is>
      </c>
      <c r="C271" s="156" t="inlineStr">
        <is>
          <t>Montana West</t>
        </is>
      </c>
      <c r="D271" s="156" t="n"/>
      <c r="E271" s="156" t="inlineStr">
        <is>
          <t>MW1335-8360BR</t>
        </is>
      </c>
      <c r="F271" s="156" t="inlineStr">
        <is>
          <t>Talla única</t>
        </is>
      </c>
      <c r="G271" s="156" t="inlineStr">
        <is>
          <t>One Size</t>
        </is>
      </c>
      <c r="H271" s="156" t="inlineStr">
        <is>
          <t>Montana West</t>
        </is>
      </c>
      <c r="I271" s="156" t="inlineStr">
        <is>
          <t>MONTANA WEST MW BAG</t>
        </is>
      </c>
      <c r="J271" s="156" t="inlineStr">
        <is>
          <t>Accesorios</t>
        </is>
      </c>
      <c r="K271" s="156" t="inlineStr">
        <is>
          <t>Bolsos</t>
        </is>
      </c>
      <c r="L271" s="156" t="inlineStr">
        <is>
          <t>Unisex</t>
        </is>
      </c>
      <c r="M271" s="156" t="n"/>
      <c r="N271" s="156" t="n"/>
      <c r="O271" s="156" t="n"/>
      <c r="P271" s="156" t="n"/>
      <c r="Q271" s="156" t="n"/>
      <c r="R271" s="156" t="n"/>
      <c r="S271" s="156" t="n"/>
      <c r="T271" s="156" t="n"/>
      <c r="U271" s="156" t="n"/>
      <c r="V271" s="156" t="inlineStr">
        <is>
          <t>PZS</t>
        </is>
      </c>
      <c r="W271" s="51" t="inlineStr">
        <is>
          <t>53121600</t>
        </is>
      </c>
      <c r="X271" s="156" t="n"/>
      <c r="Y271" s="54" t="n"/>
      <c r="Z271" s="54" t="n">
        <v>509</v>
      </c>
      <c r="AA271" s="55">
        <f>IF(AND(A271="", B271="", E271=""), "", IF(AB271="", "Válido", IF((LEN(AB271)-LEN(SUBSTITUTE(AB271,"; ","")))/2+1&gt;(LEN(AB271)-LEN(SUBSTITUTE(AB271,"[Aviso]","")))/7, "Con Incidencias", "Válido")))</f>
        <v/>
      </c>
      <c r="AB271" s="56">
        <f>IF(AND(A271="", B271="", E271=""), "", TEXTJOIN("; ", TRUE, IF(OR(TRIM(A271&amp;"")="", ISNUMBER(SEARCH("FALTA", A271))), "UPC faltante/inválido", ""), IF(AND(A271&lt;&gt;"", IFERROR(_xlfn.XMATCH(A271,$A$2:$A$1063,0,1)&lt;&gt;_xlfn.XMATCH(A271,$A$2:$A$1063,0,-1),FALSE)), "Código de barras duplicado", ""), IF(AND(E271&lt;&gt;"", COUNTIF($E$2:$E$1063, E271)&gt;1), "SKU duplicado", ""), IF(OR(J271="", J271=""), "[Aviso] División no capturada ()", IF(ISNA(MATCH(J271, Criterios!$A$123:$A$126, 0)), "División no válida", "")), IF(OR(K271="", K271=""), "[Aviso] Categoría no capturada ()", IF(ISNA(MATCH(K271, Criterios!$A$81:$A$120, 0)), "Categoría no válida", IF(AND(J271&lt;&gt;"", J271&lt;&gt;"", J271&lt;&gt;VLOOKUP(K271, Criterios!$A$81:$B$120, 2, FALSE)), "División no coincide con Categoría", ""))), IF(OR(L271="", L271=""), "[Aviso] Género no capturado ()", IF(ISNA(MATCH(L271, Criterios!$B$123:$B$127, 0)), "Género no válido", "")), IF(OR(N271="", N271=""), "[Aviso] Temporada no capturada ()", IF(ISNA(MATCH(N271, Criterios!$C$123:$C$128, 0)), "Temporada no válida", "")), IF(OR(O271="", O271=""), "[Aviso] Ciclo de vida no capturado ()", IF(ISNA(MATCH(O271, Criterios!$D$123:$D$124, 0)), "Ciclo de vida no válido", ""))))</f>
        <v/>
      </c>
      <c r="AC271" s="56" t="n"/>
      <c r="AD271" s="51" t="n"/>
      <c r="AE271" s="156" t="n"/>
      <c r="AF271" s="51" t="n"/>
      <c r="AG271" s="156" t="inlineStr">
        <is>
          <t>Nuevo – Carga Hoja2 01/10/2026</t>
        </is>
      </c>
      <c r="AH271" s="156" t="inlineStr">
        <is>
          <t>Alta 01/10/2026 desde Hoja2 (fila 66);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271" s="156" t="n"/>
      <c r="AJ271" s="156" t="n"/>
      <c r="AK271" s="155" t="inlineStr">
        <is>
          <t>Hoja2: fila 66 | Odoo: producto 15655 / plantilla 20008</t>
        </is>
      </c>
      <c r="AL271" s="58" t="n"/>
      <c r="AM271" s="58" t="n"/>
      <c r="AN271" s="155" t="inlineStr">
        <is>
          <t>Odoo Universal Unique Brands</t>
        </is>
      </c>
      <c r="AO271" s="59" t="n"/>
      <c r="AP271" s="59" t="n"/>
      <c r="AQ271" s="59" t="n">
        <v>14</v>
      </c>
      <c r="AR271" s="155" t="inlineStr">
        <is>
          <t>Odoo Universal Unique Brands › Bodega 25 › Bodega 25/General: 14</t>
        </is>
      </c>
    </row>
    <row r="272">
      <c r="A272" s="50" t="inlineStr">
        <is>
          <t>717325230585</t>
        </is>
      </c>
      <c r="B272" s="51" t="inlineStr">
        <is>
          <t>15656</t>
        </is>
      </c>
      <c r="C272" s="156" t="inlineStr">
        <is>
          <t>Montana West</t>
        </is>
      </c>
      <c r="D272" s="156" t="inlineStr">
        <is>
          <t>MW1335-8360TN</t>
        </is>
      </c>
      <c r="E272" s="156" t="inlineStr">
        <is>
          <t>MW1335-8360TN</t>
        </is>
      </c>
      <c r="F272" s="156" t="inlineStr">
        <is>
          <t>Talla única</t>
        </is>
      </c>
      <c r="G272" s="156" t="inlineStr">
        <is>
          <t>One Size</t>
        </is>
      </c>
      <c r="H272" s="156" t="inlineStr">
        <is>
          <t>Montana West</t>
        </is>
      </c>
      <c r="I272" s="156" t="inlineStr">
        <is>
          <t>Bolsa Montana West Camel</t>
        </is>
      </c>
      <c r="J272" s="156" t="inlineStr">
        <is>
          <t>Accesorios</t>
        </is>
      </c>
      <c r="K272" s="156" t="inlineStr">
        <is>
          <t>Bolsos</t>
        </is>
      </c>
      <c r="L272" s="156" t="inlineStr">
        <is>
          <t>Mujer</t>
        </is>
      </c>
      <c r="M272" s="156" t="inlineStr">
        <is>
          <t>Montana West</t>
        </is>
      </c>
      <c r="N272" s="156" t="n"/>
      <c r="O272" s="156" t="inlineStr">
        <is>
          <t>Core</t>
        </is>
      </c>
      <c r="P272" s="156" t="inlineStr">
        <is>
          <t>Beige</t>
        </is>
      </c>
      <c r="Q272" s="156" t="n"/>
      <c r="R272" s="156" t="n"/>
      <c r="S272" s="156" t="n"/>
      <c r="T272" s="156" t="inlineStr">
        <is>
          <t>Bolsa Montana West. Color: Camel. Talla única. Mujer. Referencia: MW1335-8360TN.</t>
        </is>
      </c>
      <c r="U272" s="156" t="n"/>
      <c r="V272" s="156" t="inlineStr">
        <is>
          <t>PZS</t>
        </is>
      </c>
      <c r="W272" s="51" t="inlineStr">
        <is>
          <t>53121601</t>
        </is>
      </c>
      <c r="X272" s="156" t="n"/>
      <c r="Y272" s="54" t="n"/>
      <c r="Z272" s="54" t="n">
        <v>509</v>
      </c>
      <c r="AA272" s="55">
        <f>IF(AND(A272="", B272="", E272=""), "", IF(AB272="", "Válido", IF((LEN(AB272)-LEN(SUBSTITUTE(AB272,"; ","")))/2+1&gt;(LEN(AB272)-LEN(SUBSTITUTE(AB272,"[Aviso]","")))/7, "Con Incidencias", "Válido")))</f>
        <v/>
      </c>
      <c r="AB272" s="56">
        <f>IF(AND(A272="", B272="", E272=""), "", TEXTJOIN("; ", TRUE, IF(OR(TRIM(A272&amp;"")="", ISNUMBER(SEARCH("FALTA", A272))), "UPC faltante/inválido", ""), IF(AND(A272&lt;&gt;"", IFERROR(_xlfn.XMATCH(A272,$A$2:$A$1063,0,1)&lt;&gt;_xlfn.XMATCH(A272,$A$2:$A$1063,0,-1),FALSE)), "Código de barras duplicado", ""), IF(AND(E272&lt;&gt;"", COUNTIF($E$2:$E$1063, E272)&gt;1), "SKU duplicado", ""), IF(OR(J272="", J272=""), "[Aviso] División no capturada ()", IF(ISNA(MATCH(J272, Criterios!$A$123:$A$126, 0)), "División no válida", "")), IF(OR(K272="", K272=""), "[Aviso] Categoría no capturada ()", IF(ISNA(MATCH(K272, Criterios!$A$81:$A$120, 0)), "Categoría no válida", IF(AND(J272&lt;&gt;"", J272&lt;&gt;"", J272&lt;&gt;VLOOKUP(K272, Criterios!$A$81:$B$120, 2, FALSE)), "División no coincide con Categoría", ""))), IF(OR(L272="", L272=""), "[Aviso] Género no capturado ()", IF(ISNA(MATCH(L272, Criterios!$B$123:$B$127, 0)), "Género no válido", "")), IF(OR(N272="", N272=""), "[Aviso] Temporada no capturada ()", IF(ISNA(MATCH(N272, Criterios!$C$123:$C$128, 0)), "Temporada no válida", "")), IF(OR(O272="", O272=""), "[Aviso] Ciclo de vida no capturado ()", IF(ISNA(MATCH(O272, Criterios!$D$123:$D$124, 0)), "Ciclo de vida no válido", ""))))</f>
        <v/>
      </c>
      <c r="AC272" s="56" t="n"/>
      <c r="AD272" s="51" t="n"/>
      <c r="AE272" s="156" t="n"/>
      <c r="AF272" s="51" t="n"/>
      <c r="AG272" s="156" t="inlineStr">
        <is>
          <t>Nuevo – Carga Hoja2 01/10/2026</t>
        </is>
      </c>
      <c r="AH272" s="156" t="inlineStr">
        <is>
          <t>Alta 01/10/2026 desde Hoja2 (fila 67);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72" s="156" t="n"/>
      <c r="AJ272" s="156" t="n"/>
      <c r="AK272" s="155" t="inlineStr">
        <is>
          <t>Hoja2: fila 67 | Odoo: producto 15656 / plantilla 20009</t>
        </is>
      </c>
      <c r="AL272" s="58" t="n"/>
      <c r="AM272" s="58" t="n"/>
      <c r="AN272" s="155" t="inlineStr">
        <is>
          <t>Odoo Universal Unique Brands</t>
        </is>
      </c>
      <c r="AO272" s="59" t="n"/>
      <c r="AP272" s="59" t="n"/>
      <c r="AQ272" s="59" t="n">
        <v>18</v>
      </c>
      <c r="AR272" s="155" t="inlineStr">
        <is>
          <t>Odoo Universal Unique Brands › Bodega 25 › Bodega 25/General: 18</t>
        </is>
      </c>
    </row>
    <row r="273">
      <c r="A273" s="50" t="inlineStr">
        <is>
          <t>717325230721</t>
        </is>
      </c>
      <c r="B273" s="51" t="inlineStr">
        <is>
          <t>15659</t>
        </is>
      </c>
      <c r="C273" s="156" t="inlineStr">
        <is>
          <t>Montana West</t>
        </is>
      </c>
      <c r="D273" s="156" t="n"/>
      <c r="E273" s="156" t="inlineStr">
        <is>
          <t>MW1335-W010TN</t>
        </is>
      </c>
      <c r="F273" s="156" t="inlineStr">
        <is>
          <t>Talla única</t>
        </is>
      </c>
      <c r="G273" s="156" t="inlineStr">
        <is>
          <t>One Size</t>
        </is>
      </c>
      <c r="H273" s="156" t="inlineStr">
        <is>
          <t>Montana West</t>
        </is>
      </c>
      <c r="I273" s="156" t="inlineStr">
        <is>
          <t>MONTANA WEST MW WALLET</t>
        </is>
      </c>
      <c r="J273" s="156" t="inlineStr">
        <is>
          <t>Accesorios</t>
        </is>
      </c>
      <c r="K273" s="156" t="inlineStr">
        <is>
          <t>Carteras</t>
        </is>
      </c>
      <c r="L273" s="156" t="inlineStr">
        <is>
          <t>Unisex</t>
        </is>
      </c>
      <c r="M273" s="156" t="n"/>
      <c r="N273" s="156" t="n"/>
      <c r="O273" s="156" t="n"/>
      <c r="P273" s="156" t="n"/>
      <c r="Q273" s="156" t="n"/>
      <c r="R273" s="156" t="n"/>
      <c r="S273" s="156" t="n"/>
      <c r="T273" s="156" t="n"/>
      <c r="U273" s="156" t="n"/>
      <c r="V273" s="156" t="inlineStr">
        <is>
          <t>PZS</t>
        </is>
      </c>
      <c r="W273" s="51" t="inlineStr">
        <is>
          <t>53121600</t>
        </is>
      </c>
      <c r="X273" s="156" t="n"/>
      <c r="Y273" s="54" t="n"/>
      <c r="Z273" s="54" t="n">
        <v>309</v>
      </c>
      <c r="AA273" s="55">
        <f>IF(AND(A273="", B273="", E273=""), "", IF(AB273="", "Válido", IF((LEN(AB273)-LEN(SUBSTITUTE(AB273,"; ","")))/2+1&gt;(LEN(AB273)-LEN(SUBSTITUTE(AB273,"[Aviso]","")))/7, "Con Incidencias", "Válido")))</f>
        <v/>
      </c>
      <c r="AB273" s="56">
        <f>IF(AND(A273="", B273="", E273=""), "", TEXTJOIN("; ", TRUE, IF(OR(TRIM(A273&amp;"")="", ISNUMBER(SEARCH("FALTA", A273))), "UPC faltante/inválido", ""), IF(AND(A273&lt;&gt;"", IFERROR(_xlfn.XMATCH(A273,$A$2:$A$1063,0,1)&lt;&gt;_xlfn.XMATCH(A273,$A$2:$A$1063,0,-1),FALSE)), "Código de barras duplicado", ""), IF(AND(E273&lt;&gt;"", COUNTIF($E$2:$E$1063, E273)&gt;1), "SKU duplicado", ""), IF(OR(J273="", J273=""), "[Aviso] División no capturada ()", IF(ISNA(MATCH(J273, Criterios!$A$123:$A$126, 0)), "División no válida", "")), IF(OR(K273="", K273=""), "[Aviso] Categoría no capturada ()", IF(ISNA(MATCH(K273, Criterios!$A$81:$A$120, 0)), "Categoría no válida", IF(AND(J273&lt;&gt;"", J273&lt;&gt;"", J273&lt;&gt;VLOOKUP(K273, Criterios!$A$81:$B$120, 2, FALSE)), "División no coincide con Categoría", ""))), IF(OR(L273="", L273=""), "[Aviso] Género no capturado ()", IF(ISNA(MATCH(L273, Criterios!$B$123:$B$127, 0)), "Género no válido", "")), IF(OR(N273="", N273=""), "[Aviso] Temporada no capturada ()", IF(ISNA(MATCH(N273, Criterios!$C$123:$C$128, 0)), "Temporada no válida", "")), IF(OR(O273="", O273=""), "[Aviso] Ciclo de vida no capturado ()", IF(ISNA(MATCH(O273, Criterios!$D$123:$D$124, 0)), "Ciclo de vida no válido", ""))))</f>
        <v/>
      </c>
      <c r="AC273" s="56" t="n"/>
      <c r="AD273" s="51" t="n"/>
      <c r="AE273" s="156" t="n"/>
      <c r="AF273" s="51" t="n"/>
      <c r="AG273" s="156" t="inlineStr">
        <is>
          <t>Nuevo – Carga Hoja2 01/10/2026</t>
        </is>
      </c>
      <c r="AH273" s="156" t="inlineStr">
        <is>
          <t>Alta 01/10/2026 desde Hoja2 (fila 68);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273" s="156" t="n"/>
      <c r="AJ273" s="156" t="n"/>
      <c r="AK273" s="155" t="inlineStr">
        <is>
          <t>Hoja2: fila 68 | Odoo: producto 15659 / plantilla 20012</t>
        </is>
      </c>
      <c r="AL273" s="58" t="n"/>
      <c r="AM273" s="58" t="n"/>
      <c r="AN273" s="155" t="inlineStr">
        <is>
          <t>Odoo Universal Unique Brands</t>
        </is>
      </c>
      <c r="AO273" s="59" t="n"/>
      <c r="AP273" s="59" t="n"/>
      <c r="AQ273" s="59" t="n">
        <v>14</v>
      </c>
      <c r="AR273" s="155" t="inlineStr">
        <is>
          <t>Odoo Universal Unique Brands › Bodega 25 › Bodega 25/General: 14</t>
        </is>
      </c>
    </row>
    <row r="274">
      <c r="A274" s="50" t="inlineStr">
        <is>
          <t>717325231957</t>
        </is>
      </c>
      <c r="B274" s="51" t="inlineStr">
        <is>
          <t>15667</t>
        </is>
      </c>
      <c r="C274" s="156" t="inlineStr">
        <is>
          <t>Montana West</t>
        </is>
      </c>
      <c r="D274" s="156" t="n"/>
      <c r="E274" s="156" t="inlineStr">
        <is>
          <t>MW1336-8633BR</t>
        </is>
      </c>
      <c r="F274" s="156" t="inlineStr">
        <is>
          <t>Talla única</t>
        </is>
      </c>
      <c r="G274" s="156" t="inlineStr">
        <is>
          <t>One Size</t>
        </is>
      </c>
      <c r="H274" s="156" t="inlineStr">
        <is>
          <t>Montana West</t>
        </is>
      </c>
      <c r="I274" s="156" t="inlineStr">
        <is>
          <t>MONTANA WEST MW BAG</t>
        </is>
      </c>
      <c r="J274" s="156" t="inlineStr">
        <is>
          <t>Accesorios</t>
        </is>
      </c>
      <c r="K274" s="156" t="inlineStr">
        <is>
          <t>Bolsos</t>
        </is>
      </c>
      <c r="L274" s="156" t="inlineStr">
        <is>
          <t>Unisex</t>
        </is>
      </c>
      <c r="M274" s="156" t="n"/>
      <c r="N274" s="156" t="n"/>
      <c r="O274" s="156" t="n"/>
      <c r="P274" s="156" t="n"/>
      <c r="Q274" s="156" t="n"/>
      <c r="R274" s="156" t="n"/>
      <c r="S274" s="156" t="n"/>
      <c r="T274" s="156" t="n"/>
      <c r="U274" s="156" t="n"/>
      <c r="V274" s="156" t="inlineStr">
        <is>
          <t>PZS</t>
        </is>
      </c>
      <c r="W274" s="51" t="inlineStr">
        <is>
          <t>53121600</t>
        </is>
      </c>
      <c r="X274" s="156" t="n"/>
      <c r="Y274" s="54" t="n">
        <v>354.2</v>
      </c>
      <c r="Z274" s="54" t="n">
        <v>529</v>
      </c>
      <c r="AA274" s="55">
        <f>IF(AND(A274="", B274="", E274=""), "", IF(AB274="", "Válido", IF((LEN(AB274)-LEN(SUBSTITUTE(AB274,"; ","")))/2+1&gt;(LEN(AB274)-LEN(SUBSTITUTE(AB274,"[Aviso]","")))/7, "Con Incidencias", "Válido")))</f>
        <v/>
      </c>
      <c r="AB274" s="56">
        <f>IF(AND(A274="", B274="", E274=""), "", TEXTJOIN("; ", TRUE, IF(OR(TRIM(A274&amp;"")="", ISNUMBER(SEARCH("FALTA", A274))), "UPC faltante/inválido", ""), IF(AND(A274&lt;&gt;"", IFERROR(_xlfn.XMATCH(A274,$A$2:$A$1063,0,1)&lt;&gt;_xlfn.XMATCH(A274,$A$2:$A$1063,0,-1),FALSE)), "Código de barras duplicado", ""), IF(AND(E274&lt;&gt;"", COUNTIF($E$2:$E$1063, E274)&gt;1), "SKU duplicado", ""), IF(OR(J274="", J274=""), "[Aviso] División no capturada ()", IF(ISNA(MATCH(J274, Criterios!$A$123:$A$126, 0)), "División no válida", "")), IF(OR(K274="", K274=""), "[Aviso] Categoría no capturada ()", IF(ISNA(MATCH(K274, Criterios!$A$81:$A$120, 0)), "Categoría no válida", IF(AND(J274&lt;&gt;"", J274&lt;&gt;"", J274&lt;&gt;VLOOKUP(K274, Criterios!$A$81:$B$120, 2, FALSE)), "División no coincide con Categoría", ""))), IF(OR(L274="", L274=""), "[Aviso] Género no capturado ()", IF(ISNA(MATCH(L274, Criterios!$B$123:$B$127, 0)), "Género no válido", "")), IF(OR(N274="", N274=""), "[Aviso] Temporada no capturada ()", IF(ISNA(MATCH(N274, Criterios!$C$123:$C$128, 0)), "Temporada no válida", "")), IF(OR(O274="", O274=""), "[Aviso] Ciclo de vida no capturado ()", IF(ISNA(MATCH(O274, Criterios!$D$123:$D$124, 0)), "Ciclo de vida no válido", ""))))</f>
        <v/>
      </c>
      <c r="AC274" s="56" t="inlineStr">
        <is>
          <t>Homologación G1522: integra 1 registro(s) iguales por mismo WB SKU</t>
        </is>
      </c>
      <c r="AD274" s="51" t="n"/>
      <c r="AE274" s="156" t="n"/>
      <c r="AF274" s="51" t="n"/>
      <c r="AG274" s="156" t="inlineStr">
        <is>
          <t>Nuevo – Carga Hoja2 01/10/2026</t>
        </is>
      </c>
      <c r="AH274" s="156" t="inlineStr">
        <is>
          <t>Alta 01/10/2026 desde Hoja2 (fila 69); Precio de compra en 0/vacío en origen | 01/10/2026: complementado desde Odoo Universal Unique Brands (match por código de barras): WB Talla, WB Talla de EE. UU., WB Género | Homologación G1522 06/10/2026: WB Género: «» → «Unisex» (Completado por regla) · WB Talla: «» → «Talla única» (Completado por regla) · WB Talla de EE. UU.: «» → «One Size» (Completado por regla) · WB Descripcion: «MW BAG» → «MONTANA WEST MW BAG» (Conflicto entre duplicados) · SAT Clave de producto: «53121601» → «53121600» (Conflicto entre duplicados) · Precio de compra: «» → «354.2» (Integrado de duplicado) · Precio de venta: «599» → «529» (Conflicto entre duplicados) · Validación G1522: Falta estilo · Validador NetSuite / Odoo: V6: falta estilo · Validador Shopify: V6: falta estilo; WB: precio con IVA no termina en 9</t>
        </is>
      </c>
      <c r="AI274" s="156" t="n"/>
      <c r="AJ274" s="156" t="n"/>
      <c r="AK274" s="155" t="inlineStr">
        <is>
          <t>Hoja2: fila 69 | Odoo: producto 15667 / plantilla 20020 | Odoo: producto 27114 / plantilla 33814; Hoja2: fila 70</t>
        </is>
      </c>
      <c r="AL274" s="58" t="n"/>
      <c r="AM274" s="58" t="n"/>
      <c r="AN274" s="155" t="inlineStr">
        <is>
          <t>Odoo Universal Unique Brands</t>
        </is>
      </c>
      <c r="AO274" s="59" t="n"/>
      <c r="AP274" s="59" t="n"/>
      <c r="AQ274" s="59" t="n">
        <v>16</v>
      </c>
      <c r="AR274" s="155" t="inlineStr">
        <is>
          <t>Odoo Universal Unique Brands › Bodega 25 › Bodega 25/General: 17</t>
        </is>
      </c>
    </row>
    <row r="275">
      <c r="A275" s="50" t="inlineStr">
        <is>
          <t>717325231964</t>
        </is>
      </c>
      <c r="B275" s="51" t="inlineStr">
        <is>
          <t>27115</t>
        </is>
      </c>
      <c r="C275" s="156" t="inlineStr">
        <is>
          <t>Montana West</t>
        </is>
      </c>
      <c r="D275" s="156" t="inlineStr">
        <is>
          <t>MW1336-8633TN</t>
        </is>
      </c>
      <c r="E275" s="156" t="inlineStr">
        <is>
          <t>MW1336-8633TN</t>
        </is>
      </c>
      <c r="F275" s="156" t="inlineStr">
        <is>
          <t>Talla única</t>
        </is>
      </c>
      <c r="G275" s="156" t="inlineStr">
        <is>
          <t>One Size</t>
        </is>
      </c>
      <c r="H275" s="156" t="inlineStr">
        <is>
          <t>Montana West</t>
        </is>
      </c>
      <c r="I275" s="156" t="inlineStr">
        <is>
          <t>Bolsa Montana West Camel</t>
        </is>
      </c>
      <c r="J275" s="156" t="inlineStr">
        <is>
          <t>Accesorios</t>
        </is>
      </c>
      <c r="K275" s="156" t="inlineStr">
        <is>
          <t>Bolsos</t>
        </is>
      </c>
      <c r="L275" s="156" t="inlineStr">
        <is>
          <t>Mujer</t>
        </is>
      </c>
      <c r="M275" s="156" t="inlineStr">
        <is>
          <t>Montana West</t>
        </is>
      </c>
      <c r="N275" s="156" t="n"/>
      <c r="O275" s="156" t="inlineStr">
        <is>
          <t>Core</t>
        </is>
      </c>
      <c r="P275" s="156" t="inlineStr">
        <is>
          <t>Beige</t>
        </is>
      </c>
      <c r="Q275" s="156" t="n"/>
      <c r="R275" s="156" t="n"/>
      <c r="S275" s="156" t="n"/>
      <c r="T275" s="156" t="inlineStr">
        <is>
          <t>Bolsa Montana West. Color: Camel. Talla única. Mujer. Referencia: MW1336-8633TN.</t>
        </is>
      </c>
      <c r="U275" s="156" t="n"/>
      <c r="V275" s="156" t="inlineStr">
        <is>
          <t>PZS</t>
        </is>
      </c>
      <c r="W275" s="51" t="inlineStr">
        <is>
          <t>53121601</t>
        </is>
      </c>
      <c r="X275" s="156" t="n"/>
      <c r="Y275" s="54" t="n">
        <v>354.2</v>
      </c>
      <c r="Z275" s="54" t="n">
        <v>599</v>
      </c>
      <c r="AA275" s="55">
        <f>IF(AND(A275="", B275="", E275=""), "", IF(AB275="", "Válido", IF((LEN(AB275)-LEN(SUBSTITUTE(AB275,"; ","")))/2+1&gt;(LEN(AB275)-LEN(SUBSTITUTE(AB275,"[Aviso]","")))/7, "Con Incidencias", "Válido")))</f>
        <v/>
      </c>
      <c r="AB275" s="56">
        <f>IF(AND(A275="", B275="", E275=""), "", TEXTJOIN("; ", TRUE, IF(OR(TRIM(A275&amp;"")="", ISNUMBER(SEARCH("FALTA", A275))), "UPC faltante/inválido", ""), IF(AND(A275&lt;&gt;"", IFERROR(_xlfn.XMATCH(A275,$A$2:$A$1063,0,1)&lt;&gt;_xlfn.XMATCH(A275,$A$2:$A$1063,0,-1),FALSE)), "Código de barras duplicado", ""), IF(AND(E275&lt;&gt;"", COUNTIF($E$2:$E$1063, E275)&gt;1), "SKU duplicado", ""), IF(OR(J275="", J275=""), "[Aviso] División no capturada ()", IF(ISNA(MATCH(J275, Criterios!$A$123:$A$126, 0)), "División no válida", "")), IF(OR(K275="", K275=""), "[Aviso] Categoría no capturada ()", IF(ISNA(MATCH(K275, Criterios!$A$81:$A$120, 0)), "Categoría no válida", IF(AND(J275&lt;&gt;"", J275&lt;&gt;"", J275&lt;&gt;VLOOKUP(K275, Criterios!$A$81:$B$120, 2, FALSE)), "División no coincide con Categoría", ""))), IF(OR(L275="", L275=""), "[Aviso] Género no capturado ()", IF(ISNA(MATCH(L275, Criterios!$B$123:$B$127, 0)), "Género no válido", "")), IF(OR(N275="", N275=""), "[Aviso] Temporada no capturada ()", IF(ISNA(MATCH(N275, Criterios!$C$123:$C$128, 0)), "Temporada no válida", "")), IF(OR(O275="", O275=""), "[Aviso] Ciclo de vida no capturado ()", IF(ISNA(MATCH(O275, Criterios!$D$123:$D$124, 0)), "Ciclo de vida no válido", ""))))</f>
        <v/>
      </c>
      <c r="AC275" s="56" t="n"/>
      <c r="AD275" s="51" t="n"/>
      <c r="AE275" s="156" t="n"/>
      <c r="AF275" s="51" t="n"/>
      <c r="AG275" s="156" t="inlineStr">
        <is>
          <t>Nuevo – Carga Hoja2 01/10/2026</t>
        </is>
      </c>
      <c r="AH275" s="156" t="inlineStr">
        <is>
          <t>Alta 01/10/2026 desde Hoja2 (fila 71) | 01/10/2026: Odoo Universal Unique Brands trae Género «Unisex» — se conservó el valor de Productos | Homologación G1522 06/10/2026: Validador Shopify: WB: precio con IVA no termina en 9</t>
        </is>
      </c>
      <c r="AI275" s="156" t="n"/>
      <c r="AJ275" s="156" t="n"/>
      <c r="AK275" s="155" t="inlineStr">
        <is>
          <t>Hoja2: fila 71 | Odoo: producto 27115 / plantilla 33815</t>
        </is>
      </c>
      <c r="AL275" s="58" t="n"/>
      <c r="AM275" s="58" t="n"/>
      <c r="AN275" s="155" t="inlineStr">
        <is>
          <t>Odoo Universal Unique Brands</t>
        </is>
      </c>
      <c r="AO275" s="59" t="n"/>
      <c r="AP275" s="59" t="n"/>
      <c r="AQ275" s="59" t="n">
        <v>2</v>
      </c>
      <c r="AR275" s="155" t="inlineStr">
        <is>
          <t>Odoo Universal Unique Brands › Bodega 25 › Bodega 25/General: 2</t>
        </is>
      </c>
    </row>
    <row r="276">
      <c r="A276" s="50" t="inlineStr">
        <is>
          <t>717325231988</t>
        </is>
      </c>
      <c r="B276" s="51" t="inlineStr">
        <is>
          <t>27116</t>
        </is>
      </c>
      <c r="C276" s="156" t="inlineStr">
        <is>
          <t>Montana West</t>
        </is>
      </c>
      <c r="D276" s="156" t="inlineStr">
        <is>
          <t>MW1336-8633TQ</t>
        </is>
      </c>
      <c r="E276" s="156" t="inlineStr">
        <is>
          <t>MW1336-8633TQ</t>
        </is>
      </c>
      <c r="F276" s="156" t="inlineStr">
        <is>
          <t>Talla única</t>
        </is>
      </c>
      <c r="G276" s="156" t="inlineStr">
        <is>
          <t>One Size</t>
        </is>
      </c>
      <c r="H276" s="156" t="inlineStr">
        <is>
          <t>Montana West</t>
        </is>
      </c>
      <c r="I276" s="156" t="inlineStr">
        <is>
          <t>Bolsa Montana West Turquesa</t>
        </is>
      </c>
      <c r="J276" s="156" t="inlineStr">
        <is>
          <t>Accesorios</t>
        </is>
      </c>
      <c r="K276" s="156" t="inlineStr">
        <is>
          <t>Bolsos</t>
        </is>
      </c>
      <c r="L276" s="156" t="inlineStr">
        <is>
          <t>Mujer</t>
        </is>
      </c>
      <c r="M276" s="156" t="inlineStr">
        <is>
          <t>Montana West</t>
        </is>
      </c>
      <c r="N276" s="156" t="n"/>
      <c r="O276" s="156" t="inlineStr">
        <is>
          <t>Core</t>
        </is>
      </c>
      <c r="P276" s="156" t="inlineStr">
        <is>
          <t>Azul</t>
        </is>
      </c>
      <c r="Q276" s="156" t="n"/>
      <c r="R276" s="156" t="n"/>
      <c r="S276" s="156" t="n"/>
      <c r="T276" s="156" t="inlineStr">
        <is>
          <t>Bolsa Montana West. Color: Turquesa. Talla única. Mujer. Referencia: MW1336-8633TQ.</t>
        </is>
      </c>
      <c r="U276" s="156" t="n"/>
      <c r="V276" s="156" t="inlineStr">
        <is>
          <t>PZS</t>
        </is>
      </c>
      <c r="W276" s="51" t="inlineStr">
        <is>
          <t>53121601</t>
        </is>
      </c>
      <c r="X276" s="156" t="n"/>
      <c r="Y276" s="54" t="n">
        <v>354.2</v>
      </c>
      <c r="Z276" s="54" t="n">
        <v>599</v>
      </c>
      <c r="AA276" s="55">
        <f>IF(AND(A276="", B276="", E276=""), "", IF(AB276="", "Válido", IF((LEN(AB276)-LEN(SUBSTITUTE(AB276,"; ","")))/2+1&gt;(LEN(AB276)-LEN(SUBSTITUTE(AB276,"[Aviso]","")))/7, "Con Incidencias", "Válido")))</f>
        <v/>
      </c>
      <c r="AB276" s="56">
        <f>IF(AND(A276="", B276="", E276=""), "", TEXTJOIN("; ", TRUE, IF(OR(TRIM(A276&amp;"")="", ISNUMBER(SEARCH("FALTA", A276))), "UPC faltante/inválido", ""), IF(AND(A276&lt;&gt;"", IFERROR(_xlfn.XMATCH(A276,$A$2:$A$1063,0,1)&lt;&gt;_xlfn.XMATCH(A276,$A$2:$A$1063,0,-1),FALSE)), "Código de barras duplicado", ""), IF(AND(E276&lt;&gt;"", COUNTIF($E$2:$E$1063, E276)&gt;1), "SKU duplicado", ""), IF(OR(J276="", J276=""), "[Aviso] División no capturada ()", IF(ISNA(MATCH(J276, Criterios!$A$123:$A$126, 0)), "División no válida", "")), IF(OR(K276="", K276=""), "[Aviso] Categoría no capturada ()", IF(ISNA(MATCH(K276, Criterios!$A$81:$A$120, 0)), "Categoría no válida", IF(AND(J276&lt;&gt;"", J276&lt;&gt;"", J276&lt;&gt;VLOOKUP(K276, Criterios!$A$81:$B$120, 2, FALSE)), "División no coincide con Categoría", ""))), IF(OR(L276="", L276=""), "[Aviso] Género no capturado ()", IF(ISNA(MATCH(L276, Criterios!$B$123:$B$127, 0)), "Género no válido", "")), IF(OR(N276="", N276=""), "[Aviso] Temporada no capturada ()", IF(ISNA(MATCH(N276, Criterios!$C$123:$C$128, 0)), "Temporada no válida", "")), IF(OR(O276="", O276=""), "[Aviso] Ciclo de vida no capturado ()", IF(ISNA(MATCH(O276, Criterios!$D$123:$D$124, 0)), "Ciclo de vida no válido", ""))))</f>
        <v/>
      </c>
      <c r="AC276" s="56" t="n"/>
      <c r="AD276" s="51" t="n"/>
      <c r="AE276" s="156" t="n"/>
      <c r="AF276" s="51" t="n"/>
      <c r="AG276" s="156" t="inlineStr">
        <is>
          <t>Nuevo – Carga Hoja2 01/10/2026</t>
        </is>
      </c>
      <c r="AH276" s="156" t="inlineStr">
        <is>
          <t>Alta 01/10/2026 desde Hoja2 (fila 72) | 01/10/2026: Odoo Universal Unique Brands trae Género «Unisex» — se conservó el valor de Productos | Homologación G1522 06/10/2026: Validador Shopify: WB: precio con IVA no termina en 9</t>
        </is>
      </c>
      <c r="AI276" s="156" t="n"/>
      <c r="AJ276" s="156" t="n"/>
      <c r="AK276" s="155" t="inlineStr">
        <is>
          <t>Hoja2: fila 72 | Odoo: producto 27116 / plantilla 33816</t>
        </is>
      </c>
      <c r="AL276" s="58" t="n"/>
      <c r="AM276" s="58" t="n"/>
      <c r="AN276" s="155" t="inlineStr">
        <is>
          <t>Odoo Universal Unique Brands</t>
        </is>
      </c>
      <c r="AO276" s="59" t="n"/>
      <c r="AP276" s="59" t="n"/>
      <c r="AQ276" s="59" t="n">
        <v>6</v>
      </c>
      <c r="AR276" s="155" t="inlineStr">
        <is>
          <t>Odoo Universal Unique Brands › Bodega 25 › Bodega 25/General: 6</t>
        </is>
      </c>
    </row>
    <row r="277">
      <c r="A277" s="50" t="inlineStr">
        <is>
          <t>717325230288</t>
        </is>
      </c>
      <c r="B277" s="51" t="inlineStr">
        <is>
          <t>15620</t>
        </is>
      </c>
      <c r="C277" s="156" t="inlineStr">
        <is>
          <t>Montana West</t>
        </is>
      </c>
      <c r="D277" s="156" t="inlineStr">
        <is>
          <t>MW1338-8802BG</t>
        </is>
      </c>
      <c r="E277" s="156" t="inlineStr">
        <is>
          <t>MW1338-8802BG</t>
        </is>
      </c>
      <c r="F277" s="156" t="inlineStr">
        <is>
          <t>Talla única</t>
        </is>
      </c>
      <c r="G277" s="156" t="inlineStr">
        <is>
          <t>One Size</t>
        </is>
      </c>
      <c r="H277" s="156" t="inlineStr">
        <is>
          <t>Montana West</t>
        </is>
      </c>
      <c r="I277" s="156" t="inlineStr">
        <is>
          <t>Bolsa Montana West Beige</t>
        </is>
      </c>
      <c r="J277" s="156" t="inlineStr">
        <is>
          <t>Accesorios</t>
        </is>
      </c>
      <c r="K277" s="156" t="inlineStr">
        <is>
          <t>Bolsos</t>
        </is>
      </c>
      <c r="L277" s="156" t="inlineStr">
        <is>
          <t>Mujer</t>
        </is>
      </c>
      <c r="M277" s="156" t="inlineStr">
        <is>
          <t>Montana West</t>
        </is>
      </c>
      <c r="N277" s="156" t="n"/>
      <c r="O277" s="156" t="inlineStr">
        <is>
          <t>Core</t>
        </is>
      </c>
      <c r="P277" s="156" t="inlineStr">
        <is>
          <t>Beige</t>
        </is>
      </c>
      <c r="Q277" s="156" t="n"/>
      <c r="R277" s="156" t="n"/>
      <c r="S277" s="156" t="n"/>
      <c r="T277" s="156" t="inlineStr">
        <is>
          <t>Bolsa Montana West. Color: Beige. Talla única. Mujer. Referencia: MW1338-8802BG.</t>
        </is>
      </c>
      <c r="U277" s="156" t="n"/>
      <c r="V277" s="156" t="inlineStr">
        <is>
          <t>PZS</t>
        </is>
      </c>
      <c r="W277" s="51" t="inlineStr">
        <is>
          <t>53121601</t>
        </is>
      </c>
      <c r="X277" s="156" t="inlineStr">
        <is>
          <t>https://cdn.shopify.com/s/files/1/0005/9015/1741/files/Montana_West_Western_Tooled_Buckle_Mini_Barrel_Bag_Beige4.webp?v=1760087807</t>
        </is>
      </c>
      <c r="Y277" s="54" t="n"/>
      <c r="Z277" s="54" t="n">
        <v>509</v>
      </c>
      <c r="AA277" s="55">
        <f>IF(AND(A277="", B277="", E277=""), "", IF(AB277="", "Válido", IF((LEN(AB277)-LEN(SUBSTITUTE(AB277,"; ","")))/2+1&gt;(LEN(AB277)-LEN(SUBSTITUTE(AB277,"[Aviso]","")))/7, "Con Incidencias", "Válido")))</f>
        <v/>
      </c>
      <c r="AB277" s="56">
        <f>IF(AND(A277="", B277="", E277=""), "", TEXTJOIN("; ", TRUE, IF(OR(TRIM(A277&amp;"")="", ISNUMBER(SEARCH("FALTA", A277))), "UPC faltante/inválido", ""), IF(AND(A277&lt;&gt;"", IFERROR(_xlfn.XMATCH(A277,$A$2:$A$1063,0,1)&lt;&gt;_xlfn.XMATCH(A277,$A$2:$A$1063,0,-1),FALSE)), "Código de barras duplicado", ""), IF(AND(E277&lt;&gt;"", COUNTIF($E$2:$E$1063, E277)&gt;1), "SKU duplicado", ""), IF(OR(J277="", J277=""), "[Aviso] División no capturada ()", IF(ISNA(MATCH(J277, Criterios!$A$123:$A$126, 0)), "División no válida", "")), IF(OR(K277="", K277=""), "[Aviso] Categoría no capturada ()", IF(ISNA(MATCH(K277, Criterios!$A$81:$A$120, 0)), "Categoría no válida", IF(AND(J277&lt;&gt;"", J277&lt;&gt;"", J277&lt;&gt;VLOOKUP(K277, Criterios!$A$81:$B$120, 2, FALSE)), "División no coincide con Categoría", ""))), IF(OR(L277="", L277=""), "[Aviso] Género no capturado ()", IF(ISNA(MATCH(L277, Criterios!$B$123:$B$127, 0)), "Género no válido", "")), IF(OR(N277="", N277=""), "[Aviso] Temporada no capturada ()", IF(ISNA(MATCH(N277, Criterios!$C$123:$C$128, 0)), "Temporada no válida", "")), IF(OR(O277="", O277=""), "[Aviso] Ciclo de vida no capturado ()", IF(ISNA(MATCH(O277, Criterios!$D$123:$D$124, 0)), "Ciclo de vida no válido", ""))))</f>
        <v/>
      </c>
      <c r="AC277" s="56" t="n"/>
      <c r="AD277" s="51" t="n"/>
      <c r="AE277" s="156" t="n"/>
      <c r="AF277" s="51" t="n"/>
      <c r="AG277" s="156" t="inlineStr">
        <is>
          <t>Nuevo – Carga Hoja2 01/10/2026</t>
        </is>
      </c>
      <c r="AH277" s="156" t="inlineStr">
        <is>
          <t>Alta 01/10/2026 desde Hoja2 (fila 73); Precio de compra en 0/vacío en origen | 01/10/2026: Odoo Universal Unique Brands trae Género «Unisex» — se conservó el valor de Productos | Homologación G1522 06/10/2026: Enlace de imagen: «» → «https://cdn.shopify.com/s/files/1/0005/9015/1741/files/Montana_West_Western_Tooled_Buckle_Mini_Barrel_Bag_Beige4.webp?v=1760087807» (Completado por investigación en línea) · Validador Shopify: WB: precio con IVA no termina en 9</t>
        </is>
      </c>
      <c r="AI277" s="156" t="n"/>
      <c r="AJ277" s="156" t="n"/>
      <c r="AK277" s="155" t="inlineStr">
        <is>
          <t>Hoja2: fila 73 | Odoo: producto 15620 / plantilla 19973 | Investigación en línea 06/10/2026: https://montanawestworld.com/products/montana-west-western-tooled-buckle-mini-barrel-bag</t>
        </is>
      </c>
      <c r="AL277" s="58" t="n"/>
      <c r="AM277" s="58" t="n"/>
      <c r="AN277" s="155" t="inlineStr">
        <is>
          <t>Odoo Universal Unique Brands</t>
        </is>
      </c>
      <c r="AO277" s="59" t="n"/>
      <c r="AP277" s="59" t="n"/>
      <c r="AQ277" s="59" t="n">
        <v>11</v>
      </c>
      <c r="AR277" s="155" t="inlineStr">
        <is>
          <t>Odoo Universal Unique Brands › Bodega 25 › Bodega 25/General: 11</t>
        </is>
      </c>
    </row>
    <row r="278">
      <c r="A278" s="50" t="inlineStr">
        <is>
          <t>717325230318</t>
        </is>
      </c>
      <c r="B278" s="51" t="inlineStr">
        <is>
          <t>27118</t>
        </is>
      </c>
      <c r="C278" s="156" t="inlineStr">
        <is>
          <t>Montana West</t>
        </is>
      </c>
      <c r="D278" s="156" t="inlineStr">
        <is>
          <t>MW1338-8802DPK</t>
        </is>
      </c>
      <c r="E278" s="156" t="inlineStr">
        <is>
          <t>MW1338-8802DPK</t>
        </is>
      </c>
      <c r="F278" s="156" t="inlineStr">
        <is>
          <t>Talla única</t>
        </is>
      </c>
      <c r="G278" s="156" t="inlineStr">
        <is>
          <t>One Size</t>
        </is>
      </c>
      <c r="H278" s="156" t="inlineStr">
        <is>
          <t>Montana West</t>
        </is>
      </c>
      <c r="I278" s="156" t="inlineStr">
        <is>
          <t>Bolsa Montana West Rosa Oscuro</t>
        </is>
      </c>
      <c r="J278" s="156" t="inlineStr">
        <is>
          <t>Accesorios</t>
        </is>
      </c>
      <c r="K278" s="156" t="inlineStr">
        <is>
          <t>Bolsos</t>
        </is>
      </c>
      <c r="L278" s="156" t="inlineStr">
        <is>
          <t>Mujer</t>
        </is>
      </c>
      <c r="M278" s="156" t="inlineStr">
        <is>
          <t>Montana West</t>
        </is>
      </c>
      <c r="N278" s="156" t="n"/>
      <c r="O278" s="156" t="inlineStr">
        <is>
          <t>Core</t>
        </is>
      </c>
      <c r="P278" s="156" t="inlineStr">
        <is>
          <t>Rosa</t>
        </is>
      </c>
      <c r="Q278" s="156" t="n"/>
      <c r="R278" s="156" t="n"/>
      <c r="S278" s="156" t="n"/>
      <c r="T278" s="156" t="inlineStr">
        <is>
          <t>Bolsa Montana West. Color: Rosa Oscuro. Talla única. Mujer. Referencia: MW1338-8802DPK.</t>
        </is>
      </c>
      <c r="U278" s="156" t="n"/>
      <c r="V278" s="156" t="inlineStr">
        <is>
          <t>PZS</t>
        </is>
      </c>
      <c r="W278" s="51" t="inlineStr">
        <is>
          <t>53121601</t>
        </is>
      </c>
      <c r="X278" s="156" t="inlineStr">
        <is>
          <t>https://cdn.shopify.com/s/files/1/0005/9015/1741/files/Montana_West_Western_Tooled_Buckle_Mini_Barrel_Bag_Dark_Pink4.webp?v=1760087807</t>
        </is>
      </c>
      <c r="Y278" s="54" t="n">
        <v>338.1</v>
      </c>
      <c r="Z278" s="54" t="n">
        <v>549</v>
      </c>
      <c r="AA278" s="55">
        <f>IF(AND(A278="", B278="", E278=""), "", IF(AB278="", "Válido", IF((LEN(AB278)-LEN(SUBSTITUTE(AB278,"; ","")))/2+1&gt;(LEN(AB278)-LEN(SUBSTITUTE(AB278,"[Aviso]","")))/7, "Con Incidencias", "Válido")))</f>
        <v/>
      </c>
      <c r="AB278" s="56">
        <f>IF(AND(A278="", B278="", E278=""), "", TEXTJOIN("; ", TRUE, IF(OR(TRIM(A278&amp;"")="", ISNUMBER(SEARCH("FALTA", A278))), "UPC faltante/inválido", ""), IF(AND(A278&lt;&gt;"", IFERROR(_xlfn.XMATCH(A278,$A$2:$A$1063,0,1)&lt;&gt;_xlfn.XMATCH(A278,$A$2:$A$1063,0,-1),FALSE)), "Código de barras duplicado", ""), IF(AND(E278&lt;&gt;"", COUNTIF($E$2:$E$1063, E278)&gt;1), "SKU duplicado", ""), IF(OR(J278="", J278=""), "[Aviso] División no capturada ()", IF(ISNA(MATCH(J278, Criterios!$A$123:$A$126, 0)), "División no válida", "")), IF(OR(K278="", K278=""), "[Aviso] Categoría no capturada ()", IF(ISNA(MATCH(K278, Criterios!$A$81:$A$120, 0)), "Categoría no válida", IF(AND(J278&lt;&gt;"", J278&lt;&gt;"", J278&lt;&gt;VLOOKUP(K278, Criterios!$A$81:$B$120, 2, FALSE)), "División no coincide con Categoría", ""))), IF(OR(L278="", L278=""), "[Aviso] Género no capturado ()", IF(ISNA(MATCH(L278, Criterios!$B$123:$B$127, 0)), "Género no válido", "")), IF(OR(N278="", N278=""), "[Aviso] Temporada no capturada ()", IF(ISNA(MATCH(N278, Criterios!$C$123:$C$128, 0)), "Temporada no válida", "")), IF(OR(O278="", O278=""), "[Aviso] Ciclo de vida no capturado ()", IF(ISNA(MATCH(O278, Criterios!$D$123:$D$124, 0)), "Ciclo de vida no válido", ""))))</f>
        <v/>
      </c>
      <c r="AC278" s="56" t="n"/>
      <c r="AD278" s="51" t="n"/>
      <c r="AE278" s="156" t="n"/>
      <c r="AF278" s="51" t="n"/>
      <c r="AG278" s="156" t="inlineStr">
        <is>
          <t>Nuevo – Carga Hoja2 01/10/2026</t>
        </is>
      </c>
      <c r="AH278" s="156" t="inlineStr">
        <is>
          <t>Alta 01/10/2026 desde Hoja2 (fila 74) | 01/10/2026: Odoo Universal Unique Brands trae Género «Unisex» — se conservó el valor de Productos | Homologación G1522 06/10/2026: Enlace de imagen: «» → «https://cdn.shopify.com/s/files/1/0005/9015/1741/files/Montana_West_Western_Tooled_Buckle_Mini_Barrel_Bag_Dark_Pink4.webp?v=1760087807» (Completado por investigación en línea) · Validador Shopify: WB: precio con IVA no termina en 9</t>
        </is>
      </c>
      <c r="AI278" s="156" t="n"/>
      <c r="AJ278" s="156" t="n"/>
      <c r="AK278" s="155" t="inlineStr">
        <is>
          <t>Hoja2: fila 74 | Odoo: producto 27118 / plantilla 33818 | Investigación en línea 06/10/2026: https://montanawestworld.com/products/montana-west-western-tooled-buckle-mini-barrel-bag</t>
        </is>
      </c>
      <c r="AL278" s="58" t="n"/>
      <c r="AM278" s="58" t="n"/>
      <c r="AN278" s="155" t="inlineStr">
        <is>
          <t>Odoo Universal Unique Brands</t>
        </is>
      </c>
      <c r="AO278" s="59" t="n"/>
      <c r="AP278" s="59" t="n"/>
      <c r="AQ278" s="59" t="n">
        <v>5</v>
      </c>
      <c r="AR278" s="155" t="inlineStr">
        <is>
          <t>Odoo Universal Unique Brands › Bodega 25 › Bodega 25/General: 5</t>
        </is>
      </c>
    </row>
    <row r="279">
      <c r="A279" s="50" t="inlineStr">
        <is>
          <t>717325230271</t>
        </is>
      </c>
      <c r="B279" s="51" t="inlineStr">
        <is>
          <t>15672</t>
        </is>
      </c>
      <c r="C279" s="156" t="inlineStr">
        <is>
          <t>Montana West</t>
        </is>
      </c>
      <c r="D279" s="156" t="n"/>
      <c r="E279" s="156" t="inlineStr">
        <is>
          <t>MW1338-8802LBR</t>
        </is>
      </c>
      <c r="F279" s="156" t="inlineStr">
        <is>
          <t>Talla única</t>
        </is>
      </c>
      <c r="G279" s="156" t="inlineStr">
        <is>
          <t>One Size</t>
        </is>
      </c>
      <c r="H279" s="156" t="inlineStr">
        <is>
          <t>Montana West</t>
        </is>
      </c>
      <c r="I279" s="156" t="inlineStr">
        <is>
          <t>MONTANA WEST MW BAG</t>
        </is>
      </c>
      <c r="J279" s="156" t="inlineStr">
        <is>
          <t>Accesorios</t>
        </is>
      </c>
      <c r="K279" s="156" t="inlineStr">
        <is>
          <t>Bolsos</t>
        </is>
      </c>
      <c r="L279" s="156" t="inlineStr">
        <is>
          <t>Unisex</t>
        </is>
      </c>
      <c r="M279" s="156" t="n"/>
      <c r="N279" s="156" t="n"/>
      <c r="O279" s="156" t="n"/>
      <c r="P279" s="156" t="inlineStr">
        <is>
          <t>Cafe</t>
        </is>
      </c>
      <c r="Q279" s="156" t="n"/>
      <c r="R279" s="156" t="n"/>
      <c r="S279" s="156" t="n"/>
      <c r="T279" s="156" t="n"/>
      <c r="U279" s="156" t="n"/>
      <c r="V279" s="156" t="inlineStr">
        <is>
          <t>PZS</t>
        </is>
      </c>
      <c r="W279" s="51" t="inlineStr">
        <is>
          <t>53121600</t>
        </is>
      </c>
      <c r="X279" s="156" t="inlineStr">
        <is>
          <t>https://cdn.shopify.com/s/files/1/0005/9015/1741/files/Montana_West_Western_Tooled_Buckle_Mini_Barrel_Bag_Light_Brown.webp?v=1752216352</t>
        </is>
      </c>
      <c r="Y279" s="54" t="n">
        <v>338.1</v>
      </c>
      <c r="Z279" s="54" t="n">
        <v>509</v>
      </c>
      <c r="AA279" s="55">
        <f>IF(AND(A279="", B279="", E279=""), "", IF(AB279="", "Válido", IF((LEN(AB279)-LEN(SUBSTITUTE(AB279,"; ","")))/2+1&gt;(LEN(AB279)-LEN(SUBSTITUTE(AB279,"[Aviso]","")))/7, "Con Incidencias", "Válido")))</f>
        <v/>
      </c>
      <c r="AB279" s="56">
        <f>IF(AND(A279="", B279="", E279=""), "", TEXTJOIN("; ", TRUE, IF(OR(TRIM(A279&amp;"")="", ISNUMBER(SEARCH("FALTA", A279))), "UPC faltante/inválido", ""), IF(AND(A279&lt;&gt;"", IFERROR(_xlfn.XMATCH(A279,$A$2:$A$1063,0,1)&lt;&gt;_xlfn.XMATCH(A279,$A$2:$A$1063,0,-1),FALSE)), "Código de barras duplicado", ""), IF(AND(E279&lt;&gt;"", COUNTIF($E$2:$E$1063, E279)&gt;1), "SKU duplicado", ""), IF(OR(J279="", J279=""), "[Aviso] División no capturada ()", IF(ISNA(MATCH(J279, Criterios!$A$123:$A$126, 0)), "División no válida", "")), IF(OR(K279="", K279=""), "[Aviso] Categoría no capturada ()", IF(ISNA(MATCH(K279, Criterios!$A$81:$A$120, 0)), "Categoría no válida", IF(AND(J279&lt;&gt;"", J279&lt;&gt;"", J279&lt;&gt;VLOOKUP(K279, Criterios!$A$81:$B$120, 2, FALSE)), "División no coincide con Categoría", ""))), IF(OR(L279="", L279=""), "[Aviso] Género no capturado ()", IF(ISNA(MATCH(L279, Criterios!$B$123:$B$127, 0)), "Género no válido", "")), IF(OR(N279="", N279=""), "[Aviso] Temporada no capturada ()", IF(ISNA(MATCH(N279, Criterios!$C$123:$C$128, 0)), "Temporada no válida", "")), IF(OR(O279="", O279=""), "[Aviso] Ciclo de vida no capturado ()", IF(ISNA(MATCH(O279, Criterios!$D$123:$D$124, 0)), "Ciclo de vida no válido", ""))))</f>
        <v/>
      </c>
      <c r="AC279" s="56" t="inlineStr">
        <is>
          <t>Homologación G1522: integra 1 registro(s) iguales por mismo WB SKU</t>
        </is>
      </c>
      <c r="AD279" s="51" t="n"/>
      <c r="AE279" s="156" t="n"/>
      <c r="AF279" s="51" t="n"/>
      <c r="AG279" s="156" t="inlineStr">
        <is>
          <t>Nuevo – Carga Hoja2 01/10/2026</t>
        </is>
      </c>
      <c r="AH279" s="156" t="inlineStr">
        <is>
          <t>Alta 01/10/2026 desde Hoja2 (fila 75); Precio de compra en 0/vacío en origen | 01/10/2026: complementado desde Odoo Universal Unique Brands (match por código de barras): WB Talla, WB Talla de EE. UU., WB Género | Homologación G1522 06/10/2026: Enlace de imagen: «» → «https://cdn.shopify.com/s/files/1/0005/9015/1741/files/Montana_West_Western_Tooled_Buckle_Mini_Barrel_Bag_Light_Brown.webp?v=1752216352» (Completado por investigación en línea) · WB Color: «» → «Cafe» (Completado por investigación en línea) · WB Género: «» → «Unisex» (Completado por regla) · WB Talla: «» → «Talla única» (Completado por regla) · WB Talla de EE. UU.: «» → «One Size» (Completado por regla) · WB Descripcion: «MW BAG» → «MONTANA WEST MW BAG» (Conflicto entre duplicados) · SAT Clave de producto: «53121601» → «53121600» (Conflicto entre duplicados) · Precio de compra: «» → «338.1» (Integrado de duplicado) · Precio de venta: «549» → «509» (Conflicto entre duplicados) · Validación G1522: Falta estilo · Validador NetSuite / Odoo: V6: falta estilo · Validador Shopify: V6: falta estilo; WB: precio con IVA no termina en 9</t>
        </is>
      </c>
      <c r="AI279" s="156" t="n"/>
      <c r="AJ279" s="156" t="n"/>
      <c r="AK279" s="155" t="inlineStr">
        <is>
          <t>Hoja2: fila 75 | Odoo: producto 15672 / plantilla 20025 | Odoo: producto 27119 / plantilla 33819; Hoja2: fila 76 | Investigación en línea 06/10/2026: https://montanawestworld.com/products/montana-west-western-tooled-buckle-mini-barrel-bag | Investigación en línea 06/10/2026: https://montanawestworld.com/products/montana-west-western-tooled-buckle-mini-barrel-bag; Hoja2: fila 76</t>
        </is>
      </c>
      <c r="AL279" s="58" t="n"/>
      <c r="AM279" s="58" t="n"/>
      <c r="AN279" s="155" t="inlineStr">
        <is>
          <t>Odoo Universal Unique Brands</t>
        </is>
      </c>
      <c r="AO279" s="59" t="n"/>
      <c r="AP279" s="59" t="n"/>
      <c r="AQ279" s="59" t="n">
        <v>35</v>
      </c>
      <c r="AR279" s="155" t="inlineStr">
        <is>
          <t>Odoo Universal Unique Brands › Bodega 25 › Bodega 25/General: 29 | Odoo Universal Unique Brands › Bodega 25 › Bodega 25/General: 6</t>
        </is>
      </c>
    </row>
    <row r="280">
      <c r="A280" s="50" t="inlineStr">
        <is>
          <t>717325230301</t>
        </is>
      </c>
      <c r="B280" s="51" t="inlineStr">
        <is>
          <t>27120</t>
        </is>
      </c>
      <c r="C280" s="156" t="inlineStr">
        <is>
          <t>Montana West</t>
        </is>
      </c>
      <c r="D280" s="156" t="inlineStr">
        <is>
          <t>MW1338-8802LCF</t>
        </is>
      </c>
      <c r="E280" s="156" t="inlineStr">
        <is>
          <t>MW1338-8802LCF</t>
        </is>
      </c>
      <c r="F280" s="156" t="inlineStr">
        <is>
          <t>Talla única</t>
        </is>
      </c>
      <c r="G280" s="156" t="inlineStr">
        <is>
          <t>One Size</t>
        </is>
      </c>
      <c r="H280" s="156" t="inlineStr">
        <is>
          <t>Montana West</t>
        </is>
      </c>
      <c r="I280" s="156" t="inlineStr">
        <is>
          <t>Bolsa Montana West Café Claro</t>
        </is>
      </c>
      <c r="J280" s="156" t="inlineStr">
        <is>
          <t>Accesorios</t>
        </is>
      </c>
      <c r="K280" s="156" t="inlineStr">
        <is>
          <t>Bolsos</t>
        </is>
      </c>
      <c r="L280" s="156" t="inlineStr">
        <is>
          <t>Mujer</t>
        </is>
      </c>
      <c r="M280" s="156" t="inlineStr">
        <is>
          <t>Montana West</t>
        </is>
      </c>
      <c r="N280" s="156" t="n"/>
      <c r="O280" s="156" t="inlineStr">
        <is>
          <t>Core</t>
        </is>
      </c>
      <c r="P280" s="156" t="inlineStr">
        <is>
          <t>Cafe</t>
        </is>
      </c>
      <c r="Q280" s="156" t="n"/>
      <c r="R280" s="156" t="n"/>
      <c r="S280" s="156" t="n"/>
      <c r="T280" s="156" t="inlineStr">
        <is>
          <t>Bolsa Montana West. Color: Café Claro. Talla única. Mujer. Referencia: MW1338-8802LCF.</t>
        </is>
      </c>
      <c r="U280" s="156" t="n"/>
      <c r="V280" s="156" t="inlineStr">
        <is>
          <t>PZS</t>
        </is>
      </c>
      <c r="W280" s="51" t="inlineStr">
        <is>
          <t>53121601</t>
        </is>
      </c>
      <c r="X280" s="156" t="inlineStr">
        <is>
          <t>https://cdn.shopify.com/s/files/1/0005/9015/1741/files/Montana_West_Western_Tooled_Buckle_Mini_Barrel_Bag_Light_Coffee4.webp?v=1752216449</t>
        </is>
      </c>
      <c r="Y280" s="54" t="n">
        <v>338.1</v>
      </c>
      <c r="Z280" s="54" t="n">
        <v>549</v>
      </c>
      <c r="AA280" s="55">
        <f>IF(AND(A280="", B280="", E280=""), "", IF(AB280="", "Válido", IF((LEN(AB280)-LEN(SUBSTITUTE(AB280,"; ","")))/2+1&gt;(LEN(AB280)-LEN(SUBSTITUTE(AB280,"[Aviso]","")))/7, "Con Incidencias", "Válido")))</f>
        <v/>
      </c>
      <c r="AB280" s="56">
        <f>IF(AND(A280="", B280="", E280=""), "", TEXTJOIN("; ", TRUE, IF(OR(TRIM(A280&amp;"")="", ISNUMBER(SEARCH("FALTA", A280))), "UPC faltante/inválido", ""), IF(AND(A280&lt;&gt;"", IFERROR(_xlfn.XMATCH(A280,$A$2:$A$1063,0,1)&lt;&gt;_xlfn.XMATCH(A280,$A$2:$A$1063,0,-1),FALSE)), "Código de barras duplicado", ""), IF(AND(E280&lt;&gt;"", COUNTIF($E$2:$E$1063, E280)&gt;1), "SKU duplicado", ""), IF(OR(J280="", J280=""), "[Aviso] División no capturada ()", IF(ISNA(MATCH(J280, Criterios!$A$123:$A$126, 0)), "División no válida", "")), IF(OR(K280="", K280=""), "[Aviso] Categoría no capturada ()", IF(ISNA(MATCH(K280, Criterios!$A$81:$A$120, 0)), "Categoría no válida", IF(AND(J280&lt;&gt;"", J280&lt;&gt;"", J280&lt;&gt;VLOOKUP(K280, Criterios!$A$81:$B$120, 2, FALSE)), "División no coincide con Categoría", ""))), IF(OR(L280="", L280=""), "[Aviso] Género no capturado ()", IF(ISNA(MATCH(L280, Criterios!$B$123:$B$127, 0)), "Género no válido", "")), IF(OR(N280="", N280=""), "[Aviso] Temporada no capturada ()", IF(ISNA(MATCH(N280, Criterios!$C$123:$C$128, 0)), "Temporada no válida", "")), IF(OR(O280="", O280=""), "[Aviso] Ciclo de vida no capturado ()", IF(ISNA(MATCH(O280, Criterios!$D$123:$D$124, 0)), "Ciclo de vida no válido", ""))))</f>
        <v/>
      </c>
      <c r="AC280" s="56" t="n"/>
      <c r="AD280" s="51" t="n"/>
      <c r="AE280" s="156" t="n"/>
      <c r="AF280" s="51" t="n"/>
      <c r="AG280" s="156" t="inlineStr">
        <is>
          <t>Nuevo – Carga Hoja2 01/10/2026</t>
        </is>
      </c>
      <c r="AH280" s="156" t="inlineStr">
        <is>
          <t>Alta 01/10/2026 desde Hoja2 (fila 77) | 01/10/2026: Odoo Universal Unique Brands trae Género «Unisex» — se conservó el valor de Productos | Homologación G1522 06/10/2026: Enlace de imagen: «» → «https://cdn.shopify.com/s/files/1/0005/9015/1741/files/Montana_West_Western_Tooled_Buckle_Mini_Barrel_Bag_Light_Coffee4.webp?v=1752216449» (Completado por investigación en línea) · Validador Shopify: WB: precio con IVA no termina en 9</t>
        </is>
      </c>
      <c r="AI280" s="156" t="n"/>
      <c r="AJ280" s="156" t="n"/>
      <c r="AK280" s="155" t="inlineStr">
        <is>
          <t>Hoja2: fila 77 | Odoo: producto 27120 / plantilla 33820 | Investigación en línea 06/10/2026: https://montanawestworld.com/products/montana-west-western-tooled-buckle-mini-barrel-bag</t>
        </is>
      </c>
      <c r="AL280" s="58" t="n"/>
      <c r="AM280" s="58" t="n"/>
      <c r="AN280" s="155" t="inlineStr">
        <is>
          <t>Odoo Universal Unique Brands</t>
        </is>
      </c>
      <c r="AO280" s="59" t="n"/>
      <c r="AP280" s="59" t="n"/>
      <c r="AQ280" s="59" t="n">
        <v>7</v>
      </c>
      <c r="AR280" s="155" t="inlineStr">
        <is>
          <t>Odoo Universal Unique Brands › Bodega 25 › Bodega 25/General: 7</t>
        </is>
      </c>
    </row>
    <row r="281">
      <c r="A281" s="50" t="inlineStr">
        <is>
          <t>717325230523</t>
        </is>
      </c>
      <c r="B281" s="51" t="inlineStr">
        <is>
          <t>15608</t>
        </is>
      </c>
      <c r="C281" s="156" t="inlineStr">
        <is>
          <t>Montana West</t>
        </is>
      </c>
      <c r="D281" s="156" t="n"/>
      <c r="E281" s="156" t="inlineStr">
        <is>
          <t>MW1339-2002BG</t>
        </is>
      </c>
      <c r="F281" s="156" t="inlineStr">
        <is>
          <t>Talla única</t>
        </is>
      </c>
      <c r="G281" s="156" t="inlineStr">
        <is>
          <t>One Size</t>
        </is>
      </c>
      <c r="H281" s="156" t="inlineStr">
        <is>
          <t>Montana West</t>
        </is>
      </c>
      <c r="I281" s="156" t="inlineStr">
        <is>
          <t>MONTANA WEST MW BAG</t>
        </is>
      </c>
      <c r="J281" s="156" t="inlineStr">
        <is>
          <t>Accesorios</t>
        </is>
      </c>
      <c r="K281" s="156" t="inlineStr">
        <is>
          <t>Bolsos</t>
        </is>
      </c>
      <c r="L281" s="156" t="inlineStr">
        <is>
          <t>Unisex</t>
        </is>
      </c>
      <c r="M281" s="156" t="n"/>
      <c r="N281" s="156" t="n"/>
      <c r="O281" s="156" t="n"/>
      <c r="P281" s="156" t="n"/>
      <c r="Q281" s="156" t="n"/>
      <c r="R281" s="156" t="n"/>
      <c r="S281" s="156" t="n"/>
      <c r="T281" s="156" t="n"/>
      <c r="U281" s="156" t="n"/>
      <c r="V281" s="156" t="inlineStr">
        <is>
          <t>PZS</t>
        </is>
      </c>
      <c r="W281" s="51" t="inlineStr">
        <is>
          <t>53121600</t>
        </is>
      </c>
      <c r="X281" s="156" t="n"/>
      <c r="Y281" s="54" t="n"/>
      <c r="Z281" s="54" t="n">
        <v>699</v>
      </c>
      <c r="AA281" s="55">
        <f>IF(AND(A281="", B281="", E281=""), "", IF(AB281="", "Válido", IF((LEN(AB281)-LEN(SUBSTITUTE(AB281,"; ","")))/2+1&gt;(LEN(AB281)-LEN(SUBSTITUTE(AB281,"[Aviso]","")))/7, "Con Incidencias", "Válido")))</f>
        <v/>
      </c>
      <c r="AB281" s="56">
        <f>IF(AND(A281="", B281="", E281=""), "", TEXTJOIN("; ", TRUE, IF(OR(TRIM(A281&amp;"")="", ISNUMBER(SEARCH("FALTA", A281))), "UPC faltante/inválido", ""), IF(AND(A281&lt;&gt;"", IFERROR(_xlfn.XMATCH(A281,$A$2:$A$1063,0,1)&lt;&gt;_xlfn.XMATCH(A281,$A$2:$A$1063,0,-1),FALSE)), "Código de barras duplicado", ""), IF(AND(E281&lt;&gt;"", COUNTIF($E$2:$E$1063, E281)&gt;1), "SKU duplicado", ""), IF(OR(J281="", J281=""), "[Aviso] División no capturada ()", IF(ISNA(MATCH(J281, Criterios!$A$123:$A$126, 0)), "División no válida", "")), IF(OR(K281="", K281=""), "[Aviso] Categoría no capturada ()", IF(ISNA(MATCH(K281, Criterios!$A$81:$A$120, 0)), "Categoría no válida", IF(AND(J281&lt;&gt;"", J281&lt;&gt;"", J281&lt;&gt;VLOOKUP(K281, Criterios!$A$81:$B$120, 2, FALSE)), "División no coincide con Categoría", ""))), IF(OR(L281="", L281=""), "[Aviso] Género no capturado ()", IF(ISNA(MATCH(L281, Criterios!$B$123:$B$127, 0)), "Género no válido", "")), IF(OR(N281="", N281=""), "[Aviso] Temporada no capturada ()", IF(ISNA(MATCH(N281, Criterios!$C$123:$C$128, 0)), "Temporada no válida", "")), IF(OR(O281="", O281=""), "[Aviso] Ciclo de vida no capturado ()", IF(ISNA(MATCH(O281, Criterios!$D$123:$D$124, 0)), "Ciclo de vida no válido", ""))))</f>
        <v/>
      </c>
      <c r="AC281" s="56" t="n"/>
      <c r="AD281" s="51" t="n"/>
      <c r="AE281" s="156" t="n"/>
      <c r="AF281" s="51" t="n"/>
      <c r="AG281" s="156" t="inlineStr">
        <is>
          <t>Nuevo – Carga Hoja2 01/10/2026</t>
        </is>
      </c>
      <c r="AH281" s="156" t="inlineStr">
        <is>
          <t>Alta 01/10/2026 desde Hoja2 (fila 78);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281" s="156" t="n"/>
      <c r="AJ281" s="156" t="n"/>
      <c r="AK281" s="155" t="inlineStr">
        <is>
          <t>Hoja2: fila 78 | Odoo: producto 15608 / plantilla 19961</t>
        </is>
      </c>
      <c r="AL281" s="58" t="n"/>
      <c r="AM281" s="58" t="n"/>
      <c r="AN281" s="155" t="inlineStr">
        <is>
          <t>Odoo Universal Unique Brands</t>
        </is>
      </c>
      <c r="AO281" s="59" t="n"/>
      <c r="AP281" s="59" t="n"/>
      <c r="AQ281" s="59" t="n">
        <v>28</v>
      </c>
      <c r="AR281" s="155" t="inlineStr">
        <is>
          <t>Odoo Universal Unique Brands › Bodega 25 › Bodega 25/General: 28</t>
        </is>
      </c>
    </row>
    <row r="282">
      <c r="A282" s="50" t="inlineStr">
        <is>
          <t>717325230493</t>
        </is>
      </c>
      <c r="B282" s="51" t="inlineStr">
        <is>
          <t>15663</t>
        </is>
      </c>
      <c r="C282" s="156" t="inlineStr">
        <is>
          <t>Montana West</t>
        </is>
      </c>
      <c r="D282" s="156" t="inlineStr">
        <is>
          <t>MW1339-2002BR</t>
        </is>
      </c>
      <c r="E282" s="156" t="inlineStr">
        <is>
          <t>MW1339-2002BR</t>
        </is>
      </c>
      <c r="F282" s="156" t="inlineStr">
        <is>
          <t>Talla única</t>
        </is>
      </c>
      <c r="G282" s="156" t="inlineStr">
        <is>
          <t>One Size</t>
        </is>
      </c>
      <c r="H282" s="156" t="inlineStr">
        <is>
          <t>Montana West</t>
        </is>
      </c>
      <c r="I282" s="156" t="inlineStr">
        <is>
          <t>Bolsa Montana West Café</t>
        </is>
      </c>
      <c r="J282" s="156" t="inlineStr">
        <is>
          <t>Accesorios</t>
        </is>
      </c>
      <c r="K282" s="156" t="inlineStr">
        <is>
          <t>Bolsos</t>
        </is>
      </c>
      <c r="L282" s="156" t="inlineStr">
        <is>
          <t>Mujer</t>
        </is>
      </c>
      <c r="M282" s="156" t="inlineStr">
        <is>
          <t>Montana West</t>
        </is>
      </c>
      <c r="N282" s="156" t="n"/>
      <c r="O282" s="156" t="inlineStr">
        <is>
          <t>Core</t>
        </is>
      </c>
      <c r="P282" s="156" t="inlineStr">
        <is>
          <t>Cafe</t>
        </is>
      </c>
      <c r="Q282" s="156" t="n"/>
      <c r="R282" s="156" t="n"/>
      <c r="S282" s="156" t="n"/>
      <c r="T282" s="156" t="inlineStr">
        <is>
          <t>Bolsa Montana West. Color: Café. Talla única. Mujer. Referencia: MW1339-2002BR.</t>
        </is>
      </c>
      <c r="U282" s="156" t="n"/>
      <c r="V282" s="156" t="inlineStr">
        <is>
          <t>PZS</t>
        </is>
      </c>
      <c r="W282" s="51" t="inlineStr">
        <is>
          <t>53121601</t>
        </is>
      </c>
      <c r="X282" s="156" t="n"/>
      <c r="Y282" s="54" t="n"/>
      <c r="Z282" s="54" t="n">
        <v>699</v>
      </c>
      <c r="AA282" s="55">
        <f>IF(AND(A282="", B282="", E282=""), "", IF(AB282="", "Válido", IF((LEN(AB282)-LEN(SUBSTITUTE(AB282,"; ","")))/2+1&gt;(LEN(AB282)-LEN(SUBSTITUTE(AB282,"[Aviso]","")))/7, "Con Incidencias", "Válido")))</f>
        <v/>
      </c>
      <c r="AB282" s="56">
        <f>IF(AND(A282="", B282="", E282=""), "", TEXTJOIN("; ", TRUE, IF(OR(TRIM(A282&amp;"")="", ISNUMBER(SEARCH("FALTA", A282))), "UPC faltante/inválido", ""), IF(AND(A282&lt;&gt;"", IFERROR(_xlfn.XMATCH(A282,$A$2:$A$1063,0,1)&lt;&gt;_xlfn.XMATCH(A282,$A$2:$A$1063,0,-1),FALSE)), "Código de barras duplicado", ""), IF(AND(E282&lt;&gt;"", COUNTIF($E$2:$E$1063, E282)&gt;1), "SKU duplicado", ""), IF(OR(J282="", J282=""), "[Aviso] División no capturada ()", IF(ISNA(MATCH(J282, Criterios!$A$123:$A$126, 0)), "División no válida", "")), IF(OR(K282="", K282=""), "[Aviso] Categoría no capturada ()", IF(ISNA(MATCH(K282, Criterios!$A$81:$A$120, 0)), "Categoría no válida", IF(AND(J282&lt;&gt;"", J282&lt;&gt;"", J282&lt;&gt;VLOOKUP(K282, Criterios!$A$81:$B$120, 2, FALSE)), "División no coincide con Categoría", ""))), IF(OR(L282="", L282=""), "[Aviso] Género no capturado ()", IF(ISNA(MATCH(L282, Criterios!$B$123:$B$127, 0)), "Género no válido", "")), IF(OR(N282="", N282=""), "[Aviso] Temporada no capturada ()", IF(ISNA(MATCH(N282, Criterios!$C$123:$C$128, 0)), "Temporada no válida", "")), IF(OR(O282="", O282=""), "[Aviso] Ciclo de vida no capturado ()", IF(ISNA(MATCH(O282, Criterios!$D$123:$D$124, 0)), "Ciclo de vida no válido", ""))))</f>
        <v/>
      </c>
      <c r="AC282" s="56" t="n"/>
      <c r="AD282" s="51" t="n"/>
      <c r="AE282" s="156" t="n"/>
      <c r="AF282" s="51" t="n"/>
      <c r="AG282" s="156" t="inlineStr">
        <is>
          <t>Nuevo – Carga Hoja2 01/10/2026</t>
        </is>
      </c>
      <c r="AH282" s="156" t="inlineStr">
        <is>
          <t>Alta 01/10/2026 desde Hoja2 (fila 79);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82" s="156" t="n"/>
      <c r="AJ282" s="156" t="n"/>
      <c r="AK282" s="155" t="inlineStr">
        <is>
          <t>Hoja2: fila 79 | Odoo: producto 15663 / plantilla 20016</t>
        </is>
      </c>
      <c r="AL282" s="58" t="n"/>
      <c r="AM282" s="58" t="n"/>
      <c r="AN282" s="155" t="inlineStr">
        <is>
          <t>Odoo Universal Unique Brands</t>
        </is>
      </c>
      <c r="AO282" s="59" t="n"/>
      <c r="AP282" s="59" t="n"/>
      <c r="AQ282" s="59" t="n">
        <v>13</v>
      </c>
      <c r="AR282" s="155" t="inlineStr">
        <is>
          <t>Odoo Universal Unique Brands › Bodega 25 › Bodega 25/General: 13</t>
        </is>
      </c>
    </row>
    <row r="283">
      <c r="A283" s="50" t="inlineStr">
        <is>
          <t>717325230547</t>
        </is>
      </c>
      <c r="B283" s="51" t="inlineStr">
        <is>
          <t>15662</t>
        </is>
      </c>
      <c r="C283" s="156" t="inlineStr">
        <is>
          <t>Montana West</t>
        </is>
      </c>
      <c r="D283" s="156" t="inlineStr">
        <is>
          <t>MW1339-2002CF</t>
        </is>
      </c>
      <c r="E283" s="156" t="inlineStr">
        <is>
          <t>MW1339-2002CF</t>
        </is>
      </c>
      <c r="F283" s="156" t="inlineStr">
        <is>
          <t>Talla única</t>
        </is>
      </c>
      <c r="G283" s="156" t="inlineStr">
        <is>
          <t>One Size</t>
        </is>
      </c>
      <c r="H283" s="156" t="inlineStr">
        <is>
          <t>Montana West</t>
        </is>
      </c>
      <c r="I283" s="156" t="inlineStr">
        <is>
          <t>Bolsa Montana West Café Oscuro</t>
        </is>
      </c>
      <c r="J283" s="156" t="inlineStr">
        <is>
          <t>Accesorios</t>
        </is>
      </c>
      <c r="K283" s="156" t="inlineStr">
        <is>
          <t>Bolsos</t>
        </is>
      </c>
      <c r="L283" s="156" t="inlineStr">
        <is>
          <t>Mujer</t>
        </is>
      </c>
      <c r="M283" s="156" t="inlineStr">
        <is>
          <t>Montana West</t>
        </is>
      </c>
      <c r="N283" s="156" t="n"/>
      <c r="O283" s="156" t="inlineStr">
        <is>
          <t>Core</t>
        </is>
      </c>
      <c r="P283" s="156" t="inlineStr">
        <is>
          <t>Cafe</t>
        </is>
      </c>
      <c r="Q283" s="156" t="n"/>
      <c r="R283" s="156" t="n"/>
      <c r="S283" s="156" t="n"/>
      <c r="T283" s="156" t="inlineStr">
        <is>
          <t>Bolsa Montana West. Color: Café Oscuro. Talla única. Mujer. Referencia: MW1339-2002CF.</t>
        </is>
      </c>
      <c r="U283" s="156" t="n"/>
      <c r="V283" s="156" t="inlineStr">
        <is>
          <t>PZS</t>
        </is>
      </c>
      <c r="W283" s="51" t="inlineStr">
        <is>
          <t>53121601</t>
        </is>
      </c>
      <c r="X283" s="156" t="n"/>
      <c r="Y283" s="54" t="n"/>
      <c r="Z283" s="54" t="n">
        <v>699</v>
      </c>
      <c r="AA283" s="55">
        <f>IF(AND(A283="", B283="", E283=""), "", IF(AB283="", "Válido", IF((LEN(AB283)-LEN(SUBSTITUTE(AB283,"; ","")))/2+1&gt;(LEN(AB283)-LEN(SUBSTITUTE(AB283,"[Aviso]","")))/7, "Con Incidencias", "Válido")))</f>
        <v/>
      </c>
      <c r="AB283" s="56">
        <f>IF(AND(A283="", B283="", E283=""), "", TEXTJOIN("; ", TRUE, IF(OR(TRIM(A283&amp;"")="", ISNUMBER(SEARCH("FALTA", A283))), "UPC faltante/inválido", ""), IF(AND(A283&lt;&gt;"", IFERROR(_xlfn.XMATCH(A283,$A$2:$A$1063,0,1)&lt;&gt;_xlfn.XMATCH(A283,$A$2:$A$1063,0,-1),FALSE)), "Código de barras duplicado", ""), IF(AND(E283&lt;&gt;"", COUNTIF($E$2:$E$1063, E283)&gt;1), "SKU duplicado", ""), IF(OR(J283="", J283=""), "[Aviso] División no capturada ()", IF(ISNA(MATCH(J283, Criterios!$A$123:$A$126, 0)), "División no válida", "")), IF(OR(K283="", K283=""), "[Aviso] Categoría no capturada ()", IF(ISNA(MATCH(K283, Criterios!$A$81:$A$120, 0)), "Categoría no válida", IF(AND(J283&lt;&gt;"", J283&lt;&gt;"", J283&lt;&gt;VLOOKUP(K283, Criterios!$A$81:$B$120, 2, FALSE)), "División no coincide con Categoría", ""))), IF(OR(L283="", L283=""), "[Aviso] Género no capturado ()", IF(ISNA(MATCH(L283, Criterios!$B$123:$B$127, 0)), "Género no válido", "")), IF(OR(N283="", N283=""), "[Aviso] Temporada no capturada ()", IF(ISNA(MATCH(N283, Criterios!$C$123:$C$128, 0)), "Temporada no válida", "")), IF(OR(O283="", O283=""), "[Aviso] Ciclo de vida no capturado ()", IF(ISNA(MATCH(O283, Criterios!$D$123:$D$124, 0)), "Ciclo de vida no válido", ""))))</f>
        <v/>
      </c>
      <c r="AC283" s="56" t="n"/>
      <c r="AD283" s="51" t="n"/>
      <c r="AE283" s="156" t="n"/>
      <c r="AF283" s="51" t="n"/>
      <c r="AG283" s="156" t="inlineStr">
        <is>
          <t>Nuevo – Carga Hoja2 01/10/2026</t>
        </is>
      </c>
      <c r="AH283" s="156" t="inlineStr">
        <is>
          <t>Alta 01/10/2026 desde Hoja2 (fila 80);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83" s="156" t="n"/>
      <c r="AJ283" s="156" t="n"/>
      <c r="AK283" s="155" t="inlineStr">
        <is>
          <t>Hoja2: fila 80 | Odoo: producto 15662 / plantilla 20015</t>
        </is>
      </c>
      <c r="AL283" s="58" t="n"/>
      <c r="AM283" s="58" t="n"/>
      <c r="AN283" s="155" t="inlineStr">
        <is>
          <t>Odoo Universal Unique Brands</t>
        </is>
      </c>
      <c r="AO283" s="59" t="n"/>
      <c r="AP283" s="59" t="n"/>
      <c r="AQ283" s="59" t="n">
        <v>11</v>
      </c>
      <c r="AR283" s="155" t="inlineStr">
        <is>
          <t>Odoo Universal Unique Brands › Bodega 25 › Bodega 25/General: 11</t>
        </is>
      </c>
    </row>
    <row r="284">
      <c r="A284" s="50" t="inlineStr">
        <is>
          <t>717325230516</t>
        </is>
      </c>
      <c r="B284" s="51" t="inlineStr">
        <is>
          <t>15661</t>
        </is>
      </c>
      <c r="C284" s="156" t="inlineStr">
        <is>
          <t>Montana West</t>
        </is>
      </c>
      <c r="D284" s="156" t="n"/>
      <c r="E284" s="156" t="inlineStr">
        <is>
          <t>MW1339-2002TN</t>
        </is>
      </c>
      <c r="F284" s="156" t="inlineStr">
        <is>
          <t>Talla única</t>
        </is>
      </c>
      <c r="G284" s="156" t="inlineStr">
        <is>
          <t>One Size</t>
        </is>
      </c>
      <c r="H284" s="156" t="inlineStr">
        <is>
          <t>Montana West</t>
        </is>
      </c>
      <c r="I284" s="156" t="inlineStr">
        <is>
          <t>MONTANA WEST MW BAG</t>
        </is>
      </c>
      <c r="J284" s="156" t="inlineStr">
        <is>
          <t>Accesorios</t>
        </is>
      </c>
      <c r="K284" s="156" t="inlineStr">
        <is>
          <t>Bolsos</t>
        </is>
      </c>
      <c r="L284" s="156" t="inlineStr">
        <is>
          <t>Unisex</t>
        </is>
      </c>
      <c r="M284" s="156" t="n"/>
      <c r="N284" s="156" t="n"/>
      <c r="O284" s="156" t="n"/>
      <c r="P284" s="156" t="n"/>
      <c r="Q284" s="156" t="n"/>
      <c r="R284" s="156" t="n"/>
      <c r="S284" s="156" t="n"/>
      <c r="T284" s="156" t="n"/>
      <c r="U284" s="156" t="n"/>
      <c r="V284" s="156" t="inlineStr">
        <is>
          <t>PZS</t>
        </is>
      </c>
      <c r="W284" s="51" t="inlineStr">
        <is>
          <t>53121600</t>
        </is>
      </c>
      <c r="X284" s="156" t="n"/>
      <c r="Y284" s="54" t="n"/>
      <c r="Z284" s="54" t="n">
        <v>699</v>
      </c>
      <c r="AA284" s="55">
        <f>IF(AND(A284="", B284="", E284=""), "", IF(AB284="", "Válido", IF((LEN(AB284)-LEN(SUBSTITUTE(AB284,"; ","")))/2+1&gt;(LEN(AB284)-LEN(SUBSTITUTE(AB284,"[Aviso]","")))/7, "Con Incidencias", "Válido")))</f>
        <v/>
      </c>
      <c r="AB284" s="56">
        <f>IF(AND(A284="", B284="", E284=""), "", TEXTJOIN("; ", TRUE, IF(OR(TRIM(A284&amp;"")="", ISNUMBER(SEARCH("FALTA", A284))), "UPC faltante/inválido", ""), IF(AND(A284&lt;&gt;"", IFERROR(_xlfn.XMATCH(A284,$A$2:$A$1063,0,1)&lt;&gt;_xlfn.XMATCH(A284,$A$2:$A$1063,0,-1),FALSE)), "Código de barras duplicado", ""), IF(AND(E284&lt;&gt;"", COUNTIF($E$2:$E$1063, E284)&gt;1), "SKU duplicado", ""), IF(OR(J284="", J284=""), "[Aviso] División no capturada ()", IF(ISNA(MATCH(J284, Criterios!$A$123:$A$126, 0)), "División no válida", "")), IF(OR(K284="", K284=""), "[Aviso] Categoría no capturada ()", IF(ISNA(MATCH(K284, Criterios!$A$81:$A$120, 0)), "Categoría no válida", IF(AND(J284&lt;&gt;"", J284&lt;&gt;"", J284&lt;&gt;VLOOKUP(K284, Criterios!$A$81:$B$120, 2, FALSE)), "División no coincide con Categoría", ""))), IF(OR(L284="", L284=""), "[Aviso] Género no capturado ()", IF(ISNA(MATCH(L284, Criterios!$B$123:$B$127, 0)), "Género no válido", "")), IF(OR(N284="", N284=""), "[Aviso] Temporada no capturada ()", IF(ISNA(MATCH(N284, Criterios!$C$123:$C$128, 0)), "Temporada no válida", "")), IF(OR(O284="", O284=""), "[Aviso] Ciclo de vida no capturado ()", IF(ISNA(MATCH(O284, Criterios!$D$123:$D$124, 0)), "Ciclo de vida no válido", ""))))</f>
        <v/>
      </c>
      <c r="AC284" s="56" t="n"/>
      <c r="AD284" s="51" t="n"/>
      <c r="AE284" s="156" t="n"/>
      <c r="AF284" s="51" t="n"/>
      <c r="AG284" s="156" t="inlineStr">
        <is>
          <t>Nuevo – Carga Hoja2 01/10/2026</t>
        </is>
      </c>
      <c r="AH284" s="156" t="inlineStr">
        <is>
          <t>Alta 01/10/2026 desde Hoja2 (fila 81);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284" s="156" t="n"/>
      <c r="AJ284" s="156" t="n"/>
      <c r="AK284" s="155" t="inlineStr">
        <is>
          <t>Hoja2: fila 81 | Odoo: producto 15661 / plantilla 20014</t>
        </is>
      </c>
      <c r="AL284" s="58" t="n"/>
      <c r="AM284" s="58" t="n"/>
      <c r="AN284" s="155" t="inlineStr">
        <is>
          <t>Odoo Universal Unique Brands</t>
        </is>
      </c>
      <c r="AO284" s="59" t="n"/>
      <c r="AP284" s="59" t="n"/>
      <c r="AQ284" s="59" t="n">
        <v>16</v>
      </c>
      <c r="AR284" s="155" t="inlineStr">
        <is>
          <t>Odoo Universal Unique Brands › Bodega 25 › Bodega 25/General: 16</t>
        </is>
      </c>
    </row>
    <row r="285">
      <c r="A285" s="50" t="inlineStr">
        <is>
          <t>717690431396</t>
        </is>
      </c>
      <c r="B285" s="51" t="inlineStr">
        <is>
          <t>15617</t>
        </is>
      </c>
      <c r="C285" s="156" t="inlineStr">
        <is>
          <t>Montana West</t>
        </is>
      </c>
      <c r="D285" s="156" t="n"/>
      <c r="E285" s="156" t="inlineStr">
        <is>
          <t>MW1340-181BR</t>
        </is>
      </c>
      <c r="F285" s="156" t="inlineStr">
        <is>
          <t>Talla única</t>
        </is>
      </c>
      <c r="G285" s="156" t="inlineStr">
        <is>
          <t>One Size</t>
        </is>
      </c>
      <c r="H285" s="156" t="inlineStr">
        <is>
          <t>Montana West</t>
        </is>
      </c>
      <c r="I285" s="156" t="inlineStr">
        <is>
          <t>MONTANA WEST MW BAG</t>
        </is>
      </c>
      <c r="J285" s="156" t="inlineStr">
        <is>
          <t>Accesorios</t>
        </is>
      </c>
      <c r="K285" s="156" t="inlineStr">
        <is>
          <t>Bolsos</t>
        </is>
      </c>
      <c r="L285" s="156" t="inlineStr">
        <is>
          <t>Unisex</t>
        </is>
      </c>
      <c r="M285" s="156" t="n"/>
      <c r="N285" s="156" t="n"/>
      <c r="O285" s="156" t="n"/>
      <c r="P285" s="156" t="n"/>
      <c r="Q285" s="156" t="n"/>
      <c r="R285" s="156" t="n"/>
      <c r="S285" s="156" t="n"/>
      <c r="T285" s="156" t="n"/>
      <c r="U285" s="156" t="n"/>
      <c r="V285" s="156" t="inlineStr">
        <is>
          <t>PZS</t>
        </is>
      </c>
      <c r="W285" s="51" t="inlineStr">
        <is>
          <t>53121600</t>
        </is>
      </c>
      <c r="X285" s="156" t="n"/>
      <c r="Y285" s="54" t="n"/>
      <c r="Z285" s="54" t="n">
        <v>339</v>
      </c>
      <c r="AA285" s="55">
        <f>IF(AND(A285="", B285="", E285=""), "", IF(AB285="", "Válido", IF((LEN(AB285)-LEN(SUBSTITUTE(AB285,"; ","")))/2+1&gt;(LEN(AB285)-LEN(SUBSTITUTE(AB285,"[Aviso]","")))/7, "Con Incidencias", "Válido")))</f>
        <v/>
      </c>
      <c r="AB285" s="56">
        <f>IF(AND(A285="", B285="", E285=""), "", TEXTJOIN("; ", TRUE, IF(OR(TRIM(A285&amp;"")="", ISNUMBER(SEARCH("FALTA", A285))), "UPC faltante/inválido", ""), IF(AND(A285&lt;&gt;"", IFERROR(_xlfn.XMATCH(A285,$A$2:$A$1063,0,1)&lt;&gt;_xlfn.XMATCH(A285,$A$2:$A$1063,0,-1),FALSE)), "Código de barras duplicado", ""), IF(AND(E285&lt;&gt;"", COUNTIF($E$2:$E$1063, E285)&gt;1), "SKU duplicado", ""), IF(OR(J285="", J285=""), "[Aviso] División no capturada ()", IF(ISNA(MATCH(J285, Criterios!$A$123:$A$126, 0)), "División no válida", "")), IF(OR(K285="", K285=""), "[Aviso] Categoría no capturada ()", IF(ISNA(MATCH(K285, Criterios!$A$81:$A$120, 0)), "Categoría no válida", IF(AND(J285&lt;&gt;"", J285&lt;&gt;"", J285&lt;&gt;VLOOKUP(K285, Criterios!$A$81:$B$120, 2, FALSE)), "División no coincide con Categoría", ""))), IF(OR(L285="", L285=""), "[Aviso] Género no capturado ()", IF(ISNA(MATCH(L285, Criterios!$B$123:$B$127, 0)), "Género no válido", "")), IF(OR(N285="", N285=""), "[Aviso] Temporada no capturada ()", IF(ISNA(MATCH(N285, Criterios!$C$123:$C$128, 0)), "Temporada no válida", "")), IF(OR(O285="", O285=""), "[Aviso] Ciclo de vida no capturado ()", IF(ISNA(MATCH(O285, Criterios!$D$123:$D$124, 0)), "Ciclo de vida no válido", ""))))</f>
        <v/>
      </c>
      <c r="AC285" s="56" t="n"/>
      <c r="AD285" s="51" t="n"/>
      <c r="AE285" s="156" t="n"/>
      <c r="AF285" s="51" t="n"/>
      <c r="AG285" s="156" t="inlineStr">
        <is>
          <t>Nuevo – Carga Hoja2 01/10/2026</t>
        </is>
      </c>
      <c r="AH285" s="156" t="inlineStr">
        <is>
          <t>Alta 01/10/2026 desde Hoja2 (fila 82);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285" s="156" t="n"/>
      <c r="AJ285" s="156" t="n"/>
      <c r="AK285" s="155" t="inlineStr">
        <is>
          <t>Hoja2: fila 82 | Odoo: producto 15617 / plantilla 19970</t>
        </is>
      </c>
      <c r="AL285" s="58" t="n"/>
      <c r="AM285" s="58" t="n"/>
      <c r="AN285" s="155" t="inlineStr">
        <is>
          <t>Odoo Universal Unique Brands</t>
        </is>
      </c>
      <c r="AO285" s="59" t="n"/>
      <c r="AP285" s="59" t="n"/>
      <c r="AQ285" s="59" t="n">
        <v>12</v>
      </c>
      <c r="AR285" s="155" t="inlineStr">
        <is>
          <t>Odoo Universal Unique Brands › Bodega 25 › Bodega 25/General: 12</t>
        </is>
      </c>
    </row>
    <row r="286">
      <c r="A286" s="50" t="inlineStr">
        <is>
          <t>717690431631</t>
        </is>
      </c>
      <c r="B286" s="51" t="inlineStr">
        <is>
          <t>15668</t>
        </is>
      </c>
      <c r="C286" s="156" t="inlineStr">
        <is>
          <t>Montana West</t>
        </is>
      </c>
      <c r="D286" s="156" t="inlineStr">
        <is>
          <t>MW1340-W002BR</t>
        </is>
      </c>
      <c r="E286" s="156" t="inlineStr">
        <is>
          <t>MW1340-W002BR</t>
        </is>
      </c>
      <c r="F286" s="156" t="inlineStr">
        <is>
          <t>Talla única</t>
        </is>
      </c>
      <c r="G286" s="156" t="inlineStr">
        <is>
          <t>One Size</t>
        </is>
      </c>
      <c r="H286" s="156" t="inlineStr">
        <is>
          <t>Montana West</t>
        </is>
      </c>
      <c r="I286" s="156" t="inlineStr">
        <is>
          <t>Cartera Montana West Café</t>
        </is>
      </c>
      <c r="J286" s="156" t="inlineStr">
        <is>
          <t>Accesorios</t>
        </is>
      </c>
      <c r="K286" s="156" t="inlineStr">
        <is>
          <t>Carteras</t>
        </is>
      </c>
      <c r="L286" s="156" t="inlineStr">
        <is>
          <t>Mujer</t>
        </is>
      </c>
      <c r="M286" s="156" t="inlineStr">
        <is>
          <t>Montana West</t>
        </is>
      </c>
      <c r="N286" s="156" t="n"/>
      <c r="O286" s="156" t="inlineStr">
        <is>
          <t>Core</t>
        </is>
      </c>
      <c r="P286" s="156" t="inlineStr">
        <is>
          <t>Cafe</t>
        </is>
      </c>
      <c r="Q286" s="156" t="n"/>
      <c r="R286" s="156" t="n"/>
      <c r="S286" s="156" t="n"/>
      <c r="T286" s="156" t="inlineStr">
        <is>
          <t>Cartera Montana West. Color: Café. Talla única. Mujer. Referencia: MW1340-W002BR.</t>
        </is>
      </c>
      <c r="U286" s="156" t="n"/>
      <c r="V286" s="156" t="inlineStr">
        <is>
          <t>PZS</t>
        </is>
      </c>
      <c r="W286" s="51" t="inlineStr">
        <is>
          <t>53121700</t>
        </is>
      </c>
      <c r="X286" s="156" t="n"/>
      <c r="Y286" s="54" t="n"/>
      <c r="Z286" s="54" t="n">
        <v>309</v>
      </c>
      <c r="AA286" s="55">
        <f>IF(AND(A286="", B286="", E286=""), "", IF(AB286="", "Válido", IF((LEN(AB286)-LEN(SUBSTITUTE(AB286,"; ","")))/2+1&gt;(LEN(AB286)-LEN(SUBSTITUTE(AB286,"[Aviso]","")))/7, "Con Incidencias", "Válido")))</f>
        <v/>
      </c>
      <c r="AB286" s="56">
        <f>IF(AND(A286="", B286="", E286=""), "", TEXTJOIN("; ", TRUE, IF(OR(TRIM(A286&amp;"")="", ISNUMBER(SEARCH("FALTA", A286))), "UPC faltante/inválido", ""), IF(AND(A286&lt;&gt;"", IFERROR(_xlfn.XMATCH(A286,$A$2:$A$1063,0,1)&lt;&gt;_xlfn.XMATCH(A286,$A$2:$A$1063,0,-1),FALSE)), "Código de barras duplicado", ""), IF(AND(E286&lt;&gt;"", COUNTIF($E$2:$E$1063, E286)&gt;1), "SKU duplicado", ""), IF(OR(J286="", J286=""), "[Aviso] División no capturada ()", IF(ISNA(MATCH(J286, Criterios!$A$123:$A$126, 0)), "División no válida", "")), IF(OR(K286="", K286=""), "[Aviso] Categoría no capturada ()", IF(ISNA(MATCH(K286, Criterios!$A$81:$A$120, 0)), "Categoría no válida", IF(AND(J286&lt;&gt;"", J286&lt;&gt;"", J286&lt;&gt;VLOOKUP(K286, Criterios!$A$81:$B$120, 2, FALSE)), "División no coincide con Categoría", ""))), IF(OR(L286="", L286=""), "[Aviso] Género no capturado ()", IF(ISNA(MATCH(L286, Criterios!$B$123:$B$127, 0)), "Género no válido", "")), IF(OR(N286="", N286=""), "[Aviso] Temporada no capturada ()", IF(ISNA(MATCH(N286, Criterios!$C$123:$C$128, 0)), "Temporada no válida", "")), IF(OR(O286="", O286=""), "[Aviso] Ciclo de vida no capturado ()", IF(ISNA(MATCH(O286, Criterios!$D$123:$D$124, 0)), "Ciclo de vida no válido", ""))))</f>
        <v/>
      </c>
      <c r="AC286" s="56" t="n"/>
      <c r="AD286" s="51" t="n"/>
      <c r="AE286" s="156" t="n"/>
      <c r="AF286" s="51" t="n"/>
      <c r="AG286" s="156" t="inlineStr">
        <is>
          <t>Nuevo – Carga Hoja2 01/10/2026</t>
        </is>
      </c>
      <c r="AH286" s="156" t="inlineStr">
        <is>
          <t>Alta 01/10/2026 desde Hoja2 (fila 83);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86" s="156" t="n"/>
      <c r="AJ286" s="156" t="n"/>
      <c r="AK286" s="155" t="inlineStr">
        <is>
          <t>Hoja2: fila 83 | Odoo: producto 15668 / plantilla 20021</t>
        </is>
      </c>
      <c r="AL286" s="58" t="n"/>
      <c r="AM286" s="58" t="n"/>
      <c r="AN286" s="155" t="inlineStr">
        <is>
          <t>Odoo Universal Unique Brands</t>
        </is>
      </c>
      <c r="AO286" s="59" t="n"/>
      <c r="AP286" s="59" t="n"/>
      <c r="AQ286" s="59" t="n">
        <v>15</v>
      </c>
      <c r="AR286" s="155" t="inlineStr">
        <is>
          <t>Odoo Universal Unique Brands › Bodega 25 › Bodega 25/General: 15</t>
        </is>
      </c>
    </row>
    <row r="287">
      <c r="A287" s="50" t="inlineStr">
        <is>
          <t>717690431273</t>
        </is>
      </c>
      <c r="B287" s="51" t="inlineStr">
        <is>
          <t>15609</t>
        </is>
      </c>
      <c r="C287" s="156" t="inlineStr">
        <is>
          <t>Montana West</t>
        </is>
      </c>
      <c r="D287" s="156" t="inlineStr">
        <is>
          <t>MW1340G-8317BK</t>
        </is>
      </c>
      <c r="E287" s="156" t="inlineStr">
        <is>
          <t>MW1340G-8317BK</t>
        </is>
      </c>
      <c r="F287" s="156" t="inlineStr">
        <is>
          <t>Talla única</t>
        </is>
      </c>
      <c r="G287" s="156" t="inlineStr">
        <is>
          <t>One Size</t>
        </is>
      </c>
      <c r="H287" s="156" t="inlineStr">
        <is>
          <t>Montana West</t>
        </is>
      </c>
      <c r="I287" s="156" t="inlineStr">
        <is>
          <t>Bolsa Montana West Negro</t>
        </is>
      </c>
      <c r="J287" s="156" t="inlineStr">
        <is>
          <t>Accesorios</t>
        </is>
      </c>
      <c r="K287" s="156" t="inlineStr">
        <is>
          <t>Bolsos</t>
        </is>
      </c>
      <c r="L287" s="156" t="inlineStr">
        <is>
          <t>Mujer</t>
        </is>
      </c>
      <c r="M287" s="156" t="inlineStr">
        <is>
          <t>Montana West</t>
        </is>
      </c>
      <c r="N287" s="156" t="n"/>
      <c r="O287" s="156" t="inlineStr">
        <is>
          <t>Core</t>
        </is>
      </c>
      <c r="P287" s="156" t="inlineStr">
        <is>
          <t>Negro</t>
        </is>
      </c>
      <c r="Q287" s="156" t="n"/>
      <c r="R287" s="156" t="n"/>
      <c r="S287" s="156" t="n"/>
      <c r="T287" s="156" t="inlineStr">
        <is>
          <t>Bolsa Montana West. Color: Negro. Talla única. Mujer. Referencia: MW1340G-8317BK.</t>
        </is>
      </c>
      <c r="U287" s="156" t="n"/>
      <c r="V287" s="156" t="inlineStr">
        <is>
          <t>PZS</t>
        </is>
      </c>
      <c r="W287" s="51" t="inlineStr">
        <is>
          <t>53121601</t>
        </is>
      </c>
      <c r="X287" s="156" t="n"/>
      <c r="Y287" s="54" t="n"/>
      <c r="Z287" s="54" t="n">
        <v>669</v>
      </c>
      <c r="AA287" s="55">
        <f>IF(AND(A287="", B287="", E287=""), "", IF(AB287="", "Válido", IF((LEN(AB287)-LEN(SUBSTITUTE(AB287,"; ","")))/2+1&gt;(LEN(AB287)-LEN(SUBSTITUTE(AB287,"[Aviso]","")))/7, "Con Incidencias", "Válido")))</f>
        <v/>
      </c>
      <c r="AB287" s="56">
        <f>IF(AND(A287="", B287="", E287=""), "", TEXTJOIN("; ", TRUE, IF(OR(TRIM(A287&amp;"")="", ISNUMBER(SEARCH("FALTA", A287))), "UPC faltante/inválido", ""), IF(AND(A287&lt;&gt;"", IFERROR(_xlfn.XMATCH(A287,$A$2:$A$1063,0,1)&lt;&gt;_xlfn.XMATCH(A287,$A$2:$A$1063,0,-1),FALSE)), "Código de barras duplicado", ""), IF(AND(E287&lt;&gt;"", COUNTIF($E$2:$E$1063, E287)&gt;1), "SKU duplicado", ""), IF(OR(J287="", J287=""), "[Aviso] División no capturada ()", IF(ISNA(MATCH(J287, Criterios!$A$123:$A$126, 0)), "División no válida", "")), IF(OR(K287="", K287=""), "[Aviso] Categoría no capturada ()", IF(ISNA(MATCH(K287, Criterios!$A$81:$A$120, 0)), "Categoría no válida", IF(AND(J287&lt;&gt;"", J287&lt;&gt;"", J287&lt;&gt;VLOOKUP(K287, Criterios!$A$81:$B$120, 2, FALSE)), "División no coincide con Categoría", ""))), IF(OR(L287="", L287=""), "[Aviso] Género no capturado ()", IF(ISNA(MATCH(L287, Criterios!$B$123:$B$127, 0)), "Género no válido", "")), IF(OR(N287="", N287=""), "[Aviso] Temporada no capturada ()", IF(ISNA(MATCH(N287, Criterios!$C$123:$C$128, 0)), "Temporada no válida", "")), IF(OR(O287="", O287=""), "[Aviso] Ciclo de vida no capturado ()", IF(ISNA(MATCH(O287, Criterios!$D$123:$D$124, 0)), "Ciclo de vida no válido", ""))))</f>
        <v/>
      </c>
      <c r="AC287" s="56" t="n"/>
      <c r="AD287" s="51" t="n"/>
      <c r="AE287" s="156" t="n"/>
      <c r="AF287" s="51" t="n"/>
      <c r="AG287" s="156" t="inlineStr">
        <is>
          <t>Nuevo – Carga Hoja2 01/10/2026</t>
        </is>
      </c>
      <c r="AH287" s="156" t="inlineStr">
        <is>
          <t>Alta 01/10/2026 desde Hoja2 (fila 84);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87" s="156" t="n"/>
      <c r="AJ287" s="156" t="n"/>
      <c r="AK287" s="155" t="inlineStr">
        <is>
          <t>Hoja2: fila 84 | Odoo: producto 15609 / plantilla 19962</t>
        </is>
      </c>
      <c r="AL287" s="58" t="n"/>
      <c r="AM287" s="58" t="n"/>
      <c r="AN287" s="155" t="inlineStr">
        <is>
          <t>Odoo Universal Unique Brands</t>
        </is>
      </c>
      <c r="AO287" s="59" t="n"/>
      <c r="AP287" s="59" t="n"/>
      <c r="AQ287" s="59" t="n">
        <v>11</v>
      </c>
      <c r="AR287" s="155" t="inlineStr">
        <is>
          <t>Odoo Universal Unique Brands › Bodega 25 › Bodega 25/General: 11</t>
        </is>
      </c>
    </row>
    <row r="288">
      <c r="A288" s="50" t="inlineStr">
        <is>
          <t>717690431228</t>
        </is>
      </c>
      <c r="B288" s="51" t="inlineStr">
        <is>
          <t>15626</t>
        </is>
      </c>
      <c r="C288" s="156" t="inlineStr">
        <is>
          <t>Montana West</t>
        </is>
      </c>
      <c r="D288" s="156" t="inlineStr">
        <is>
          <t>MW1340G-8317BR</t>
        </is>
      </c>
      <c r="E288" s="156" t="inlineStr">
        <is>
          <t>MW1340G-8317BR</t>
        </is>
      </c>
      <c r="F288" s="156" t="inlineStr">
        <is>
          <t>Talla única</t>
        </is>
      </c>
      <c r="G288" s="156" t="inlineStr">
        <is>
          <t>One Size</t>
        </is>
      </c>
      <c r="H288" s="156" t="inlineStr">
        <is>
          <t>Montana West</t>
        </is>
      </c>
      <c r="I288" s="156" t="inlineStr">
        <is>
          <t>Bolsa Montana West Café</t>
        </is>
      </c>
      <c r="J288" s="156" t="inlineStr">
        <is>
          <t>Accesorios</t>
        </is>
      </c>
      <c r="K288" s="156" t="inlineStr">
        <is>
          <t>Bolsos</t>
        </is>
      </c>
      <c r="L288" s="156" t="inlineStr">
        <is>
          <t>Mujer</t>
        </is>
      </c>
      <c r="M288" s="156" t="inlineStr">
        <is>
          <t>Montana West</t>
        </is>
      </c>
      <c r="N288" s="156" t="n"/>
      <c r="O288" s="156" t="inlineStr">
        <is>
          <t>Core</t>
        </is>
      </c>
      <c r="P288" s="156" t="inlineStr">
        <is>
          <t>Cafe</t>
        </is>
      </c>
      <c r="Q288" s="156" t="n"/>
      <c r="R288" s="156" t="n"/>
      <c r="S288" s="156" t="n"/>
      <c r="T288" s="156" t="inlineStr">
        <is>
          <t>Bolsa Montana West. Color: Café. Talla única. Mujer. Referencia: MW1340G-8317BR.</t>
        </is>
      </c>
      <c r="U288" s="156" t="n"/>
      <c r="V288" s="156" t="inlineStr">
        <is>
          <t>PZS</t>
        </is>
      </c>
      <c r="W288" s="51" t="inlineStr">
        <is>
          <t>53121601</t>
        </is>
      </c>
      <c r="X288" s="156" t="n"/>
      <c r="Y288" s="54" t="n"/>
      <c r="Z288" s="54" t="n">
        <v>669</v>
      </c>
      <c r="AA288" s="55">
        <f>IF(AND(A288="", B288="", E288=""), "", IF(AB288="", "Válido", IF((LEN(AB288)-LEN(SUBSTITUTE(AB288,"; ","")))/2+1&gt;(LEN(AB288)-LEN(SUBSTITUTE(AB288,"[Aviso]","")))/7, "Con Incidencias", "Válido")))</f>
        <v/>
      </c>
      <c r="AB288" s="56">
        <f>IF(AND(A288="", B288="", E288=""), "", TEXTJOIN("; ", TRUE, IF(OR(TRIM(A288&amp;"")="", ISNUMBER(SEARCH("FALTA", A288))), "UPC faltante/inválido", ""), IF(AND(A288&lt;&gt;"", IFERROR(_xlfn.XMATCH(A288,$A$2:$A$1063,0,1)&lt;&gt;_xlfn.XMATCH(A288,$A$2:$A$1063,0,-1),FALSE)), "Código de barras duplicado", ""), IF(AND(E288&lt;&gt;"", COUNTIF($E$2:$E$1063, E288)&gt;1), "SKU duplicado", ""), IF(OR(J288="", J288=""), "[Aviso] División no capturada ()", IF(ISNA(MATCH(J288, Criterios!$A$123:$A$126, 0)), "División no válida", "")), IF(OR(K288="", K288=""), "[Aviso] Categoría no capturada ()", IF(ISNA(MATCH(K288, Criterios!$A$81:$A$120, 0)), "Categoría no válida", IF(AND(J288&lt;&gt;"", J288&lt;&gt;"", J288&lt;&gt;VLOOKUP(K288, Criterios!$A$81:$B$120, 2, FALSE)), "División no coincide con Categoría", ""))), IF(OR(L288="", L288=""), "[Aviso] Género no capturado ()", IF(ISNA(MATCH(L288, Criterios!$B$123:$B$127, 0)), "Género no válido", "")), IF(OR(N288="", N288=""), "[Aviso] Temporada no capturada ()", IF(ISNA(MATCH(N288, Criterios!$C$123:$C$128, 0)), "Temporada no válida", "")), IF(OR(O288="", O288=""), "[Aviso] Ciclo de vida no capturado ()", IF(ISNA(MATCH(O288, Criterios!$D$123:$D$124, 0)), "Ciclo de vida no válido", ""))))</f>
        <v/>
      </c>
      <c r="AC288" s="56" t="n"/>
      <c r="AD288" s="51" t="n"/>
      <c r="AE288" s="156" t="n"/>
      <c r="AF288" s="51" t="n"/>
      <c r="AG288" s="156" t="inlineStr">
        <is>
          <t>Nuevo – Carga Hoja2 01/10/2026</t>
        </is>
      </c>
      <c r="AH288" s="156" t="inlineStr">
        <is>
          <t>Alta 01/10/2026 desde Hoja2 (fila 85);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88" s="156" t="n"/>
      <c r="AJ288" s="156" t="n"/>
      <c r="AK288" s="155" t="inlineStr">
        <is>
          <t>Hoja2: fila 85 | Odoo: producto 15626 / plantilla 19979</t>
        </is>
      </c>
      <c r="AL288" s="58" t="n"/>
      <c r="AM288" s="58" t="n"/>
      <c r="AN288" s="155" t="inlineStr">
        <is>
          <t>Odoo Universal Unique Brands</t>
        </is>
      </c>
      <c r="AO288" s="59" t="n"/>
      <c r="AP288" s="59" t="n"/>
      <c r="AQ288" s="59" t="n">
        <v>9</v>
      </c>
      <c r="AR288" s="155" t="inlineStr">
        <is>
          <t>Odoo Universal Unique Brands › Bodega 25 › Bodega 25/General: 9</t>
        </is>
      </c>
    </row>
    <row r="289">
      <c r="A289" s="50" t="inlineStr">
        <is>
          <t>717690431327</t>
        </is>
      </c>
      <c r="B289" s="51" t="inlineStr">
        <is>
          <t>15613</t>
        </is>
      </c>
      <c r="C289" s="156" t="inlineStr">
        <is>
          <t>Montana West</t>
        </is>
      </c>
      <c r="D289" s="156" t="inlineStr">
        <is>
          <t>MW1340G-9360BR</t>
        </is>
      </c>
      <c r="E289" s="156" t="inlineStr">
        <is>
          <t>MW1340G-9360BR</t>
        </is>
      </c>
      <c r="F289" s="156" t="inlineStr">
        <is>
          <t>Talla única</t>
        </is>
      </c>
      <c r="G289" s="156" t="inlineStr">
        <is>
          <t>One Size</t>
        </is>
      </c>
      <c r="H289" s="156" t="inlineStr">
        <is>
          <t>Montana West</t>
        </is>
      </c>
      <c r="I289" s="156" t="inlineStr">
        <is>
          <t>Bolsa Montana West Café</t>
        </is>
      </c>
      <c r="J289" s="156" t="inlineStr">
        <is>
          <t>Accesorios</t>
        </is>
      </c>
      <c r="K289" s="156" t="inlineStr">
        <is>
          <t>Bolsos</t>
        </is>
      </c>
      <c r="L289" s="156" t="inlineStr">
        <is>
          <t>Mujer</t>
        </is>
      </c>
      <c r="M289" s="156" t="inlineStr">
        <is>
          <t>Montana West</t>
        </is>
      </c>
      <c r="N289" s="156" t="n"/>
      <c r="O289" s="156" t="inlineStr">
        <is>
          <t>Core</t>
        </is>
      </c>
      <c r="P289" s="156" t="inlineStr">
        <is>
          <t>Cafe</t>
        </is>
      </c>
      <c r="Q289" s="156" t="n"/>
      <c r="R289" s="156" t="n"/>
      <c r="S289" s="156" t="n"/>
      <c r="T289" s="156" t="inlineStr">
        <is>
          <t>Bolsa Montana West. Color: Café. Talla única. Mujer. Referencia: MW1340G-9360BR.</t>
        </is>
      </c>
      <c r="U289" s="156" t="n"/>
      <c r="V289" s="156" t="inlineStr">
        <is>
          <t>PZS</t>
        </is>
      </c>
      <c r="W289" s="51" t="inlineStr">
        <is>
          <t>53121601</t>
        </is>
      </c>
      <c r="X289" s="156" t="n"/>
      <c r="Y289" s="54" t="n"/>
      <c r="Z289" s="54" t="n">
        <v>479</v>
      </c>
      <c r="AA289" s="55">
        <f>IF(AND(A289="", B289="", E289=""), "", IF(AB289="", "Válido", IF((LEN(AB289)-LEN(SUBSTITUTE(AB289,"; ","")))/2+1&gt;(LEN(AB289)-LEN(SUBSTITUTE(AB289,"[Aviso]","")))/7, "Con Incidencias", "Válido")))</f>
        <v/>
      </c>
      <c r="AB289" s="56">
        <f>IF(AND(A289="", B289="", E289=""), "", TEXTJOIN("; ", TRUE, IF(OR(TRIM(A289&amp;"")="", ISNUMBER(SEARCH("FALTA", A289))), "UPC faltante/inválido", ""), IF(AND(A289&lt;&gt;"", IFERROR(_xlfn.XMATCH(A289,$A$2:$A$1063,0,1)&lt;&gt;_xlfn.XMATCH(A289,$A$2:$A$1063,0,-1),FALSE)), "Código de barras duplicado", ""), IF(AND(E289&lt;&gt;"", COUNTIF($E$2:$E$1063, E289)&gt;1), "SKU duplicado", ""), IF(OR(J289="", J289=""), "[Aviso] División no capturada ()", IF(ISNA(MATCH(J289, Criterios!$A$123:$A$126, 0)), "División no válida", "")), IF(OR(K289="", K289=""), "[Aviso] Categoría no capturada ()", IF(ISNA(MATCH(K289, Criterios!$A$81:$A$120, 0)), "Categoría no válida", IF(AND(J289&lt;&gt;"", J289&lt;&gt;"", J289&lt;&gt;VLOOKUP(K289, Criterios!$A$81:$B$120, 2, FALSE)), "División no coincide con Categoría", ""))), IF(OR(L289="", L289=""), "[Aviso] Género no capturado ()", IF(ISNA(MATCH(L289, Criterios!$B$123:$B$127, 0)), "Género no válido", "")), IF(OR(N289="", N289=""), "[Aviso] Temporada no capturada ()", IF(ISNA(MATCH(N289, Criterios!$C$123:$C$128, 0)), "Temporada no válida", "")), IF(OR(O289="", O289=""), "[Aviso] Ciclo de vida no capturado ()", IF(ISNA(MATCH(O289, Criterios!$D$123:$D$124, 0)), "Ciclo de vida no válido", ""))))</f>
        <v/>
      </c>
      <c r="AC289" s="56" t="n"/>
      <c r="AD289" s="51" t="n"/>
      <c r="AE289" s="156" t="n"/>
      <c r="AF289" s="51" t="n"/>
      <c r="AG289" s="156" t="inlineStr">
        <is>
          <t>Nuevo – Carga Hoja2 01/10/2026</t>
        </is>
      </c>
      <c r="AH289" s="156" t="inlineStr">
        <is>
          <t>Alta 01/10/2026 desde Hoja2 (fila 86);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89" s="156" t="n"/>
      <c r="AJ289" s="156" t="n"/>
      <c r="AK289" s="155" t="inlineStr">
        <is>
          <t>Hoja2: fila 86 | Odoo: producto 15613 / plantilla 19966</t>
        </is>
      </c>
      <c r="AL289" s="58" t="n"/>
      <c r="AM289" s="58" t="n"/>
      <c r="AN289" s="155" t="inlineStr">
        <is>
          <t>Odoo Universal Unique Brands</t>
        </is>
      </c>
      <c r="AO289" s="59" t="n"/>
      <c r="AP289" s="59" t="n"/>
      <c r="AQ289" s="59" t="n">
        <v>17</v>
      </c>
      <c r="AR289" s="155" t="inlineStr">
        <is>
          <t>Odoo Universal Unique Brands › Bodega 25 › Bodega 25/General: 17</t>
        </is>
      </c>
    </row>
    <row r="290">
      <c r="A290" s="50" t="inlineStr">
        <is>
          <t>717690431358</t>
        </is>
      </c>
      <c r="B290" s="51" t="inlineStr">
        <is>
          <t>15635</t>
        </is>
      </c>
      <c r="C290" s="156" t="inlineStr">
        <is>
          <t>Montana West</t>
        </is>
      </c>
      <c r="D290" s="156" t="inlineStr">
        <is>
          <t>MW1340G-9360CF</t>
        </is>
      </c>
      <c r="E290" s="156" t="inlineStr">
        <is>
          <t>MW1340G-9360CF</t>
        </is>
      </c>
      <c r="F290" s="156" t="inlineStr">
        <is>
          <t>Talla única</t>
        </is>
      </c>
      <c r="G290" s="156" t="inlineStr">
        <is>
          <t>One Size</t>
        </is>
      </c>
      <c r="H290" s="156" t="inlineStr">
        <is>
          <t>Montana West</t>
        </is>
      </c>
      <c r="I290" s="156" t="inlineStr">
        <is>
          <t>Bolsa Montana West Café Oscuro</t>
        </is>
      </c>
      <c r="J290" s="156" t="inlineStr">
        <is>
          <t>Accesorios</t>
        </is>
      </c>
      <c r="K290" s="156" t="inlineStr">
        <is>
          <t>Bolsos</t>
        </is>
      </c>
      <c r="L290" s="156" t="inlineStr">
        <is>
          <t>Mujer</t>
        </is>
      </c>
      <c r="M290" s="156" t="inlineStr">
        <is>
          <t>Montana West</t>
        </is>
      </c>
      <c r="N290" s="156" t="n"/>
      <c r="O290" s="156" t="inlineStr">
        <is>
          <t>Core</t>
        </is>
      </c>
      <c r="P290" s="156" t="inlineStr">
        <is>
          <t>Cafe</t>
        </is>
      </c>
      <c r="Q290" s="156" t="n"/>
      <c r="R290" s="156" t="n"/>
      <c r="S290" s="156" t="n"/>
      <c r="T290" s="156" t="inlineStr">
        <is>
          <t>Bolsa Montana West. Color: Café Oscuro. Talla única. Mujer. Referencia: MW1340G-9360CF.</t>
        </is>
      </c>
      <c r="U290" s="156" t="n"/>
      <c r="V290" s="156" t="inlineStr">
        <is>
          <t>PZS</t>
        </is>
      </c>
      <c r="W290" s="51" t="inlineStr">
        <is>
          <t>53121601</t>
        </is>
      </c>
      <c r="X290" s="156" t="n"/>
      <c r="Y290" s="54" t="n"/>
      <c r="Z290" s="54" t="n">
        <v>479</v>
      </c>
      <c r="AA290" s="55">
        <f>IF(AND(A290="", B290="", E290=""), "", IF(AB290="", "Válido", IF((LEN(AB290)-LEN(SUBSTITUTE(AB290,"; ","")))/2+1&gt;(LEN(AB290)-LEN(SUBSTITUTE(AB290,"[Aviso]","")))/7, "Con Incidencias", "Válido")))</f>
        <v/>
      </c>
      <c r="AB290" s="56">
        <f>IF(AND(A290="", B290="", E290=""), "", TEXTJOIN("; ", TRUE, IF(OR(TRIM(A290&amp;"")="", ISNUMBER(SEARCH("FALTA", A290))), "UPC faltante/inválido", ""), IF(AND(A290&lt;&gt;"", IFERROR(_xlfn.XMATCH(A290,$A$2:$A$1063,0,1)&lt;&gt;_xlfn.XMATCH(A290,$A$2:$A$1063,0,-1),FALSE)), "Código de barras duplicado", ""), IF(AND(E290&lt;&gt;"", COUNTIF($E$2:$E$1063, E290)&gt;1), "SKU duplicado", ""), IF(OR(J290="", J290=""), "[Aviso] División no capturada ()", IF(ISNA(MATCH(J290, Criterios!$A$123:$A$126, 0)), "División no válida", "")), IF(OR(K290="", K290=""), "[Aviso] Categoría no capturada ()", IF(ISNA(MATCH(K290, Criterios!$A$81:$A$120, 0)), "Categoría no válida", IF(AND(J290&lt;&gt;"", J290&lt;&gt;"", J290&lt;&gt;VLOOKUP(K290, Criterios!$A$81:$B$120, 2, FALSE)), "División no coincide con Categoría", ""))), IF(OR(L290="", L290=""), "[Aviso] Género no capturado ()", IF(ISNA(MATCH(L290, Criterios!$B$123:$B$127, 0)), "Género no válido", "")), IF(OR(N290="", N290=""), "[Aviso] Temporada no capturada ()", IF(ISNA(MATCH(N290, Criterios!$C$123:$C$128, 0)), "Temporada no válida", "")), IF(OR(O290="", O290=""), "[Aviso] Ciclo de vida no capturado ()", IF(ISNA(MATCH(O290, Criterios!$D$123:$D$124, 0)), "Ciclo de vida no válido", ""))))</f>
        <v/>
      </c>
      <c r="AC290" s="56" t="n"/>
      <c r="AD290" s="51" t="n"/>
      <c r="AE290" s="156" t="n"/>
      <c r="AF290" s="51" t="n"/>
      <c r="AG290" s="156" t="inlineStr">
        <is>
          <t>Nuevo – Carga Hoja2 01/10/2026</t>
        </is>
      </c>
      <c r="AH290" s="156" t="inlineStr">
        <is>
          <t>Alta 01/10/2026 desde Hoja2 (fila 87);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90" s="156" t="n"/>
      <c r="AJ290" s="156" t="n"/>
      <c r="AK290" s="155" t="inlineStr">
        <is>
          <t>Hoja2: fila 87 | Odoo: producto 15635 / plantilla 19988</t>
        </is>
      </c>
      <c r="AL290" s="58" t="n"/>
      <c r="AM290" s="58" t="n"/>
      <c r="AN290" s="155" t="inlineStr">
        <is>
          <t>Odoo Universal Unique Brands</t>
        </is>
      </c>
      <c r="AO290" s="59" t="n"/>
      <c r="AP290" s="59" t="n"/>
      <c r="AQ290" s="59" t="n">
        <v>12</v>
      </c>
      <c r="AR290" s="155" t="inlineStr">
        <is>
          <t>Odoo Universal Unique Brands › Bodega 25 › Bodega 25/General: 12</t>
        </is>
      </c>
    </row>
    <row r="291">
      <c r="A291" s="50" t="inlineStr">
        <is>
          <t>717690433505</t>
        </is>
      </c>
      <c r="B291" s="51" t="inlineStr">
        <is>
          <t>15601</t>
        </is>
      </c>
      <c r="C291" s="156" t="inlineStr">
        <is>
          <t>Montana West</t>
        </is>
      </c>
      <c r="D291" s="156" t="n"/>
      <c r="E291" s="156" t="inlineStr">
        <is>
          <t>MW1341-918BR</t>
        </is>
      </c>
      <c r="F291" s="156" t="inlineStr">
        <is>
          <t>Talla única</t>
        </is>
      </c>
      <c r="G291" s="156" t="inlineStr">
        <is>
          <t>One Size</t>
        </is>
      </c>
      <c r="H291" s="156" t="inlineStr">
        <is>
          <t>Montana West</t>
        </is>
      </c>
      <c r="I291" s="156" t="inlineStr">
        <is>
          <t>MONTANA WEST MW BAG</t>
        </is>
      </c>
      <c r="J291" s="156" t="inlineStr">
        <is>
          <t>Accesorios</t>
        </is>
      </c>
      <c r="K291" s="156" t="inlineStr">
        <is>
          <t>Bolsos</t>
        </is>
      </c>
      <c r="L291" s="156" t="inlineStr">
        <is>
          <t>Unisex</t>
        </is>
      </c>
      <c r="M291" s="156" t="n"/>
      <c r="N291" s="156" t="n"/>
      <c r="O291" s="156" t="n"/>
      <c r="P291" s="156" t="n"/>
      <c r="Q291" s="156" t="n"/>
      <c r="R291" s="156" t="n"/>
      <c r="S291" s="156" t="n"/>
      <c r="T291" s="156" t="n"/>
      <c r="U291" s="156" t="n"/>
      <c r="V291" s="156" t="inlineStr">
        <is>
          <t>PZS</t>
        </is>
      </c>
      <c r="W291" s="51" t="inlineStr">
        <is>
          <t>53121600</t>
        </is>
      </c>
      <c r="X291" s="156" t="n"/>
      <c r="Y291" s="54" t="n"/>
      <c r="Z291" s="54" t="n">
        <v>439</v>
      </c>
      <c r="AA291" s="55">
        <f>IF(AND(A291="", B291="", E291=""), "", IF(AB291="", "Válido", IF((LEN(AB291)-LEN(SUBSTITUTE(AB291,"; ","")))/2+1&gt;(LEN(AB291)-LEN(SUBSTITUTE(AB291,"[Aviso]","")))/7, "Con Incidencias", "Válido")))</f>
        <v/>
      </c>
      <c r="AB291" s="56">
        <f>IF(AND(A291="", B291="", E291=""), "", TEXTJOIN("; ", TRUE, IF(OR(TRIM(A291&amp;"")="", ISNUMBER(SEARCH("FALTA", A291))), "UPC faltante/inválido", ""), IF(AND(A291&lt;&gt;"", IFERROR(_xlfn.XMATCH(A291,$A$2:$A$1063,0,1)&lt;&gt;_xlfn.XMATCH(A291,$A$2:$A$1063,0,-1),FALSE)), "Código de barras duplicado", ""), IF(AND(E291&lt;&gt;"", COUNTIF($E$2:$E$1063, E291)&gt;1), "SKU duplicado", ""), IF(OR(J291="", J291=""), "[Aviso] División no capturada ()", IF(ISNA(MATCH(J291, Criterios!$A$123:$A$126, 0)), "División no válida", "")), IF(OR(K291="", K291=""), "[Aviso] Categoría no capturada ()", IF(ISNA(MATCH(K291, Criterios!$A$81:$A$120, 0)), "Categoría no válida", IF(AND(J291&lt;&gt;"", J291&lt;&gt;"", J291&lt;&gt;VLOOKUP(K291, Criterios!$A$81:$B$120, 2, FALSE)), "División no coincide con Categoría", ""))), IF(OR(L291="", L291=""), "[Aviso] Género no capturado ()", IF(ISNA(MATCH(L291, Criterios!$B$123:$B$127, 0)), "Género no válido", "")), IF(OR(N291="", N291=""), "[Aviso] Temporada no capturada ()", IF(ISNA(MATCH(N291, Criterios!$C$123:$C$128, 0)), "Temporada no válida", "")), IF(OR(O291="", O291=""), "[Aviso] Ciclo de vida no capturado ()", IF(ISNA(MATCH(O291, Criterios!$D$123:$D$124, 0)), "Ciclo de vida no válido", ""))))</f>
        <v/>
      </c>
      <c r="AC291" s="56" t="n"/>
      <c r="AD291" s="51" t="n"/>
      <c r="AE291" s="156" t="n"/>
      <c r="AF291" s="51" t="n"/>
      <c r="AG291" s="156" t="inlineStr">
        <is>
          <t>Nuevo – Carga Hoja2 01/10/2026</t>
        </is>
      </c>
      <c r="AH291" s="156" t="inlineStr">
        <is>
          <t>Alta 01/10/2026 desde Hoja2 (fila 88);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</t>
        </is>
      </c>
      <c r="AI291" s="156" t="n"/>
      <c r="AJ291" s="156" t="n"/>
      <c r="AK291" s="155" t="inlineStr">
        <is>
          <t>Hoja2: fila 88 | Odoo: producto 15601 / plantilla 19954</t>
        </is>
      </c>
      <c r="AL291" s="58" t="n"/>
      <c r="AM291" s="58" t="n"/>
      <c r="AN291" s="155" t="inlineStr">
        <is>
          <t>Odoo Universal Unique Brands</t>
        </is>
      </c>
      <c r="AO291" s="59" t="n"/>
      <c r="AP291" s="59" t="n"/>
      <c r="AQ291" s="59" t="n">
        <v>15</v>
      </c>
      <c r="AR291" s="155" t="inlineStr">
        <is>
          <t>Odoo Universal Unique Brands › Bodega 25 › Bodega 25/General: 15</t>
        </is>
      </c>
    </row>
    <row r="292">
      <c r="A292" s="50" t="inlineStr">
        <is>
          <t>717690433574</t>
        </is>
      </c>
      <c r="B292" s="51" t="inlineStr">
        <is>
          <t>15624</t>
        </is>
      </c>
      <c r="C292" s="156" t="inlineStr">
        <is>
          <t>Montana West</t>
        </is>
      </c>
      <c r="D292" s="156" t="n"/>
      <c r="E292" s="156" t="inlineStr">
        <is>
          <t>MW1341-918CF</t>
        </is>
      </c>
      <c r="F292" s="156" t="inlineStr">
        <is>
          <t>Talla única</t>
        </is>
      </c>
      <c r="G292" s="156" t="inlineStr">
        <is>
          <t>One Size</t>
        </is>
      </c>
      <c r="H292" s="156" t="inlineStr">
        <is>
          <t>Montana West</t>
        </is>
      </c>
      <c r="I292" s="156" t="inlineStr">
        <is>
          <t>MONTANA WEST MW BAG</t>
        </is>
      </c>
      <c r="J292" s="156" t="inlineStr">
        <is>
          <t>Accesorios</t>
        </is>
      </c>
      <c r="K292" s="156" t="inlineStr">
        <is>
          <t>Bolsos</t>
        </is>
      </c>
      <c r="L292" s="156" t="inlineStr">
        <is>
          <t>Unisex</t>
        </is>
      </c>
      <c r="M292" s="156" t="n"/>
      <c r="N292" s="156" t="n"/>
      <c r="O292" s="156" t="n"/>
      <c r="P292" s="156" t="n"/>
      <c r="Q292" s="156" t="n"/>
      <c r="R292" s="156" t="n"/>
      <c r="S292" s="156" t="n"/>
      <c r="T292" s="156" t="n"/>
      <c r="U292" s="156" t="n"/>
      <c r="V292" s="156" t="inlineStr">
        <is>
          <t>PZS</t>
        </is>
      </c>
      <c r="W292" s="51" t="inlineStr">
        <is>
          <t>53121600</t>
        </is>
      </c>
      <c r="X292" s="156" t="n"/>
      <c r="Y292" s="54" t="n"/>
      <c r="Z292" s="54" t="n">
        <v>439</v>
      </c>
      <c r="AA292" s="55">
        <f>IF(AND(A292="", B292="", E292=""), "", IF(AB292="", "Válido", IF((LEN(AB292)-LEN(SUBSTITUTE(AB292,"; ","")))/2+1&gt;(LEN(AB292)-LEN(SUBSTITUTE(AB292,"[Aviso]","")))/7, "Con Incidencias", "Válido")))</f>
        <v/>
      </c>
      <c r="AB292" s="56">
        <f>IF(AND(A292="", B292="", E292=""), "", TEXTJOIN("; ", TRUE, IF(OR(TRIM(A292&amp;"")="", ISNUMBER(SEARCH("FALTA", A292))), "UPC faltante/inválido", ""), IF(AND(A292&lt;&gt;"", IFERROR(_xlfn.XMATCH(A292,$A$2:$A$1063,0,1)&lt;&gt;_xlfn.XMATCH(A292,$A$2:$A$1063,0,-1),FALSE)), "Código de barras duplicado", ""), IF(AND(E292&lt;&gt;"", COUNTIF($E$2:$E$1063, E292)&gt;1), "SKU duplicado", ""), IF(OR(J292="", J292=""), "[Aviso] División no capturada ()", IF(ISNA(MATCH(J292, Criterios!$A$123:$A$126, 0)), "División no válida", "")), IF(OR(K292="", K292=""), "[Aviso] Categoría no capturada ()", IF(ISNA(MATCH(K292, Criterios!$A$81:$A$120, 0)), "Categoría no válida", IF(AND(J292&lt;&gt;"", J292&lt;&gt;"", J292&lt;&gt;VLOOKUP(K292, Criterios!$A$81:$B$120, 2, FALSE)), "División no coincide con Categoría", ""))), IF(OR(L292="", L292=""), "[Aviso] Género no capturado ()", IF(ISNA(MATCH(L292, Criterios!$B$123:$B$127, 0)), "Género no válido", "")), IF(OR(N292="", N292=""), "[Aviso] Temporada no capturada ()", IF(ISNA(MATCH(N292, Criterios!$C$123:$C$128, 0)), "Temporada no válida", "")), IF(OR(O292="", O292=""), "[Aviso] Ciclo de vida no capturado ()", IF(ISNA(MATCH(O292, Criterios!$D$123:$D$124, 0)), "Ciclo de vida no válido", ""))))</f>
        <v/>
      </c>
      <c r="AC292" s="56" t="n"/>
      <c r="AD292" s="51" t="n"/>
      <c r="AE292" s="156" t="n"/>
      <c r="AF292" s="51" t="n"/>
      <c r="AG292" s="156" t="inlineStr">
        <is>
          <t>Nuevo – Carga Hoja2 01/10/2026</t>
        </is>
      </c>
      <c r="AH292" s="156" t="inlineStr">
        <is>
          <t>Alta 01/10/2026 desde Hoja2 (fila 89);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</t>
        </is>
      </c>
      <c r="AI292" s="156" t="n"/>
      <c r="AJ292" s="156" t="n"/>
      <c r="AK292" s="155" t="inlineStr">
        <is>
          <t>Hoja2: fila 89 | Odoo: producto 15624 / plantilla 19977</t>
        </is>
      </c>
      <c r="AL292" s="58" t="n"/>
      <c r="AM292" s="58" t="n"/>
      <c r="AN292" s="155" t="inlineStr">
        <is>
          <t>Odoo Universal Unique Brands</t>
        </is>
      </c>
      <c r="AO292" s="59" t="n"/>
      <c r="AP292" s="59" t="n"/>
      <c r="AQ292" s="59" t="n">
        <v>16</v>
      </c>
      <c r="AR292" s="155" t="inlineStr">
        <is>
          <t>Odoo Universal Unique Brands › Bodega 25 › Bodega 25/General: 16</t>
        </is>
      </c>
    </row>
    <row r="293">
      <c r="A293" s="50" t="inlineStr">
        <is>
          <t>717690433567</t>
        </is>
      </c>
      <c r="B293" s="51" t="inlineStr">
        <is>
          <t>15607</t>
        </is>
      </c>
      <c r="C293" s="156" t="inlineStr">
        <is>
          <t>Montana West</t>
        </is>
      </c>
      <c r="D293" s="156" t="inlineStr">
        <is>
          <t>MW1341-918DPK</t>
        </is>
      </c>
      <c r="E293" s="156" t="inlineStr">
        <is>
          <t>MW1341-918DPK</t>
        </is>
      </c>
      <c r="F293" s="156" t="inlineStr">
        <is>
          <t>Talla única</t>
        </is>
      </c>
      <c r="G293" s="156" t="inlineStr">
        <is>
          <t>One Size</t>
        </is>
      </c>
      <c r="H293" s="156" t="inlineStr">
        <is>
          <t>Montana West</t>
        </is>
      </c>
      <c r="I293" s="156" t="inlineStr">
        <is>
          <t>Bolsa Montana West Rosa Oscuro</t>
        </is>
      </c>
      <c r="J293" s="156" t="inlineStr">
        <is>
          <t>Accesorios</t>
        </is>
      </c>
      <c r="K293" s="156" t="inlineStr">
        <is>
          <t>Bolsos</t>
        </is>
      </c>
      <c r="L293" s="156" t="inlineStr">
        <is>
          <t>Mujer</t>
        </is>
      </c>
      <c r="M293" s="156" t="inlineStr">
        <is>
          <t>Montana West</t>
        </is>
      </c>
      <c r="N293" s="156" t="n"/>
      <c r="O293" s="156" t="inlineStr">
        <is>
          <t>Core</t>
        </is>
      </c>
      <c r="P293" s="156" t="inlineStr">
        <is>
          <t>Rosa</t>
        </is>
      </c>
      <c r="Q293" s="156" t="n"/>
      <c r="R293" s="156" t="n"/>
      <c r="S293" s="156" t="n"/>
      <c r="T293" s="156" t="inlineStr">
        <is>
          <t>Bolsa Montana West. Color: Rosa Oscuro. Talla única. Mujer. Referencia: MW1341-918DPK.</t>
        </is>
      </c>
      <c r="U293" s="156" t="n"/>
      <c r="V293" s="156" t="inlineStr">
        <is>
          <t>PZS</t>
        </is>
      </c>
      <c r="W293" s="51" t="inlineStr">
        <is>
          <t>53121601</t>
        </is>
      </c>
      <c r="X293" s="156" t="n"/>
      <c r="Y293" s="54" t="n"/>
      <c r="Z293" s="54" t="n">
        <v>439</v>
      </c>
      <c r="AA293" s="55">
        <f>IF(AND(A293="", B293="", E293=""), "", IF(AB293="", "Válido", IF((LEN(AB293)-LEN(SUBSTITUTE(AB293,"; ","")))/2+1&gt;(LEN(AB293)-LEN(SUBSTITUTE(AB293,"[Aviso]","")))/7, "Con Incidencias", "Válido")))</f>
        <v/>
      </c>
      <c r="AB293" s="56">
        <f>IF(AND(A293="", B293="", E293=""), "", TEXTJOIN("; ", TRUE, IF(OR(TRIM(A293&amp;"")="", ISNUMBER(SEARCH("FALTA", A293))), "UPC faltante/inválido", ""), IF(AND(A293&lt;&gt;"", IFERROR(_xlfn.XMATCH(A293,$A$2:$A$1063,0,1)&lt;&gt;_xlfn.XMATCH(A293,$A$2:$A$1063,0,-1),FALSE)), "Código de barras duplicado", ""), IF(AND(E293&lt;&gt;"", COUNTIF($E$2:$E$1063, E293)&gt;1), "SKU duplicado", ""), IF(OR(J293="", J293=""), "[Aviso] División no capturada ()", IF(ISNA(MATCH(J293, Criterios!$A$123:$A$126, 0)), "División no válida", "")), IF(OR(K293="", K293=""), "[Aviso] Categoría no capturada ()", IF(ISNA(MATCH(K293, Criterios!$A$81:$A$120, 0)), "Categoría no válida", IF(AND(J293&lt;&gt;"", J293&lt;&gt;"", J293&lt;&gt;VLOOKUP(K293, Criterios!$A$81:$B$120, 2, FALSE)), "División no coincide con Categoría", ""))), IF(OR(L293="", L293=""), "[Aviso] Género no capturado ()", IF(ISNA(MATCH(L293, Criterios!$B$123:$B$127, 0)), "Género no válido", "")), IF(OR(N293="", N293=""), "[Aviso] Temporada no capturada ()", IF(ISNA(MATCH(N293, Criterios!$C$123:$C$128, 0)), "Temporada no válida", "")), IF(OR(O293="", O293=""), "[Aviso] Ciclo de vida no capturado ()", IF(ISNA(MATCH(O293, Criterios!$D$123:$D$124, 0)), "Ciclo de vida no válido", ""))))</f>
        <v/>
      </c>
      <c r="AC293" s="56" t="n"/>
      <c r="AD293" s="51" t="n"/>
      <c r="AE293" s="156" t="n"/>
      <c r="AF293" s="51" t="n"/>
      <c r="AG293" s="156" t="inlineStr">
        <is>
          <t>Nuevo – Carga Hoja2 01/10/2026</t>
        </is>
      </c>
      <c r="AH293" s="156" t="inlineStr">
        <is>
          <t>Alta 01/10/2026 desde Hoja2 (fila 90); Precio de compra en 0/vacío en origen | 01/10/2026: Odoo Universal Unique Brands trae Género «Unisex» — se conservó el valor de Productos</t>
        </is>
      </c>
      <c r="AI293" s="156" t="n"/>
      <c r="AJ293" s="156" t="n"/>
      <c r="AK293" s="155" t="inlineStr">
        <is>
          <t>Hoja2: fila 90 | Odoo: producto 15607 / plantilla 19960</t>
        </is>
      </c>
      <c r="AL293" s="58" t="n"/>
      <c r="AM293" s="58" t="n"/>
      <c r="AN293" s="155" t="inlineStr">
        <is>
          <t>Odoo Universal Unique Brands</t>
        </is>
      </c>
      <c r="AO293" s="59" t="n"/>
      <c r="AP293" s="59" t="n"/>
      <c r="AQ293" s="59" t="n">
        <v>18</v>
      </c>
      <c r="AR293" s="155" t="inlineStr">
        <is>
          <t>Odoo Universal Unique Brands › Bodega 25 › Bodega 25/General: 18</t>
        </is>
      </c>
    </row>
    <row r="294">
      <c r="A294" s="50" t="inlineStr">
        <is>
          <t>717690433529</t>
        </is>
      </c>
      <c r="B294" s="51" t="inlineStr">
        <is>
          <t>15641</t>
        </is>
      </c>
      <c r="C294" s="156" t="inlineStr">
        <is>
          <t>Montana West</t>
        </is>
      </c>
      <c r="D294" s="156" t="inlineStr">
        <is>
          <t>MW1341-918KH</t>
        </is>
      </c>
      <c r="E294" s="156" t="inlineStr">
        <is>
          <t>MW1341-918KH</t>
        </is>
      </c>
      <c r="F294" s="156" t="inlineStr">
        <is>
          <t>Talla única</t>
        </is>
      </c>
      <c r="G294" s="156" t="inlineStr">
        <is>
          <t>One Size</t>
        </is>
      </c>
      <c r="H294" s="156" t="inlineStr">
        <is>
          <t>Montana West</t>
        </is>
      </c>
      <c r="I294" s="156" t="inlineStr">
        <is>
          <t>Bolsa Montana West Caqui</t>
        </is>
      </c>
      <c r="J294" s="156" t="inlineStr">
        <is>
          <t>Accesorios</t>
        </is>
      </c>
      <c r="K294" s="156" t="inlineStr">
        <is>
          <t>Bolsos</t>
        </is>
      </c>
      <c r="L294" s="156" t="inlineStr">
        <is>
          <t>Mujer</t>
        </is>
      </c>
      <c r="M294" s="156" t="inlineStr">
        <is>
          <t>Montana West</t>
        </is>
      </c>
      <c r="N294" s="156" t="n"/>
      <c r="O294" s="156" t="inlineStr">
        <is>
          <t>Core</t>
        </is>
      </c>
      <c r="P294" s="156" t="inlineStr">
        <is>
          <t>Beige</t>
        </is>
      </c>
      <c r="Q294" s="156" t="n"/>
      <c r="R294" s="156" t="n"/>
      <c r="S294" s="156" t="n"/>
      <c r="T294" s="156" t="inlineStr">
        <is>
          <t>Bolsa Montana West. Color: Caqui. Talla única. Mujer. Referencia: MW1341-918KH.</t>
        </is>
      </c>
      <c r="U294" s="156" t="n"/>
      <c r="V294" s="156" t="inlineStr">
        <is>
          <t>PZS</t>
        </is>
      </c>
      <c r="W294" s="51" t="inlineStr">
        <is>
          <t>53121601</t>
        </is>
      </c>
      <c r="X294" s="156" t="n"/>
      <c r="Y294" s="54" t="n"/>
      <c r="Z294" s="54" t="n">
        <v>439</v>
      </c>
      <c r="AA294" s="55">
        <f>IF(AND(A294="", B294="", E294=""), "", IF(AB294="", "Válido", IF((LEN(AB294)-LEN(SUBSTITUTE(AB294,"; ","")))/2+1&gt;(LEN(AB294)-LEN(SUBSTITUTE(AB294,"[Aviso]","")))/7, "Con Incidencias", "Válido")))</f>
        <v/>
      </c>
      <c r="AB294" s="56">
        <f>IF(AND(A294="", B294="", E294=""), "", TEXTJOIN("; ", TRUE, IF(OR(TRIM(A294&amp;"")="", ISNUMBER(SEARCH("FALTA", A294))), "UPC faltante/inválido", ""), IF(AND(A294&lt;&gt;"", IFERROR(_xlfn.XMATCH(A294,$A$2:$A$1063,0,1)&lt;&gt;_xlfn.XMATCH(A294,$A$2:$A$1063,0,-1),FALSE)), "Código de barras duplicado", ""), IF(AND(E294&lt;&gt;"", COUNTIF($E$2:$E$1063, E294)&gt;1), "SKU duplicado", ""), IF(OR(J294="", J294=""), "[Aviso] División no capturada ()", IF(ISNA(MATCH(J294, Criterios!$A$123:$A$126, 0)), "División no válida", "")), IF(OR(K294="", K294=""), "[Aviso] Categoría no capturada ()", IF(ISNA(MATCH(K294, Criterios!$A$81:$A$120, 0)), "Categoría no válida", IF(AND(J294&lt;&gt;"", J294&lt;&gt;"", J294&lt;&gt;VLOOKUP(K294, Criterios!$A$81:$B$120, 2, FALSE)), "División no coincide con Categoría", ""))), IF(OR(L294="", L294=""), "[Aviso] Género no capturado ()", IF(ISNA(MATCH(L294, Criterios!$B$123:$B$127, 0)), "Género no válido", "")), IF(OR(N294="", N294=""), "[Aviso] Temporada no capturada ()", IF(ISNA(MATCH(N294, Criterios!$C$123:$C$128, 0)), "Temporada no válida", "")), IF(OR(O294="", O294=""), "[Aviso] Ciclo de vida no capturado ()", IF(ISNA(MATCH(O294, Criterios!$D$123:$D$124, 0)), "Ciclo de vida no válido", ""))))</f>
        <v/>
      </c>
      <c r="AC294" s="56" t="n"/>
      <c r="AD294" s="51" t="n"/>
      <c r="AE294" s="156" t="n"/>
      <c r="AF294" s="51" t="n"/>
      <c r="AG294" s="156" t="inlineStr">
        <is>
          <t>Nuevo – Carga Hoja2 01/10/2026</t>
        </is>
      </c>
      <c r="AH294" s="156" t="inlineStr">
        <is>
          <t>Alta 01/10/2026 desde Hoja2 (fila 91); Precio de compra en 0/vacío en origen | 01/10/2026: Odoo Universal Unique Brands trae Género «Unisex» — se conservó el valor de Productos</t>
        </is>
      </c>
      <c r="AI294" s="156" t="n"/>
      <c r="AJ294" s="156" t="n"/>
      <c r="AK294" s="155" t="inlineStr">
        <is>
          <t>Hoja2: fila 91 | Odoo: producto 15641 / plantilla 19994</t>
        </is>
      </c>
      <c r="AL294" s="58" t="n"/>
      <c r="AM294" s="58" t="n"/>
      <c r="AN294" s="155" t="inlineStr">
        <is>
          <t>Odoo Universal Unique Brands</t>
        </is>
      </c>
      <c r="AO294" s="59" t="n"/>
      <c r="AP294" s="59" t="n"/>
      <c r="AQ294" s="59" t="n">
        <v>12</v>
      </c>
      <c r="AR294" s="155" t="inlineStr">
        <is>
          <t>Odoo Universal Unique Brands › Bodega 25 › Bodega 25/General: 12</t>
        </is>
      </c>
    </row>
    <row r="295">
      <c r="A295" s="50" t="inlineStr">
        <is>
          <t>717690433772</t>
        </is>
      </c>
      <c r="B295" s="51" t="inlineStr">
        <is>
          <t>15604</t>
        </is>
      </c>
      <c r="C295" s="156" t="inlineStr">
        <is>
          <t>Montana West</t>
        </is>
      </c>
      <c r="D295" s="156" t="inlineStr">
        <is>
          <t>MW1341-W022BR</t>
        </is>
      </c>
      <c r="E295" s="156" t="inlineStr">
        <is>
          <t>MW1341-W022BR</t>
        </is>
      </c>
      <c r="F295" s="156" t="inlineStr">
        <is>
          <t>Talla única</t>
        </is>
      </c>
      <c r="G295" s="156" t="inlineStr">
        <is>
          <t>One Size</t>
        </is>
      </c>
      <c r="H295" s="156" t="inlineStr">
        <is>
          <t>Montana West</t>
        </is>
      </c>
      <c r="I295" s="156" t="inlineStr">
        <is>
          <t>Cartera Montana West Café</t>
        </is>
      </c>
      <c r="J295" s="156" t="inlineStr">
        <is>
          <t>Accesorios</t>
        </is>
      </c>
      <c r="K295" s="156" t="inlineStr">
        <is>
          <t>Carteras</t>
        </is>
      </c>
      <c r="L295" s="156" t="inlineStr">
        <is>
          <t>Mujer</t>
        </is>
      </c>
      <c r="M295" s="156" t="inlineStr">
        <is>
          <t>Montana West</t>
        </is>
      </c>
      <c r="N295" s="156" t="n"/>
      <c r="O295" s="156" t="inlineStr">
        <is>
          <t>Core</t>
        </is>
      </c>
      <c r="P295" s="156" t="inlineStr">
        <is>
          <t>Cafe</t>
        </is>
      </c>
      <c r="Q295" s="156" t="n"/>
      <c r="R295" s="156" t="n"/>
      <c r="S295" s="156" t="n"/>
      <c r="T295" s="156" t="inlineStr">
        <is>
          <t>Cartera Montana West. Color: Café. Talla única. Mujer. Referencia: MW1341-W022BR.</t>
        </is>
      </c>
      <c r="U295" s="156" t="n"/>
      <c r="V295" s="156" t="inlineStr">
        <is>
          <t>PZS</t>
        </is>
      </c>
      <c r="W295" s="51" t="inlineStr">
        <is>
          <t>53121700</t>
        </is>
      </c>
      <c r="X295" s="156" t="n"/>
      <c r="Y295" s="54" t="n"/>
      <c r="Z295" s="54" t="n">
        <v>439</v>
      </c>
      <c r="AA295" s="55">
        <f>IF(AND(A295="", B295="", E295=""), "", IF(AB295="", "Válido", IF((LEN(AB295)-LEN(SUBSTITUTE(AB295,"; ","")))/2+1&gt;(LEN(AB295)-LEN(SUBSTITUTE(AB295,"[Aviso]","")))/7, "Con Incidencias", "Válido")))</f>
        <v/>
      </c>
      <c r="AB295" s="56">
        <f>IF(AND(A295="", B295="", E295=""), "", TEXTJOIN("; ", TRUE, IF(OR(TRIM(A295&amp;"")="", ISNUMBER(SEARCH("FALTA", A295))), "UPC faltante/inválido", ""), IF(AND(A295&lt;&gt;"", IFERROR(_xlfn.XMATCH(A295,$A$2:$A$1063,0,1)&lt;&gt;_xlfn.XMATCH(A295,$A$2:$A$1063,0,-1),FALSE)), "Código de barras duplicado", ""), IF(AND(E295&lt;&gt;"", COUNTIF($E$2:$E$1063, E295)&gt;1), "SKU duplicado", ""), IF(OR(J295="", J295=""), "[Aviso] División no capturada ()", IF(ISNA(MATCH(J295, Criterios!$A$123:$A$126, 0)), "División no válida", "")), IF(OR(K295="", K295=""), "[Aviso] Categoría no capturada ()", IF(ISNA(MATCH(K295, Criterios!$A$81:$A$120, 0)), "Categoría no válida", IF(AND(J295&lt;&gt;"", J295&lt;&gt;"", J295&lt;&gt;VLOOKUP(K295, Criterios!$A$81:$B$120, 2, FALSE)), "División no coincide con Categoría", ""))), IF(OR(L295="", L295=""), "[Aviso] Género no capturado ()", IF(ISNA(MATCH(L295, Criterios!$B$123:$B$127, 0)), "Género no válido", "")), IF(OR(N295="", N295=""), "[Aviso] Temporada no capturada ()", IF(ISNA(MATCH(N295, Criterios!$C$123:$C$128, 0)), "Temporada no válida", "")), IF(OR(O295="", O295=""), "[Aviso] Ciclo de vida no capturado ()", IF(ISNA(MATCH(O295, Criterios!$D$123:$D$124, 0)), "Ciclo de vida no válido", ""))))</f>
        <v/>
      </c>
      <c r="AC295" s="56" t="n"/>
      <c r="AD295" s="51" t="n"/>
      <c r="AE295" s="156" t="n"/>
      <c r="AF295" s="51" t="n"/>
      <c r="AG295" s="156" t="inlineStr">
        <is>
          <t>Nuevo – Carga Hoja2 01/10/2026</t>
        </is>
      </c>
      <c r="AH295" s="156" t="inlineStr">
        <is>
          <t>Alta 01/10/2026 desde Hoja2 (fila 92); Precio de compra en 0/vacío en origen | 01/10/2026: Odoo Universal Unique Brands trae Género «Unisex» — se conservó el valor de Productos</t>
        </is>
      </c>
      <c r="AI295" s="156" t="n"/>
      <c r="AJ295" s="156" t="n"/>
      <c r="AK295" s="155" t="inlineStr">
        <is>
          <t>Hoja2: fila 92 | Odoo: producto 15604 / plantilla 19957</t>
        </is>
      </c>
      <c r="AL295" s="58" t="n"/>
      <c r="AM295" s="58" t="n"/>
      <c r="AN295" s="155" t="inlineStr">
        <is>
          <t>Odoo Universal Unique Brands</t>
        </is>
      </c>
      <c r="AO295" s="59" t="n"/>
      <c r="AP295" s="59" t="n"/>
      <c r="AQ295" s="59" t="n">
        <v>16</v>
      </c>
      <c r="AR295" s="155" t="inlineStr">
        <is>
          <t>Odoo Universal Unique Brands › Bodega 25 › Bodega 25/General: 16</t>
        </is>
      </c>
    </row>
    <row r="296">
      <c r="A296" s="50" t="inlineStr">
        <is>
          <t>717690433826</t>
        </is>
      </c>
      <c r="B296" s="51" t="inlineStr">
        <is>
          <t>15603</t>
        </is>
      </c>
      <c r="C296" s="156" t="inlineStr">
        <is>
          <t>Montana West</t>
        </is>
      </c>
      <c r="D296" s="156" t="inlineStr">
        <is>
          <t>MW1341-W022CF</t>
        </is>
      </c>
      <c r="E296" s="156" t="inlineStr">
        <is>
          <t>MW1341-W022CF</t>
        </is>
      </c>
      <c r="F296" s="156" t="inlineStr">
        <is>
          <t>Talla única</t>
        </is>
      </c>
      <c r="G296" s="156" t="inlineStr">
        <is>
          <t>One Size</t>
        </is>
      </c>
      <c r="H296" s="156" t="inlineStr">
        <is>
          <t>Montana West</t>
        </is>
      </c>
      <c r="I296" s="156" t="inlineStr">
        <is>
          <t>Cartera Montana West Café Oscuro</t>
        </is>
      </c>
      <c r="J296" s="156" t="inlineStr">
        <is>
          <t>Accesorios</t>
        </is>
      </c>
      <c r="K296" s="156" t="inlineStr">
        <is>
          <t>Carteras</t>
        </is>
      </c>
      <c r="L296" s="156" t="inlineStr">
        <is>
          <t>Mujer</t>
        </is>
      </c>
      <c r="M296" s="156" t="inlineStr">
        <is>
          <t>Montana West</t>
        </is>
      </c>
      <c r="N296" s="156" t="n"/>
      <c r="O296" s="156" t="inlineStr">
        <is>
          <t>Core</t>
        </is>
      </c>
      <c r="P296" s="156" t="inlineStr">
        <is>
          <t>Cafe</t>
        </is>
      </c>
      <c r="Q296" s="156" t="n"/>
      <c r="R296" s="156" t="n"/>
      <c r="S296" s="156" t="n"/>
      <c r="T296" s="156" t="inlineStr">
        <is>
          <t>Cartera Montana West. Color: Café Oscuro. Talla única. Mujer. Referencia: MW1341-W022CF.</t>
        </is>
      </c>
      <c r="U296" s="156" t="n"/>
      <c r="V296" s="156" t="inlineStr">
        <is>
          <t>PZS</t>
        </is>
      </c>
      <c r="W296" s="51" t="inlineStr">
        <is>
          <t>53121700</t>
        </is>
      </c>
      <c r="X296" s="156" t="n"/>
      <c r="Y296" s="54" t="n"/>
      <c r="Z296" s="54" t="n">
        <v>309</v>
      </c>
      <c r="AA296" s="55">
        <f>IF(AND(A296="", B296="", E296=""), "", IF(AB296="", "Válido", IF((LEN(AB296)-LEN(SUBSTITUTE(AB296,"; ","")))/2+1&gt;(LEN(AB296)-LEN(SUBSTITUTE(AB296,"[Aviso]","")))/7, "Con Incidencias", "Válido")))</f>
        <v/>
      </c>
      <c r="AB296" s="56">
        <f>IF(AND(A296="", B296="", E296=""), "", TEXTJOIN("; ", TRUE, IF(OR(TRIM(A296&amp;"")="", ISNUMBER(SEARCH("FALTA", A296))), "UPC faltante/inválido", ""), IF(AND(A296&lt;&gt;"", IFERROR(_xlfn.XMATCH(A296,$A$2:$A$1063,0,1)&lt;&gt;_xlfn.XMATCH(A296,$A$2:$A$1063,0,-1),FALSE)), "Código de barras duplicado", ""), IF(AND(E296&lt;&gt;"", COUNTIF($E$2:$E$1063, E296)&gt;1), "SKU duplicado", ""), IF(OR(J296="", J296=""), "[Aviso] División no capturada ()", IF(ISNA(MATCH(J296, Criterios!$A$123:$A$126, 0)), "División no válida", "")), IF(OR(K296="", K296=""), "[Aviso] Categoría no capturada ()", IF(ISNA(MATCH(K296, Criterios!$A$81:$A$120, 0)), "Categoría no válida", IF(AND(J296&lt;&gt;"", J296&lt;&gt;"", J296&lt;&gt;VLOOKUP(K296, Criterios!$A$81:$B$120, 2, FALSE)), "División no coincide con Categoría", ""))), IF(OR(L296="", L296=""), "[Aviso] Género no capturado ()", IF(ISNA(MATCH(L296, Criterios!$B$123:$B$127, 0)), "Género no válido", "")), IF(OR(N296="", N296=""), "[Aviso] Temporada no capturada ()", IF(ISNA(MATCH(N296, Criterios!$C$123:$C$128, 0)), "Temporada no válida", "")), IF(OR(O296="", O296=""), "[Aviso] Ciclo de vida no capturado ()", IF(ISNA(MATCH(O296, Criterios!$D$123:$D$124, 0)), "Ciclo de vida no válido", ""))))</f>
        <v/>
      </c>
      <c r="AC296" s="56" t="n"/>
      <c r="AD296" s="51" t="n"/>
      <c r="AE296" s="156" t="n"/>
      <c r="AF296" s="51" t="n"/>
      <c r="AG296" s="156" t="inlineStr">
        <is>
          <t>Nuevo – Carga Hoja2 01/10/2026</t>
        </is>
      </c>
      <c r="AH296" s="156" t="inlineStr">
        <is>
          <t>Alta 01/10/2026 desde Hoja2 (fila 93);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96" s="156" t="n"/>
      <c r="AJ296" s="156" t="n"/>
      <c r="AK296" s="155" t="inlineStr">
        <is>
          <t>Hoja2: fila 93 | Odoo: producto 15603 / plantilla 19956</t>
        </is>
      </c>
      <c r="AL296" s="58" t="n"/>
      <c r="AM296" s="58" t="n"/>
      <c r="AN296" s="155" t="inlineStr">
        <is>
          <t>Odoo Universal Unique Brands</t>
        </is>
      </c>
      <c r="AO296" s="59" t="n"/>
      <c r="AP296" s="59" t="n"/>
      <c r="AQ296" s="59" t="n">
        <v>14</v>
      </c>
      <c r="AR296" s="155" t="inlineStr">
        <is>
          <t>Odoo Universal Unique Brands › Bodega 25 › Bodega 25/General: 14</t>
        </is>
      </c>
    </row>
    <row r="297">
      <c r="A297" s="50" t="inlineStr">
        <is>
          <t>717690433819</t>
        </is>
      </c>
      <c r="B297" s="51" t="inlineStr">
        <is>
          <t>15602</t>
        </is>
      </c>
      <c r="C297" s="156" t="inlineStr">
        <is>
          <t>Montana West</t>
        </is>
      </c>
      <c r="D297" s="156" t="inlineStr">
        <is>
          <t>MW1341-W022DPK</t>
        </is>
      </c>
      <c r="E297" s="156" t="inlineStr">
        <is>
          <t>MW1341-W022DPK</t>
        </is>
      </c>
      <c r="F297" s="156" t="inlineStr">
        <is>
          <t>Talla única</t>
        </is>
      </c>
      <c r="G297" s="156" t="inlineStr">
        <is>
          <t>One Size</t>
        </is>
      </c>
      <c r="H297" s="156" t="inlineStr">
        <is>
          <t>Montana West</t>
        </is>
      </c>
      <c r="I297" s="156" t="inlineStr">
        <is>
          <t>Cartera Montana West Rosa Oscuro</t>
        </is>
      </c>
      <c r="J297" s="156" t="inlineStr">
        <is>
          <t>Accesorios</t>
        </is>
      </c>
      <c r="K297" s="156" t="inlineStr">
        <is>
          <t>Carteras</t>
        </is>
      </c>
      <c r="L297" s="156" t="inlineStr">
        <is>
          <t>Mujer</t>
        </is>
      </c>
      <c r="M297" s="156" t="inlineStr">
        <is>
          <t>Montana West</t>
        </is>
      </c>
      <c r="N297" s="156" t="n"/>
      <c r="O297" s="156" t="inlineStr">
        <is>
          <t>Core</t>
        </is>
      </c>
      <c r="P297" s="156" t="inlineStr">
        <is>
          <t>Rosa</t>
        </is>
      </c>
      <c r="Q297" s="156" t="n"/>
      <c r="R297" s="156" t="n"/>
      <c r="S297" s="156" t="n"/>
      <c r="T297" s="156" t="inlineStr">
        <is>
          <t>Cartera Montana West. Color: Rosa Oscuro. Talla única. Mujer. Referencia: MW1341-W022DPK.</t>
        </is>
      </c>
      <c r="U297" s="156" t="n"/>
      <c r="V297" s="156" t="inlineStr">
        <is>
          <t>PZS</t>
        </is>
      </c>
      <c r="W297" s="51" t="inlineStr">
        <is>
          <t>53121700</t>
        </is>
      </c>
      <c r="X297" s="156" t="n"/>
      <c r="Y297" s="54" t="n"/>
      <c r="Z297" s="54" t="n">
        <v>309</v>
      </c>
      <c r="AA297" s="55">
        <f>IF(AND(A297="", B297="", E297=""), "", IF(AB297="", "Válido", IF((LEN(AB297)-LEN(SUBSTITUTE(AB297,"; ","")))/2+1&gt;(LEN(AB297)-LEN(SUBSTITUTE(AB297,"[Aviso]","")))/7, "Con Incidencias", "Válido")))</f>
        <v/>
      </c>
      <c r="AB297" s="56">
        <f>IF(AND(A297="", B297="", E297=""), "", TEXTJOIN("; ", TRUE, IF(OR(TRIM(A297&amp;"")="", ISNUMBER(SEARCH("FALTA", A297))), "UPC faltante/inválido", ""), IF(AND(A297&lt;&gt;"", IFERROR(_xlfn.XMATCH(A297,$A$2:$A$1063,0,1)&lt;&gt;_xlfn.XMATCH(A297,$A$2:$A$1063,0,-1),FALSE)), "Código de barras duplicado", ""), IF(AND(E297&lt;&gt;"", COUNTIF($E$2:$E$1063, E297)&gt;1), "SKU duplicado", ""), IF(OR(J297="", J297=""), "[Aviso] División no capturada ()", IF(ISNA(MATCH(J297, Criterios!$A$123:$A$126, 0)), "División no válida", "")), IF(OR(K297="", K297=""), "[Aviso] Categoría no capturada ()", IF(ISNA(MATCH(K297, Criterios!$A$81:$A$120, 0)), "Categoría no válida", IF(AND(J297&lt;&gt;"", J297&lt;&gt;"", J297&lt;&gt;VLOOKUP(K297, Criterios!$A$81:$B$120, 2, FALSE)), "División no coincide con Categoría", ""))), IF(OR(L297="", L297=""), "[Aviso] Género no capturado ()", IF(ISNA(MATCH(L297, Criterios!$B$123:$B$127, 0)), "Género no válido", "")), IF(OR(N297="", N297=""), "[Aviso] Temporada no capturada ()", IF(ISNA(MATCH(N297, Criterios!$C$123:$C$128, 0)), "Temporada no válida", "")), IF(OR(O297="", O297=""), "[Aviso] Ciclo de vida no capturado ()", IF(ISNA(MATCH(O297, Criterios!$D$123:$D$124, 0)), "Ciclo de vida no válido", ""))))</f>
        <v/>
      </c>
      <c r="AC297" s="56" t="n"/>
      <c r="AD297" s="51" t="n"/>
      <c r="AE297" s="156" t="n"/>
      <c r="AF297" s="51" t="n"/>
      <c r="AG297" s="156" t="inlineStr">
        <is>
          <t>Nuevo – Carga Hoja2 01/10/2026</t>
        </is>
      </c>
      <c r="AH297" s="156" t="inlineStr">
        <is>
          <t>Alta 01/10/2026 desde Hoja2 (fila 94);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97" s="156" t="n"/>
      <c r="AJ297" s="156" t="n"/>
      <c r="AK297" s="155" t="inlineStr">
        <is>
          <t>Hoja2: fila 94 | Odoo: producto 15602 / plantilla 19955</t>
        </is>
      </c>
      <c r="AL297" s="58" t="n"/>
      <c r="AM297" s="58" t="n"/>
      <c r="AN297" s="155" t="inlineStr">
        <is>
          <t>Odoo Universal Unique Brands</t>
        </is>
      </c>
      <c r="AO297" s="59" t="n"/>
      <c r="AP297" s="59" t="n"/>
      <c r="AQ297" s="59" t="n">
        <v>17</v>
      </c>
      <c r="AR297" s="155" t="inlineStr">
        <is>
          <t>Odoo Universal Unique Brands › Bodega 25 › Bodega 25/General: 17</t>
        </is>
      </c>
    </row>
    <row r="298">
      <c r="A298" s="50" t="inlineStr">
        <is>
          <t>717690433796</t>
        </is>
      </c>
      <c r="B298" s="51" t="inlineStr">
        <is>
          <t>15612</t>
        </is>
      </c>
      <c r="C298" s="156" t="inlineStr">
        <is>
          <t>Montana West</t>
        </is>
      </c>
      <c r="D298" s="156" t="inlineStr">
        <is>
          <t>MW1341-W022KH</t>
        </is>
      </c>
      <c r="E298" s="156" t="inlineStr">
        <is>
          <t>MW1341-W022KH</t>
        </is>
      </c>
      <c r="F298" s="156" t="inlineStr">
        <is>
          <t>Talla única</t>
        </is>
      </c>
      <c r="G298" s="156" t="inlineStr">
        <is>
          <t>One Size</t>
        </is>
      </c>
      <c r="H298" s="156" t="inlineStr">
        <is>
          <t>Montana West</t>
        </is>
      </c>
      <c r="I298" s="156" t="inlineStr">
        <is>
          <t>Cartera Montana West Caqui</t>
        </is>
      </c>
      <c r="J298" s="156" t="inlineStr">
        <is>
          <t>Accesorios</t>
        </is>
      </c>
      <c r="K298" s="156" t="inlineStr">
        <is>
          <t>Carteras</t>
        </is>
      </c>
      <c r="L298" s="156" t="inlineStr">
        <is>
          <t>Mujer</t>
        </is>
      </c>
      <c r="M298" s="156" t="inlineStr">
        <is>
          <t>Montana West</t>
        </is>
      </c>
      <c r="N298" s="156" t="n"/>
      <c r="O298" s="156" t="inlineStr">
        <is>
          <t>Core</t>
        </is>
      </c>
      <c r="P298" s="156" t="inlineStr">
        <is>
          <t>Beige</t>
        </is>
      </c>
      <c r="Q298" s="156" t="n"/>
      <c r="R298" s="156" t="n"/>
      <c r="S298" s="156" t="n"/>
      <c r="T298" s="156" t="inlineStr">
        <is>
          <t>Cartera Montana West. Color: Caqui. Talla única. Mujer. Referencia: MW1341-W022KH.</t>
        </is>
      </c>
      <c r="U298" s="156" t="n"/>
      <c r="V298" s="156" t="inlineStr">
        <is>
          <t>PZS</t>
        </is>
      </c>
      <c r="W298" s="51" t="inlineStr">
        <is>
          <t>53121700</t>
        </is>
      </c>
      <c r="X298" s="156" t="n"/>
      <c r="Y298" s="54" t="n"/>
      <c r="Z298" s="54" t="n">
        <v>309</v>
      </c>
      <c r="AA298" s="55">
        <f>IF(AND(A298="", B298="", E298=""), "", IF(AB298="", "Válido", IF((LEN(AB298)-LEN(SUBSTITUTE(AB298,"; ","")))/2+1&gt;(LEN(AB298)-LEN(SUBSTITUTE(AB298,"[Aviso]","")))/7, "Con Incidencias", "Válido")))</f>
        <v/>
      </c>
      <c r="AB298" s="56">
        <f>IF(AND(A298="", B298="", E298=""), "", TEXTJOIN("; ", TRUE, IF(OR(TRIM(A298&amp;"")="", ISNUMBER(SEARCH("FALTA", A298))), "UPC faltante/inválido", ""), IF(AND(A298&lt;&gt;"", IFERROR(_xlfn.XMATCH(A298,$A$2:$A$1063,0,1)&lt;&gt;_xlfn.XMATCH(A298,$A$2:$A$1063,0,-1),FALSE)), "Código de barras duplicado", ""), IF(AND(E298&lt;&gt;"", COUNTIF($E$2:$E$1063, E298)&gt;1), "SKU duplicado", ""), IF(OR(J298="", J298=""), "[Aviso] División no capturada ()", IF(ISNA(MATCH(J298, Criterios!$A$123:$A$126, 0)), "División no válida", "")), IF(OR(K298="", K298=""), "[Aviso] Categoría no capturada ()", IF(ISNA(MATCH(K298, Criterios!$A$81:$A$120, 0)), "Categoría no válida", IF(AND(J298&lt;&gt;"", J298&lt;&gt;"", J298&lt;&gt;VLOOKUP(K298, Criterios!$A$81:$B$120, 2, FALSE)), "División no coincide con Categoría", ""))), IF(OR(L298="", L298=""), "[Aviso] Género no capturado ()", IF(ISNA(MATCH(L298, Criterios!$B$123:$B$127, 0)), "Género no válido", "")), IF(OR(N298="", N298=""), "[Aviso] Temporada no capturada ()", IF(ISNA(MATCH(N298, Criterios!$C$123:$C$128, 0)), "Temporada no válida", "")), IF(OR(O298="", O298=""), "[Aviso] Ciclo de vida no capturado ()", IF(ISNA(MATCH(O298, Criterios!$D$123:$D$124, 0)), "Ciclo de vida no válido", ""))))</f>
        <v/>
      </c>
      <c r="AC298" s="56" t="n"/>
      <c r="AD298" s="51" t="n"/>
      <c r="AE298" s="156" t="n"/>
      <c r="AF298" s="51" t="n"/>
      <c r="AG298" s="156" t="inlineStr">
        <is>
          <t>Nuevo – Carga Hoja2 01/10/2026</t>
        </is>
      </c>
      <c r="AH298" s="156" t="inlineStr">
        <is>
          <t>Alta 01/10/2026 desde Hoja2 (fila 95);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98" s="156" t="n"/>
      <c r="AJ298" s="156" t="n"/>
      <c r="AK298" s="155" t="inlineStr">
        <is>
          <t>Hoja2: fila 95 | Odoo: producto 15612 / plantilla 19965</t>
        </is>
      </c>
      <c r="AL298" s="58" t="n"/>
      <c r="AM298" s="58" t="n"/>
      <c r="AN298" s="155" t="inlineStr">
        <is>
          <t>Odoo Universal Unique Brands</t>
        </is>
      </c>
      <c r="AO298" s="59" t="n"/>
      <c r="AP298" s="59" t="n"/>
      <c r="AQ298" s="59" t="n">
        <v>16</v>
      </c>
      <c r="AR298" s="155" t="inlineStr">
        <is>
          <t>Odoo Universal Unique Brands › Bodega 25 › Bodega 25/General: 16</t>
        </is>
      </c>
    </row>
    <row r="299">
      <c r="A299" s="50" t="inlineStr">
        <is>
          <t>717690435127</t>
        </is>
      </c>
      <c r="B299" s="51" t="inlineStr">
        <is>
          <t>15673</t>
        </is>
      </c>
      <c r="C299" s="156" t="inlineStr">
        <is>
          <t>Montana West</t>
        </is>
      </c>
      <c r="D299" s="156" t="inlineStr">
        <is>
          <t>MW1348-8250CF</t>
        </is>
      </c>
      <c r="E299" s="156" t="inlineStr">
        <is>
          <t>MW1348-8250CF</t>
        </is>
      </c>
      <c r="F299" s="156" t="inlineStr">
        <is>
          <t>Talla única</t>
        </is>
      </c>
      <c r="G299" s="156" t="inlineStr">
        <is>
          <t>One Size</t>
        </is>
      </c>
      <c r="H299" s="156" t="inlineStr">
        <is>
          <t>Montana West</t>
        </is>
      </c>
      <c r="I299" s="156" t="inlineStr">
        <is>
          <t>Bolsa Montana West Café Oscuro</t>
        </is>
      </c>
      <c r="J299" s="156" t="inlineStr">
        <is>
          <t>Accesorios</t>
        </is>
      </c>
      <c r="K299" s="156" t="inlineStr">
        <is>
          <t>Bolsos</t>
        </is>
      </c>
      <c r="L299" s="156" t="inlineStr">
        <is>
          <t>Mujer</t>
        </is>
      </c>
      <c r="M299" s="156" t="inlineStr">
        <is>
          <t>Montana West</t>
        </is>
      </c>
      <c r="N299" s="156" t="n"/>
      <c r="O299" s="156" t="inlineStr">
        <is>
          <t>Core</t>
        </is>
      </c>
      <c r="P299" s="156" t="inlineStr">
        <is>
          <t>Cafe</t>
        </is>
      </c>
      <c r="Q299" s="156" t="n"/>
      <c r="R299" s="156" t="n"/>
      <c r="S299" s="156" t="n"/>
      <c r="T299" s="156" t="inlineStr">
        <is>
          <t>Bolsa Montana West. Color: Café Oscuro. Talla única. Mujer. Referencia: MW1348-8250CF.</t>
        </is>
      </c>
      <c r="U299" s="156" t="n"/>
      <c r="V299" s="156" t="inlineStr">
        <is>
          <t>PZS</t>
        </is>
      </c>
      <c r="W299" s="51" t="inlineStr">
        <is>
          <t>53121601</t>
        </is>
      </c>
      <c r="X299" s="156" t="n"/>
      <c r="Y299" s="54" t="n"/>
      <c r="Z299" s="54" t="n">
        <v>649</v>
      </c>
      <c r="AA299" s="55">
        <f>IF(AND(A299="", B299="", E299=""), "", IF(AB299="", "Válido", IF((LEN(AB299)-LEN(SUBSTITUTE(AB299,"; ","")))/2+1&gt;(LEN(AB299)-LEN(SUBSTITUTE(AB299,"[Aviso]","")))/7, "Con Incidencias", "Válido")))</f>
        <v/>
      </c>
      <c r="AB299" s="56">
        <f>IF(AND(A299="", B299="", E299=""), "", TEXTJOIN("; ", TRUE, IF(OR(TRIM(A299&amp;"")="", ISNUMBER(SEARCH("FALTA", A299))), "UPC faltante/inválido", ""), IF(AND(A299&lt;&gt;"", IFERROR(_xlfn.XMATCH(A299,$A$2:$A$1063,0,1)&lt;&gt;_xlfn.XMATCH(A299,$A$2:$A$1063,0,-1),FALSE)), "Código de barras duplicado", ""), IF(AND(E299&lt;&gt;"", COUNTIF($E$2:$E$1063, E299)&gt;1), "SKU duplicado", ""), IF(OR(J299="", J299=""), "[Aviso] División no capturada ()", IF(ISNA(MATCH(J299, Criterios!$A$123:$A$126, 0)), "División no válida", "")), IF(OR(K299="", K299=""), "[Aviso] Categoría no capturada ()", IF(ISNA(MATCH(K299, Criterios!$A$81:$A$120, 0)), "Categoría no válida", IF(AND(J299&lt;&gt;"", J299&lt;&gt;"", J299&lt;&gt;VLOOKUP(K299, Criterios!$A$81:$B$120, 2, FALSE)), "División no coincide con Categoría", ""))), IF(OR(L299="", L299=""), "[Aviso] Género no capturado ()", IF(ISNA(MATCH(L299, Criterios!$B$123:$B$127, 0)), "Género no válido", "")), IF(OR(N299="", N299=""), "[Aviso] Temporada no capturada ()", IF(ISNA(MATCH(N299, Criterios!$C$123:$C$128, 0)), "Temporada no válida", "")), IF(OR(O299="", O299=""), "[Aviso] Ciclo de vida no capturado ()", IF(ISNA(MATCH(O299, Criterios!$D$123:$D$124, 0)), "Ciclo de vida no válido", ""))))</f>
        <v/>
      </c>
      <c r="AC299" s="56" t="n"/>
      <c r="AD299" s="51" t="n"/>
      <c r="AE299" s="156" t="n"/>
      <c r="AF299" s="51" t="n"/>
      <c r="AG299" s="156" t="inlineStr">
        <is>
          <t>Nuevo – Carga Hoja2 01/10/2026</t>
        </is>
      </c>
      <c r="AH299" s="156" t="inlineStr">
        <is>
          <t>Alta 01/10/2026 desde Hoja2 (fila 96); Precio de compra en 0/vacío en origen | 01/10/2026: Odoo Universal Unique Brands trae Género «Unisex» — se conservó el valor de Productos | Homologación G1522 06/10/2026: Validador Shopify: WB: precio con IVA no termina en 9</t>
        </is>
      </c>
      <c r="AI299" s="156" t="n"/>
      <c r="AJ299" s="156" t="n"/>
      <c r="AK299" s="155" t="inlineStr">
        <is>
          <t>Hoja2: fila 96 | Odoo: producto 15673 / plantilla 20026</t>
        </is>
      </c>
      <c r="AL299" s="58" t="n"/>
      <c r="AM299" s="58" t="n"/>
      <c r="AN299" s="155" t="inlineStr">
        <is>
          <t>Odoo Universal Unique Brands</t>
        </is>
      </c>
      <c r="AO299" s="59" t="n"/>
      <c r="AP299" s="59" t="n"/>
      <c r="AQ299" s="59" t="n">
        <v>16</v>
      </c>
      <c r="AR299" s="155" t="inlineStr">
        <is>
          <t>Odoo Universal Unique Brands › Bodega 25 › Bodega 25/General: 16</t>
        </is>
      </c>
    </row>
    <row r="300">
      <c r="A300" s="50" t="inlineStr">
        <is>
          <t>717690434113</t>
        </is>
      </c>
      <c r="B300" s="51" t="inlineStr">
        <is>
          <t>15674</t>
        </is>
      </c>
      <c r="C300" s="156" t="inlineStr">
        <is>
          <t>Montana West</t>
        </is>
      </c>
      <c r="D300" s="156" t="inlineStr">
        <is>
          <t>MW1351-888BR</t>
        </is>
      </c>
      <c r="E300" s="156" t="inlineStr">
        <is>
          <t>MW1351-888BR</t>
        </is>
      </c>
      <c r="F300" s="156" t="inlineStr">
        <is>
          <t>Talla única</t>
        </is>
      </c>
      <c r="G300" s="156" t="inlineStr">
        <is>
          <t>One Size</t>
        </is>
      </c>
      <c r="H300" s="156" t="inlineStr">
        <is>
          <t>Montana West</t>
        </is>
      </c>
      <c r="I300" s="156" t="inlineStr">
        <is>
          <t>Bolsa Montana West Café</t>
        </is>
      </c>
      <c r="J300" s="156" t="inlineStr">
        <is>
          <t>Accesorios</t>
        </is>
      </c>
      <c r="K300" s="156" t="inlineStr">
        <is>
          <t>Bolsos</t>
        </is>
      </c>
      <c r="L300" s="156" t="inlineStr">
        <is>
          <t>Mujer</t>
        </is>
      </c>
      <c r="M300" s="156" t="inlineStr">
        <is>
          <t>Montana West</t>
        </is>
      </c>
      <c r="N300" s="156" t="n"/>
      <c r="O300" s="156" t="inlineStr">
        <is>
          <t>Core</t>
        </is>
      </c>
      <c r="P300" s="156" t="inlineStr">
        <is>
          <t>Cafe</t>
        </is>
      </c>
      <c r="Q300" s="156" t="n"/>
      <c r="R300" s="156" t="n"/>
      <c r="S300" s="156" t="n"/>
      <c r="T300" s="156" t="inlineStr">
        <is>
          <t>Bolsa Montana West. Color: Café. Talla única. Mujer. Referencia: MW1351-888BR.</t>
        </is>
      </c>
      <c r="U300" s="156" t="n"/>
      <c r="V300" s="156" t="inlineStr">
        <is>
          <t>PZS</t>
        </is>
      </c>
      <c r="W300" s="51" t="inlineStr">
        <is>
          <t>53121601</t>
        </is>
      </c>
      <c r="X300" s="156" t="inlineStr">
        <is>
          <t>https://cdn.shopify.com/s/files/1/0005/9015/1741/files/Montana_West_Western_Fringe_Concho_Mini_Crossbody_Bag_Brown.webp?v=1752479414</t>
        </is>
      </c>
      <c r="Y300" s="54" t="n"/>
      <c r="Z300" s="54" t="n">
        <v>509</v>
      </c>
      <c r="AA300" s="55">
        <f>IF(AND(A300="", B300="", E300=""), "", IF(AB300="", "Válido", IF((LEN(AB300)-LEN(SUBSTITUTE(AB300,"; ","")))/2+1&gt;(LEN(AB300)-LEN(SUBSTITUTE(AB300,"[Aviso]","")))/7, "Con Incidencias", "Válido")))</f>
        <v/>
      </c>
      <c r="AB300" s="56">
        <f>IF(AND(A300="", B300="", E300=""), "", TEXTJOIN("; ", TRUE, IF(OR(TRIM(A300&amp;"")="", ISNUMBER(SEARCH("FALTA", A300))), "UPC faltante/inválido", ""), IF(AND(A300&lt;&gt;"", IFERROR(_xlfn.XMATCH(A300,$A$2:$A$1063,0,1)&lt;&gt;_xlfn.XMATCH(A300,$A$2:$A$1063,0,-1),FALSE)), "Código de barras duplicado", ""), IF(AND(E300&lt;&gt;"", COUNTIF($E$2:$E$1063, E300)&gt;1), "SKU duplicado", ""), IF(OR(J300="", J300=""), "[Aviso] División no capturada ()", IF(ISNA(MATCH(J300, Criterios!$A$123:$A$126, 0)), "División no válida", "")), IF(OR(K300="", K300=""), "[Aviso] Categoría no capturada ()", IF(ISNA(MATCH(K300, Criterios!$A$81:$A$120, 0)), "Categoría no válida", IF(AND(J300&lt;&gt;"", J300&lt;&gt;"", J300&lt;&gt;VLOOKUP(K300, Criterios!$A$81:$B$120, 2, FALSE)), "División no coincide con Categoría", ""))), IF(OR(L300="", L300=""), "[Aviso] Género no capturado ()", IF(ISNA(MATCH(L300, Criterios!$B$123:$B$127, 0)), "Género no válido", "")), IF(OR(N300="", N300=""), "[Aviso] Temporada no capturada ()", IF(ISNA(MATCH(N300, Criterios!$C$123:$C$128, 0)), "Temporada no válida", "")), IF(OR(O300="", O300=""), "[Aviso] Ciclo de vida no capturado ()", IF(ISNA(MATCH(O300, Criterios!$D$123:$D$124, 0)), "Ciclo de vida no válido", ""))))</f>
        <v/>
      </c>
      <c r="AC300" s="56" t="n"/>
      <c r="AD300" s="51" t="n"/>
      <c r="AE300" s="156" t="n"/>
      <c r="AF300" s="51" t="n"/>
      <c r="AG300" s="156" t="inlineStr">
        <is>
          <t>Nuevo – Carga Hoja2 01/10/2026</t>
        </is>
      </c>
      <c r="AH300" s="156" t="inlineStr">
        <is>
          <t>Alta 01/10/2026 desde Hoja2 (fila 97); Precio de compra en 0/vacío en origen | 01/10/2026: Odoo Universal Unique Brands trae Género «Unisex» — se conservó el valor de Productos | Homologación G1522 06/10/2026: Enlace de imagen: «» → «https://cdn.shopify.com/s/files/1/0005/9015/1741/files/Montana_West_Western_Fringe_Concho_Mini_Crossbody_Bag_Brown.webp?v=1752479414» (Completado por investigación en línea) · Validador Shopify: WB: precio con IVA no termina en 9</t>
        </is>
      </c>
      <c r="AI300" s="156" t="n"/>
      <c r="AJ300" s="156" t="n"/>
      <c r="AK300" s="155" t="inlineStr">
        <is>
          <t>Hoja2: fila 97 | Odoo: producto 15674 / plantilla 20027 | Investigación en línea 06/10/2026: https://montanawestworld.com/products/montana-west-western-fringe-concho-mini-crossbody-bag</t>
        </is>
      </c>
      <c r="AL300" s="58" t="n"/>
      <c r="AM300" s="58" t="n"/>
      <c r="AN300" s="155" t="inlineStr">
        <is>
          <t>Odoo Universal Unique Brands</t>
        </is>
      </c>
      <c r="AO300" s="59" t="n"/>
      <c r="AP300" s="59" t="n"/>
      <c r="AQ300" s="59" t="n">
        <v>17</v>
      </c>
      <c r="AR300" s="155" t="inlineStr">
        <is>
          <t>Odoo Universal Unique Brands › Bodega 25 › Bodega 25/General: 17</t>
        </is>
      </c>
    </row>
    <row r="301">
      <c r="A301" s="50" t="n"/>
      <c r="B301" s="51" t="inlineStr">
        <is>
          <t>12522</t>
        </is>
      </c>
      <c r="C301" s="156" t="inlineStr">
        <is>
          <t>Montana West</t>
        </is>
      </c>
      <c r="D301" s="156" t="n"/>
      <c r="E301" s="156" t="inlineStr">
        <is>
          <t>MWB-1012BR</t>
        </is>
      </c>
      <c r="F301" s="156" t="inlineStr">
        <is>
          <t>Talla única</t>
        </is>
      </c>
      <c r="G301" s="156" t="inlineStr">
        <is>
          <t>One Size</t>
        </is>
      </c>
      <c r="H301" s="156" t="inlineStr">
        <is>
          <t>Montana West</t>
        </is>
      </c>
      <c r="I301" s="156" t="inlineStr">
        <is>
          <t>MWB BAG</t>
        </is>
      </c>
      <c r="J301" s="156" t="inlineStr">
        <is>
          <t>Accesorios</t>
        </is>
      </c>
      <c r="K301" s="156" t="inlineStr">
        <is>
          <t>Bolsos</t>
        </is>
      </c>
      <c r="L301" s="156" t="inlineStr">
        <is>
          <t>Unisex</t>
        </is>
      </c>
      <c r="M301" s="156" t="n"/>
      <c r="N301" s="156" t="n"/>
      <c r="O301" s="156" t="n"/>
      <c r="P301" s="156" t="n"/>
      <c r="Q301" s="156" t="n"/>
      <c r="R301" s="156" t="n"/>
      <c r="S301" s="156" t="n"/>
      <c r="T301" s="156" t="n"/>
      <c r="U301" s="156" t="n"/>
      <c r="V301" s="156" t="inlineStr">
        <is>
          <t>PZS</t>
        </is>
      </c>
      <c r="W301" s="51" t="inlineStr">
        <is>
          <t>53121601</t>
        </is>
      </c>
      <c r="X301" s="156" t="n"/>
      <c r="Y301" s="54" t="n">
        <v>258.75</v>
      </c>
      <c r="Z301" s="54" t="n">
        <v>419</v>
      </c>
      <c r="AA301" s="55">
        <f>IF(AND(A301="", B301="", E301=""), "", IF(AB301="", "Válido", IF((LEN(AB301)-LEN(SUBSTITUTE(AB301,"; ","")))/2+1&gt;(LEN(AB301)-LEN(SUBSTITUTE(AB301,"[Aviso]","")))/7, "Con Incidencias", "Válido")))</f>
        <v/>
      </c>
      <c r="AB301" s="56">
        <f>IF(AND(A301="", B301="", E301=""), "", TEXTJOIN("; ", TRUE, IF(OR(TRIM(A301&amp;"")="", ISNUMBER(SEARCH("FALTA", A301))), "UPC faltante/inválido", ""), IF(AND(A301&lt;&gt;"", IFERROR(_xlfn.XMATCH(A301,$A$2:$A$1063,0,1)&lt;&gt;_xlfn.XMATCH(A301,$A$2:$A$1063,0,-1),FALSE)), "Código de barras duplicado", ""), IF(AND(E301&lt;&gt;"", COUNTIF($E$2:$E$1063, E301)&gt;1), "SKU duplicado", ""), IF(OR(J301="", J301=""), "[Aviso] División no capturada ()", IF(ISNA(MATCH(J301, Criterios!$A$123:$A$126, 0)), "División no válida", "")), IF(OR(K301="", K301=""), "[Aviso] Categoría no capturada ()", IF(ISNA(MATCH(K301, Criterios!$A$81:$A$120, 0)), "Categoría no válida", IF(AND(J301&lt;&gt;"", J301&lt;&gt;"", J301&lt;&gt;VLOOKUP(K301, Criterios!$A$81:$B$120, 2, FALSE)), "División no coincide con Categoría", ""))), IF(OR(L301="", L301=""), "[Aviso] Género no capturado ()", IF(ISNA(MATCH(L301, Criterios!$B$123:$B$127, 0)), "Género no válido", "")), IF(OR(N301="", N301=""), "[Aviso] Temporada no capturada ()", IF(ISNA(MATCH(N301, Criterios!$C$123:$C$128, 0)), "Temporada no válida", "")), IF(OR(O301="", O301=""), "[Aviso] Ciclo de vida no capturado ()", IF(ISNA(MATCH(O301, Criterios!$D$123:$D$124, 0)), "Ciclo de vida no válido", ""))))</f>
        <v/>
      </c>
      <c r="AC301" s="56" t="n"/>
      <c r="AD301" s="51" t="n"/>
      <c r="AE301" s="156" t="n"/>
      <c r="AF301" s="51" t="n"/>
      <c r="AG301" s="156" t="inlineStr">
        <is>
          <t>Nuevo – Carga Hoja2 01/10/2026</t>
        </is>
      </c>
      <c r="AH301" s="156" t="inlineStr">
        <is>
          <t>Alta 01/10/2026 desde Hoja2 (fila 98)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301" s="156" t="n"/>
      <c r="AJ301" s="156" t="n"/>
      <c r="AK301" s="155" t="inlineStr">
        <is>
          <t>Hoja2: fila 98 | Odoo: producto 12522 / plantilla 16099</t>
        </is>
      </c>
      <c r="AL301" s="58" t="n"/>
      <c r="AM301" s="58" t="n"/>
      <c r="AN301" s="155" t="inlineStr">
        <is>
          <t>Odoo Universal Unique Brands</t>
        </is>
      </c>
      <c r="AO301" s="59" t="n"/>
      <c r="AP301" s="59" t="n"/>
      <c r="AQ301" s="59" t="n">
        <v>4</v>
      </c>
      <c r="AR301" s="155" t="inlineStr">
        <is>
          <t>Odoo Universal Unique Brands › Bodega 25 › Bodega 25/General: 4</t>
        </is>
      </c>
    </row>
    <row r="302">
      <c r="A302" s="50" t="inlineStr">
        <is>
          <t>717710512500</t>
        </is>
      </c>
      <c r="B302" s="51" t="inlineStr">
        <is>
          <t>22025</t>
        </is>
      </c>
      <c r="C302" s="156" t="inlineStr">
        <is>
          <t>Montana West</t>
        </is>
      </c>
      <c r="D302" s="156" t="inlineStr">
        <is>
          <t>MWBX-67</t>
        </is>
      </c>
      <c r="E302" s="156" t="inlineStr">
        <is>
          <t>MWBX-67</t>
        </is>
      </c>
      <c r="F302" s="156" t="inlineStr">
        <is>
          <t>Talla única</t>
        </is>
      </c>
      <c r="G302" s="156" t="inlineStr">
        <is>
          <t>One Size</t>
        </is>
      </c>
      <c r="H302" s="156" t="inlineStr">
        <is>
          <t>Montana West</t>
        </is>
      </c>
      <c r="I302" s="156" t="inlineStr">
        <is>
          <t>Dije Llavero Bolsa Tote Montana West Miniatura Caja Sorpresa</t>
        </is>
      </c>
      <c r="J302" s="156" t="inlineStr">
        <is>
          <t>Accesorios</t>
        </is>
      </c>
      <c r="K302" s="156" t="inlineStr">
        <is>
          <t>Llaveros</t>
        </is>
      </c>
      <c r="L302" s="156" t="inlineStr">
        <is>
          <t>Mujer</t>
        </is>
      </c>
      <c r="M302" s="156" t="inlineStr">
        <is>
          <t>Montana West</t>
        </is>
      </c>
      <c r="N302" s="156" t="n"/>
      <c r="O302" s="156" t="inlineStr">
        <is>
          <t>Core</t>
        </is>
      </c>
      <c r="P302" s="156" t="inlineStr">
        <is>
          <t>Varios</t>
        </is>
      </c>
      <c r="Q302" s="156" t="n"/>
      <c r="R302" s="156" t="n"/>
      <c r="S302" s="156" t="n"/>
      <c r="T302" s="156" t="inlineStr">
        <is>
          <t>Dije Llavero Bolsa Tote Montana West. Modelo: Miniatura Caja Sorpresa. Talla única. Mujer. Referencia: MWBX-67.</t>
        </is>
      </c>
      <c r="U302" s="156" t="n"/>
      <c r="V302" s="156" t="inlineStr">
        <is>
          <t>PZS</t>
        </is>
      </c>
      <c r="W302" s="51" t="inlineStr">
        <is>
          <t>53121601</t>
        </is>
      </c>
      <c r="X302" s="156" t="inlineStr">
        <is>
          <t>https://cdn.shopify.com/s/files/1/0005/9015/1741/files/MWBX-67.webp?v=1760064998</t>
        </is>
      </c>
      <c r="Y302" s="54" t="n">
        <v>13.5</v>
      </c>
      <c r="Z302" s="54" t="n">
        <v>1794</v>
      </c>
      <c r="AA302" s="55">
        <f>IF(AND(A302="", B302="", E302=""), "", IF(AB302="", "Válido", IF((LEN(AB302)-LEN(SUBSTITUTE(AB302,"; ","")))/2+1&gt;(LEN(AB302)-LEN(SUBSTITUTE(AB302,"[Aviso]","")))/7, "Con Incidencias", "Válido")))</f>
        <v/>
      </c>
      <c r="AB302" s="56">
        <f>IF(AND(A302="", B302="", E302=""), "", TEXTJOIN("; ", TRUE, IF(OR(TRIM(A302&amp;"")="", ISNUMBER(SEARCH("FALTA", A302))), "UPC faltante/inválido", ""), IF(AND(A302&lt;&gt;"", IFERROR(_xlfn.XMATCH(A302,$A$2:$A$1063,0,1)&lt;&gt;_xlfn.XMATCH(A302,$A$2:$A$1063,0,-1),FALSE)), "Código de barras duplicado", ""), IF(AND(E302&lt;&gt;"", COUNTIF($E$2:$E$1063, E302)&gt;1), "SKU duplicado", ""), IF(OR(J302="", J302=""), "[Aviso] División no capturada ()", IF(ISNA(MATCH(J302, Criterios!$A$123:$A$126, 0)), "División no válida", "")), IF(OR(K302="", K302=""), "[Aviso] Categoría no capturada ()", IF(ISNA(MATCH(K302, Criterios!$A$81:$A$120, 0)), "Categoría no válida", IF(AND(J302&lt;&gt;"", J302&lt;&gt;"", J302&lt;&gt;VLOOKUP(K302, Criterios!$A$81:$B$120, 2, FALSE)), "División no coincide con Categoría", ""))), IF(OR(L302="", L302=""), "[Aviso] Género no capturado ()", IF(ISNA(MATCH(L302, Criterios!$B$123:$B$127, 0)), "Género no válido", "")), IF(OR(N302="", N302=""), "[Aviso] Temporada no capturada ()", IF(ISNA(MATCH(N302, Criterios!$C$123:$C$128, 0)), "Temporada no válida", "")), IF(OR(O302="", O302=""), "[Aviso] Ciclo de vida no capturado ()", IF(ISNA(MATCH(O302, Criterios!$D$123:$D$124, 0)), "Ciclo de vida no válido", ""))))</f>
        <v/>
      </c>
      <c r="AC302" s="56" t="n"/>
      <c r="AD302" s="51" t="n"/>
      <c r="AE302" s="156" t="n"/>
      <c r="AF302" s="51" t="n"/>
      <c r="AG302" s="156" t="inlineStr">
        <is>
          <t>Nuevo – Carga Hoja2 01/10/2026</t>
        </is>
      </c>
      <c r="AH302" s="156" t="inlineStr">
        <is>
          <t>Alta 01/10/2026 desde Hoja2 (fila 99) | 01/10/2026: Odoo Universal Unique Brands trae Categoría «Bolsos», Género «Unisex» — se conservó el valor de Productos | Homologación G1522 06/10/2026: Enlace de imagen: «» → «https://cdn.shopify.com/s/files/1/0005/9015/1741/files/MWBX-67.webp?v=1760064998» (Completado por investigación en línea) · Validación G1522: [Aviso] Precio de compra posiblemente en USD · Validador Shopify: WB: precio con IVA no termina en 9</t>
        </is>
      </c>
      <c r="AI302" s="156" t="n"/>
      <c r="AJ302" s="156" t="n"/>
      <c r="AK302" s="155" t="inlineStr">
        <is>
          <t>Hoja2: fila 99 | Odoo: producto 22025 / plantilla 28168 | Investigación en línea 06/10/2026: https://montanawestworld.com/products/montana-west-mini-mood-tote-blind-box</t>
        </is>
      </c>
      <c r="AL302" s="58" t="n"/>
      <c r="AM302" s="58" t="n"/>
      <c r="AN302" s="155" t="inlineStr">
        <is>
          <t>Odoo Universal Unique Brands</t>
        </is>
      </c>
      <c r="AO302" s="59" t="n"/>
      <c r="AP302" s="59" t="n"/>
      <c r="AQ302" s="59" t="n">
        <v>274</v>
      </c>
      <c r="AR302" s="155" t="inlineStr">
        <is>
          <t>Odoo Universal Unique Brands › Bodega 25 › Bodega 25/General: 274</t>
        </is>
      </c>
    </row>
    <row r="303">
      <c r="A303" s="50" t="inlineStr">
        <is>
          <t>774196281399</t>
        </is>
      </c>
      <c r="B303" s="51" t="inlineStr">
        <is>
          <t>27124</t>
        </is>
      </c>
      <c r="C303" s="156" t="inlineStr">
        <is>
          <t>Montana West</t>
        </is>
      </c>
      <c r="D303" s="156" t="inlineStr">
        <is>
          <t>MWC-043ABR</t>
        </is>
      </c>
      <c r="E303" s="156" t="inlineStr">
        <is>
          <t>MWC-043ABR</t>
        </is>
      </c>
      <c r="F303" s="156" t="inlineStr">
        <is>
          <t>Talla única</t>
        </is>
      </c>
      <c r="G303" s="156" t="inlineStr">
        <is>
          <t>One Size</t>
        </is>
      </c>
      <c r="H303" s="156" t="inlineStr">
        <is>
          <t>Montana West</t>
        </is>
      </c>
      <c r="I303" s="156" t="inlineStr">
        <is>
          <t>Bolsa Montana West Café</t>
        </is>
      </c>
      <c r="J303" s="156" t="inlineStr">
        <is>
          <t>Accesorios</t>
        </is>
      </c>
      <c r="K303" s="156" t="inlineStr">
        <is>
          <t>Bolsos</t>
        </is>
      </c>
      <c r="L303" s="156" t="inlineStr">
        <is>
          <t>Mujer</t>
        </is>
      </c>
      <c r="M303" s="156" t="inlineStr">
        <is>
          <t>Montana West</t>
        </is>
      </c>
      <c r="N303" s="156" t="n"/>
      <c r="O303" s="156" t="inlineStr">
        <is>
          <t>Core</t>
        </is>
      </c>
      <c r="P303" s="156" t="inlineStr">
        <is>
          <t>Cafe</t>
        </is>
      </c>
      <c r="Q303" s="156" t="n"/>
      <c r="R303" s="156" t="n"/>
      <c r="S303" s="156" t="n"/>
      <c r="T303" s="156" t="inlineStr">
        <is>
          <t>Bolsa Montana West. Color: Café. Talla única. Mujer. Referencia: MWC-043ABR.</t>
        </is>
      </c>
      <c r="U303" s="156" t="n"/>
      <c r="V303" s="156" t="inlineStr">
        <is>
          <t>PZS</t>
        </is>
      </c>
      <c r="W303" s="51" t="inlineStr">
        <is>
          <t>53121601</t>
        </is>
      </c>
      <c r="X303" s="156" t="n"/>
      <c r="Y303" s="54" t="n">
        <v>225.4</v>
      </c>
      <c r="Z303" s="54" t="n">
        <v>399</v>
      </c>
      <c r="AA303" s="55">
        <f>IF(AND(A303="", B303="", E303=""), "", IF(AB303="", "Válido", IF((LEN(AB303)-LEN(SUBSTITUTE(AB303,"; ","")))/2+1&gt;(LEN(AB303)-LEN(SUBSTITUTE(AB303,"[Aviso]","")))/7, "Con Incidencias", "Válido")))</f>
        <v/>
      </c>
      <c r="AB303" s="56">
        <f>IF(AND(A303="", B303="", E303=""), "", TEXTJOIN("; ", TRUE, IF(OR(TRIM(A303&amp;"")="", ISNUMBER(SEARCH("FALTA", A303))), "UPC faltante/inválido", ""), IF(AND(A303&lt;&gt;"", IFERROR(_xlfn.XMATCH(A303,$A$2:$A$1063,0,1)&lt;&gt;_xlfn.XMATCH(A303,$A$2:$A$1063,0,-1),FALSE)), "Código de barras duplicado", ""), IF(AND(E303&lt;&gt;"", COUNTIF($E$2:$E$1063, E303)&gt;1), "SKU duplicado", ""), IF(OR(J303="", J303=""), "[Aviso] División no capturada ()", IF(ISNA(MATCH(J303, Criterios!$A$123:$A$126, 0)), "División no válida", "")), IF(OR(K303="", K303=""), "[Aviso] Categoría no capturada ()", IF(ISNA(MATCH(K303, Criterios!$A$81:$A$120, 0)), "Categoría no válida", IF(AND(J303&lt;&gt;"", J303&lt;&gt;"", J303&lt;&gt;VLOOKUP(K303, Criterios!$A$81:$B$120, 2, FALSE)), "División no coincide con Categoría", ""))), IF(OR(L303="", L303=""), "[Aviso] Género no capturado ()", IF(ISNA(MATCH(L303, Criterios!$B$123:$B$127, 0)), "Género no válido", "")), IF(OR(N303="", N303=""), "[Aviso] Temporada no capturada ()", IF(ISNA(MATCH(N303, Criterios!$C$123:$C$128, 0)), "Temporada no válida", "")), IF(OR(O303="", O303=""), "[Aviso] Ciclo de vida no capturado ()", IF(ISNA(MATCH(O303, Criterios!$D$123:$D$124, 0)), "Ciclo de vida no válido", ""))))</f>
        <v/>
      </c>
      <c r="AC303" s="56" t="n"/>
      <c r="AD303" s="51" t="n"/>
      <c r="AE303" s="156" t="n"/>
      <c r="AF303" s="51" t="n"/>
      <c r="AG303" s="156" t="inlineStr">
        <is>
          <t>Nuevo – Carga Hoja2 01/10/2026</t>
        </is>
      </c>
      <c r="AH303" s="156" t="inlineStr">
        <is>
          <t>Alta 01/10/2026 desde Hoja2 (fila 100) | 01/10/2026: Odoo Universal Unique Brands trae Género «Unisex» — se conservó el valor de Productos | Homologación G1522 06/10/2026: Validador Shopify: WB: precio con IVA no termina en 9</t>
        </is>
      </c>
      <c r="AI303" s="156" t="n"/>
      <c r="AJ303" s="156" t="n"/>
      <c r="AK303" s="155" t="inlineStr">
        <is>
          <t>Hoja2: fila 100 | Odoo: producto 27124 / plantilla 33824</t>
        </is>
      </c>
      <c r="AL303" s="58" t="n"/>
      <c r="AM303" s="58" t="n"/>
      <c r="AN303" s="155" t="inlineStr">
        <is>
          <t>Odoo Universal Unique Brands</t>
        </is>
      </c>
      <c r="AO303" s="59" t="n"/>
      <c r="AP303" s="59" t="n"/>
      <c r="AQ303" s="59" t="n">
        <v>6</v>
      </c>
      <c r="AR303" s="155" t="inlineStr">
        <is>
          <t>Odoo Universal Unique Brands › Bodega 25 › Bodega 25/General: 6</t>
        </is>
      </c>
    </row>
    <row r="304">
      <c r="A304" s="50" t="inlineStr">
        <is>
          <t>774196281429</t>
        </is>
      </c>
      <c r="B304" s="51" t="inlineStr">
        <is>
          <t>27125</t>
        </is>
      </c>
      <c r="C304" s="156" t="inlineStr">
        <is>
          <t>Montana West</t>
        </is>
      </c>
      <c r="D304" s="156" t="inlineStr">
        <is>
          <t>MWC-043ACF</t>
        </is>
      </c>
      <c r="E304" s="156" t="inlineStr">
        <is>
          <t>MWC-043ACF</t>
        </is>
      </c>
      <c r="F304" s="156" t="inlineStr">
        <is>
          <t>Talla única</t>
        </is>
      </c>
      <c r="G304" s="156" t="inlineStr">
        <is>
          <t>One Size</t>
        </is>
      </c>
      <c r="H304" s="156" t="inlineStr">
        <is>
          <t>Montana West</t>
        </is>
      </c>
      <c r="I304" s="156" t="inlineStr">
        <is>
          <t>Bolsa Montana West Café Oscuro</t>
        </is>
      </c>
      <c r="J304" s="156" t="inlineStr">
        <is>
          <t>Accesorios</t>
        </is>
      </c>
      <c r="K304" s="156" t="inlineStr">
        <is>
          <t>Bolsos</t>
        </is>
      </c>
      <c r="L304" s="156" t="inlineStr">
        <is>
          <t>Mujer</t>
        </is>
      </c>
      <c r="M304" s="156" t="inlineStr">
        <is>
          <t>Montana West</t>
        </is>
      </c>
      <c r="N304" s="156" t="n"/>
      <c r="O304" s="156" t="inlineStr">
        <is>
          <t>Core</t>
        </is>
      </c>
      <c r="P304" s="156" t="inlineStr">
        <is>
          <t>Cafe</t>
        </is>
      </c>
      <c r="Q304" s="156" t="n"/>
      <c r="R304" s="156" t="n"/>
      <c r="S304" s="156" t="n"/>
      <c r="T304" s="156" t="inlineStr">
        <is>
          <t>Bolsa Montana West. Color: Café Oscuro. Talla única. Mujer. Referencia: MWC-043ACF.</t>
        </is>
      </c>
      <c r="U304" s="156" t="n"/>
      <c r="V304" s="156" t="inlineStr">
        <is>
          <t>PZS</t>
        </is>
      </c>
      <c r="W304" s="51" t="inlineStr">
        <is>
          <t>53121601</t>
        </is>
      </c>
      <c r="X304" s="156" t="n"/>
      <c r="Y304" s="54" t="n">
        <v>225.4</v>
      </c>
      <c r="Z304" s="54" t="n">
        <v>399</v>
      </c>
      <c r="AA304" s="55">
        <f>IF(AND(A304="", B304="", E304=""), "", IF(AB304="", "Válido", IF((LEN(AB304)-LEN(SUBSTITUTE(AB304,"; ","")))/2+1&gt;(LEN(AB304)-LEN(SUBSTITUTE(AB304,"[Aviso]","")))/7, "Con Incidencias", "Válido")))</f>
        <v/>
      </c>
      <c r="AB304" s="56">
        <f>IF(AND(A304="", B304="", E304=""), "", TEXTJOIN("; ", TRUE, IF(OR(TRIM(A304&amp;"")="", ISNUMBER(SEARCH("FALTA", A304))), "UPC faltante/inválido", ""), IF(AND(A304&lt;&gt;"", IFERROR(_xlfn.XMATCH(A304,$A$2:$A$1063,0,1)&lt;&gt;_xlfn.XMATCH(A304,$A$2:$A$1063,0,-1),FALSE)), "Código de barras duplicado", ""), IF(AND(E304&lt;&gt;"", COUNTIF($E$2:$E$1063, E304)&gt;1), "SKU duplicado", ""), IF(OR(J304="", J304=""), "[Aviso] División no capturada ()", IF(ISNA(MATCH(J304, Criterios!$A$123:$A$126, 0)), "División no válida", "")), IF(OR(K304="", K304=""), "[Aviso] Categoría no capturada ()", IF(ISNA(MATCH(K304, Criterios!$A$81:$A$120, 0)), "Categoría no válida", IF(AND(J304&lt;&gt;"", J304&lt;&gt;"", J304&lt;&gt;VLOOKUP(K304, Criterios!$A$81:$B$120, 2, FALSE)), "División no coincide con Categoría", ""))), IF(OR(L304="", L304=""), "[Aviso] Género no capturado ()", IF(ISNA(MATCH(L304, Criterios!$B$123:$B$127, 0)), "Género no válido", "")), IF(OR(N304="", N304=""), "[Aviso] Temporada no capturada ()", IF(ISNA(MATCH(N304, Criterios!$C$123:$C$128, 0)), "Temporada no válida", "")), IF(OR(O304="", O304=""), "[Aviso] Ciclo de vida no capturado ()", IF(ISNA(MATCH(O304, Criterios!$D$123:$D$124, 0)), "Ciclo de vida no válido", ""))))</f>
        <v/>
      </c>
      <c r="AC304" s="56" t="n"/>
      <c r="AD304" s="51" t="n"/>
      <c r="AE304" s="156" t="n"/>
      <c r="AF304" s="51" t="n"/>
      <c r="AG304" s="156" t="inlineStr">
        <is>
          <t>Nuevo – Carga Hoja2 01/10/2026</t>
        </is>
      </c>
      <c r="AH304" s="156" t="inlineStr">
        <is>
          <t>Alta 01/10/2026 desde Hoja2 (fila 101) | 01/10/2026: Odoo Universal Unique Brands trae Género «Unisex» — se conservó el valor de Productos | Homologación G1522 06/10/2026: Validador Shopify: WB: precio con IVA no termina en 9</t>
        </is>
      </c>
      <c r="AI304" s="156" t="n"/>
      <c r="AJ304" s="156" t="n"/>
      <c r="AK304" s="155" t="inlineStr">
        <is>
          <t>Hoja2: fila 101 | Odoo: producto 27125 / plantilla 33825</t>
        </is>
      </c>
      <c r="AL304" s="58" t="n"/>
      <c r="AM304" s="58" t="n"/>
      <c r="AN304" s="155" t="inlineStr">
        <is>
          <t>Odoo Universal Unique Brands</t>
        </is>
      </c>
      <c r="AO304" s="59" t="n"/>
      <c r="AP304" s="59" t="n"/>
      <c r="AQ304" s="59" t="n">
        <v>5</v>
      </c>
      <c r="AR304" s="155" t="inlineStr">
        <is>
          <t>Odoo Universal Unique Brands › Bodega 25 › Bodega 25/General: 5</t>
        </is>
      </c>
    </row>
    <row r="305">
      <c r="A305" s="50" t="inlineStr">
        <is>
          <t>717012211613</t>
        </is>
      </c>
      <c r="B305" s="51" t="inlineStr">
        <is>
          <t>22195</t>
        </is>
      </c>
      <c r="C305" s="156" t="inlineStr">
        <is>
          <t>Montana West</t>
        </is>
      </c>
      <c r="D305" s="156" t="inlineStr">
        <is>
          <t>MWC-285BK</t>
        </is>
      </c>
      <c r="E305" s="156" t="inlineStr">
        <is>
          <t>MWC-285BK</t>
        </is>
      </c>
      <c r="F305" s="156" t="inlineStr">
        <is>
          <t>Talla única</t>
        </is>
      </c>
      <c r="G305" s="156" t="inlineStr">
        <is>
          <t>One Size</t>
        </is>
      </c>
      <c r="H305" s="156" t="inlineStr">
        <is>
          <t>Montana West</t>
        </is>
      </c>
      <c r="I305" s="156" t="inlineStr">
        <is>
          <t>Riñonera Cruzada Montana West Amplia Con Monedero Negro</t>
        </is>
      </c>
      <c r="J305" s="156" t="inlineStr">
        <is>
          <t>Accesorios</t>
        </is>
      </c>
      <c r="K305" s="156" t="inlineStr">
        <is>
          <t>Bolsos</t>
        </is>
      </c>
      <c r="L305" s="156" t="inlineStr">
        <is>
          <t>Mujer</t>
        </is>
      </c>
      <c r="M305" s="156" t="inlineStr">
        <is>
          <t>Montana West</t>
        </is>
      </c>
      <c r="N305" s="156" t="n"/>
      <c r="O305" s="156" t="inlineStr">
        <is>
          <t>Core</t>
        </is>
      </c>
      <c r="P305" s="156" t="inlineStr">
        <is>
          <t>Negro</t>
        </is>
      </c>
      <c r="Q305" s="156" t="n"/>
      <c r="R305" s="156" t="n"/>
      <c r="S305" s="156" t="n"/>
      <c r="T305" s="156" t="inlineStr">
        <is>
          <t>Riñonera Cruzada Montana West. Modelo: Amplia Con Monedero. Color: Negro. Talla única. Mujer. Referencia: MWC-285BK.</t>
        </is>
      </c>
      <c r="U305" s="156" t="n"/>
      <c r="V305" s="156" t="inlineStr">
        <is>
          <t>PZS</t>
        </is>
      </c>
      <c r="W305" s="51" t="inlineStr">
        <is>
          <t>53121601</t>
        </is>
      </c>
      <c r="X305" s="156" t="inlineStr">
        <is>
          <t>https://cdn.shopify.com/s/files/1/0005/9015/1741/files/MWC-285BK2.webp?v=1758103429</t>
        </is>
      </c>
      <c r="Y305" s="54" t="n">
        <v>9.449999999999999</v>
      </c>
      <c r="Z305" s="54" t="n">
        <v>359</v>
      </c>
      <c r="AA305" s="55">
        <f>IF(AND(A305="", B305="", E305=""), "", IF(AB305="", "Válido", IF((LEN(AB305)-LEN(SUBSTITUTE(AB305,"; ","")))/2+1&gt;(LEN(AB305)-LEN(SUBSTITUTE(AB305,"[Aviso]","")))/7, "Con Incidencias", "Válido")))</f>
        <v/>
      </c>
      <c r="AB305" s="56">
        <f>IF(AND(A305="", B305="", E305=""), "", TEXTJOIN("; ", TRUE, IF(OR(TRIM(A305&amp;"")="", ISNUMBER(SEARCH("FALTA", A305))), "UPC faltante/inválido", ""), IF(AND(A305&lt;&gt;"", IFERROR(_xlfn.XMATCH(A305,$A$2:$A$1063,0,1)&lt;&gt;_xlfn.XMATCH(A305,$A$2:$A$1063,0,-1),FALSE)), "Código de barras duplicado", ""), IF(AND(E305&lt;&gt;"", COUNTIF($E$2:$E$1063, E305)&gt;1), "SKU duplicado", ""), IF(OR(J305="", J305=""), "[Aviso] División no capturada ()", IF(ISNA(MATCH(J305, Criterios!$A$123:$A$126, 0)), "División no válida", "")), IF(OR(K305="", K305=""), "[Aviso] Categoría no capturada ()", IF(ISNA(MATCH(K305, Criterios!$A$81:$A$120, 0)), "Categoría no válida", IF(AND(J305&lt;&gt;"", J305&lt;&gt;"", J305&lt;&gt;VLOOKUP(K305, Criterios!$A$81:$B$120, 2, FALSE)), "División no coincide con Categoría", ""))), IF(OR(L305="", L305=""), "[Aviso] Género no capturado ()", IF(ISNA(MATCH(L305, Criterios!$B$123:$B$127, 0)), "Género no válido", "")), IF(OR(N305="", N305=""), "[Aviso] Temporada no capturada ()", IF(ISNA(MATCH(N305, Criterios!$C$123:$C$128, 0)), "Temporada no válida", "")), IF(OR(O305="", O305=""), "[Aviso] Ciclo de vida no capturado ()", IF(ISNA(MATCH(O305, Criterios!$D$123:$D$124, 0)), "Ciclo de vida no válido", ""))))</f>
        <v/>
      </c>
      <c r="AC305" s="56" t="n"/>
      <c r="AD305" s="51" t="n"/>
      <c r="AE305" s="156" t="n"/>
      <c r="AF305" s="51" t="n"/>
      <c r="AG305" s="156" t="inlineStr">
        <is>
          <t>Nuevo – Carga Hoja2 01/10/2026</t>
        </is>
      </c>
      <c r="AH305" s="156" t="inlineStr">
        <is>
          <t>Alta 01/10/2026 desde Hoja2 (fila 102) | 01/10/2026: Odoo Universal Unique Brands trae Género «Unisex» — se conservó el valor de Productos | 01/10/2026: Odoo Universal Unique Brands trae Género «Unisex» — se conservó el valor de Productos | Homologación G1522 06/10/2026: Enlace de imagen: «» → «https://cdn.shopify.com/s/files/1/0005/9015/1741/files/MWC-285BK2.webp?v=1758103429» (Completado por investigación en línea) · Validación G1522: [Aviso] Precio de compra posiblemente en USD · Validador Shopify: WB: precio con IVA no termina en 9</t>
        </is>
      </c>
      <c r="AI305" s="156" t="n"/>
      <c r="AJ305" s="156" t="n"/>
      <c r="AK305" s="155" t="inlineStr">
        <is>
          <t>Hoja2: fila 102 | Odoo: producto 22195 / plantilla 28338 | Odoo: producto 27126 / plantilla 33826 | Investigación en línea 06/10/2026: https://montanawestworld.com/products/montana-west-bum-bag-with-zipper</t>
        </is>
      </c>
      <c r="AL305" s="58" t="n"/>
      <c r="AM305" s="58" t="n"/>
      <c r="AN305" s="155" t="inlineStr">
        <is>
          <t>Odoo Universal Unique Brands</t>
        </is>
      </c>
      <c r="AO305" s="59" t="n"/>
      <c r="AP305" s="59" t="n"/>
      <c r="AQ305" s="59" t="n">
        <v>7</v>
      </c>
      <c r="AR305" s="155" t="inlineStr">
        <is>
          <t>Odoo Universal Unique Brands › Bodega 25 › Bodega 25/General: 1 | Odoo Universal Unique Brands › Bodega 25 › Bodega 25/General: 6</t>
        </is>
      </c>
    </row>
    <row r="306">
      <c r="A306" s="50" t="inlineStr">
        <is>
          <t>717012211637</t>
        </is>
      </c>
      <c r="B306" s="51" t="inlineStr">
        <is>
          <t>22194</t>
        </is>
      </c>
      <c r="C306" s="156" t="inlineStr">
        <is>
          <t>Montana West</t>
        </is>
      </c>
      <c r="D306" s="156" t="n"/>
      <c r="E306" s="156" t="inlineStr">
        <is>
          <t>MWC-285BR</t>
        </is>
      </c>
      <c r="F306" s="156" t="inlineStr">
        <is>
          <t>Talla única</t>
        </is>
      </c>
      <c r="G306" s="156" t="inlineStr">
        <is>
          <t>One Size</t>
        </is>
      </c>
      <c r="H306" s="156" t="inlineStr">
        <is>
          <t>Montana West</t>
        </is>
      </c>
      <c r="I306" s="156" t="inlineStr">
        <is>
          <t>MONTANA WEST MONTANA WEST Spacious Crossbody Bum Bag with Coin Purse - Brown</t>
        </is>
      </c>
      <c r="J306" s="156" t="inlineStr">
        <is>
          <t>Accesorios</t>
        </is>
      </c>
      <c r="K306" s="156" t="inlineStr">
        <is>
          <t>Bolsos</t>
        </is>
      </c>
      <c r="L306" s="156" t="inlineStr">
        <is>
          <t>Unisex</t>
        </is>
      </c>
      <c r="M306" s="156" t="n"/>
      <c r="N306" s="156" t="n"/>
      <c r="O306" s="156" t="n"/>
      <c r="P306" s="156" t="inlineStr">
        <is>
          <t>Cafe</t>
        </is>
      </c>
      <c r="Q306" s="156" t="n"/>
      <c r="R306" s="156" t="n"/>
      <c r="S306" s="156" t="n"/>
      <c r="T306" s="156" t="n"/>
      <c r="U306" s="156" t="n"/>
      <c r="V306" s="156" t="inlineStr">
        <is>
          <t>PZS</t>
        </is>
      </c>
      <c r="W306" s="51" t="inlineStr">
        <is>
          <t>53121601</t>
        </is>
      </c>
      <c r="X306" s="156" t="inlineStr">
        <is>
          <t>https://cdn.shopify.com/s/files/1/0005/9015/1741/files/MWC-285BR2.webp?v=1758103440</t>
        </is>
      </c>
      <c r="Y306" s="54" t="n">
        <v>24.5</v>
      </c>
      <c r="Z306" s="54" t="n">
        <v>919</v>
      </c>
      <c r="AA306" s="55">
        <f>IF(AND(A306="", B306="", E306=""), "", IF(AB306="", "Válido", IF((LEN(AB306)-LEN(SUBSTITUTE(AB306,"; ","")))/2+1&gt;(LEN(AB306)-LEN(SUBSTITUTE(AB306,"[Aviso]","")))/7, "Con Incidencias", "Válido")))</f>
        <v/>
      </c>
      <c r="AB306" s="56">
        <f>IF(AND(A306="", B306="", E306=""), "", TEXTJOIN("; ", TRUE, IF(OR(TRIM(A306&amp;"")="", ISNUMBER(SEARCH("FALTA", A306))), "UPC faltante/inválido", ""), IF(AND(A306&lt;&gt;"", IFERROR(_xlfn.XMATCH(A306,$A$2:$A$1063,0,1)&lt;&gt;_xlfn.XMATCH(A306,$A$2:$A$1063,0,-1),FALSE)), "Código de barras duplicado", ""), IF(AND(E306&lt;&gt;"", COUNTIF($E$2:$E$1063, E306)&gt;1), "SKU duplicado", ""), IF(OR(J306="", J306=""), "[Aviso] División no capturada ()", IF(ISNA(MATCH(J306, Criterios!$A$123:$A$126, 0)), "División no válida", "")), IF(OR(K306="", K306=""), "[Aviso] Categoría no capturada ()", IF(ISNA(MATCH(K306, Criterios!$A$81:$A$120, 0)), "Categoría no válida", IF(AND(J306&lt;&gt;"", J306&lt;&gt;"", J306&lt;&gt;VLOOKUP(K306, Criterios!$A$81:$B$120, 2, FALSE)), "División no coincide con Categoría", ""))), IF(OR(L306="", L306=""), "[Aviso] Género no capturado ()", IF(ISNA(MATCH(L306, Criterios!$B$123:$B$127, 0)), "Género no válido", "")), IF(OR(N306="", N306=""), "[Aviso] Temporada no capturada ()", IF(ISNA(MATCH(N306, Criterios!$C$123:$C$128, 0)), "Temporada no válida", "")), IF(OR(O306="", O306=""), "[Aviso] Ciclo de vida no capturado ()", IF(ISNA(MATCH(O306, Criterios!$D$123:$D$124, 0)), "Ciclo de vida no válido", ""))))</f>
        <v/>
      </c>
      <c r="AC306" s="56" t="n"/>
      <c r="AD306" s="51" t="n"/>
      <c r="AE306" s="156" t="n"/>
      <c r="AF306" s="51" t="n"/>
      <c r="AG306" s="156" t="inlineStr">
        <is>
          <t>Nuevo – Carga Hoja2 01/10/2026</t>
        </is>
      </c>
      <c r="AH306" s="156" t="inlineStr">
        <is>
          <t>Alta 01/10/2026 desde Hoja2 (fila 103) | 01/10/2026: complementado desde Odoo Universal Unique Brands (match por código de barras): WB Talla, WB Talla de EE. UU., WB Género, WB Color | Homologación G1522 06/10/2026: Enlace de imagen: «» → «https://cdn.shopify.com/s/files/1/0005/9015/1741/files/MWC-285BR2.webp?v=1758103440» (Completado por investigación en línea) · Validación G1522: Falta estilo · Validador NetSuite / Odoo: V6: falta estilo · Validador Shopify: V6: falta estilo; WB: precio con IVA no termina en 9</t>
        </is>
      </c>
      <c r="AI306" s="156" t="n"/>
      <c r="AJ306" s="156" t="n"/>
      <c r="AK306" s="155" t="inlineStr">
        <is>
          <t>Hoja2: fila 103 | Odoo: producto 22194 / plantilla 28337 | Investigación en línea 06/10/2026: https://montanawestworld.com/products/montana-west-bum-bag-with-zipper</t>
        </is>
      </c>
      <c r="AL306" s="58" t="n"/>
      <c r="AM306" s="58" t="n"/>
      <c r="AN306" s="155" t="inlineStr">
        <is>
          <t>Odoo Universal Unique Brands</t>
        </is>
      </c>
      <c r="AO306" s="59" t="n"/>
      <c r="AP306" s="59" t="n"/>
      <c r="AQ306" s="59" t="n">
        <v>1</v>
      </c>
      <c r="AR306" s="155" t="inlineStr">
        <is>
          <t>Odoo Universal Unique Brands › Bodega 25 › Bodega 25/General: 1</t>
        </is>
      </c>
    </row>
    <row r="307">
      <c r="A307" s="50" t="inlineStr">
        <is>
          <t>717690428716</t>
        </is>
      </c>
      <c r="B307" s="51" t="inlineStr">
        <is>
          <t>27127</t>
        </is>
      </c>
      <c r="C307" s="156" t="inlineStr">
        <is>
          <t>Montana West</t>
        </is>
      </c>
      <c r="D307" s="156" t="inlineStr">
        <is>
          <t>MWC-285CF</t>
        </is>
      </c>
      <c r="E307" s="156" t="inlineStr">
        <is>
          <t>MWC-285CF</t>
        </is>
      </c>
      <c r="F307" s="156" t="inlineStr">
        <is>
          <t>Talla única</t>
        </is>
      </c>
      <c r="G307" s="156" t="inlineStr">
        <is>
          <t>One Size</t>
        </is>
      </c>
      <c r="H307" s="156" t="inlineStr">
        <is>
          <t>Montana West</t>
        </is>
      </c>
      <c r="I307" s="156" t="inlineStr">
        <is>
          <t>Riñonera Cruzada Montana West Amplia Con Monedero Café Oscuro</t>
        </is>
      </c>
      <c r="J307" s="156" t="inlineStr">
        <is>
          <t>Accesorios</t>
        </is>
      </c>
      <c r="K307" s="156" t="inlineStr">
        <is>
          <t>Bolsos</t>
        </is>
      </c>
      <c r="L307" s="156" t="inlineStr">
        <is>
          <t>Mujer</t>
        </is>
      </c>
      <c r="M307" s="156" t="inlineStr">
        <is>
          <t>Montana West</t>
        </is>
      </c>
      <c r="N307" s="156" t="n"/>
      <c r="O307" s="156" t="inlineStr">
        <is>
          <t>Core</t>
        </is>
      </c>
      <c r="P307" s="156" t="inlineStr">
        <is>
          <t>Cafe</t>
        </is>
      </c>
      <c r="Q307" s="156" t="n"/>
      <c r="R307" s="156" t="n"/>
      <c r="S307" s="156" t="n"/>
      <c r="T307" s="156" t="inlineStr">
        <is>
          <t>Riñonera Cruzada Montana West. Modelo: Amplia Con Monedero. Color: Café Oscuro. Talla única. Mujer. Referencia: MWC-285CF.</t>
        </is>
      </c>
      <c r="U307" s="156" t="n"/>
      <c r="V307" s="156" t="inlineStr">
        <is>
          <t>PZS</t>
        </is>
      </c>
      <c r="W307" s="51" t="inlineStr">
        <is>
          <t>53121601</t>
        </is>
      </c>
      <c r="X307" s="156" t="inlineStr">
        <is>
          <t>https://cdn.shopify.com/s/files/1/0005/9015/1741/files/MWC-285CF2.webp?v=1758103424</t>
        </is>
      </c>
      <c r="Y307" s="54" t="n">
        <v>217.35</v>
      </c>
      <c r="Z307" s="54" t="n">
        <v>349</v>
      </c>
      <c r="AA307" s="55">
        <f>IF(AND(A307="", B307="", E307=""), "", IF(AB307="", "Válido", IF((LEN(AB307)-LEN(SUBSTITUTE(AB307,"; ","")))/2+1&gt;(LEN(AB307)-LEN(SUBSTITUTE(AB307,"[Aviso]","")))/7, "Con Incidencias", "Válido")))</f>
        <v/>
      </c>
      <c r="AB307" s="56">
        <f>IF(AND(A307="", B307="", E307=""), "", TEXTJOIN("; ", TRUE, IF(OR(TRIM(A307&amp;"")="", ISNUMBER(SEARCH("FALTA", A307))), "UPC faltante/inválido", ""), IF(AND(A307&lt;&gt;"", IFERROR(_xlfn.XMATCH(A307,$A$2:$A$1063,0,1)&lt;&gt;_xlfn.XMATCH(A307,$A$2:$A$1063,0,-1),FALSE)), "Código de barras duplicado", ""), IF(AND(E307&lt;&gt;"", COUNTIF($E$2:$E$1063, E307)&gt;1), "SKU duplicado", ""), IF(OR(J307="", J307=""), "[Aviso] División no capturada ()", IF(ISNA(MATCH(J307, Criterios!$A$123:$A$126, 0)), "División no válida", "")), IF(OR(K307="", K307=""), "[Aviso] Categoría no capturada ()", IF(ISNA(MATCH(K307, Criterios!$A$81:$A$120, 0)), "Categoría no válida", IF(AND(J307&lt;&gt;"", J307&lt;&gt;"", J307&lt;&gt;VLOOKUP(K307, Criterios!$A$81:$B$120, 2, FALSE)), "División no coincide con Categoría", ""))), IF(OR(L307="", L307=""), "[Aviso] Género no capturado ()", IF(ISNA(MATCH(L307, Criterios!$B$123:$B$127, 0)), "Género no válido", "")), IF(OR(N307="", N307=""), "[Aviso] Temporada no capturada ()", IF(ISNA(MATCH(N307, Criterios!$C$123:$C$128, 0)), "Temporada no válida", "")), IF(OR(O307="", O307=""), "[Aviso] Ciclo de vida no capturado ()", IF(ISNA(MATCH(O307, Criterios!$D$123:$D$124, 0)), "Ciclo de vida no válido", ""))))</f>
        <v/>
      </c>
      <c r="AC307" s="56" t="n"/>
      <c r="AD307" s="51" t="n"/>
      <c r="AE307" s="156" t="n"/>
      <c r="AF307" s="51" t="n"/>
      <c r="AG307" s="156" t="inlineStr">
        <is>
          <t>Nuevo – Carga Hoja2 01/10/2026</t>
        </is>
      </c>
      <c r="AH307" s="156" t="inlineStr">
        <is>
          <t>Alta 01/10/2026 desde Hoja2 (fila 104) | 01/10/2026: Odoo Universal Unique Brands trae Género «Unisex» — se conservó el valor de Productos | Homologación G1522 06/10/2026: Enlace de imagen: «» → «https://cdn.shopify.com/s/files/1/0005/9015/1741/files/MWC-285CF2.webp?v=1758103424» (Completado por investigación en línea) · Validador Shopify: WB: precio con IVA no termina en 9</t>
        </is>
      </c>
      <c r="AI307" s="156" t="n"/>
      <c r="AJ307" s="156" t="n"/>
      <c r="AK307" s="155" t="inlineStr">
        <is>
          <t>Hoja2: fila 104 | Odoo: producto 27127 / plantilla 33827 | Investigación en línea 06/10/2026: https://montanawestworld.com/products/montana-west-bum-bag-with-zipper</t>
        </is>
      </c>
      <c r="AL307" s="58" t="n"/>
      <c r="AM307" s="58" t="n"/>
      <c r="AN307" s="155" t="inlineStr">
        <is>
          <t>Odoo Universal Unique Brands</t>
        </is>
      </c>
      <c r="AO307" s="59" t="n"/>
      <c r="AP307" s="59" t="n"/>
      <c r="AQ307" s="59" t="n">
        <v>3</v>
      </c>
      <c r="AR307" s="155" t="inlineStr">
        <is>
          <t>Odoo Universal Unique Brands › Bodega 25 › Bodega 25/General: 3</t>
        </is>
      </c>
    </row>
    <row r="308">
      <c r="A308" s="50" t="inlineStr">
        <is>
          <t>717205898270</t>
        </is>
      </c>
      <c r="B308" s="51" t="inlineStr">
        <is>
          <t>27128</t>
        </is>
      </c>
      <c r="C308" s="156" t="inlineStr">
        <is>
          <t>Montana West</t>
        </is>
      </c>
      <c r="D308" s="156" t="inlineStr">
        <is>
          <t>MWF1046-205SCF</t>
        </is>
      </c>
      <c r="E308" s="156" t="inlineStr">
        <is>
          <t>MWF1046-205SCF</t>
        </is>
      </c>
      <c r="F308" s="156" t="inlineStr">
        <is>
          <t>Talla única</t>
        </is>
      </c>
      <c r="G308" s="156" t="inlineStr">
        <is>
          <t>One Size</t>
        </is>
      </c>
      <c r="H308" s="156" t="inlineStr">
        <is>
          <t>Montana West</t>
        </is>
      </c>
      <c r="I308" s="156" t="inlineStr">
        <is>
          <t>Bolsa Montana West Café Oscuro</t>
        </is>
      </c>
      <c r="J308" s="156" t="inlineStr">
        <is>
          <t>Accesorios</t>
        </is>
      </c>
      <c r="K308" s="156" t="inlineStr">
        <is>
          <t>Bolsos</t>
        </is>
      </c>
      <c r="L308" s="156" t="inlineStr">
        <is>
          <t>Mujer</t>
        </is>
      </c>
      <c r="M308" s="156" t="inlineStr">
        <is>
          <t>Montana West</t>
        </is>
      </c>
      <c r="N308" s="156" t="n"/>
      <c r="O308" s="156" t="inlineStr">
        <is>
          <t>Core</t>
        </is>
      </c>
      <c r="P308" s="156" t="inlineStr">
        <is>
          <t>Cafe</t>
        </is>
      </c>
      <c r="Q308" s="156" t="n"/>
      <c r="R308" s="156" t="n"/>
      <c r="S308" s="156" t="n"/>
      <c r="T308" s="156" t="inlineStr">
        <is>
          <t>Bolsa Montana West. Color: Café Oscuro. Talla única. Mujer. Referencia: MWF1046-205SCF.</t>
        </is>
      </c>
      <c r="U308" s="156" t="n"/>
      <c r="V308" s="156" t="inlineStr">
        <is>
          <t>PZS</t>
        </is>
      </c>
      <c r="W308" s="51" t="inlineStr">
        <is>
          <t>53121601</t>
        </is>
      </c>
      <c r="X308" s="156" t="n"/>
      <c r="Y308" s="54" t="n">
        <v>257.6</v>
      </c>
      <c r="Z308" s="54" t="n">
        <v>449</v>
      </c>
      <c r="AA308" s="55">
        <f>IF(AND(A308="", B308="", E308=""), "", IF(AB308="", "Válido", IF((LEN(AB308)-LEN(SUBSTITUTE(AB308,"; ","")))/2+1&gt;(LEN(AB308)-LEN(SUBSTITUTE(AB308,"[Aviso]","")))/7, "Con Incidencias", "Válido")))</f>
        <v/>
      </c>
      <c r="AB308" s="56">
        <f>IF(AND(A308="", B308="", E308=""), "", TEXTJOIN("; ", TRUE, IF(OR(TRIM(A308&amp;"")="", ISNUMBER(SEARCH("FALTA", A308))), "UPC faltante/inválido", ""), IF(AND(A308&lt;&gt;"", IFERROR(_xlfn.XMATCH(A308,$A$2:$A$1063,0,1)&lt;&gt;_xlfn.XMATCH(A308,$A$2:$A$1063,0,-1),FALSE)), "Código de barras duplicado", ""), IF(AND(E308&lt;&gt;"", COUNTIF($E$2:$E$1063, E308)&gt;1), "SKU duplicado", ""), IF(OR(J308="", J308=""), "[Aviso] División no capturada ()", IF(ISNA(MATCH(J308, Criterios!$A$123:$A$126, 0)), "División no válida", "")), IF(OR(K308="", K308=""), "[Aviso] Categoría no capturada ()", IF(ISNA(MATCH(K308, Criterios!$A$81:$A$120, 0)), "Categoría no válida", IF(AND(J308&lt;&gt;"", J308&lt;&gt;"", J308&lt;&gt;VLOOKUP(K308, Criterios!$A$81:$B$120, 2, FALSE)), "División no coincide con Categoría", ""))), IF(OR(L308="", L308=""), "[Aviso] Género no capturado ()", IF(ISNA(MATCH(L308, Criterios!$B$123:$B$127, 0)), "Género no válido", "")), IF(OR(N308="", N308=""), "[Aviso] Temporada no capturada ()", IF(ISNA(MATCH(N308, Criterios!$C$123:$C$128, 0)), "Temporada no válida", "")), IF(OR(O308="", O308=""), "[Aviso] Ciclo de vida no capturado ()", IF(ISNA(MATCH(O308, Criterios!$D$123:$D$124, 0)), "Ciclo de vida no válido", ""))))</f>
        <v/>
      </c>
      <c r="AC308" s="56" t="n"/>
      <c r="AD308" s="51" t="n"/>
      <c r="AE308" s="156" t="n"/>
      <c r="AF308" s="51" t="n"/>
      <c r="AG308" s="156" t="inlineStr">
        <is>
          <t>Nuevo – Carga Hoja2 01/10/2026</t>
        </is>
      </c>
      <c r="AH308" s="156" t="inlineStr">
        <is>
          <t>Alta 01/10/2026 desde Hoja2 (fila 105) | 01/10/2026: Odoo Universal Unique Brands trae Género «Unisex» — se conservó el valor de Productos | Homologación G1522 06/10/2026: Validador Shopify: WB: precio con IVA no termina en 9</t>
        </is>
      </c>
      <c r="AI308" s="156" t="n"/>
      <c r="AJ308" s="156" t="n"/>
      <c r="AK308" s="155" t="inlineStr">
        <is>
          <t>Hoja2: fila 105 | Odoo: producto 27128 / plantilla 33828</t>
        </is>
      </c>
      <c r="AL308" s="58" t="n"/>
      <c r="AM308" s="58" t="n"/>
      <c r="AN308" s="155" t="inlineStr">
        <is>
          <t>Odoo Universal Unique Brands</t>
        </is>
      </c>
      <c r="AO308" s="59" t="n"/>
      <c r="AP308" s="59" t="n"/>
      <c r="AQ308" s="59" t="n">
        <v>6</v>
      </c>
      <c r="AR308" s="155" t="inlineStr">
        <is>
          <t>Odoo Universal Unique Brands › Bodega 25 › Bodega 25/General: 6</t>
        </is>
      </c>
    </row>
    <row r="309">
      <c r="A309" s="50" t="inlineStr">
        <is>
          <t>717325219085</t>
        </is>
      </c>
      <c r="B309" s="51" t="inlineStr">
        <is>
          <t>27129</t>
        </is>
      </c>
      <c r="C309" s="156" t="inlineStr">
        <is>
          <t>Montana West</t>
        </is>
      </c>
      <c r="D309" s="156" t="inlineStr">
        <is>
          <t>MWK-W903CF</t>
        </is>
      </c>
      <c r="E309" s="156" t="inlineStr">
        <is>
          <t>MWK-W903CF</t>
        </is>
      </c>
      <c r="F309" s="156" t="inlineStr">
        <is>
          <t>Talla única</t>
        </is>
      </c>
      <c r="G309" s="156" t="inlineStr">
        <is>
          <t>One Size</t>
        </is>
      </c>
      <c r="H309" s="156" t="inlineStr">
        <is>
          <t>Montana West</t>
        </is>
      </c>
      <c r="I309" s="156" t="inlineStr">
        <is>
          <t>Cartera Montana West Café Oscuro</t>
        </is>
      </c>
      <c r="J309" s="156" t="inlineStr">
        <is>
          <t>Accesorios</t>
        </is>
      </c>
      <c r="K309" s="156" t="inlineStr">
        <is>
          <t>Carteras</t>
        </is>
      </c>
      <c r="L309" s="156" t="inlineStr">
        <is>
          <t>Hombre</t>
        </is>
      </c>
      <c r="M309" s="156" t="inlineStr">
        <is>
          <t>Montana West</t>
        </is>
      </c>
      <c r="N309" s="156" t="n"/>
      <c r="O309" s="156" t="inlineStr">
        <is>
          <t>Core</t>
        </is>
      </c>
      <c r="P309" s="156" t="inlineStr">
        <is>
          <t>Cafe</t>
        </is>
      </c>
      <c r="Q309" s="156" t="n"/>
      <c r="R309" s="156" t="n"/>
      <c r="S309" s="156" t="n"/>
      <c r="T309" s="156" t="inlineStr">
        <is>
          <t>Cartera Montana West. Color: Café Oscuro. Talla única. Hombre. Referencia: MWK-W903CF.</t>
        </is>
      </c>
      <c r="U309" s="156" t="n"/>
      <c r="V309" s="156" t="inlineStr">
        <is>
          <t>PZS</t>
        </is>
      </c>
      <c r="W309" s="51" t="inlineStr">
        <is>
          <t>53121700</t>
        </is>
      </c>
      <c r="X309" s="156" t="n"/>
      <c r="Y309" s="54" t="n">
        <v>193.2</v>
      </c>
      <c r="Z309" s="54" t="n">
        <v>349</v>
      </c>
      <c r="AA309" s="55">
        <f>IF(AND(A309="", B309="", E309=""), "", IF(AB309="", "Válido", IF((LEN(AB309)-LEN(SUBSTITUTE(AB309,"; ","")))/2+1&gt;(LEN(AB309)-LEN(SUBSTITUTE(AB309,"[Aviso]","")))/7, "Con Incidencias", "Válido")))</f>
        <v/>
      </c>
      <c r="AB309" s="56">
        <f>IF(AND(A309="", B309="", E309=""), "", TEXTJOIN("; ", TRUE, IF(OR(TRIM(A309&amp;"")="", ISNUMBER(SEARCH("FALTA", A309))), "UPC faltante/inválido", ""), IF(AND(A309&lt;&gt;"", IFERROR(_xlfn.XMATCH(A309,$A$2:$A$1063,0,1)&lt;&gt;_xlfn.XMATCH(A309,$A$2:$A$1063,0,-1),FALSE)), "Código de barras duplicado", ""), IF(AND(E309&lt;&gt;"", COUNTIF($E$2:$E$1063, E309)&gt;1), "SKU duplicado", ""), IF(OR(J309="", J309=""), "[Aviso] División no capturada ()", IF(ISNA(MATCH(J309, Criterios!$A$123:$A$126, 0)), "División no válida", "")), IF(OR(K309="", K309=""), "[Aviso] Categoría no capturada ()", IF(ISNA(MATCH(K309, Criterios!$A$81:$A$120, 0)), "Categoría no válida", IF(AND(J309&lt;&gt;"", J309&lt;&gt;"", J309&lt;&gt;VLOOKUP(K309, Criterios!$A$81:$B$120, 2, FALSE)), "División no coincide con Categoría", ""))), IF(OR(L309="", L309=""), "[Aviso] Género no capturado ()", IF(ISNA(MATCH(L309, Criterios!$B$123:$B$127, 0)), "Género no válido", "")), IF(OR(N309="", N309=""), "[Aviso] Temporada no capturada ()", IF(ISNA(MATCH(N309, Criterios!$C$123:$C$128, 0)), "Temporada no válida", "")), IF(OR(O309="", O309=""), "[Aviso] Ciclo de vida no capturado ()", IF(ISNA(MATCH(O309, Criterios!$D$123:$D$124, 0)), "Ciclo de vida no válido", ""))))</f>
        <v/>
      </c>
      <c r="AC309" s="56" t="n"/>
      <c r="AD309" s="51" t="n"/>
      <c r="AE309" s="156" t="n"/>
      <c r="AF309" s="51" t="n"/>
      <c r="AG309" s="156" t="inlineStr">
        <is>
          <t>Nuevo – Carga Hoja2 01/10/2026</t>
        </is>
      </c>
      <c r="AH309" s="156" t="inlineStr">
        <is>
          <t>Alta 01/10/2026 desde Hoja2 (fila 106) | Homologación G1522 06/10/2026: Validador Shopify: WB: precio con IVA no termina en 9</t>
        </is>
      </c>
      <c r="AI309" s="156" t="n"/>
      <c r="AJ309" s="156" t="n"/>
      <c r="AK309" s="155" t="inlineStr">
        <is>
          <t>Hoja2: fila 106 | Odoo: producto 27129 / plantilla 33829</t>
        </is>
      </c>
      <c r="AL309" s="58" t="n"/>
      <c r="AM309" s="58" t="n"/>
      <c r="AN309" s="155" t="inlineStr">
        <is>
          <t>Odoo Universal Unique Brands</t>
        </is>
      </c>
      <c r="AO309" s="59" t="n"/>
      <c r="AP309" s="59" t="n"/>
      <c r="AQ309" s="59" t="n">
        <v>3</v>
      </c>
      <c r="AR309" s="155" t="inlineStr">
        <is>
          <t>Odoo Universal Unique Brands › Bodega 25 › Bodega 25/General: 3</t>
        </is>
      </c>
    </row>
    <row r="310">
      <c r="A310" s="50" t="inlineStr">
        <is>
          <t>717325219108</t>
        </is>
      </c>
      <c r="B310" s="51" t="inlineStr">
        <is>
          <t>27130</t>
        </is>
      </c>
      <c r="C310" s="156" t="inlineStr">
        <is>
          <t>Montana West</t>
        </is>
      </c>
      <c r="D310" s="156" t="inlineStr">
        <is>
          <t>MWK-W904BR</t>
        </is>
      </c>
      <c r="E310" s="156" t="inlineStr">
        <is>
          <t>MWK-W904BR</t>
        </is>
      </c>
      <c r="F310" s="156" t="inlineStr">
        <is>
          <t>Talla única</t>
        </is>
      </c>
      <c r="G310" s="156" t="inlineStr">
        <is>
          <t>One Size</t>
        </is>
      </c>
      <c r="H310" s="156" t="inlineStr">
        <is>
          <t>Montana West</t>
        </is>
      </c>
      <c r="I310" s="156" t="inlineStr">
        <is>
          <t>Cartera Montana West Café</t>
        </is>
      </c>
      <c r="J310" s="156" t="inlineStr">
        <is>
          <t>Accesorios</t>
        </is>
      </c>
      <c r="K310" s="156" t="inlineStr">
        <is>
          <t>Carteras</t>
        </is>
      </c>
      <c r="L310" s="156" t="inlineStr">
        <is>
          <t>Hombre</t>
        </is>
      </c>
      <c r="M310" s="156" t="inlineStr">
        <is>
          <t>Montana West</t>
        </is>
      </c>
      <c r="N310" s="156" t="n"/>
      <c r="O310" s="156" t="inlineStr">
        <is>
          <t>Core</t>
        </is>
      </c>
      <c r="P310" s="156" t="inlineStr">
        <is>
          <t>Cafe</t>
        </is>
      </c>
      <c r="Q310" s="156" t="n"/>
      <c r="R310" s="156" t="n"/>
      <c r="S310" s="156" t="n"/>
      <c r="T310" s="156" t="inlineStr">
        <is>
          <t>Cartera Montana West. Color: Café. Talla única. Hombre. Referencia: MWK-W904BR.</t>
        </is>
      </c>
      <c r="U310" s="156" t="n"/>
      <c r="V310" s="156" t="inlineStr">
        <is>
          <t>PZS</t>
        </is>
      </c>
      <c r="W310" s="51" t="inlineStr">
        <is>
          <t>53121700</t>
        </is>
      </c>
      <c r="X310" s="156" t="n"/>
      <c r="Y310" s="54" t="n">
        <v>193.2</v>
      </c>
      <c r="Z310" s="54" t="n">
        <v>349</v>
      </c>
      <c r="AA310" s="55">
        <f>IF(AND(A310="", B310="", E310=""), "", IF(AB310="", "Válido", IF((LEN(AB310)-LEN(SUBSTITUTE(AB310,"; ","")))/2+1&gt;(LEN(AB310)-LEN(SUBSTITUTE(AB310,"[Aviso]","")))/7, "Con Incidencias", "Válido")))</f>
        <v/>
      </c>
      <c r="AB310" s="56">
        <f>IF(AND(A310="", B310="", E310=""), "", TEXTJOIN("; ", TRUE, IF(OR(TRIM(A310&amp;"")="", ISNUMBER(SEARCH("FALTA", A310))), "UPC faltante/inválido", ""), IF(AND(A310&lt;&gt;"", IFERROR(_xlfn.XMATCH(A310,$A$2:$A$1063,0,1)&lt;&gt;_xlfn.XMATCH(A310,$A$2:$A$1063,0,-1),FALSE)), "Código de barras duplicado", ""), IF(AND(E310&lt;&gt;"", COUNTIF($E$2:$E$1063, E310)&gt;1), "SKU duplicado", ""), IF(OR(J310="", J310=""), "[Aviso] División no capturada ()", IF(ISNA(MATCH(J310, Criterios!$A$123:$A$126, 0)), "División no válida", "")), IF(OR(K310="", K310=""), "[Aviso] Categoría no capturada ()", IF(ISNA(MATCH(K310, Criterios!$A$81:$A$120, 0)), "Categoría no válida", IF(AND(J310&lt;&gt;"", J310&lt;&gt;"", J310&lt;&gt;VLOOKUP(K310, Criterios!$A$81:$B$120, 2, FALSE)), "División no coincide con Categoría", ""))), IF(OR(L310="", L310=""), "[Aviso] Género no capturado ()", IF(ISNA(MATCH(L310, Criterios!$B$123:$B$127, 0)), "Género no válido", "")), IF(OR(N310="", N310=""), "[Aviso] Temporada no capturada ()", IF(ISNA(MATCH(N310, Criterios!$C$123:$C$128, 0)), "Temporada no válida", "")), IF(OR(O310="", O310=""), "[Aviso] Ciclo de vida no capturado ()", IF(ISNA(MATCH(O310, Criterios!$D$123:$D$124, 0)), "Ciclo de vida no válido", ""))))</f>
        <v/>
      </c>
      <c r="AC310" s="56" t="n"/>
      <c r="AD310" s="51" t="n"/>
      <c r="AE310" s="156" t="n"/>
      <c r="AF310" s="51" t="n"/>
      <c r="AG310" s="156" t="inlineStr">
        <is>
          <t>Nuevo – Carga Hoja2 01/10/2026</t>
        </is>
      </c>
      <c r="AH310" s="156" t="inlineStr">
        <is>
          <t>Alta 01/10/2026 desde Hoja2 (fila 107) | Homologación G1522 06/10/2026: Validador Shopify: WB: precio con IVA no termina en 9</t>
        </is>
      </c>
      <c r="AI310" s="156" t="n"/>
      <c r="AJ310" s="156" t="n"/>
      <c r="AK310" s="155" t="inlineStr">
        <is>
          <t>Hoja2: fila 107 | Odoo: producto 27130 / plantilla 33830</t>
        </is>
      </c>
      <c r="AL310" s="58" t="n"/>
      <c r="AM310" s="58" t="n"/>
      <c r="AN310" s="155" t="inlineStr">
        <is>
          <t>Odoo Universal Unique Brands</t>
        </is>
      </c>
      <c r="AO310" s="59" t="n"/>
      <c r="AP310" s="59" t="n"/>
      <c r="AQ310" s="59" t="n">
        <v>5</v>
      </c>
      <c r="AR310" s="155" t="inlineStr">
        <is>
          <t>Odoo Universal Unique Brands › Bodega 25 › Bodega 25/General: 5</t>
        </is>
      </c>
    </row>
    <row r="311">
      <c r="A311" s="50" t="inlineStr">
        <is>
          <t>717325219115</t>
        </is>
      </c>
      <c r="B311" s="51" t="inlineStr">
        <is>
          <t>27131</t>
        </is>
      </c>
      <c r="C311" s="156" t="inlineStr">
        <is>
          <t>Montana West</t>
        </is>
      </c>
      <c r="D311" s="156" t="inlineStr">
        <is>
          <t>MWK-W905CF</t>
        </is>
      </c>
      <c r="E311" s="156" t="inlineStr">
        <is>
          <t>MWK-W905CF</t>
        </is>
      </c>
      <c r="F311" s="156" t="inlineStr">
        <is>
          <t>Talla única</t>
        </is>
      </c>
      <c r="G311" s="156" t="inlineStr">
        <is>
          <t>One Size</t>
        </is>
      </c>
      <c r="H311" s="156" t="inlineStr">
        <is>
          <t>Montana West</t>
        </is>
      </c>
      <c r="I311" s="156" t="inlineStr">
        <is>
          <t>Cartera Montana West Café Oscuro</t>
        </is>
      </c>
      <c r="J311" s="156" t="inlineStr">
        <is>
          <t>Accesorios</t>
        </is>
      </c>
      <c r="K311" s="156" t="inlineStr">
        <is>
          <t>Carteras</t>
        </is>
      </c>
      <c r="L311" s="156" t="inlineStr">
        <is>
          <t>Hombre</t>
        </is>
      </c>
      <c r="M311" s="156" t="inlineStr">
        <is>
          <t>Montana West</t>
        </is>
      </c>
      <c r="N311" s="156" t="n"/>
      <c r="O311" s="156" t="inlineStr">
        <is>
          <t>Core</t>
        </is>
      </c>
      <c r="P311" s="156" t="inlineStr">
        <is>
          <t>Cafe</t>
        </is>
      </c>
      <c r="Q311" s="156" t="n"/>
      <c r="R311" s="156" t="n"/>
      <c r="S311" s="156" t="n"/>
      <c r="T311" s="156" t="inlineStr">
        <is>
          <t>Cartera Montana West. Color: Café Oscuro. Talla única. Hombre. Referencia: MWK-W905CF.</t>
        </is>
      </c>
      <c r="U311" s="156" t="n"/>
      <c r="V311" s="156" t="inlineStr">
        <is>
          <t>PZS</t>
        </is>
      </c>
      <c r="W311" s="51" t="inlineStr">
        <is>
          <t>53121700</t>
        </is>
      </c>
      <c r="X311" s="156" t="n"/>
      <c r="Y311" s="54" t="n">
        <v>193.2</v>
      </c>
      <c r="Z311" s="54" t="n">
        <v>349</v>
      </c>
      <c r="AA311" s="55">
        <f>IF(AND(A311="", B311="", E311=""), "", IF(AB311="", "Válido", IF((LEN(AB311)-LEN(SUBSTITUTE(AB311,"; ","")))/2+1&gt;(LEN(AB311)-LEN(SUBSTITUTE(AB311,"[Aviso]","")))/7, "Con Incidencias", "Válido")))</f>
        <v/>
      </c>
      <c r="AB311" s="56">
        <f>IF(AND(A311="", B311="", E311=""), "", TEXTJOIN("; ", TRUE, IF(OR(TRIM(A311&amp;"")="", ISNUMBER(SEARCH("FALTA", A311))), "UPC faltante/inválido", ""), IF(AND(A311&lt;&gt;"", IFERROR(_xlfn.XMATCH(A311,$A$2:$A$1063,0,1)&lt;&gt;_xlfn.XMATCH(A311,$A$2:$A$1063,0,-1),FALSE)), "Código de barras duplicado", ""), IF(AND(E311&lt;&gt;"", COUNTIF($E$2:$E$1063, E311)&gt;1), "SKU duplicado", ""), IF(OR(J311="", J311=""), "[Aviso] División no capturada ()", IF(ISNA(MATCH(J311, Criterios!$A$123:$A$126, 0)), "División no válida", "")), IF(OR(K311="", K311=""), "[Aviso] Categoría no capturada ()", IF(ISNA(MATCH(K311, Criterios!$A$81:$A$120, 0)), "Categoría no válida", IF(AND(J311&lt;&gt;"", J311&lt;&gt;"", J311&lt;&gt;VLOOKUP(K311, Criterios!$A$81:$B$120, 2, FALSE)), "División no coincide con Categoría", ""))), IF(OR(L311="", L311=""), "[Aviso] Género no capturado ()", IF(ISNA(MATCH(L311, Criterios!$B$123:$B$127, 0)), "Género no válido", "")), IF(OR(N311="", N311=""), "[Aviso] Temporada no capturada ()", IF(ISNA(MATCH(N311, Criterios!$C$123:$C$128, 0)), "Temporada no válida", "")), IF(OR(O311="", O311=""), "[Aviso] Ciclo de vida no capturado ()", IF(ISNA(MATCH(O311, Criterios!$D$123:$D$124, 0)), "Ciclo de vida no válido", ""))))</f>
        <v/>
      </c>
      <c r="AC311" s="56" t="n"/>
      <c r="AD311" s="51" t="n"/>
      <c r="AE311" s="156" t="n"/>
      <c r="AF311" s="51" t="n"/>
      <c r="AG311" s="156" t="inlineStr">
        <is>
          <t>Nuevo – Carga Hoja2 01/10/2026</t>
        </is>
      </c>
      <c r="AH311" s="156" t="inlineStr">
        <is>
          <t>Alta 01/10/2026 desde Hoja2 (fila 108) | Homologación G1522 06/10/2026: Validador Shopify: WB: precio con IVA no termina en 9</t>
        </is>
      </c>
      <c r="AI311" s="156" t="n"/>
      <c r="AJ311" s="156" t="n"/>
      <c r="AK311" s="155" t="inlineStr">
        <is>
          <t>Hoja2: fila 108 | Odoo: producto 27131 / plantilla 33831</t>
        </is>
      </c>
      <c r="AL311" s="58" t="n"/>
      <c r="AM311" s="58" t="n"/>
      <c r="AN311" s="155" t="inlineStr">
        <is>
          <t>Odoo Universal Unique Brands</t>
        </is>
      </c>
      <c r="AO311" s="59" t="n"/>
      <c r="AP311" s="59" t="n"/>
      <c r="AQ311" s="59" t="n">
        <v>5</v>
      </c>
      <c r="AR311" s="155" t="inlineStr">
        <is>
          <t>Odoo Universal Unique Brands › Bodega 25 › Bodega 25/General: 5</t>
        </is>
      </c>
    </row>
    <row r="312">
      <c r="A312" s="50" t="inlineStr">
        <is>
          <t>717325219177</t>
        </is>
      </c>
      <c r="B312" s="51" t="inlineStr">
        <is>
          <t>27132</t>
        </is>
      </c>
      <c r="C312" s="156" t="inlineStr">
        <is>
          <t>Montana West</t>
        </is>
      </c>
      <c r="D312" s="156" t="inlineStr">
        <is>
          <t>MWK-W909BK</t>
        </is>
      </c>
      <c r="E312" s="156" t="inlineStr">
        <is>
          <t>MWK-W909BK</t>
        </is>
      </c>
      <c r="F312" s="156" t="inlineStr">
        <is>
          <t>Talla única</t>
        </is>
      </c>
      <c r="G312" s="156" t="inlineStr">
        <is>
          <t>One Size</t>
        </is>
      </c>
      <c r="H312" s="156" t="inlineStr">
        <is>
          <t>Montana West</t>
        </is>
      </c>
      <c r="I312" s="156" t="inlineStr">
        <is>
          <t>Cartera Montana West Negro</t>
        </is>
      </c>
      <c r="J312" s="156" t="inlineStr">
        <is>
          <t>Accesorios</t>
        </is>
      </c>
      <c r="K312" s="156" t="inlineStr">
        <is>
          <t>Carteras</t>
        </is>
      </c>
      <c r="L312" s="156" t="inlineStr">
        <is>
          <t>Hombre</t>
        </is>
      </c>
      <c r="M312" s="156" t="inlineStr">
        <is>
          <t>Montana West</t>
        </is>
      </c>
      <c r="N312" s="156" t="n"/>
      <c r="O312" s="156" t="inlineStr">
        <is>
          <t>Core</t>
        </is>
      </c>
      <c r="P312" s="156" t="inlineStr">
        <is>
          <t>Negro</t>
        </is>
      </c>
      <c r="Q312" s="156" t="n"/>
      <c r="R312" s="156" t="n"/>
      <c r="S312" s="156" t="n"/>
      <c r="T312" s="156" t="inlineStr">
        <is>
          <t>Cartera Montana West. Color: Negro. Talla única. Hombre. Referencia: MWK-W909BK.</t>
        </is>
      </c>
      <c r="U312" s="156" t="n"/>
      <c r="V312" s="156" t="inlineStr">
        <is>
          <t>PZS</t>
        </is>
      </c>
      <c r="W312" s="51" t="inlineStr">
        <is>
          <t>53121700</t>
        </is>
      </c>
      <c r="X312" s="156" t="n"/>
      <c r="Y312" s="54" t="n">
        <v>193.2</v>
      </c>
      <c r="Z312" s="54" t="n">
        <v>349</v>
      </c>
      <c r="AA312" s="55">
        <f>IF(AND(A312="", B312="", E312=""), "", IF(AB312="", "Válido", IF((LEN(AB312)-LEN(SUBSTITUTE(AB312,"; ","")))/2+1&gt;(LEN(AB312)-LEN(SUBSTITUTE(AB312,"[Aviso]","")))/7, "Con Incidencias", "Válido")))</f>
        <v/>
      </c>
      <c r="AB312" s="56">
        <f>IF(AND(A312="", B312="", E312=""), "", TEXTJOIN("; ", TRUE, IF(OR(TRIM(A312&amp;"")="", ISNUMBER(SEARCH("FALTA", A312))), "UPC faltante/inválido", ""), IF(AND(A312&lt;&gt;"", IFERROR(_xlfn.XMATCH(A312,$A$2:$A$1063,0,1)&lt;&gt;_xlfn.XMATCH(A312,$A$2:$A$1063,0,-1),FALSE)), "Código de barras duplicado", ""), IF(AND(E312&lt;&gt;"", COUNTIF($E$2:$E$1063, E312)&gt;1), "SKU duplicado", ""), IF(OR(J312="", J312=""), "[Aviso] División no capturada ()", IF(ISNA(MATCH(J312, Criterios!$A$123:$A$126, 0)), "División no válida", "")), IF(OR(K312="", K312=""), "[Aviso] Categoría no capturada ()", IF(ISNA(MATCH(K312, Criterios!$A$81:$A$120, 0)), "Categoría no válida", IF(AND(J312&lt;&gt;"", J312&lt;&gt;"", J312&lt;&gt;VLOOKUP(K312, Criterios!$A$81:$B$120, 2, FALSE)), "División no coincide con Categoría", ""))), IF(OR(L312="", L312=""), "[Aviso] Género no capturado ()", IF(ISNA(MATCH(L312, Criterios!$B$123:$B$127, 0)), "Género no válido", "")), IF(OR(N312="", N312=""), "[Aviso] Temporada no capturada ()", IF(ISNA(MATCH(N312, Criterios!$C$123:$C$128, 0)), "Temporada no válida", "")), IF(OR(O312="", O312=""), "[Aviso] Ciclo de vida no capturado ()", IF(ISNA(MATCH(O312, Criterios!$D$123:$D$124, 0)), "Ciclo de vida no válido", ""))))</f>
        <v/>
      </c>
      <c r="AC312" s="56" t="n"/>
      <c r="AD312" s="51" t="n"/>
      <c r="AE312" s="156" t="n"/>
      <c r="AF312" s="51" t="n"/>
      <c r="AG312" s="156" t="inlineStr">
        <is>
          <t>Nuevo – Carga Hoja2 01/10/2026</t>
        </is>
      </c>
      <c r="AH312" s="156" t="inlineStr">
        <is>
          <t>Alta 01/10/2026 desde Hoja2 (fila 109) | Homologación G1522 06/10/2026: Validador Shopify: WB: precio con IVA no termina en 9</t>
        </is>
      </c>
      <c r="AI312" s="156" t="n"/>
      <c r="AJ312" s="156" t="n"/>
      <c r="AK312" s="155" t="inlineStr">
        <is>
          <t>Hoja2: fila 109 | Odoo: producto 27132 / plantilla 33832</t>
        </is>
      </c>
      <c r="AL312" s="58" t="n"/>
      <c r="AM312" s="58" t="n"/>
      <c r="AN312" s="155" t="inlineStr">
        <is>
          <t>Odoo Universal Unique Brands</t>
        </is>
      </c>
      <c r="AO312" s="59" t="n"/>
      <c r="AP312" s="59" t="n"/>
      <c r="AQ312" s="59" t="n">
        <v>5</v>
      </c>
      <c r="AR312" s="155" t="inlineStr">
        <is>
          <t>Odoo Universal Unique Brands › Bodega 25 › Bodega 25/General: 5</t>
        </is>
      </c>
    </row>
    <row r="313">
      <c r="A313" s="50" t="inlineStr">
        <is>
          <t>717325219191</t>
        </is>
      </c>
      <c r="B313" s="51" t="inlineStr">
        <is>
          <t>27133</t>
        </is>
      </c>
      <c r="C313" s="156" t="inlineStr">
        <is>
          <t>Montana West</t>
        </is>
      </c>
      <c r="D313" s="156" t="inlineStr">
        <is>
          <t>MWK-W910BR</t>
        </is>
      </c>
      <c r="E313" s="156" t="inlineStr">
        <is>
          <t>MWK-W910BR</t>
        </is>
      </c>
      <c r="F313" s="156" t="inlineStr">
        <is>
          <t>Talla única</t>
        </is>
      </c>
      <c r="G313" s="156" t="inlineStr">
        <is>
          <t>One Size</t>
        </is>
      </c>
      <c r="H313" s="156" t="inlineStr">
        <is>
          <t>Montana West</t>
        </is>
      </c>
      <c r="I313" s="156" t="inlineStr">
        <is>
          <t>Cartera Montana West Café</t>
        </is>
      </c>
      <c r="J313" s="156" t="inlineStr">
        <is>
          <t>Accesorios</t>
        </is>
      </c>
      <c r="K313" s="156" t="inlineStr">
        <is>
          <t>Carteras</t>
        </is>
      </c>
      <c r="L313" s="156" t="inlineStr">
        <is>
          <t>Hombre</t>
        </is>
      </c>
      <c r="M313" s="156" t="inlineStr">
        <is>
          <t>Montana West</t>
        </is>
      </c>
      <c r="N313" s="156" t="n"/>
      <c r="O313" s="156" t="inlineStr">
        <is>
          <t>Core</t>
        </is>
      </c>
      <c r="P313" s="156" t="inlineStr">
        <is>
          <t>Cafe</t>
        </is>
      </c>
      <c r="Q313" s="156" t="n"/>
      <c r="R313" s="156" t="n"/>
      <c r="S313" s="156" t="n"/>
      <c r="T313" s="156" t="inlineStr">
        <is>
          <t>Cartera Montana West. Color: Café. Talla única. Hombre. Referencia: MWK-W910BR.</t>
        </is>
      </c>
      <c r="U313" s="156" t="n"/>
      <c r="V313" s="156" t="inlineStr">
        <is>
          <t>PZS</t>
        </is>
      </c>
      <c r="W313" s="51" t="inlineStr">
        <is>
          <t>53121700</t>
        </is>
      </c>
      <c r="X313" s="156" t="n"/>
      <c r="Y313" s="54" t="n">
        <v>193.2</v>
      </c>
      <c r="Z313" s="54" t="n">
        <v>349</v>
      </c>
      <c r="AA313" s="55">
        <f>IF(AND(A313="", B313="", E313=""), "", IF(AB313="", "Válido", IF((LEN(AB313)-LEN(SUBSTITUTE(AB313,"; ","")))/2+1&gt;(LEN(AB313)-LEN(SUBSTITUTE(AB313,"[Aviso]","")))/7, "Con Incidencias", "Válido")))</f>
        <v/>
      </c>
      <c r="AB313" s="56">
        <f>IF(AND(A313="", B313="", E313=""), "", TEXTJOIN("; ", TRUE, IF(OR(TRIM(A313&amp;"")="", ISNUMBER(SEARCH("FALTA", A313))), "UPC faltante/inválido", ""), IF(AND(A313&lt;&gt;"", IFERROR(_xlfn.XMATCH(A313,$A$2:$A$1063,0,1)&lt;&gt;_xlfn.XMATCH(A313,$A$2:$A$1063,0,-1),FALSE)), "Código de barras duplicado", ""), IF(AND(E313&lt;&gt;"", COUNTIF($E$2:$E$1063, E313)&gt;1), "SKU duplicado", ""), IF(OR(J313="", J313=""), "[Aviso] División no capturada ()", IF(ISNA(MATCH(J313, Criterios!$A$123:$A$126, 0)), "División no válida", "")), IF(OR(K313="", K313=""), "[Aviso] Categoría no capturada ()", IF(ISNA(MATCH(K313, Criterios!$A$81:$A$120, 0)), "Categoría no válida", IF(AND(J313&lt;&gt;"", J313&lt;&gt;"", J313&lt;&gt;VLOOKUP(K313, Criterios!$A$81:$B$120, 2, FALSE)), "División no coincide con Categoría", ""))), IF(OR(L313="", L313=""), "[Aviso] Género no capturado ()", IF(ISNA(MATCH(L313, Criterios!$B$123:$B$127, 0)), "Género no válido", "")), IF(OR(N313="", N313=""), "[Aviso] Temporada no capturada ()", IF(ISNA(MATCH(N313, Criterios!$C$123:$C$128, 0)), "Temporada no válida", "")), IF(OR(O313="", O313=""), "[Aviso] Ciclo de vida no capturado ()", IF(ISNA(MATCH(O313, Criterios!$D$123:$D$124, 0)), "Ciclo de vida no válido", ""))))</f>
        <v/>
      </c>
      <c r="AC313" s="56" t="n"/>
      <c r="AD313" s="51" t="n"/>
      <c r="AE313" s="156" t="n"/>
      <c r="AF313" s="51" t="n"/>
      <c r="AG313" s="156" t="inlineStr">
        <is>
          <t>Nuevo – Carga Hoja2 01/10/2026</t>
        </is>
      </c>
      <c r="AH313" s="156" t="inlineStr">
        <is>
          <t>Alta 01/10/2026 desde Hoja2 (fila 110) | Homologación G1522 06/10/2026: Validador Shopify: WB: precio con IVA no termina en 9</t>
        </is>
      </c>
      <c r="AI313" s="156" t="n"/>
      <c r="AJ313" s="156" t="n"/>
      <c r="AK313" s="155" t="inlineStr">
        <is>
          <t>Hoja2: fila 110 | Odoo: producto 27133 / plantilla 33833</t>
        </is>
      </c>
      <c r="AL313" s="58" t="n"/>
      <c r="AM313" s="58" t="n"/>
      <c r="AN313" s="155" t="inlineStr">
        <is>
          <t>Odoo Universal Unique Brands</t>
        </is>
      </c>
      <c r="AO313" s="59" t="n"/>
      <c r="AP313" s="59" t="n"/>
      <c r="AQ313" s="59" t="n">
        <v>5</v>
      </c>
      <c r="AR313" s="155" t="inlineStr">
        <is>
          <t>Odoo Universal Unique Brands › Bodega 25 › Bodega 25/General: 5</t>
        </is>
      </c>
    </row>
    <row r="314">
      <c r="A314" s="50" t="inlineStr">
        <is>
          <t>717325219221</t>
        </is>
      </c>
      <c r="B314" s="51" t="inlineStr">
        <is>
          <t>27134</t>
        </is>
      </c>
      <c r="C314" s="156" t="inlineStr">
        <is>
          <t>Montana West</t>
        </is>
      </c>
      <c r="D314" s="156" t="inlineStr">
        <is>
          <t>MWK-W912BK</t>
        </is>
      </c>
      <c r="E314" s="156" t="inlineStr">
        <is>
          <t>MWK-W912BK</t>
        </is>
      </c>
      <c r="F314" s="156" t="inlineStr">
        <is>
          <t>Talla única</t>
        </is>
      </c>
      <c r="G314" s="156" t="inlineStr">
        <is>
          <t>One Size</t>
        </is>
      </c>
      <c r="H314" s="156" t="inlineStr">
        <is>
          <t>Montana West</t>
        </is>
      </c>
      <c r="I314" s="156" t="inlineStr">
        <is>
          <t>Cartera Montana West Negro</t>
        </is>
      </c>
      <c r="J314" s="156" t="inlineStr">
        <is>
          <t>Accesorios</t>
        </is>
      </c>
      <c r="K314" s="156" t="inlineStr">
        <is>
          <t>Carteras</t>
        </is>
      </c>
      <c r="L314" s="156" t="inlineStr">
        <is>
          <t>Hombre</t>
        </is>
      </c>
      <c r="M314" s="156" t="inlineStr">
        <is>
          <t>Montana West</t>
        </is>
      </c>
      <c r="N314" s="156" t="n"/>
      <c r="O314" s="156" t="inlineStr">
        <is>
          <t>Core</t>
        </is>
      </c>
      <c r="P314" s="156" t="inlineStr">
        <is>
          <t>Negro</t>
        </is>
      </c>
      <c r="Q314" s="156" t="n"/>
      <c r="R314" s="156" t="n"/>
      <c r="S314" s="156" t="n"/>
      <c r="T314" s="156" t="inlineStr">
        <is>
          <t>Cartera Montana West. Color: Negro. Talla única. Hombre. Referencia: MWK-W912BK.</t>
        </is>
      </c>
      <c r="U314" s="156" t="n"/>
      <c r="V314" s="156" t="inlineStr">
        <is>
          <t>PZS</t>
        </is>
      </c>
      <c r="W314" s="51" t="inlineStr">
        <is>
          <t>53121700</t>
        </is>
      </c>
      <c r="X314" s="156" t="n"/>
      <c r="Y314" s="54" t="n">
        <v>193.2</v>
      </c>
      <c r="Z314" s="54" t="n">
        <v>349</v>
      </c>
      <c r="AA314" s="55">
        <f>IF(AND(A314="", B314="", E314=""), "", IF(AB314="", "Válido", IF((LEN(AB314)-LEN(SUBSTITUTE(AB314,"; ","")))/2+1&gt;(LEN(AB314)-LEN(SUBSTITUTE(AB314,"[Aviso]","")))/7, "Con Incidencias", "Válido")))</f>
        <v/>
      </c>
      <c r="AB314" s="56">
        <f>IF(AND(A314="", B314="", E314=""), "", TEXTJOIN("; ", TRUE, IF(OR(TRIM(A314&amp;"")="", ISNUMBER(SEARCH("FALTA", A314))), "UPC faltante/inválido", ""), IF(AND(A314&lt;&gt;"", IFERROR(_xlfn.XMATCH(A314,$A$2:$A$1063,0,1)&lt;&gt;_xlfn.XMATCH(A314,$A$2:$A$1063,0,-1),FALSE)), "Código de barras duplicado", ""), IF(AND(E314&lt;&gt;"", COUNTIF($E$2:$E$1063, E314)&gt;1), "SKU duplicado", ""), IF(OR(J314="", J314=""), "[Aviso] División no capturada ()", IF(ISNA(MATCH(J314, Criterios!$A$123:$A$126, 0)), "División no válida", "")), IF(OR(K314="", K314=""), "[Aviso] Categoría no capturada ()", IF(ISNA(MATCH(K314, Criterios!$A$81:$A$120, 0)), "Categoría no válida", IF(AND(J314&lt;&gt;"", J314&lt;&gt;"", J314&lt;&gt;VLOOKUP(K314, Criterios!$A$81:$B$120, 2, FALSE)), "División no coincide con Categoría", ""))), IF(OR(L314="", L314=""), "[Aviso] Género no capturado ()", IF(ISNA(MATCH(L314, Criterios!$B$123:$B$127, 0)), "Género no válido", "")), IF(OR(N314="", N314=""), "[Aviso] Temporada no capturada ()", IF(ISNA(MATCH(N314, Criterios!$C$123:$C$128, 0)), "Temporada no válida", "")), IF(OR(O314="", O314=""), "[Aviso] Ciclo de vida no capturado ()", IF(ISNA(MATCH(O314, Criterios!$D$123:$D$124, 0)), "Ciclo de vida no válido", ""))))</f>
        <v/>
      </c>
      <c r="AC314" s="56" t="n"/>
      <c r="AD314" s="51" t="n"/>
      <c r="AE314" s="156" t="n"/>
      <c r="AF314" s="51" t="n"/>
      <c r="AG314" s="156" t="inlineStr">
        <is>
          <t>Nuevo – Carga Hoja2 01/10/2026</t>
        </is>
      </c>
      <c r="AH314" s="156" t="inlineStr">
        <is>
          <t>Alta 01/10/2026 desde Hoja2 (fila 111) | Homologación G1522 06/10/2026: Validador Shopify: WB: precio con IVA no termina en 9</t>
        </is>
      </c>
      <c r="AI314" s="156" t="n"/>
      <c r="AJ314" s="156" t="n"/>
      <c r="AK314" s="155" t="inlineStr">
        <is>
          <t>Hoja2: fila 111 | Odoo: producto 27134 / plantilla 33834</t>
        </is>
      </c>
      <c r="AL314" s="58" t="n"/>
      <c r="AM314" s="58" t="n"/>
      <c r="AN314" s="155" t="inlineStr">
        <is>
          <t>Odoo Universal Unique Brands</t>
        </is>
      </c>
      <c r="AO314" s="59" t="n"/>
      <c r="AP314" s="59" t="n"/>
      <c r="AQ314" s="59" t="n">
        <v>1</v>
      </c>
      <c r="AR314" s="155" t="inlineStr">
        <is>
          <t>Odoo Universal Unique Brands › Bodega 25 › Bodega 25/General: 1</t>
        </is>
      </c>
    </row>
    <row r="315">
      <c r="A315" s="50" t="inlineStr">
        <is>
          <t>717325219238</t>
        </is>
      </c>
      <c r="B315" s="51" t="inlineStr">
        <is>
          <t>27135</t>
        </is>
      </c>
      <c r="C315" s="156" t="inlineStr">
        <is>
          <t>Montana West</t>
        </is>
      </c>
      <c r="D315" s="156" t="inlineStr">
        <is>
          <t>MWK-W913BR</t>
        </is>
      </c>
      <c r="E315" s="156" t="inlineStr">
        <is>
          <t>MWK-W913BR</t>
        </is>
      </c>
      <c r="F315" s="156" t="inlineStr">
        <is>
          <t>Talla única</t>
        </is>
      </c>
      <c r="G315" s="156" t="inlineStr">
        <is>
          <t>One Size</t>
        </is>
      </c>
      <c r="H315" s="156" t="inlineStr">
        <is>
          <t>Montana West</t>
        </is>
      </c>
      <c r="I315" s="156" t="inlineStr">
        <is>
          <t>Cartera Montana West Café</t>
        </is>
      </c>
      <c r="J315" s="156" t="inlineStr">
        <is>
          <t>Accesorios</t>
        </is>
      </c>
      <c r="K315" s="156" t="inlineStr">
        <is>
          <t>Carteras</t>
        </is>
      </c>
      <c r="L315" s="156" t="inlineStr">
        <is>
          <t>Hombre</t>
        </is>
      </c>
      <c r="M315" s="156" t="inlineStr">
        <is>
          <t>Montana West</t>
        </is>
      </c>
      <c r="N315" s="156" t="n"/>
      <c r="O315" s="156" t="inlineStr">
        <is>
          <t>Core</t>
        </is>
      </c>
      <c r="P315" s="156" t="inlineStr">
        <is>
          <t>Cafe</t>
        </is>
      </c>
      <c r="Q315" s="156" t="n"/>
      <c r="R315" s="156" t="n"/>
      <c r="S315" s="156" t="n"/>
      <c r="T315" s="156" t="inlineStr">
        <is>
          <t>Cartera Montana West. Color: Café. Talla única. Hombre. Referencia: MWK-W913BR.</t>
        </is>
      </c>
      <c r="U315" s="156" t="n"/>
      <c r="V315" s="156" t="inlineStr">
        <is>
          <t>PZS</t>
        </is>
      </c>
      <c r="W315" s="51" t="inlineStr">
        <is>
          <t>53121700</t>
        </is>
      </c>
      <c r="X315" s="156" t="n"/>
      <c r="Y315" s="54" t="n">
        <v>193.2</v>
      </c>
      <c r="Z315" s="54" t="n">
        <v>349</v>
      </c>
      <c r="AA315" s="55">
        <f>IF(AND(A315="", B315="", E315=""), "", IF(AB315="", "Válido", IF((LEN(AB315)-LEN(SUBSTITUTE(AB315,"; ","")))/2+1&gt;(LEN(AB315)-LEN(SUBSTITUTE(AB315,"[Aviso]","")))/7, "Con Incidencias", "Válido")))</f>
        <v/>
      </c>
      <c r="AB315" s="56">
        <f>IF(AND(A315="", B315="", E315=""), "", TEXTJOIN("; ", TRUE, IF(OR(TRIM(A315&amp;"")="", ISNUMBER(SEARCH("FALTA", A315))), "UPC faltante/inválido", ""), IF(AND(A315&lt;&gt;"", IFERROR(_xlfn.XMATCH(A315,$A$2:$A$1063,0,1)&lt;&gt;_xlfn.XMATCH(A315,$A$2:$A$1063,0,-1),FALSE)), "Código de barras duplicado", ""), IF(AND(E315&lt;&gt;"", COUNTIF($E$2:$E$1063, E315)&gt;1), "SKU duplicado", ""), IF(OR(J315="", J315=""), "[Aviso] División no capturada ()", IF(ISNA(MATCH(J315, Criterios!$A$123:$A$126, 0)), "División no válida", "")), IF(OR(K315="", K315=""), "[Aviso] Categoría no capturada ()", IF(ISNA(MATCH(K315, Criterios!$A$81:$A$120, 0)), "Categoría no válida", IF(AND(J315&lt;&gt;"", J315&lt;&gt;"", J315&lt;&gt;VLOOKUP(K315, Criterios!$A$81:$B$120, 2, FALSE)), "División no coincide con Categoría", ""))), IF(OR(L315="", L315=""), "[Aviso] Género no capturado ()", IF(ISNA(MATCH(L315, Criterios!$B$123:$B$127, 0)), "Género no válido", "")), IF(OR(N315="", N315=""), "[Aviso] Temporada no capturada ()", IF(ISNA(MATCH(N315, Criterios!$C$123:$C$128, 0)), "Temporada no válida", "")), IF(OR(O315="", O315=""), "[Aviso] Ciclo de vida no capturado ()", IF(ISNA(MATCH(O315, Criterios!$D$123:$D$124, 0)), "Ciclo de vida no válido", ""))))</f>
        <v/>
      </c>
      <c r="AC315" s="56" t="n"/>
      <c r="AD315" s="51" t="n"/>
      <c r="AE315" s="156" t="n"/>
      <c r="AF315" s="51" t="n"/>
      <c r="AG315" s="156" t="inlineStr">
        <is>
          <t>Nuevo – Carga Hoja2 01/10/2026</t>
        </is>
      </c>
      <c r="AH315" s="156" t="inlineStr">
        <is>
          <t>Alta 01/10/2026 desde Hoja2 (fila 112) | Homologación G1522 06/10/2026: Validador Shopify: WB: precio con IVA no termina en 9</t>
        </is>
      </c>
      <c r="AI315" s="156" t="n"/>
      <c r="AJ315" s="156" t="n"/>
      <c r="AK315" s="155" t="inlineStr">
        <is>
          <t>Hoja2: fila 112 | Odoo: producto 27135 / plantilla 33835</t>
        </is>
      </c>
      <c r="AL315" s="58" t="n"/>
      <c r="AM315" s="58" t="n"/>
      <c r="AN315" s="155" t="inlineStr">
        <is>
          <t>Odoo Universal Unique Brands</t>
        </is>
      </c>
      <c r="AO315" s="59" t="n"/>
      <c r="AP315" s="59" t="n"/>
      <c r="AQ315" s="59" t="n">
        <v>3</v>
      </c>
      <c r="AR315" s="155" t="inlineStr">
        <is>
          <t>Odoo Universal Unique Brands › Bodega 25 › Bodega 25/General: 3</t>
        </is>
      </c>
    </row>
    <row r="316">
      <c r="A316" s="50" t="inlineStr">
        <is>
          <t>717325219252</t>
        </is>
      </c>
      <c r="B316" s="51" t="inlineStr">
        <is>
          <t>27136</t>
        </is>
      </c>
      <c r="C316" s="156" t="inlineStr">
        <is>
          <t>Montana West</t>
        </is>
      </c>
      <c r="D316" s="156" t="inlineStr">
        <is>
          <t>MWK-W914GN</t>
        </is>
      </c>
      <c r="E316" s="156" t="inlineStr">
        <is>
          <t>MWK-W914GN</t>
        </is>
      </c>
      <c r="F316" s="156" t="inlineStr">
        <is>
          <t>Talla única</t>
        </is>
      </c>
      <c r="G316" s="156" t="inlineStr">
        <is>
          <t>One Size</t>
        </is>
      </c>
      <c r="H316" s="156" t="inlineStr">
        <is>
          <t>Montana West</t>
        </is>
      </c>
      <c r="I316" s="156" t="inlineStr">
        <is>
          <t>Cartera Montana West Verde</t>
        </is>
      </c>
      <c r="J316" s="156" t="inlineStr">
        <is>
          <t>Accesorios</t>
        </is>
      </c>
      <c r="K316" s="156" t="inlineStr">
        <is>
          <t>Carteras</t>
        </is>
      </c>
      <c r="L316" s="156" t="inlineStr">
        <is>
          <t>Hombre</t>
        </is>
      </c>
      <c r="M316" s="156" t="inlineStr">
        <is>
          <t>Montana West</t>
        </is>
      </c>
      <c r="N316" s="156" t="n"/>
      <c r="O316" s="156" t="inlineStr">
        <is>
          <t>Core</t>
        </is>
      </c>
      <c r="P316" s="156" t="inlineStr">
        <is>
          <t>Verde</t>
        </is>
      </c>
      <c r="Q316" s="156" t="n"/>
      <c r="R316" s="156" t="n"/>
      <c r="S316" s="156" t="n"/>
      <c r="T316" s="156" t="inlineStr">
        <is>
          <t>Cartera Montana West. Color: Verde. Talla única. Hombre. Referencia: MWK-W914GN.</t>
        </is>
      </c>
      <c r="U316" s="156" t="n"/>
      <c r="V316" s="156" t="inlineStr">
        <is>
          <t>PZS</t>
        </is>
      </c>
      <c r="W316" s="51" t="inlineStr">
        <is>
          <t>53121700</t>
        </is>
      </c>
      <c r="X316" s="156" t="n"/>
      <c r="Y316" s="54" t="n">
        <v>193.2</v>
      </c>
      <c r="Z316" s="54" t="n">
        <v>349</v>
      </c>
      <c r="AA316" s="55">
        <f>IF(AND(A316="", B316="", E316=""), "", IF(AB316="", "Válido", IF((LEN(AB316)-LEN(SUBSTITUTE(AB316,"; ","")))/2+1&gt;(LEN(AB316)-LEN(SUBSTITUTE(AB316,"[Aviso]","")))/7, "Con Incidencias", "Válido")))</f>
        <v/>
      </c>
      <c r="AB316" s="56">
        <f>IF(AND(A316="", B316="", E316=""), "", TEXTJOIN("; ", TRUE, IF(OR(TRIM(A316&amp;"")="", ISNUMBER(SEARCH("FALTA", A316))), "UPC faltante/inválido", ""), IF(AND(A316&lt;&gt;"", IFERROR(_xlfn.XMATCH(A316,$A$2:$A$1063,0,1)&lt;&gt;_xlfn.XMATCH(A316,$A$2:$A$1063,0,-1),FALSE)), "Código de barras duplicado", ""), IF(AND(E316&lt;&gt;"", COUNTIF($E$2:$E$1063, E316)&gt;1), "SKU duplicado", ""), IF(OR(J316="", J316=""), "[Aviso] División no capturada ()", IF(ISNA(MATCH(J316, Criterios!$A$123:$A$126, 0)), "División no válida", "")), IF(OR(K316="", K316=""), "[Aviso] Categoría no capturada ()", IF(ISNA(MATCH(K316, Criterios!$A$81:$A$120, 0)), "Categoría no válida", IF(AND(J316&lt;&gt;"", J316&lt;&gt;"", J316&lt;&gt;VLOOKUP(K316, Criterios!$A$81:$B$120, 2, FALSE)), "División no coincide con Categoría", ""))), IF(OR(L316="", L316=""), "[Aviso] Género no capturado ()", IF(ISNA(MATCH(L316, Criterios!$B$123:$B$127, 0)), "Género no válido", "")), IF(OR(N316="", N316=""), "[Aviso] Temporada no capturada ()", IF(ISNA(MATCH(N316, Criterios!$C$123:$C$128, 0)), "Temporada no válida", "")), IF(OR(O316="", O316=""), "[Aviso] Ciclo de vida no capturado ()", IF(ISNA(MATCH(O316, Criterios!$D$123:$D$124, 0)), "Ciclo de vida no válido", ""))))</f>
        <v/>
      </c>
      <c r="AC316" s="56" t="n"/>
      <c r="AD316" s="51" t="n"/>
      <c r="AE316" s="156" t="n"/>
      <c r="AF316" s="51" t="n"/>
      <c r="AG316" s="156" t="inlineStr">
        <is>
          <t>Nuevo – Carga Hoja2 01/10/2026</t>
        </is>
      </c>
      <c r="AH316" s="156" t="inlineStr">
        <is>
          <t>Alta 01/10/2026 desde Hoja2 (fila 113) | Homologación G1522 06/10/2026: Validador Shopify: WB: precio con IVA no termina en 9</t>
        </is>
      </c>
      <c r="AI316" s="156" t="n"/>
      <c r="AJ316" s="156" t="n"/>
      <c r="AK316" s="155" t="inlineStr">
        <is>
          <t>Hoja2: fila 113 | Odoo: producto 27136 / plantilla 33836</t>
        </is>
      </c>
      <c r="AL316" s="58" t="n"/>
      <c r="AM316" s="58" t="n"/>
      <c r="AN316" s="155" t="inlineStr">
        <is>
          <t>Odoo Universal Unique Brands</t>
        </is>
      </c>
      <c r="AO316" s="59" t="n"/>
      <c r="AP316" s="59" t="n"/>
      <c r="AQ316" s="59" t="n">
        <v>5</v>
      </c>
      <c r="AR316" s="155" t="inlineStr">
        <is>
          <t>Odoo Universal Unique Brands › Bodega 25 › Bodega 25/General: 5</t>
        </is>
      </c>
    </row>
    <row r="317">
      <c r="A317" s="50" t="inlineStr">
        <is>
          <t>717325219283</t>
        </is>
      </c>
      <c r="B317" s="51" t="inlineStr">
        <is>
          <t>27137</t>
        </is>
      </c>
      <c r="C317" s="156" t="inlineStr">
        <is>
          <t>Montana West</t>
        </is>
      </c>
      <c r="D317" s="156" t="inlineStr">
        <is>
          <t>MWK-W916BK</t>
        </is>
      </c>
      <c r="E317" s="156" t="inlineStr">
        <is>
          <t>MWK-W916BK</t>
        </is>
      </c>
      <c r="F317" s="156" t="inlineStr">
        <is>
          <t>Talla única</t>
        </is>
      </c>
      <c r="G317" s="156" t="inlineStr">
        <is>
          <t>One Size</t>
        </is>
      </c>
      <c r="H317" s="156" t="inlineStr">
        <is>
          <t>Montana West</t>
        </is>
      </c>
      <c r="I317" s="156" t="inlineStr">
        <is>
          <t>Cartera Montana West Negro</t>
        </is>
      </c>
      <c r="J317" s="156" t="inlineStr">
        <is>
          <t>Accesorios</t>
        </is>
      </c>
      <c r="K317" s="156" t="inlineStr">
        <is>
          <t>Carteras</t>
        </is>
      </c>
      <c r="L317" s="156" t="inlineStr">
        <is>
          <t>Hombre</t>
        </is>
      </c>
      <c r="M317" s="156" t="inlineStr">
        <is>
          <t>Montana West</t>
        </is>
      </c>
      <c r="N317" s="156" t="n"/>
      <c r="O317" s="156" t="inlineStr">
        <is>
          <t>Core</t>
        </is>
      </c>
      <c r="P317" s="156" t="inlineStr">
        <is>
          <t>Negro</t>
        </is>
      </c>
      <c r="Q317" s="156" t="n"/>
      <c r="R317" s="156" t="n"/>
      <c r="S317" s="156" t="n"/>
      <c r="T317" s="156" t="inlineStr">
        <is>
          <t>Cartera Montana West. Color: Negro. Talla única. Hombre. Referencia: MWK-W916BK.</t>
        </is>
      </c>
      <c r="U317" s="156" t="n"/>
      <c r="V317" s="156" t="inlineStr">
        <is>
          <t>PZS</t>
        </is>
      </c>
      <c r="W317" s="51" t="inlineStr">
        <is>
          <t>53121700</t>
        </is>
      </c>
      <c r="X317" s="156" t="n"/>
      <c r="Y317" s="54" t="n">
        <v>193.2</v>
      </c>
      <c r="Z317" s="54" t="n">
        <v>349</v>
      </c>
      <c r="AA317" s="55">
        <f>IF(AND(A317="", B317="", E317=""), "", IF(AB317="", "Válido", IF((LEN(AB317)-LEN(SUBSTITUTE(AB317,"; ","")))/2+1&gt;(LEN(AB317)-LEN(SUBSTITUTE(AB317,"[Aviso]","")))/7, "Con Incidencias", "Válido")))</f>
        <v/>
      </c>
      <c r="AB317" s="56">
        <f>IF(AND(A317="", B317="", E317=""), "", TEXTJOIN("; ", TRUE, IF(OR(TRIM(A317&amp;"")="", ISNUMBER(SEARCH("FALTA", A317))), "UPC faltante/inválido", ""), IF(AND(A317&lt;&gt;"", IFERROR(_xlfn.XMATCH(A317,$A$2:$A$1063,0,1)&lt;&gt;_xlfn.XMATCH(A317,$A$2:$A$1063,0,-1),FALSE)), "Código de barras duplicado", ""), IF(AND(E317&lt;&gt;"", COUNTIF($E$2:$E$1063, E317)&gt;1), "SKU duplicado", ""), IF(OR(J317="", J317=""), "[Aviso] División no capturada ()", IF(ISNA(MATCH(J317, Criterios!$A$123:$A$126, 0)), "División no válida", "")), IF(OR(K317="", K317=""), "[Aviso] Categoría no capturada ()", IF(ISNA(MATCH(K317, Criterios!$A$81:$A$120, 0)), "Categoría no válida", IF(AND(J317&lt;&gt;"", J317&lt;&gt;"", J317&lt;&gt;VLOOKUP(K317, Criterios!$A$81:$B$120, 2, FALSE)), "División no coincide con Categoría", ""))), IF(OR(L317="", L317=""), "[Aviso] Género no capturado ()", IF(ISNA(MATCH(L317, Criterios!$B$123:$B$127, 0)), "Género no válido", "")), IF(OR(N317="", N317=""), "[Aviso] Temporada no capturada ()", IF(ISNA(MATCH(N317, Criterios!$C$123:$C$128, 0)), "Temporada no válida", "")), IF(OR(O317="", O317=""), "[Aviso] Ciclo de vida no capturado ()", IF(ISNA(MATCH(O317, Criterios!$D$123:$D$124, 0)), "Ciclo de vida no válido", ""))))</f>
        <v/>
      </c>
      <c r="AC317" s="56" t="n"/>
      <c r="AD317" s="51" t="n"/>
      <c r="AE317" s="156" t="n"/>
      <c r="AF317" s="51" t="n"/>
      <c r="AG317" s="156" t="inlineStr">
        <is>
          <t>Nuevo – Carga Hoja2 01/10/2026</t>
        </is>
      </c>
      <c r="AH317" s="156" t="inlineStr">
        <is>
          <t>Alta 01/10/2026 desde Hoja2 (fila 114) | Homologación G1522 06/10/2026: Validador Shopify: WB: precio con IVA no termina en 9</t>
        </is>
      </c>
      <c r="AI317" s="156" t="n"/>
      <c r="AJ317" s="156" t="n"/>
      <c r="AK317" s="155" t="inlineStr">
        <is>
          <t>Hoja2: fila 114 | Odoo: producto 27137 / plantilla 33837</t>
        </is>
      </c>
      <c r="AL317" s="58" t="n"/>
      <c r="AM317" s="58" t="n"/>
      <c r="AN317" s="155" t="inlineStr">
        <is>
          <t>Odoo Universal Unique Brands</t>
        </is>
      </c>
      <c r="AO317" s="59" t="n"/>
      <c r="AP317" s="59" t="n"/>
      <c r="AQ317" s="59" t="n">
        <v>5</v>
      </c>
      <c r="AR317" s="155" t="inlineStr">
        <is>
          <t>Odoo Universal Unique Brands › Bodega 25 › Bodega 25/General: 5</t>
        </is>
      </c>
    </row>
    <row r="318">
      <c r="A318" s="50" t="inlineStr">
        <is>
          <t>717325218903</t>
        </is>
      </c>
      <c r="B318" s="51" t="inlineStr">
        <is>
          <t>27138</t>
        </is>
      </c>
      <c r="C318" s="156" t="inlineStr">
        <is>
          <t>Montana West</t>
        </is>
      </c>
      <c r="D318" s="156" t="inlineStr">
        <is>
          <t>MWL-W807CF</t>
        </is>
      </c>
      <c r="E318" s="156" t="inlineStr">
        <is>
          <t>MWL-W807CF</t>
        </is>
      </c>
      <c r="F318" s="156" t="inlineStr">
        <is>
          <t>Talla única</t>
        </is>
      </c>
      <c r="G318" s="156" t="inlineStr">
        <is>
          <t>One Size</t>
        </is>
      </c>
      <c r="H318" s="156" t="inlineStr">
        <is>
          <t>Montana West</t>
        </is>
      </c>
      <c r="I318" s="156" t="inlineStr">
        <is>
          <t>Cartera Montana West Café Oscuro</t>
        </is>
      </c>
      <c r="J318" s="156" t="inlineStr">
        <is>
          <t>Accesorios</t>
        </is>
      </c>
      <c r="K318" s="156" t="inlineStr">
        <is>
          <t>Carteras</t>
        </is>
      </c>
      <c r="L318" s="156" t="inlineStr">
        <is>
          <t>Hombre</t>
        </is>
      </c>
      <c r="M318" s="156" t="inlineStr">
        <is>
          <t>Montana West</t>
        </is>
      </c>
      <c r="N318" s="156" t="n"/>
      <c r="O318" s="156" t="inlineStr">
        <is>
          <t>Core</t>
        </is>
      </c>
      <c r="P318" s="156" t="inlineStr">
        <is>
          <t>Cafe</t>
        </is>
      </c>
      <c r="Q318" s="156" t="n"/>
      <c r="R318" s="156" t="n"/>
      <c r="S318" s="156" t="n"/>
      <c r="T318" s="156" t="inlineStr">
        <is>
          <t>Cartera Montana West. Color: Café Oscuro. Talla única. Hombre. Referencia: MWL-W807CF.</t>
        </is>
      </c>
      <c r="U318" s="156" t="n"/>
      <c r="V318" s="156" t="inlineStr">
        <is>
          <t>PZS</t>
        </is>
      </c>
      <c r="W318" s="51" t="inlineStr">
        <is>
          <t>53121700</t>
        </is>
      </c>
      <c r="X318" s="156" t="n"/>
      <c r="Y318" s="54" t="n">
        <v>217.35</v>
      </c>
      <c r="Z318" s="54" t="n">
        <v>349</v>
      </c>
      <c r="AA318" s="55">
        <f>IF(AND(A318="", B318="", E318=""), "", IF(AB318="", "Válido", IF((LEN(AB318)-LEN(SUBSTITUTE(AB318,"; ","")))/2+1&gt;(LEN(AB318)-LEN(SUBSTITUTE(AB318,"[Aviso]","")))/7, "Con Incidencias", "Válido")))</f>
        <v/>
      </c>
      <c r="AB318" s="56">
        <f>IF(AND(A318="", B318="", E318=""), "", TEXTJOIN("; ", TRUE, IF(OR(TRIM(A318&amp;"")="", ISNUMBER(SEARCH("FALTA", A318))), "UPC faltante/inválido", ""), IF(AND(A318&lt;&gt;"", IFERROR(_xlfn.XMATCH(A318,$A$2:$A$1063,0,1)&lt;&gt;_xlfn.XMATCH(A318,$A$2:$A$1063,0,-1),FALSE)), "Código de barras duplicado", ""), IF(AND(E318&lt;&gt;"", COUNTIF($E$2:$E$1063, E318)&gt;1), "SKU duplicado", ""), IF(OR(J318="", J318=""), "[Aviso] División no capturada ()", IF(ISNA(MATCH(J318, Criterios!$A$123:$A$126, 0)), "División no válida", "")), IF(OR(K318="", K318=""), "[Aviso] Categoría no capturada ()", IF(ISNA(MATCH(K318, Criterios!$A$81:$A$120, 0)), "Categoría no válida", IF(AND(J318&lt;&gt;"", J318&lt;&gt;"", J318&lt;&gt;VLOOKUP(K318, Criterios!$A$81:$B$120, 2, FALSE)), "División no coincide con Categoría", ""))), IF(OR(L318="", L318=""), "[Aviso] Género no capturado ()", IF(ISNA(MATCH(L318, Criterios!$B$123:$B$127, 0)), "Género no válido", "")), IF(OR(N318="", N318=""), "[Aviso] Temporada no capturada ()", IF(ISNA(MATCH(N318, Criterios!$C$123:$C$128, 0)), "Temporada no válida", "")), IF(OR(O318="", O318=""), "[Aviso] Ciclo de vida no capturado ()", IF(ISNA(MATCH(O318, Criterios!$D$123:$D$124, 0)), "Ciclo de vida no válido", ""))))</f>
        <v/>
      </c>
      <c r="AC318" s="56" t="n"/>
      <c r="AD318" s="51" t="n"/>
      <c r="AE318" s="156" t="n"/>
      <c r="AF318" s="51" t="n"/>
      <c r="AG318" s="156" t="inlineStr">
        <is>
          <t>Nuevo – Carga Hoja2 01/10/2026</t>
        </is>
      </c>
      <c r="AH318" s="156" t="inlineStr">
        <is>
          <t>Alta 01/10/2026 desde Hoja2 (fila 115) | Homologación G1522 06/10/2026: Validador Shopify: WB: precio con IVA no termina en 9</t>
        </is>
      </c>
      <c r="AI318" s="156" t="n"/>
      <c r="AJ318" s="156" t="n"/>
      <c r="AK318" s="155" t="inlineStr">
        <is>
          <t>Hoja2: fila 115 | Odoo: producto 27138 / plantilla 33838</t>
        </is>
      </c>
      <c r="AL318" s="58" t="n"/>
      <c r="AM318" s="58" t="n"/>
      <c r="AN318" s="155" t="inlineStr">
        <is>
          <t>Odoo Universal Unique Brands</t>
        </is>
      </c>
      <c r="AO318" s="59" t="n"/>
      <c r="AP318" s="59" t="n"/>
      <c r="AQ318" s="59" t="n">
        <v>4</v>
      </c>
      <c r="AR318" s="155" t="inlineStr">
        <is>
          <t>Odoo Universal Unique Brands › Bodega 25 › Bodega 25/General: 4</t>
        </is>
      </c>
    </row>
    <row r="319">
      <c r="A319" s="50" t="inlineStr">
        <is>
          <t>717325218927</t>
        </is>
      </c>
      <c r="B319" s="51" t="inlineStr">
        <is>
          <t>27139</t>
        </is>
      </c>
      <c r="C319" s="156" t="inlineStr">
        <is>
          <t>Montana West</t>
        </is>
      </c>
      <c r="D319" s="156" t="inlineStr">
        <is>
          <t>MWL-W808BK</t>
        </is>
      </c>
      <c r="E319" s="156" t="inlineStr">
        <is>
          <t>MWL-W808BK</t>
        </is>
      </c>
      <c r="F319" s="156" t="inlineStr">
        <is>
          <t>Talla única</t>
        </is>
      </c>
      <c r="G319" s="156" t="inlineStr">
        <is>
          <t>One Size</t>
        </is>
      </c>
      <c r="H319" s="156" t="inlineStr">
        <is>
          <t>Montana West</t>
        </is>
      </c>
      <c r="I319" s="156" t="inlineStr">
        <is>
          <t>Cartera Montana West Negro</t>
        </is>
      </c>
      <c r="J319" s="156" t="inlineStr">
        <is>
          <t>Accesorios</t>
        </is>
      </c>
      <c r="K319" s="156" t="inlineStr">
        <is>
          <t>Carteras</t>
        </is>
      </c>
      <c r="L319" s="156" t="inlineStr">
        <is>
          <t>Hombre</t>
        </is>
      </c>
      <c r="M319" s="156" t="inlineStr">
        <is>
          <t>Montana West</t>
        </is>
      </c>
      <c r="N319" s="156" t="n"/>
      <c r="O319" s="156" t="inlineStr">
        <is>
          <t>Core</t>
        </is>
      </c>
      <c r="P319" s="156" t="inlineStr">
        <is>
          <t>Negro</t>
        </is>
      </c>
      <c r="Q319" s="156" t="n"/>
      <c r="R319" s="156" t="n"/>
      <c r="S319" s="156" t="n"/>
      <c r="T319" s="156" t="inlineStr">
        <is>
          <t>Cartera Montana West. Color: Negro. Talla única. Hombre. Referencia: MWL-W808BK.</t>
        </is>
      </c>
      <c r="U319" s="156" t="n"/>
      <c r="V319" s="156" t="inlineStr">
        <is>
          <t>PZS</t>
        </is>
      </c>
      <c r="W319" s="51" t="inlineStr">
        <is>
          <t>53121700</t>
        </is>
      </c>
      <c r="X319" s="156" t="n"/>
      <c r="Y319" s="54" t="n">
        <v>217.35</v>
      </c>
      <c r="Z319" s="54" t="n">
        <v>349</v>
      </c>
      <c r="AA319" s="55">
        <f>IF(AND(A319="", B319="", E319=""), "", IF(AB319="", "Válido", IF((LEN(AB319)-LEN(SUBSTITUTE(AB319,"; ","")))/2+1&gt;(LEN(AB319)-LEN(SUBSTITUTE(AB319,"[Aviso]","")))/7, "Con Incidencias", "Válido")))</f>
        <v/>
      </c>
      <c r="AB319" s="56">
        <f>IF(AND(A319="", B319="", E319=""), "", TEXTJOIN("; ", TRUE, IF(OR(TRIM(A319&amp;"")="", ISNUMBER(SEARCH("FALTA", A319))), "UPC faltante/inválido", ""), IF(AND(A319&lt;&gt;"", IFERROR(_xlfn.XMATCH(A319,$A$2:$A$1063,0,1)&lt;&gt;_xlfn.XMATCH(A319,$A$2:$A$1063,0,-1),FALSE)), "Código de barras duplicado", ""), IF(AND(E319&lt;&gt;"", COUNTIF($E$2:$E$1063, E319)&gt;1), "SKU duplicado", ""), IF(OR(J319="", J319=""), "[Aviso] División no capturada ()", IF(ISNA(MATCH(J319, Criterios!$A$123:$A$126, 0)), "División no válida", "")), IF(OR(K319="", K319=""), "[Aviso] Categoría no capturada ()", IF(ISNA(MATCH(K319, Criterios!$A$81:$A$120, 0)), "Categoría no válida", IF(AND(J319&lt;&gt;"", J319&lt;&gt;"", J319&lt;&gt;VLOOKUP(K319, Criterios!$A$81:$B$120, 2, FALSE)), "División no coincide con Categoría", ""))), IF(OR(L319="", L319=""), "[Aviso] Género no capturado ()", IF(ISNA(MATCH(L319, Criterios!$B$123:$B$127, 0)), "Género no válido", "")), IF(OR(N319="", N319=""), "[Aviso] Temporada no capturada ()", IF(ISNA(MATCH(N319, Criterios!$C$123:$C$128, 0)), "Temporada no válida", "")), IF(OR(O319="", O319=""), "[Aviso] Ciclo de vida no capturado ()", IF(ISNA(MATCH(O319, Criterios!$D$123:$D$124, 0)), "Ciclo de vida no válido", ""))))</f>
        <v/>
      </c>
      <c r="AC319" s="56" t="n"/>
      <c r="AD319" s="51" t="n"/>
      <c r="AE319" s="156" t="n"/>
      <c r="AF319" s="51" t="n"/>
      <c r="AG319" s="156" t="inlineStr">
        <is>
          <t>Nuevo – Carga Hoja2 01/10/2026</t>
        </is>
      </c>
      <c r="AH319" s="156" t="inlineStr">
        <is>
          <t>Alta 01/10/2026 desde Hoja2 (fila 116) | Homologación G1522 06/10/2026: Validador Shopify: WB: precio con IVA no termina en 9</t>
        </is>
      </c>
      <c r="AI319" s="156" t="n"/>
      <c r="AJ319" s="156" t="n"/>
      <c r="AK319" s="155" t="inlineStr">
        <is>
          <t>Hoja2: fila 116 | Odoo: producto 27139 / plantilla 33839</t>
        </is>
      </c>
      <c r="AL319" s="58" t="n"/>
      <c r="AM319" s="58" t="n"/>
      <c r="AN319" s="155" t="inlineStr">
        <is>
          <t>Odoo Universal Unique Brands</t>
        </is>
      </c>
      <c r="AO319" s="59" t="n"/>
      <c r="AP319" s="59" t="n"/>
      <c r="AQ319" s="59" t="n">
        <v>2</v>
      </c>
      <c r="AR319" s="155" t="inlineStr">
        <is>
          <t>Odoo Universal Unique Brands › Bodega 25 › Bodega 25/General: 2</t>
        </is>
      </c>
    </row>
    <row r="320">
      <c r="A320" s="50" t="inlineStr">
        <is>
          <t>717325218934</t>
        </is>
      </c>
      <c r="B320" s="51" t="inlineStr">
        <is>
          <t>27140</t>
        </is>
      </c>
      <c r="C320" s="156" t="inlineStr">
        <is>
          <t>Montana West</t>
        </is>
      </c>
      <c r="D320" s="156" t="inlineStr">
        <is>
          <t>MWL-W809BR</t>
        </is>
      </c>
      <c r="E320" s="156" t="inlineStr">
        <is>
          <t>MWL-W809BR</t>
        </is>
      </c>
      <c r="F320" s="156" t="inlineStr">
        <is>
          <t>Talla única</t>
        </is>
      </c>
      <c r="G320" s="156" t="inlineStr">
        <is>
          <t>One Size</t>
        </is>
      </c>
      <c r="H320" s="156" t="inlineStr">
        <is>
          <t>Montana West</t>
        </is>
      </c>
      <c r="I320" s="156" t="inlineStr">
        <is>
          <t>Cartera Montana West Café</t>
        </is>
      </c>
      <c r="J320" s="156" t="inlineStr">
        <is>
          <t>Accesorios</t>
        </is>
      </c>
      <c r="K320" s="156" t="inlineStr">
        <is>
          <t>Carteras</t>
        </is>
      </c>
      <c r="L320" s="156" t="inlineStr">
        <is>
          <t>Hombre</t>
        </is>
      </c>
      <c r="M320" s="156" t="inlineStr">
        <is>
          <t>Montana West</t>
        </is>
      </c>
      <c r="N320" s="156" t="n"/>
      <c r="O320" s="156" t="inlineStr">
        <is>
          <t>Core</t>
        </is>
      </c>
      <c r="P320" s="156" t="inlineStr">
        <is>
          <t>Cafe</t>
        </is>
      </c>
      <c r="Q320" s="156" t="n"/>
      <c r="R320" s="156" t="n"/>
      <c r="S320" s="156" t="n"/>
      <c r="T320" s="156" t="inlineStr">
        <is>
          <t>Cartera Montana West. Color: Café. Talla única. Hombre. Referencia: MWL-W809BR.</t>
        </is>
      </c>
      <c r="U320" s="156" t="n"/>
      <c r="V320" s="156" t="inlineStr">
        <is>
          <t>PZS</t>
        </is>
      </c>
      <c r="W320" s="51" t="inlineStr">
        <is>
          <t>53121700</t>
        </is>
      </c>
      <c r="X320" s="156" t="n"/>
      <c r="Y320" s="54" t="n">
        <v>217.35</v>
      </c>
      <c r="Z320" s="54" t="n">
        <v>349</v>
      </c>
      <c r="AA320" s="55">
        <f>IF(AND(A320="", B320="", E320=""), "", IF(AB320="", "Válido", IF((LEN(AB320)-LEN(SUBSTITUTE(AB320,"; ","")))/2+1&gt;(LEN(AB320)-LEN(SUBSTITUTE(AB320,"[Aviso]","")))/7, "Con Incidencias", "Válido")))</f>
        <v/>
      </c>
      <c r="AB320" s="56">
        <f>IF(AND(A320="", B320="", E320=""), "", TEXTJOIN("; ", TRUE, IF(OR(TRIM(A320&amp;"")="", ISNUMBER(SEARCH("FALTA", A320))), "UPC faltante/inválido", ""), IF(AND(A320&lt;&gt;"", IFERROR(_xlfn.XMATCH(A320,$A$2:$A$1063,0,1)&lt;&gt;_xlfn.XMATCH(A320,$A$2:$A$1063,0,-1),FALSE)), "Código de barras duplicado", ""), IF(AND(E320&lt;&gt;"", COUNTIF($E$2:$E$1063, E320)&gt;1), "SKU duplicado", ""), IF(OR(J320="", J320=""), "[Aviso] División no capturada ()", IF(ISNA(MATCH(J320, Criterios!$A$123:$A$126, 0)), "División no válida", "")), IF(OR(K320="", K320=""), "[Aviso] Categoría no capturada ()", IF(ISNA(MATCH(K320, Criterios!$A$81:$A$120, 0)), "Categoría no válida", IF(AND(J320&lt;&gt;"", J320&lt;&gt;"", J320&lt;&gt;VLOOKUP(K320, Criterios!$A$81:$B$120, 2, FALSE)), "División no coincide con Categoría", ""))), IF(OR(L320="", L320=""), "[Aviso] Género no capturado ()", IF(ISNA(MATCH(L320, Criterios!$B$123:$B$127, 0)), "Género no válido", "")), IF(OR(N320="", N320=""), "[Aviso] Temporada no capturada ()", IF(ISNA(MATCH(N320, Criterios!$C$123:$C$128, 0)), "Temporada no válida", "")), IF(OR(O320="", O320=""), "[Aviso] Ciclo de vida no capturado ()", IF(ISNA(MATCH(O320, Criterios!$D$123:$D$124, 0)), "Ciclo de vida no válido", ""))))</f>
        <v/>
      </c>
      <c r="AC320" s="56" t="n"/>
      <c r="AD320" s="51" t="n"/>
      <c r="AE320" s="156" t="n"/>
      <c r="AF320" s="51" t="n"/>
      <c r="AG320" s="156" t="inlineStr">
        <is>
          <t>Nuevo – Carga Hoja2 01/10/2026</t>
        </is>
      </c>
      <c r="AH320" s="156" t="inlineStr">
        <is>
          <t>Alta 01/10/2026 desde Hoja2 (fila 117) | Homologación G1522 06/10/2026: Validador Shopify: WB: precio con IVA no termina en 9</t>
        </is>
      </c>
      <c r="AI320" s="156" t="n"/>
      <c r="AJ320" s="156" t="n"/>
      <c r="AK320" s="155" t="inlineStr">
        <is>
          <t>Hoja2: fila 117 | Odoo: producto 27140 / plantilla 33840</t>
        </is>
      </c>
      <c r="AL320" s="58" t="n"/>
      <c r="AM320" s="58" t="n"/>
      <c r="AN320" s="155" t="inlineStr">
        <is>
          <t>Odoo Universal Unique Brands</t>
        </is>
      </c>
      <c r="AO320" s="59" t="n"/>
      <c r="AP320" s="59" t="n"/>
      <c r="AQ320" s="59" t="n">
        <v>2</v>
      </c>
      <c r="AR320" s="155" t="inlineStr">
        <is>
          <t>Odoo Universal Unique Brands › Bodega 25 › Bodega 25/General: 2</t>
        </is>
      </c>
    </row>
    <row r="321">
      <c r="A321" s="50" t="n"/>
      <c r="B321" s="51" t="inlineStr">
        <is>
          <t>27141</t>
        </is>
      </c>
      <c r="C321" s="156" t="inlineStr">
        <is>
          <t>Montana West</t>
        </is>
      </c>
      <c r="D321" s="156" t="n"/>
      <c r="E321" s="156" t="inlineStr">
        <is>
          <t>MWL-W811CF</t>
        </is>
      </c>
      <c r="F321" s="156" t="inlineStr">
        <is>
          <t>Talla única</t>
        </is>
      </c>
      <c r="G321" s="156" t="inlineStr">
        <is>
          <t>One Size</t>
        </is>
      </c>
      <c r="H321" s="156" t="inlineStr">
        <is>
          <t>Montana West</t>
        </is>
      </c>
      <c r="I321" s="156" t="inlineStr">
        <is>
          <t>MW MENS WALLET</t>
        </is>
      </c>
      <c r="J321" s="156" t="inlineStr">
        <is>
          <t>Accesorios</t>
        </is>
      </c>
      <c r="K321" s="156" t="inlineStr">
        <is>
          <t>Carteras</t>
        </is>
      </c>
      <c r="L321" s="156" t="inlineStr">
        <is>
          <t>Hombre</t>
        </is>
      </c>
      <c r="M321" s="156" t="n"/>
      <c r="N321" s="156" t="n"/>
      <c r="O321" s="156" t="n"/>
      <c r="P321" s="156" t="n"/>
      <c r="Q321" s="156" t="n"/>
      <c r="R321" s="156" t="n"/>
      <c r="S321" s="156" t="n"/>
      <c r="T321" s="156" t="n"/>
      <c r="U321" s="156" t="n"/>
      <c r="V321" s="156" t="inlineStr">
        <is>
          <t>PZS</t>
        </is>
      </c>
      <c r="W321" s="51" t="inlineStr">
        <is>
          <t>53121601</t>
        </is>
      </c>
      <c r="X321" s="156" t="n"/>
      <c r="Y321" s="54" t="n">
        <v>217.35</v>
      </c>
      <c r="Z321" s="54" t="n">
        <v>349</v>
      </c>
      <c r="AA321" s="55">
        <f>IF(AND(A321="", B321="", E321=""), "", IF(AB321="", "Válido", IF((LEN(AB321)-LEN(SUBSTITUTE(AB321,"; ","")))/2+1&gt;(LEN(AB321)-LEN(SUBSTITUTE(AB321,"[Aviso]","")))/7, "Con Incidencias", "Válido")))</f>
        <v/>
      </c>
      <c r="AB321" s="56">
        <f>IF(AND(A321="", B321="", E321=""), "", TEXTJOIN("; ", TRUE, IF(OR(TRIM(A321&amp;"")="", ISNUMBER(SEARCH("FALTA", A321))), "UPC faltante/inválido", ""), IF(AND(A321&lt;&gt;"", IFERROR(_xlfn.XMATCH(A321,$A$2:$A$1063,0,1)&lt;&gt;_xlfn.XMATCH(A321,$A$2:$A$1063,0,-1),FALSE)), "Código de barras duplicado", ""), IF(AND(E321&lt;&gt;"", COUNTIF($E$2:$E$1063, E321)&gt;1), "SKU duplicado", ""), IF(OR(J321="", J321=""), "[Aviso] División no capturada ()", IF(ISNA(MATCH(J321, Criterios!$A$123:$A$126, 0)), "División no válida", "")), IF(OR(K321="", K321=""), "[Aviso] Categoría no capturada ()", IF(ISNA(MATCH(K321, Criterios!$A$81:$A$120, 0)), "Categoría no válida", IF(AND(J321&lt;&gt;"", J321&lt;&gt;"", J321&lt;&gt;VLOOKUP(K321, Criterios!$A$81:$B$120, 2, FALSE)), "División no coincide con Categoría", ""))), IF(OR(L321="", L321=""), "[Aviso] Género no capturado ()", IF(ISNA(MATCH(L321, Criterios!$B$123:$B$127, 0)), "Género no válido", "")), IF(OR(N321="", N321=""), "[Aviso] Temporada no capturada ()", IF(ISNA(MATCH(N321, Criterios!$C$123:$C$128, 0)), "Temporada no válida", "")), IF(OR(O321="", O321=""), "[Aviso] Ciclo de vida no capturado ()", IF(ISNA(MATCH(O321, Criterios!$D$123:$D$124, 0)), "Ciclo de vida no válido", ""))))</f>
        <v/>
      </c>
      <c r="AC321" s="56" t="n"/>
      <c r="AD321" s="51" t="n"/>
      <c r="AE321" s="156" t="n"/>
      <c r="AF321" s="51" t="n"/>
      <c r="AG321" s="156" t="inlineStr">
        <is>
          <t>Nuevo – Carga Hoja2 01/10/2026</t>
        </is>
      </c>
      <c r="AH321" s="156" t="inlineStr">
        <is>
          <t>Alta 01/10/2026 desde Hoja2 (fila 118)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321" s="156" t="n"/>
      <c r="AJ321" s="156" t="n"/>
      <c r="AK321" s="155" t="inlineStr">
        <is>
          <t>Hoja2: fila 118 | Odoo: producto 27141 / plantilla 33841</t>
        </is>
      </c>
      <c r="AL321" s="58" t="n"/>
      <c r="AM321" s="58" t="n"/>
      <c r="AN321" s="155" t="inlineStr">
        <is>
          <t>Odoo Universal Unique Brands</t>
        </is>
      </c>
      <c r="AO321" s="59" t="n"/>
      <c r="AP321" s="59" t="n"/>
      <c r="AQ321" s="59" t="n">
        <v>0</v>
      </c>
      <c r="AR321" s="155" t="n"/>
    </row>
    <row r="322">
      <c r="A322" s="50" t="inlineStr">
        <is>
          <t>717325218989</t>
        </is>
      </c>
      <c r="B322" s="51" t="inlineStr">
        <is>
          <t>27142</t>
        </is>
      </c>
      <c r="C322" s="156" t="inlineStr">
        <is>
          <t>Montana West</t>
        </is>
      </c>
      <c r="D322" s="156" t="inlineStr">
        <is>
          <t>MWL-W812BR</t>
        </is>
      </c>
      <c r="E322" s="156" t="inlineStr">
        <is>
          <t>MWL-W812BR</t>
        </is>
      </c>
      <c r="F322" s="156" t="inlineStr">
        <is>
          <t>Talla única</t>
        </is>
      </c>
      <c r="G322" s="156" t="inlineStr">
        <is>
          <t>One Size</t>
        </is>
      </c>
      <c r="H322" s="156" t="inlineStr">
        <is>
          <t>Montana West</t>
        </is>
      </c>
      <c r="I322" s="156" t="inlineStr">
        <is>
          <t>Cartera Montana West Café</t>
        </is>
      </c>
      <c r="J322" s="156" t="inlineStr">
        <is>
          <t>Accesorios</t>
        </is>
      </c>
      <c r="K322" s="156" t="inlineStr">
        <is>
          <t>Carteras</t>
        </is>
      </c>
      <c r="L322" s="156" t="inlineStr">
        <is>
          <t>Hombre</t>
        </is>
      </c>
      <c r="M322" s="156" t="inlineStr">
        <is>
          <t>Montana West</t>
        </is>
      </c>
      <c r="N322" s="156" t="n"/>
      <c r="O322" s="156" t="inlineStr">
        <is>
          <t>Core</t>
        </is>
      </c>
      <c r="P322" s="156" t="inlineStr">
        <is>
          <t>Cafe</t>
        </is>
      </c>
      <c r="Q322" s="156" t="n"/>
      <c r="R322" s="156" t="n"/>
      <c r="S322" s="156" t="n"/>
      <c r="T322" s="156" t="inlineStr">
        <is>
          <t>Cartera Montana West. Color: Café. Talla única. Hombre. Referencia: MWL-W812BR.</t>
        </is>
      </c>
      <c r="U322" s="156" t="n"/>
      <c r="V322" s="156" t="inlineStr">
        <is>
          <t>PZS</t>
        </is>
      </c>
      <c r="W322" s="51" t="inlineStr">
        <is>
          <t>53121700</t>
        </is>
      </c>
      <c r="X322" s="156" t="n"/>
      <c r="Y322" s="54" t="n">
        <v>217.35</v>
      </c>
      <c r="Z322" s="54" t="n">
        <v>349</v>
      </c>
      <c r="AA322" s="55">
        <f>IF(AND(A322="", B322="", E322=""), "", IF(AB322="", "Válido", IF((LEN(AB322)-LEN(SUBSTITUTE(AB322,"; ","")))/2+1&gt;(LEN(AB322)-LEN(SUBSTITUTE(AB322,"[Aviso]","")))/7, "Con Incidencias", "Válido")))</f>
        <v/>
      </c>
      <c r="AB322" s="56">
        <f>IF(AND(A322="", B322="", E322=""), "", TEXTJOIN("; ", TRUE, IF(OR(TRIM(A322&amp;"")="", ISNUMBER(SEARCH("FALTA", A322))), "UPC faltante/inválido", ""), IF(AND(A322&lt;&gt;"", IFERROR(_xlfn.XMATCH(A322,$A$2:$A$1063,0,1)&lt;&gt;_xlfn.XMATCH(A322,$A$2:$A$1063,0,-1),FALSE)), "Código de barras duplicado", ""), IF(AND(E322&lt;&gt;"", COUNTIF($E$2:$E$1063, E322)&gt;1), "SKU duplicado", ""), IF(OR(J322="", J322=""), "[Aviso] División no capturada ()", IF(ISNA(MATCH(J322, Criterios!$A$123:$A$126, 0)), "División no válida", "")), IF(OR(K322="", K322=""), "[Aviso] Categoría no capturada ()", IF(ISNA(MATCH(K322, Criterios!$A$81:$A$120, 0)), "Categoría no válida", IF(AND(J322&lt;&gt;"", J322&lt;&gt;"", J322&lt;&gt;VLOOKUP(K322, Criterios!$A$81:$B$120, 2, FALSE)), "División no coincide con Categoría", ""))), IF(OR(L322="", L322=""), "[Aviso] Género no capturado ()", IF(ISNA(MATCH(L322, Criterios!$B$123:$B$127, 0)), "Género no válido", "")), IF(OR(N322="", N322=""), "[Aviso] Temporada no capturada ()", IF(ISNA(MATCH(N322, Criterios!$C$123:$C$128, 0)), "Temporada no válida", "")), IF(OR(O322="", O322=""), "[Aviso] Ciclo de vida no capturado ()", IF(ISNA(MATCH(O322, Criterios!$D$123:$D$124, 0)), "Ciclo de vida no válido", ""))))</f>
        <v/>
      </c>
      <c r="AC322" s="56" t="n"/>
      <c r="AD322" s="51" t="n"/>
      <c r="AE322" s="156" t="n"/>
      <c r="AF322" s="51" t="n"/>
      <c r="AG322" s="156" t="inlineStr">
        <is>
          <t>Nuevo – Carga Hoja2 01/10/2026</t>
        </is>
      </c>
      <c r="AH322" s="156" t="inlineStr">
        <is>
          <t>Alta 01/10/2026 desde Hoja2 (fila 119) | Homologación G1522 06/10/2026: Validador Shopify: WB: precio con IVA no termina en 9</t>
        </is>
      </c>
      <c r="AI322" s="156" t="n"/>
      <c r="AJ322" s="156" t="n"/>
      <c r="AK322" s="155" t="inlineStr">
        <is>
          <t>Hoja2: fila 119 | Odoo: producto 27142 / plantilla 33842</t>
        </is>
      </c>
      <c r="AL322" s="58" t="n"/>
      <c r="AM322" s="58" t="n"/>
      <c r="AN322" s="155" t="inlineStr">
        <is>
          <t>Odoo Universal Unique Brands</t>
        </is>
      </c>
      <c r="AO322" s="59" t="n"/>
      <c r="AP322" s="59" t="n"/>
      <c r="AQ322" s="59" t="n">
        <v>4</v>
      </c>
      <c r="AR322" s="155" t="inlineStr">
        <is>
          <t>Odoo Universal Unique Brands › Bodega 25 › Bodega 25/General: 4</t>
        </is>
      </c>
    </row>
    <row r="323">
      <c r="A323" s="50" t="inlineStr">
        <is>
          <t>717325219023</t>
        </is>
      </c>
      <c r="B323" s="51" t="inlineStr">
        <is>
          <t>27143</t>
        </is>
      </c>
      <c r="C323" s="156" t="inlineStr">
        <is>
          <t>Montana West</t>
        </is>
      </c>
      <c r="D323" s="156" t="inlineStr">
        <is>
          <t>MWL-W815CF</t>
        </is>
      </c>
      <c r="E323" s="156" t="inlineStr">
        <is>
          <t>MWL-W815CF</t>
        </is>
      </c>
      <c r="F323" s="156" t="inlineStr">
        <is>
          <t>Talla única</t>
        </is>
      </c>
      <c r="G323" s="156" t="inlineStr">
        <is>
          <t>One Size</t>
        </is>
      </c>
      <c r="H323" s="156" t="inlineStr">
        <is>
          <t>Montana West</t>
        </is>
      </c>
      <c r="I323" s="156" t="inlineStr">
        <is>
          <t>Cartera Montana West Café Oscuro</t>
        </is>
      </c>
      <c r="J323" s="156" t="inlineStr">
        <is>
          <t>Accesorios</t>
        </is>
      </c>
      <c r="K323" s="156" t="inlineStr">
        <is>
          <t>Carteras</t>
        </is>
      </c>
      <c r="L323" s="156" t="inlineStr">
        <is>
          <t>Hombre</t>
        </is>
      </c>
      <c r="M323" s="156" t="inlineStr">
        <is>
          <t>Montana West</t>
        </is>
      </c>
      <c r="N323" s="156" t="n"/>
      <c r="O323" s="156" t="inlineStr">
        <is>
          <t>Core</t>
        </is>
      </c>
      <c r="P323" s="156" t="inlineStr">
        <is>
          <t>Cafe</t>
        </is>
      </c>
      <c r="Q323" s="156" t="n"/>
      <c r="R323" s="156" t="n"/>
      <c r="S323" s="156" t="n"/>
      <c r="T323" s="156" t="inlineStr">
        <is>
          <t>Cartera Montana West. Color: Café Oscuro. Talla única. Hombre. Referencia: MWL-W815CF.</t>
        </is>
      </c>
      <c r="U323" s="156" t="n"/>
      <c r="V323" s="156" t="inlineStr">
        <is>
          <t>PZS</t>
        </is>
      </c>
      <c r="W323" s="51" t="inlineStr">
        <is>
          <t>53121700</t>
        </is>
      </c>
      <c r="X323" s="156" t="n"/>
      <c r="Y323" s="54" t="n">
        <v>217.35</v>
      </c>
      <c r="Z323" s="54" t="n">
        <v>349</v>
      </c>
      <c r="AA323" s="55">
        <f>IF(AND(A323="", B323="", E323=""), "", IF(AB323="", "Válido", IF((LEN(AB323)-LEN(SUBSTITUTE(AB323,"; ","")))/2+1&gt;(LEN(AB323)-LEN(SUBSTITUTE(AB323,"[Aviso]","")))/7, "Con Incidencias", "Válido")))</f>
        <v/>
      </c>
      <c r="AB323" s="56">
        <f>IF(AND(A323="", B323="", E323=""), "", TEXTJOIN("; ", TRUE, IF(OR(TRIM(A323&amp;"")="", ISNUMBER(SEARCH("FALTA", A323))), "UPC faltante/inválido", ""), IF(AND(A323&lt;&gt;"", IFERROR(_xlfn.XMATCH(A323,$A$2:$A$1063,0,1)&lt;&gt;_xlfn.XMATCH(A323,$A$2:$A$1063,0,-1),FALSE)), "Código de barras duplicado", ""), IF(AND(E323&lt;&gt;"", COUNTIF($E$2:$E$1063, E323)&gt;1), "SKU duplicado", ""), IF(OR(J323="", J323=""), "[Aviso] División no capturada ()", IF(ISNA(MATCH(J323, Criterios!$A$123:$A$126, 0)), "División no válida", "")), IF(OR(K323="", K323=""), "[Aviso] Categoría no capturada ()", IF(ISNA(MATCH(K323, Criterios!$A$81:$A$120, 0)), "Categoría no válida", IF(AND(J323&lt;&gt;"", J323&lt;&gt;"", J323&lt;&gt;VLOOKUP(K323, Criterios!$A$81:$B$120, 2, FALSE)), "División no coincide con Categoría", ""))), IF(OR(L323="", L323=""), "[Aviso] Género no capturado ()", IF(ISNA(MATCH(L323, Criterios!$B$123:$B$127, 0)), "Género no válido", "")), IF(OR(N323="", N323=""), "[Aviso] Temporada no capturada ()", IF(ISNA(MATCH(N323, Criterios!$C$123:$C$128, 0)), "Temporada no válida", "")), IF(OR(O323="", O323=""), "[Aviso] Ciclo de vida no capturado ()", IF(ISNA(MATCH(O323, Criterios!$D$123:$D$124, 0)), "Ciclo de vida no válido", ""))))</f>
        <v/>
      </c>
      <c r="AC323" s="56" t="n"/>
      <c r="AD323" s="51" t="n"/>
      <c r="AE323" s="156" t="n"/>
      <c r="AF323" s="51" t="n"/>
      <c r="AG323" s="156" t="inlineStr">
        <is>
          <t>Nuevo – Carga Hoja2 01/10/2026</t>
        </is>
      </c>
      <c r="AH323" s="156" t="inlineStr">
        <is>
          <t>Alta 01/10/2026 desde Hoja2 (fila 120) | Homologación G1522 06/10/2026: Validador Shopify: WB: precio con IVA no termina en 9</t>
        </is>
      </c>
      <c r="AI323" s="156" t="n"/>
      <c r="AJ323" s="156" t="n"/>
      <c r="AK323" s="155" t="inlineStr">
        <is>
          <t>Hoja2: fila 120 | Odoo: producto 27143 / plantilla 33843</t>
        </is>
      </c>
      <c r="AL323" s="58" t="n"/>
      <c r="AM323" s="58" t="n"/>
      <c r="AN323" s="155" t="inlineStr">
        <is>
          <t>Odoo Universal Unique Brands</t>
        </is>
      </c>
      <c r="AO323" s="59" t="n"/>
      <c r="AP323" s="59" t="n"/>
      <c r="AQ323" s="59" t="n">
        <v>2</v>
      </c>
      <c r="AR323" s="155" t="inlineStr">
        <is>
          <t>Odoo Universal Unique Brands › Bodega 25 › Bodega 25/General: 2</t>
        </is>
      </c>
    </row>
    <row r="324">
      <c r="A324" s="50" t="inlineStr">
        <is>
          <t>717205840675</t>
        </is>
      </c>
      <c r="B324" s="51" t="inlineStr">
        <is>
          <t>27144</t>
        </is>
      </c>
      <c r="C324" s="156" t="inlineStr">
        <is>
          <t>Montana West</t>
        </is>
      </c>
      <c r="D324" s="156" t="inlineStr">
        <is>
          <t>MWR-066BK</t>
        </is>
      </c>
      <c r="E324" s="156" t="inlineStr">
        <is>
          <t>MWR-066BK</t>
        </is>
      </c>
      <c r="F324" s="156" t="inlineStr">
        <is>
          <t>Talla única</t>
        </is>
      </c>
      <c r="G324" s="156" t="inlineStr">
        <is>
          <t>One Size</t>
        </is>
      </c>
      <c r="H324" s="156" t="inlineStr">
        <is>
          <t>Montana West</t>
        </is>
      </c>
      <c r="I324" s="156" t="inlineStr">
        <is>
          <t>Bolsa Montana West Negro</t>
        </is>
      </c>
      <c r="J324" s="156" t="inlineStr">
        <is>
          <t>Accesorios</t>
        </is>
      </c>
      <c r="K324" s="156" t="inlineStr">
        <is>
          <t>Bolsos</t>
        </is>
      </c>
      <c r="L324" s="156" t="inlineStr">
        <is>
          <t>Mujer</t>
        </is>
      </c>
      <c r="M324" s="156" t="inlineStr">
        <is>
          <t>Montana West</t>
        </is>
      </c>
      <c r="N324" s="156" t="n"/>
      <c r="O324" s="156" t="inlineStr">
        <is>
          <t>Core</t>
        </is>
      </c>
      <c r="P324" s="156" t="inlineStr">
        <is>
          <t>Negro</t>
        </is>
      </c>
      <c r="Q324" s="156" t="n"/>
      <c r="R324" s="156" t="n"/>
      <c r="S324" s="156" t="n"/>
      <c r="T324" s="156" t="inlineStr">
        <is>
          <t>Bolsa Montana West. Color: Negro. Talla única. Mujer. Referencia: MWR-066BK.</t>
        </is>
      </c>
      <c r="U324" s="156" t="n"/>
      <c r="V324" s="156" t="inlineStr">
        <is>
          <t>PZS</t>
        </is>
      </c>
      <c r="W324" s="51" t="inlineStr">
        <is>
          <t>53121601</t>
        </is>
      </c>
      <c r="X324" s="156" t="inlineStr">
        <is>
          <t>https://cdn.shopify.com/s/files/1/0005/9015/1741/files/MWR-066BK.webp?v=1787712484</t>
        </is>
      </c>
      <c r="Y324" s="54" t="n">
        <v>483</v>
      </c>
      <c r="Z324" s="54" t="n">
        <v>799</v>
      </c>
      <c r="AA324" s="55">
        <f>IF(AND(A324="", B324="", E324=""), "", IF(AB324="", "Válido", IF((LEN(AB324)-LEN(SUBSTITUTE(AB324,"; ","")))/2+1&gt;(LEN(AB324)-LEN(SUBSTITUTE(AB324,"[Aviso]","")))/7, "Con Incidencias", "Válido")))</f>
        <v/>
      </c>
      <c r="AB324" s="56">
        <f>IF(AND(A324="", B324="", E324=""), "", TEXTJOIN("; ", TRUE, IF(OR(TRIM(A324&amp;"")="", ISNUMBER(SEARCH("FALTA", A324))), "UPC faltante/inválido", ""), IF(AND(A324&lt;&gt;"", IFERROR(_xlfn.XMATCH(A324,$A$2:$A$1063,0,1)&lt;&gt;_xlfn.XMATCH(A324,$A$2:$A$1063,0,-1),FALSE)), "Código de barras duplicado", ""), IF(AND(E324&lt;&gt;"", COUNTIF($E$2:$E$1063, E324)&gt;1), "SKU duplicado", ""), IF(OR(J324="", J324=""), "[Aviso] División no capturada ()", IF(ISNA(MATCH(J324, Criterios!$A$123:$A$126, 0)), "División no válida", "")), IF(OR(K324="", K324=""), "[Aviso] Categoría no capturada ()", IF(ISNA(MATCH(K324, Criterios!$A$81:$A$120, 0)), "Categoría no válida", IF(AND(J324&lt;&gt;"", J324&lt;&gt;"", J324&lt;&gt;VLOOKUP(K324, Criterios!$A$81:$B$120, 2, FALSE)), "División no coincide con Categoría", ""))), IF(OR(L324="", L324=""), "[Aviso] Género no capturado ()", IF(ISNA(MATCH(L324, Criterios!$B$123:$B$127, 0)), "Género no válido", "")), IF(OR(N324="", N324=""), "[Aviso] Temporada no capturada ()", IF(ISNA(MATCH(N324, Criterios!$C$123:$C$128, 0)), "Temporada no válida", "")), IF(OR(O324="", O324=""), "[Aviso] Ciclo de vida no capturado ()", IF(ISNA(MATCH(O324, Criterios!$D$123:$D$124, 0)), "Ciclo de vida no válido", ""))))</f>
        <v/>
      </c>
      <c r="AC324" s="56" t="n"/>
      <c r="AD324" s="51" t="n"/>
      <c r="AE324" s="156" t="n"/>
      <c r="AF324" s="51" t="n"/>
      <c r="AG324" s="156" t="inlineStr">
        <is>
          <t>Nuevo – Carga Hoja2 01/10/2026</t>
        </is>
      </c>
      <c r="AH324" s="156" t="inlineStr">
        <is>
          <t>Alta 01/10/2026 desde Hoja2 (fila 121) | 01/10/2026: Odoo Universal Unique Brands trae Género «Unisex» — se conservó el valor de Productos | Homologación G1522 06/10/2026: Enlace de imagen: «» → «https://cdn.shopify.com/s/files/1/0005/9015/1741/files/MWR-066BK.webp?v=1787712484» (Completado por investigación en línea) · Validador Shopify: WB: precio con IVA no termina en 9</t>
        </is>
      </c>
      <c r="AI324" s="156" t="n"/>
      <c r="AJ324" s="156" t="n"/>
      <c r="AK324" s="155" t="inlineStr">
        <is>
          <t>Hoja2: fila 121 | Odoo: producto 27144 / plantilla 33844 | Investigación en línea 06/10/2026: https://montanawestworld.com/products/montana-west-genuine-leather-hair-on-sling-bag</t>
        </is>
      </c>
      <c r="AL324" s="58" t="n"/>
      <c r="AM324" s="58" t="n"/>
      <c r="AN324" s="155" t="inlineStr">
        <is>
          <t>Odoo Universal Unique Brands</t>
        </is>
      </c>
      <c r="AO324" s="59" t="n"/>
      <c r="AP324" s="59" t="n"/>
      <c r="AQ324" s="59" t="n">
        <v>2</v>
      </c>
      <c r="AR324" s="155" t="inlineStr">
        <is>
          <t>Odoo Universal Unique Brands › Bodega 25 › Bodega 25/General: 2</t>
        </is>
      </c>
    </row>
    <row r="325">
      <c r="A325" s="50" t="inlineStr">
        <is>
          <t>717205840583</t>
        </is>
      </c>
      <c r="B325" s="51" t="inlineStr">
        <is>
          <t>27145</t>
        </is>
      </c>
      <c r="C325" s="156" t="inlineStr">
        <is>
          <t>Montana West</t>
        </is>
      </c>
      <c r="D325" s="156" t="inlineStr">
        <is>
          <t>MWR-066TN</t>
        </is>
      </c>
      <c r="E325" s="156" t="inlineStr">
        <is>
          <t>MWR-066TN</t>
        </is>
      </c>
      <c r="F325" s="156" t="inlineStr">
        <is>
          <t>Talla única</t>
        </is>
      </c>
      <c r="G325" s="156" t="inlineStr">
        <is>
          <t>One Size</t>
        </is>
      </c>
      <c r="H325" s="156" t="inlineStr">
        <is>
          <t>Montana West</t>
        </is>
      </c>
      <c r="I325" s="156" t="inlineStr">
        <is>
          <t>Bolsa Montana West Camel</t>
        </is>
      </c>
      <c r="J325" s="156" t="inlineStr">
        <is>
          <t>Accesorios</t>
        </is>
      </c>
      <c r="K325" s="156" t="inlineStr">
        <is>
          <t>Bolsos</t>
        </is>
      </c>
      <c r="L325" s="156" t="inlineStr">
        <is>
          <t>Mujer</t>
        </is>
      </c>
      <c r="M325" s="156" t="inlineStr">
        <is>
          <t>Montana West</t>
        </is>
      </c>
      <c r="N325" s="156" t="n"/>
      <c r="O325" s="156" t="inlineStr">
        <is>
          <t>Core</t>
        </is>
      </c>
      <c r="P325" s="156" t="inlineStr">
        <is>
          <t>Beige</t>
        </is>
      </c>
      <c r="Q325" s="156" t="n"/>
      <c r="R325" s="156" t="n"/>
      <c r="S325" s="156" t="n"/>
      <c r="T325" s="156" t="inlineStr">
        <is>
          <t>Bolsa Montana West. Color: Camel. Talla única. Mujer. Referencia: MWR-066TN.</t>
        </is>
      </c>
      <c r="U325" s="156" t="n"/>
      <c r="V325" s="156" t="inlineStr">
        <is>
          <t>PZS</t>
        </is>
      </c>
      <c r="W325" s="51" t="inlineStr">
        <is>
          <t>53121601</t>
        </is>
      </c>
      <c r="X325" s="156" t="inlineStr">
        <is>
          <t>https://cdn.shopify.com/s/files/1/0005/9015/1741/files/MWR-066TN.webp?v=1787712484</t>
        </is>
      </c>
      <c r="Y325" s="54" t="n">
        <v>483</v>
      </c>
      <c r="Z325" s="54" t="n">
        <v>799</v>
      </c>
      <c r="AA325" s="55">
        <f>IF(AND(A325="", B325="", E325=""), "", IF(AB325="", "Válido", IF((LEN(AB325)-LEN(SUBSTITUTE(AB325,"; ","")))/2+1&gt;(LEN(AB325)-LEN(SUBSTITUTE(AB325,"[Aviso]","")))/7, "Con Incidencias", "Válido")))</f>
        <v/>
      </c>
      <c r="AB325" s="56">
        <f>IF(AND(A325="", B325="", E325=""), "", TEXTJOIN("; ", TRUE, IF(OR(TRIM(A325&amp;"")="", ISNUMBER(SEARCH("FALTA", A325))), "UPC faltante/inválido", ""), IF(AND(A325&lt;&gt;"", IFERROR(_xlfn.XMATCH(A325,$A$2:$A$1063,0,1)&lt;&gt;_xlfn.XMATCH(A325,$A$2:$A$1063,0,-1),FALSE)), "Código de barras duplicado", ""), IF(AND(E325&lt;&gt;"", COUNTIF($E$2:$E$1063, E325)&gt;1), "SKU duplicado", ""), IF(OR(J325="", J325=""), "[Aviso] División no capturada ()", IF(ISNA(MATCH(J325, Criterios!$A$123:$A$126, 0)), "División no válida", "")), IF(OR(K325="", K325=""), "[Aviso] Categoría no capturada ()", IF(ISNA(MATCH(K325, Criterios!$A$81:$A$120, 0)), "Categoría no válida", IF(AND(J325&lt;&gt;"", J325&lt;&gt;"", J325&lt;&gt;VLOOKUP(K325, Criterios!$A$81:$B$120, 2, FALSE)), "División no coincide con Categoría", ""))), IF(OR(L325="", L325=""), "[Aviso] Género no capturado ()", IF(ISNA(MATCH(L325, Criterios!$B$123:$B$127, 0)), "Género no válido", "")), IF(OR(N325="", N325=""), "[Aviso] Temporada no capturada ()", IF(ISNA(MATCH(N325, Criterios!$C$123:$C$128, 0)), "Temporada no válida", "")), IF(OR(O325="", O325=""), "[Aviso] Ciclo de vida no capturado ()", IF(ISNA(MATCH(O325, Criterios!$D$123:$D$124, 0)), "Ciclo de vida no válido", ""))))</f>
        <v/>
      </c>
      <c r="AC325" s="56" t="n"/>
      <c r="AD325" s="51" t="n"/>
      <c r="AE325" s="156" t="n"/>
      <c r="AF325" s="51" t="n"/>
      <c r="AG325" s="156" t="inlineStr">
        <is>
          <t>Nuevo – Carga Hoja2 01/10/2026</t>
        </is>
      </c>
      <c r="AH325" s="156" t="inlineStr">
        <is>
          <t>Alta 01/10/2026 desde Hoja2 (fila 122) | 01/10/2026: Odoo Universal Unique Brands trae Género «Unisex» — se conservó el valor de Productos | Homologación G1522 06/10/2026: Enlace de imagen: «» → «https://cdn.shopify.com/s/files/1/0005/9015/1741/files/MWR-066TN.webp?v=1787712484» (Completado por investigación en línea) · Validador Shopify: WB: precio con IVA no termina en 9</t>
        </is>
      </c>
      <c r="AI325" s="156" t="n"/>
      <c r="AJ325" s="156" t="n"/>
      <c r="AK325" s="155" t="inlineStr">
        <is>
          <t>Hoja2: fila 122 | Odoo: producto 27145 / plantilla 33845 | Investigación en línea 06/10/2026: https://montanawestworld.com/products/montana-west-genuine-leather-hair-on-sling-bag</t>
        </is>
      </c>
      <c r="AL325" s="58" t="n"/>
      <c r="AM325" s="58" t="n"/>
      <c r="AN325" s="155" t="inlineStr">
        <is>
          <t>Odoo Universal Unique Brands</t>
        </is>
      </c>
      <c r="AO325" s="59" t="n"/>
      <c r="AP325" s="59" t="n"/>
      <c r="AQ325" s="59" t="n">
        <v>2</v>
      </c>
      <c r="AR325" s="155" t="inlineStr">
        <is>
          <t>Odoo Universal Unique Brands › Bodega 25 › Bodega 25/General: 2</t>
        </is>
      </c>
    </row>
    <row r="326">
      <c r="A326" s="50" t="inlineStr">
        <is>
          <t>717325218576</t>
        </is>
      </c>
      <c r="B326" s="51" t="inlineStr">
        <is>
          <t>27146</t>
        </is>
      </c>
      <c r="C326" s="156" t="inlineStr">
        <is>
          <t>Montana West</t>
        </is>
      </c>
      <c r="D326" s="156" t="inlineStr">
        <is>
          <t>MWS-W701BR</t>
        </is>
      </c>
      <c r="E326" s="156" t="inlineStr">
        <is>
          <t>MWS-W701BR</t>
        </is>
      </c>
      <c r="F326" s="156" t="inlineStr">
        <is>
          <t>Talla única</t>
        </is>
      </c>
      <c r="G326" s="156" t="inlineStr">
        <is>
          <t>One Size</t>
        </is>
      </c>
      <c r="H326" s="156" t="inlineStr">
        <is>
          <t>Montana West</t>
        </is>
      </c>
      <c r="I326" s="156" t="inlineStr">
        <is>
          <t>Cartera Montana West Café</t>
        </is>
      </c>
      <c r="J326" s="156" t="inlineStr">
        <is>
          <t>Accesorios</t>
        </is>
      </c>
      <c r="K326" s="156" t="inlineStr">
        <is>
          <t>Carteras</t>
        </is>
      </c>
      <c r="L326" s="156" t="inlineStr">
        <is>
          <t>Hombre</t>
        </is>
      </c>
      <c r="M326" s="156" t="inlineStr">
        <is>
          <t>Montana West</t>
        </is>
      </c>
      <c r="N326" s="156" t="n"/>
      <c r="O326" s="156" t="inlineStr">
        <is>
          <t>Core</t>
        </is>
      </c>
      <c r="P326" s="156" t="inlineStr">
        <is>
          <t>Cafe</t>
        </is>
      </c>
      <c r="Q326" s="156" t="n"/>
      <c r="R326" s="156" t="n"/>
      <c r="S326" s="156" t="n"/>
      <c r="T326" s="156" t="inlineStr">
        <is>
          <t>Cartera Montana West. Color: Café. Talla única. Hombre. Referencia: MWS-W701BR.</t>
        </is>
      </c>
      <c r="U326" s="156" t="n"/>
      <c r="V326" s="156" t="inlineStr">
        <is>
          <t>PZS</t>
        </is>
      </c>
      <c r="W326" s="51" t="inlineStr">
        <is>
          <t>53121700</t>
        </is>
      </c>
      <c r="X326" s="156" t="n"/>
      <c r="Y326" s="54" t="n">
        <v>185.15</v>
      </c>
      <c r="Z326" s="54" t="n">
        <v>299</v>
      </c>
      <c r="AA326" s="55">
        <f>IF(AND(A326="", B326="", E326=""), "", IF(AB326="", "Válido", IF((LEN(AB326)-LEN(SUBSTITUTE(AB326,"; ","")))/2+1&gt;(LEN(AB326)-LEN(SUBSTITUTE(AB326,"[Aviso]","")))/7, "Con Incidencias", "Válido")))</f>
        <v/>
      </c>
      <c r="AB326" s="56">
        <f>IF(AND(A326="", B326="", E326=""), "", TEXTJOIN("; ", TRUE, IF(OR(TRIM(A326&amp;"")="", ISNUMBER(SEARCH("FALTA", A326))), "UPC faltante/inválido", ""), IF(AND(A326&lt;&gt;"", IFERROR(_xlfn.XMATCH(A326,$A$2:$A$1063,0,1)&lt;&gt;_xlfn.XMATCH(A326,$A$2:$A$1063,0,-1),FALSE)), "Código de barras duplicado", ""), IF(AND(E326&lt;&gt;"", COUNTIF($E$2:$E$1063, E326)&gt;1), "SKU duplicado", ""), IF(OR(J326="", J326=""), "[Aviso] División no capturada ()", IF(ISNA(MATCH(J326, Criterios!$A$123:$A$126, 0)), "División no válida", "")), IF(OR(K326="", K326=""), "[Aviso] Categoría no capturada ()", IF(ISNA(MATCH(K326, Criterios!$A$81:$A$120, 0)), "Categoría no válida", IF(AND(J326&lt;&gt;"", J326&lt;&gt;"", J326&lt;&gt;VLOOKUP(K326, Criterios!$A$81:$B$120, 2, FALSE)), "División no coincide con Categoría", ""))), IF(OR(L326="", L326=""), "[Aviso] Género no capturado ()", IF(ISNA(MATCH(L326, Criterios!$B$123:$B$127, 0)), "Género no válido", "")), IF(OR(N326="", N326=""), "[Aviso] Temporada no capturada ()", IF(ISNA(MATCH(N326, Criterios!$C$123:$C$128, 0)), "Temporada no válida", "")), IF(OR(O326="", O326=""), "[Aviso] Ciclo de vida no capturado ()", IF(ISNA(MATCH(O326, Criterios!$D$123:$D$124, 0)), "Ciclo de vida no válido", ""))))</f>
        <v/>
      </c>
      <c r="AC326" s="56" t="n"/>
      <c r="AD326" s="51" t="n"/>
      <c r="AE326" s="156" t="n"/>
      <c r="AF326" s="51" t="n"/>
      <c r="AG326" s="156" t="inlineStr">
        <is>
          <t>Nuevo – Carga Hoja2 01/10/2026</t>
        </is>
      </c>
      <c r="AH326" s="156" t="inlineStr">
        <is>
          <t>Alta 01/10/2026 desde Hoja2 (fila 123) | Homologación G1522 06/10/2026: Validador Shopify: WB: precio con IVA no termina en 9</t>
        </is>
      </c>
      <c r="AI326" s="156" t="n"/>
      <c r="AJ326" s="156" t="n"/>
      <c r="AK326" s="155" t="inlineStr">
        <is>
          <t>Hoja2: fila 123 | Odoo: producto 27146 / plantilla 33846</t>
        </is>
      </c>
      <c r="AL326" s="58" t="n"/>
      <c r="AM326" s="58" t="n"/>
      <c r="AN326" s="155" t="inlineStr">
        <is>
          <t>Odoo Universal Unique Brands</t>
        </is>
      </c>
      <c r="AO326" s="59" t="n"/>
      <c r="AP326" s="59" t="n"/>
      <c r="AQ326" s="59" t="n">
        <v>5</v>
      </c>
      <c r="AR326" s="155" t="inlineStr">
        <is>
          <t>Odoo Universal Unique Brands › Bodega 25 › Bodega 25/General: 5</t>
        </is>
      </c>
    </row>
    <row r="327">
      <c r="A327" s="50" t="inlineStr">
        <is>
          <t>717325218590</t>
        </is>
      </c>
      <c r="B327" s="51" t="inlineStr">
        <is>
          <t>27147</t>
        </is>
      </c>
      <c r="C327" s="156" t="inlineStr">
        <is>
          <t>Montana West</t>
        </is>
      </c>
      <c r="D327" s="156" t="inlineStr">
        <is>
          <t>MWS-W702BR</t>
        </is>
      </c>
      <c r="E327" s="156" t="inlineStr">
        <is>
          <t>MWS-W702BR</t>
        </is>
      </c>
      <c r="F327" s="156" t="inlineStr">
        <is>
          <t>Talla única</t>
        </is>
      </c>
      <c r="G327" s="156" t="inlineStr">
        <is>
          <t>One Size</t>
        </is>
      </c>
      <c r="H327" s="156" t="inlineStr">
        <is>
          <t>Montana West</t>
        </is>
      </c>
      <c r="I327" s="156" t="inlineStr">
        <is>
          <t>Cartera Montana West Café</t>
        </is>
      </c>
      <c r="J327" s="156" t="inlineStr">
        <is>
          <t>Accesorios</t>
        </is>
      </c>
      <c r="K327" s="156" t="inlineStr">
        <is>
          <t>Carteras</t>
        </is>
      </c>
      <c r="L327" s="156" t="inlineStr">
        <is>
          <t>Hombre</t>
        </is>
      </c>
      <c r="M327" s="156" t="inlineStr">
        <is>
          <t>Montana West</t>
        </is>
      </c>
      <c r="N327" s="156" t="n"/>
      <c r="O327" s="156" t="inlineStr">
        <is>
          <t>Core</t>
        </is>
      </c>
      <c r="P327" s="156" t="inlineStr">
        <is>
          <t>Cafe</t>
        </is>
      </c>
      <c r="Q327" s="156" t="n"/>
      <c r="R327" s="156" t="n"/>
      <c r="S327" s="156" t="n"/>
      <c r="T327" s="156" t="inlineStr">
        <is>
          <t>Cartera Montana West. Color: Café. Talla única. Hombre. Referencia: MWS-W702BR.</t>
        </is>
      </c>
      <c r="U327" s="156" t="n"/>
      <c r="V327" s="156" t="inlineStr">
        <is>
          <t>PZS</t>
        </is>
      </c>
      <c r="W327" s="51" t="inlineStr">
        <is>
          <t>53121700</t>
        </is>
      </c>
      <c r="X327" s="156" t="n"/>
      <c r="Y327" s="54" t="n">
        <v>185.15</v>
      </c>
      <c r="Z327" s="54" t="n">
        <v>299</v>
      </c>
      <c r="AA327" s="55">
        <f>IF(AND(A327="", B327="", E327=""), "", IF(AB327="", "Válido", IF((LEN(AB327)-LEN(SUBSTITUTE(AB327,"; ","")))/2+1&gt;(LEN(AB327)-LEN(SUBSTITUTE(AB327,"[Aviso]","")))/7, "Con Incidencias", "Válido")))</f>
        <v/>
      </c>
      <c r="AB327" s="56">
        <f>IF(AND(A327="", B327="", E327=""), "", TEXTJOIN("; ", TRUE, IF(OR(TRIM(A327&amp;"")="", ISNUMBER(SEARCH("FALTA", A327))), "UPC faltante/inválido", ""), IF(AND(A327&lt;&gt;"", IFERROR(_xlfn.XMATCH(A327,$A$2:$A$1063,0,1)&lt;&gt;_xlfn.XMATCH(A327,$A$2:$A$1063,0,-1),FALSE)), "Código de barras duplicado", ""), IF(AND(E327&lt;&gt;"", COUNTIF($E$2:$E$1063, E327)&gt;1), "SKU duplicado", ""), IF(OR(J327="", J327=""), "[Aviso] División no capturada ()", IF(ISNA(MATCH(J327, Criterios!$A$123:$A$126, 0)), "División no válida", "")), IF(OR(K327="", K327=""), "[Aviso] Categoría no capturada ()", IF(ISNA(MATCH(K327, Criterios!$A$81:$A$120, 0)), "Categoría no válida", IF(AND(J327&lt;&gt;"", J327&lt;&gt;"", J327&lt;&gt;VLOOKUP(K327, Criterios!$A$81:$B$120, 2, FALSE)), "División no coincide con Categoría", ""))), IF(OR(L327="", L327=""), "[Aviso] Género no capturado ()", IF(ISNA(MATCH(L327, Criterios!$B$123:$B$127, 0)), "Género no válido", "")), IF(OR(N327="", N327=""), "[Aviso] Temporada no capturada ()", IF(ISNA(MATCH(N327, Criterios!$C$123:$C$128, 0)), "Temporada no válida", "")), IF(OR(O327="", O327=""), "[Aviso] Ciclo de vida no capturado ()", IF(ISNA(MATCH(O327, Criterios!$D$123:$D$124, 0)), "Ciclo de vida no válido", ""))))</f>
        <v/>
      </c>
      <c r="AC327" s="56" t="n"/>
      <c r="AD327" s="51" t="n"/>
      <c r="AE327" s="156" t="n"/>
      <c r="AF327" s="51" t="n"/>
      <c r="AG327" s="156" t="inlineStr">
        <is>
          <t>Nuevo – Carga Hoja2 01/10/2026</t>
        </is>
      </c>
      <c r="AH327" s="156" t="inlineStr">
        <is>
          <t>Alta 01/10/2026 desde Hoja2 (fila 124) | Homologación G1522 06/10/2026: Validador Shopify: WB: precio con IVA no termina en 9</t>
        </is>
      </c>
      <c r="AI327" s="156" t="n"/>
      <c r="AJ327" s="156" t="n"/>
      <c r="AK327" s="155" t="inlineStr">
        <is>
          <t>Hoja2: fila 124 | Odoo: producto 27147 / plantilla 33847</t>
        </is>
      </c>
      <c r="AL327" s="58" t="n"/>
      <c r="AM327" s="58" t="n"/>
      <c r="AN327" s="155" t="inlineStr">
        <is>
          <t>Odoo Universal Unique Brands</t>
        </is>
      </c>
      <c r="AO327" s="59" t="n"/>
      <c r="AP327" s="59" t="n"/>
      <c r="AQ327" s="59" t="n">
        <v>4</v>
      </c>
      <c r="AR327" s="155" t="inlineStr">
        <is>
          <t>Odoo Universal Unique Brands › Bodega 25 › Bodega 25/General: 4</t>
        </is>
      </c>
    </row>
    <row r="328">
      <c r="A328" s="50" t="inlineStr">
        <is>
          <t>717325218668</t>
        </is>
      </c>
      <c r="B328" s="51" t="inlineStr">
        <is>
          <t>27148</t>
        </is>
      </c>
      <c r="C328" s="156" t="inlineStr">
        <is>
          <t>Montana West</t>
        </is>
      </c>
      <c r="D328" s="156" t="inlineStr">
        <is>
          <t>MWS-W707BR</t>
        </is>
      </c>
      <c r="E328" s="156" t="inlineStr">
        <is>
          <t>MWS-W707BR</t>
        </is>
      </c>
      <c r="F328" s="156" t="inlineStr">
        <is>
          <t>Talla única</t>
        </is>
      </c>
      <c r="G328" s="156" t="inlineStr">
        <is>
          <t>One Size</t>
        </is>
      </c>
      <c r="H328" s="156" t="inlineStr">
        <is>
          <t>Montana West</t>
        </is>
      </c>
      <c r="I328" s="156" t="inlineStr">
        <is>
          <t>Cartera Montana West Café</t>
        </is>
      </c>
      <c r="J328" s="156" t="inlineStr">
        <is>
          <t>Accesorios</t>
        </is>
      </c>
      <c r="K328" s="156" t="inlineStr">
        <is>
          <t>Carteras</t>
        </is>
      </c>
      <c r="L328" s="156" t="inlineStr">
        <is>
          <t>Hombre</t>
        </is>
      </c>
      <c r="M328" s="156" t="inlineStr">
        <is>
          <t>Montana West</t>
        </is>
      </c>
      <c r="N328" s="156" t="n"/>
      <c r="O328" s="156" t="inlineStr">
        <is>
          <t>Core</t>
        </is>
      </c>
      <c r="P328" s="156" t="inlineStr">
        <is>
          <t>Cafe</t>
        </is>
      </c>
      <c r="Q328" s="156" t="n"/>
      <c r="R328" s="156" t="n"/>
      <c r="S328" s="156" t="n"/>
      <c r="T328" s="156" t="inlineStr">
        <is>
          <t>Cartera Montana West. Color: Café. Talla única. Hombre. Referencia: MWS-W707BR.</t>
        </is>
      </c>
      <c r="U328" s="156" t="n"/>
      <c r="V328" s="156" t="inlineStr">
        <is>
          <t>PZS</t>
        </is>
      </c>
      <c r="W328" s="51" t="inlineStr">
        <is>
          <t>53121700</t>
        </is>
      </c>
      <c r="X328" s="156" t="n"/>
      <c r="Y328" s="54" t="n">
        <v>185.15</v>
      </c>
      <c r="Z328" s="54" t="n">
        <v>299</v>
      </c>
      <c r="AA328" s="55">
        <f>IF(AND(A328="", B328="", E328=""), "", IF(AB328="", "Válido", IF((LEN(AB328)-LEN(SUBSTITUTE(AB328,"; ","")))/2+1&gt;(LEN(AB328)-LEN(SUBSTITUTE(AB328,"[Aviso]","")))/7, "Con Incidencias", "Válido")))</f>
        <v/>
      </c>
      <c r="AB328" s="56">
        <f>IF(AND(A328="", B328="", E328=""), "", TEXTJOIN("; ", TRUE, IF(OR(TRIM(A328&amp;"")="", ISNUMBER(SEARCH("FALTA", A328))), "UPC faltante/inválido", ""), IF(AND(A328&lt;&gt;"", IFERROR(_xlfn.XMATCH(A328,$A$2:$A$1063,0,1)&lt;&gt;_xlfn.XMATCH(A328,$A$2:$A$1063,0,-1),FALSE)), "Código de barras duplicado", ""), IF(AND(E328&lt;&gt;"", COUNTIF($E$2:$E$1063, E328)&gt;1), "SKU duplicado", ""), IF(OR(J328="", J328=""), "[Aviso] División no capturada ()", IF(ISNA(MATCH(J328, Criterios!$A$123:$A$126, 0)), "División no válida", "")), IF(OR(K328="", K328=""), "[Aviso] Categoría no capturada ()", IF(ISNA(MATCH(K328, Criterios!$A$81:$A$120, 0)), "Categoría no válida", IF(AND(J328&lt;&gt;"", J328&lt;&gt;"", J328&lt;&gt;VLOOKUP(K328, Criterios!$A$81:$B$120, 2, FALSE)), "División no coincide con Categoría", ""))), IF(OR(L328="", L328=""), "[Aviso] Género no capturado ()", IF(ISNA(MATCH(L328, Criterios!$B$123:$B$127, 0)), "Género no válido", "")), IF(OR(N328="", N328=""), "[Aviso] Temporada no capturada ()", IF(ISNA(MATCH(N328, Criterios!$C$123:$C$128, 0)), "Temporada no válida", "")), IF(OR(O328="", O328=""), "[Aviso] Ciclo de vida no capturado ()", IF(ISNA(MATCH(O328, Criterios!$D$123:$D$124, 0)), "Ciclo de vida no válido", ""))))</f>
        <v/>
      </c>
      <c r="AC328" s="56" t="n"/>
      <c r="AD328" s="51" t="n"/>
      <c r="AE328" s="156" t="n"/>
      <c r="AF328" s="51" t="n"/>
      <c r="AG328" s="156" t="inlineStr">
        <is>
          <t>Nuevo – Carga Hoja2 01/10/2026</t>
        </is>
      </c>
      <c r="AH328" s="156" t="inlineStr">
        <is>
          <t>Alta 01/10/2026 desde Hoja2 (fila 125) | Homologación G1522 06/10/2026: Validador Shopify: WB: precio con IVA no termina en 9</t>
        </is>
      </c>
      <c r="AI328" s="156" t="n"/>
      <c r="AJ328" s="156" t="n"/>
      <c r="AK328" s="155" t="inlineStr">
        <is>
          <t>Hoja2: fila 125 | Odoo: producto 27148 / plantilla 33848</t>
        </is>
      </c>
      <c r="AL328" s="58" t="n"/>
      <c r="AM328" s="58" t="n"/>
      <c r="AN328" s="155" t="inlineStr">
        <is>
          <t>Odoo Universal Unique Brands</t>
        </is>
      </c>
      <c r="AO328" s="59" t="n"/>
      <c r="AP328" s="59" t="n"/>
      <c r="AQ328" s="59" t="n">
        <v>6</v>
      </c>
      <c r="AR328" s="155" t="inlineStr">
        <is>
          <t>Odoo Universal Unique Brands › Bodega 25 › Bodega 25/General: 6</t>
        </is>
      </c>
    </row>
    <row r="329">
      <c r="A329" s="50" t="inlineStr">
        <is>
          <t>717325218774</t>
        </is>
      </c>
      <c r="B329" s="51" t="inlineStr">
        <is>
          <t>27149</t>
        </is>
      </c>
      <c r="C329" s="156" t="inlineStr">
        <is>
          <t>Montana West</t>
        </is>
      </c>
      <c r="D329" s="156" t="inlineStr">
        <is>
          <t>MWS-W714BR</t>
        </is>
      </c>
      <c r="E329" s="156" t="inlineStr">
        <is>
          <t>MWS-W714BR</t>
        </is>
      </c>
      <c r="F329" s="156" t="inlineStr">
        <is>
          <t>Talla única</t>
        </is>
      </c>
      <c r="G329" s="156" t="inlineStr">
        <is>
          <t>One Size</t>
        </is>
      </c>
      <c r="H329" s="156" t="inlineStr">
        <is>
          <t>Montana West</t>
        </is>
      </c>
      <c r="I329" s="156" t="inlineStr">
        <is>
          <t>Cartera Montana West Café</t>
        </is>
      </c>
      <c r="J329" s="156" t="inlineStr">
        <is>
          <t>Accesorios</t>
        </is>
      </c>
      <c r="K329" s="156" t="inlineStr">
        <is>
          <t>Carteras</t>
        </is>
      </c>
      <c r="L329" s="156" t="inlineStr">
        <is>
          <t>Hombre</t>
        </is>
      </c>
      <c r="M329" s="156" t="inlineStr">
        <is>
          <t>Montana West</t>
        </is>
      </c>
      <c r="N329" s="156" t="n"/>
      <c r="O329" s="156" t="inlineStr">
        <is>
          <t>Core</t>
        </is>
      </c>
      <c r="P329" s="156" t="inlineStr">
        <is>
          <t>Cafe</t>
        </is>
      </c>
      <c r="Q329" s="156" t="n"/>
      <c r="R329" s="156" t="n"/>
      <c r="S329" s="156" t="n"/>
      <c r="T329" s="156" t="inlineStr">
        <is>
          <t>Cartera Montana West. Color: Café. Talla única. Hombre. Referencia: MWS-W714BR.</t>
        </is>
      </c>
      <c r="U329" s="156" t="n"/>
      <c r="V329" s="156" t="inlineStr">
        <is>
          <t>PZS</t>
        </is>
      </c>
      <c r="W329" s="51" t="inlineStr">
        <is>
          <t>53121700</t>
        </is>
      </c>
      <c r="X329" s="156" t="n"/>
      <c r="Y329" s="54" t="n">
        <v>185.15</v>
      </c>
      <c r="Z329" s="54" t="n">
        <v>299</v>
      </c>
      <c r="AA329" s="55">
        <f>IF(AND(A329="", B329="", E329=""), "", IF(AB329="", "Válido", IF((LEN(AB329)-LEN(SUBSTITUTE(AB329,"; ","")))/2+1&gt;(LEN(AB329)-LEN(SUBSTITUTE(AB329,"[Aviso]","")))/7, "Con Incidencias", "Válido")))</f>
        <v/>
      </c>
      <c r="AB329" s="56">
        <f>IF(AND(A329="", B329="", E329=""), "", TEXTJOIN("; ", TRUE, IF(OR(TRIM(A329&amp;"")="", ISNUMBER(SEARCH("FALTA", A329))), "UPC faltante/inválido", ""), IF(AND(A329&lt;&gt;"", IFERROR(_xlfn.XMATCH(A329,$A$2:$A$1063,0,1)&lt;&gt;_xlfn.XMATCH(A329,$A$2:$A$1063,0,-1),FALSE)), "Código de barras duplicado", ""), IF(AND(E329&lt;&gt;"", COUNTIF($E$2:$E$1063, E329)&gt;1), "SKU duplicado", ""), IF(OR(J329="", J329=""), "[Aviso] División no capturada ()", IF(ISNA(MATCH(J329, Criterios!$A$123:$A$126, 0)), "División no válida", "")), IF(OR(K329="", K329=""), "[Aviso] Categoría no capturada ()", IF(ISNA(MATCH(K329, Criterios!$A$81:$A$120, 0)), "Categoría no válida", IF(AND(J329&lt;&gt;"", J329&lt;&gt;"", J329&lt;&gt;VLOOKUP(K329, Criterios!$A$81:$B$120, 2, FALSE)), "División no coincide con Categoría", ""))), IF(OR(L329="", L329=""), "[Aviso] Género no capturado ()", IF(ISNA(MATCH(L329, Criterios!$B$123:$B$127, 0)), "Género no válido", "")), IF(OR(N329="", N329=""), "[Aviso] Temporada no capturada ()", IF(ISNA(MATCH(N329, Criterios!$C$123:$C$128, 0)), "Temporada no válida", "")), IF(OR(O329="", O329=""), "[Aviso] Ciclo de vida no capturado ()", IF(ISNA(MATCH(O329, Criterios!$D$123:$D$124, 0)), "Ciclo de vida no válido", ""))))</f>
        <v/>
      </c>
      <c r="AC329" s="56" t="n"/>
      <c r="AD329" s="51" t="n"/>
      <c r="AE329" s="156" t="n"/>
      <c r="AF329" s="51" t="n"/>
      <c r="AG329" s="156" t="inlineStr">
        <is>
          <t>Nuevo – Carga Hoja2 01/10/2026</t>
        </is>
      </c>
      <c r="AH329" s="156" t="inlineStr">
        <is>
          <t>Alta 01/10/2026 desde Hoja2 (fila 126) | Homologación G1522 06/10/2026: Validador Shopify: WB: precio con IVA no termina en 9</t>
        </is>
      </c>
      <c r="AI329" s="156" t="n"/>
      <c r="AJ329" s="156" t="n"/>
      <c r="AK329" s="155" t="inlineStr">
        <is>
          <t>Hoja2: fila 126 | Odoo: producto 27149 / plantilla 33849</t>
        </is>
      </c>
      <c r="AL329" s="58" t="n"/>
      <c r="AM329" s="58" t="n"/>
      <c r="AN329" s="155" t="inlineStr">
        <is>
          <t>Odoo Universal Unique Brands</t>
        </is>
      </c>
      <c r="AO329" s="59" t="n"/>
      <c r="AP329" s="59" t="n"/>
      <c r="AQ329" s="59" t="n">
        <v>5</v>
      </c>
      <c r="AR329" s="155" t="inlineStr">
        <is>
          <t>Odoo Universal Unique Brands › Bodega 25 › Bodega 25/General: 5</t>
        </is>
      </c>
    </row>
    <row r="330">
      <c r="A330" s="50" t="inlineStr">
        <is>
          <t>717325218804</t>
        </is>
      </c>
      <c r="B330" s="51" t="inlineStr">
        <is>
          <t>27150</t>
        </is>
      </c>
      <c r="C330" s="156" t="inlineStr">
        <is>
          <t>Montana West</t>
        </is>
      </c>
      <c r="D330" s="156" t="inlineStr">
        <is>
          <t>MWS-W716BR</t>
        </is>
      </c>
      <c r="E330" s="156" t="inlineStr">
        <is>
          <t>MWS-W716BR</t>
        </is>
      </c>
      <c r="F330" s="156" t="inlineStr">
        <is>
          <t>Talla única</t>
        </is>
      </c>
      <c r="G330" s="156" t="inlineStr">
        <is>
          <t>One Size</t>
        </is>
      </c>
      <c r="H330" s="156" t="inlineStr">
        <is>
          <t>Montana West</t>
        </is>
      </c>
      <c r="I330" s="156" t="inlineStr">
        <is>
          <t>Cartera Montana West Café</t>
        </is>
      </c>
      <c r="J330" s="156" t="inlineStr">
        <is>
          <t>Accesorios</t>
        </is>
      </c>
      <c r="K330" s="156" t="inlineStr">
        <is>
          <t>Carteras</t>
        </is>
      </c>
      <c r="L330" s="156" t="inlineStr">
        <is>
          <t>Hombre</t>
        </is>
      </c>
      <c r="M330" s="156" t="inlineStr">
        <is>
          <t>Montana West</t>
        </is>
      </c>
      <c r="N330" s="156" t="n"/>
      <c r="O330" s="156" t="inlineStr">
        <is>
          <t>Core</t>
        </is>
      </c>
      <c r="P330" s="156" t="inlineStr">
        <is>
          <t>Cafe</t>
        </is>
      </c>
      <c r="Q330" s="156" t="n"/>
      <c r="R330" s="156" t="n"/>
      <c r="S330" s="156" t="n"/>
      <c r="T330" s="156" t="inlineStr">
        <is>
          <t>Cartera Montana West. Color: Café. Talla única. Hombre. Referencia: MWS-W716BR.</t>
        </is>
      </c>
      <c r="U330" s="156" t="n"/>
      <c r="V330" s="156" t="inlineStr">
        <is>
          <t>PZS</t>
        </is>
      </c>
      <c r="W330" s="51" t="inlineStr">
        <is>
          <t>53121700</t>
        </is>
      </c>
      <c r="X330" s="156" t="n"/>
      <c r="Y330" s="54" t="n">
        <v>185.15</v>
      </c>
      <c r="Z330" s="54" t="n">
        <v>299</v>
      </c>
      <c r="AA330" s="55">
        <f>IF(AND(A330="", B330="", E330=""), "", IF(AB330="", "Válido", IF((LEN(AB330)-LEN(SUBSTITUTE(AB330,"; ","")))/2+1&gt;(LEN(AB330)-LEN(SUBSTITUTE(AB330,"[Aviso]","")))/7, "Con Incidencias", "Válido")))</f>
        <v/>
      </c>
      <c r="AB330" s="56">
        <f>IF(AND(A330="", B330="", E330=""), "", TEXTJOIN("; ", TRUE, IF(OR(TRIM(A330&amp;"")="", ISNUMBER(SEARCH("FALTA", A330))), "UPC faltante/inválido", ""), IF(AND(A330&lt;&gt;"", IFERROR(_xlfn.XMATCH(A330,$A$2:$A$1063,0,1)&lt;&gt;_xlfn.XMATCH(A330,$A$2:$A$1063,0,-1),FALSE)), "Código de barras duplicado", ""), IF(AND(E330&lt;&gt;"", COUNTIF($E$2:$E$1063, E330)&gt;1), "SKU duplicado", ""), IF(OR(J330="", J330=""), "[Aviso] División no capturada ()", IF(ISNA(MATCH(J330, Criterios!$A$123:$A$126, 0)), "División no válida", "")), IF(OR(K330="", K330=""), "[Aviso] Categoría no capturada ()", IF(ISNA(MATCH(K330, Criterios!$A$81:$A$120, 0)), "Categoría no válida", IF(AND(J330&lt;&gt;"", J330&lt;&gt;"", J330&lt;&gt;VLOOKUP(K330, Criterios!$A$81:$B$120, 2, FALSE)), "División no coincide con Categoría", ""))), IF(OR(L330="", L330=""), "[Aviso] Género no capturado ()", IF(ISNA(MATCH(L330, Criterios!$B$123:$B$127, 0)), "Género no válido", "")), IF(OR(N330="", N330=""), "[Aviso] Temporada no capturada ()", IF(ISNA(MATCH(N330, Criterios!$C$123:$C$128, 0)), "Temporada no válida", "")), IF(OR(O330="", O330=""), "[Aviso] Ciclo de vida no capturado ()", IF(ISNA(MATCH(O330, Criterios!$D$123:$D$124, 0)), "Ciclo de vida no válido", ""))))</f>
        <v/>
      </c>
      <c r="AC330" s="56" t="n"/>
      <c r="AD330" s="51" t="n"/>
      <c r="AE330" s="156" t="n"/>
      <c r="AF330" s="51" t="n"/>
      <c r="AG330" s="156" t="inlineStr">
        <is>
          <t>Nuevo – Carga Hoja2 01/10/2026</t>
        </is>
      </c>
      <c r="AH330" s="156" t="inlineStr">
        <is>
          <t>Alta 01/10/2026 desde Hoja2 (fila 127) | Homologación G1522 06/10/2026: Validador Shopify: WB: precio con IVA no termina en 9</t>
        </is>
      </c>
      <c r="AI330" s="156" t="n"/>
      <c r="AJ330" s="156" t="n"/>
      <c r="AK330" s="155" t="inlineStr">
        <is>
          <t>Hoja2: fila 127 | Odoo: producto 27150 / plantilla 33850</t>
        </is>
      </c>
      <c r="AL330" s="58" t="n"/>
      <c r="AM330" s="58" t="n"/>
      <c r="AN330" s="155" t="inlineStr">
        <is>
          <t>Odoo Universal Unique Brands</t>
        </is>
      </c>
      <c r="AO330" s="59" t="n"/>
      <c r="AP330" s="59" t="n"/>
      <c r="AQ330" s="59" t="n">
        <v>6</v>
      </c>
      <c r="AR330" s="155" t="inlineStr">
        <is>
          <t>Odoo Universal Unique Brands › Bodega 25 › Bodega 25/General: 6</t>
        </is>
      </c>
    </row>
    <row r="331">
      <c r="A331" s="50" t="inlineStr">
        <is>
          <t>712288124889</t>
        </is>
      </c>
      <c r="B331" s="51" t="inlineStr">
        <is>
          <t>27151</t>
        </is>
      </c>
      <c r="C331" s="156" t="inlineStr">
        <is>
          <t>Montana West</t>
        </is>
      </c>
      <c r="D331" s="156" t="inlineStr">
        <is>
          <t>RLC-L159LBR</t>
        </is>
      </c>
      <c r="E331" s="156" t="inlineStr">
        <is>
          <t>RLC-L159LBR</t>
        </is>
      </c>
      <c r="F331" s="156" t="inlineStr">
        <is>
          <t>Talla única</t>
        </is>
      </c>
      <c r="G331" s="156" t="inlineStr">
        <is>
          <t>One Size</t>
        </is>
      </c>
      <c r="H331" s="156" t="inlineStr">
        <is>
          <t>Montana West</t>
        </is>
      </c>
      <c r="I331" s="156" t="inlineStr">
        <is>
          <t>Bolsa de Piel Montana West Leopardo Café</t>
        </is>
      </c>
      <c r="J331" s="156" t="inlineStr">
        <is>
          <t>Accesorios</t>
        </is>
      </c>
      <c r="K331" s="156" t="inlineStr">
        <is>
          <t>Bolsos</t>
        </is>
      </c>
      <c r="L331" s="156" t="inlineStr">
        <is>
          <t>Mujer</t>
        </is>
      </c>
      <c r="M331" s="156" t="inlineStr">
        <is>
          <t>Montana West</t>
        </is>
      </c>
      <c r="N331" s="156" t="n"/>
      <c r="O331" s="156" t="inlineStr">
        <is>
          <t>Core</t>
        </is>
      </c>
      <c r="P331" s="156" t="inlineStr">
        <is>
          <t>Cafe</t>
        </is>
      </c>
      <c r="Q331" s="156" t="n"/>
      <c r="R331" s="156" t="n"/>
      <c r="S331" s="156" t="inlineStr">
        <is>
          <t>Exterior: piel genuina</t>
        </is>
      </c>
      <c r="T331" s="156" t="inlineStr">
        <is>
          <t>Bolsa de Piel Montana West. Color: Leopardo Café. Talla única. Mujer. Exterior: piel genuina. Referencia: RLC-L159LBR.</t>
        </is>
      </c>
      <c r="U331" s="156" t="n"/>
      <c r="V331" s="156" t="inlineStr">
        <is>
          <t>PZS</t>
        </is>
      </c>
      <c r="W331" s="51" t="inlineStr">
        <is>
          <t>53121601</t>
        </is>
      </c>
      <c r="X331" s="156" t="inlineStr">
        <is>
          <t>https://cdn.shopify.com/s/files/1/0005/9015/1741/files/RLC-L159LBR2.webp?v=1760150604</t>
        </is>
      </c>
      <c r="Y331" s="54" t="n">
        <v>418.6</v>
      </c>
      <c r="Z331" s="54" t="n">
        <v>699</v>
      </c>
      <c r="AA331" s="55">
        <f>IF(AND(A331="", B331="", E331=""), "", IF(AB331="", "Válido", IF((LEN(AB331)-LEN(SUBSTITUTE(AB331,"; ","")))/2+1&gt;(LEN(AB331)-LEN(SUBSTITUTE(AB331,"[Aviso]","")))/7, "Con Incidencias", "Válido")))</f>
        <v/>
      </c>
      <c r="AB331" s="56">
        <f>IF(AND(A331="", B331="", E331=""), "", TEXTJOIN("; ", TRUE, IF(OR(TRIM(A331&amp;"")="", ISNUMBER(SEARCH("FALTA", A331))), "UPC faltante/inválido", ""), IF(AND(A331&lt;&gt;"", IFERROR(_xlfn.XMATCH(A331,$A$2:$A$1063,0,1)&lt;&gt;_xlfn.XMATCH(A331,$A$2:$A$1063,0,-1),FALSE)), "Código de barras duplicado", ""), IF(AND(E331&lt;&gt;"", COUNTIF($E$2:$E$1063, E331)&gt;1), "SKU duplicado", ""), IF(OR(J331="", J331=""), "[Aviso] División no capturada ()", IF(ISNA(MATCH(J331, Criterios!$A$123:$A$126, 0)), "División no válida", "")), IF(OR(K331="", K331=""), "[Aviso] Categoría no capturada ()", IF(ISNA(MATCH(K331, Criterios!$A$81:$A$120, 0)), "Categoría no válida", IF(AND(J331&lt;&gt;"", J331&lt;&gt;"", J331&lt;&gt;VLOOKUP(K331, Criterios!$A$81:$B$120, 2, FALSE)), "División no coincide con Categoría", ""))), IF(OR(L331="", L331=""), "[Aviso] Género no capturado ()", IF(ISNA(MATCH(L331, Criterios!$B$123:$B$127, 0)), "Género no válido", "")), IF(OR(N331="", N331=""), "[Aviso] Temporada no capturada ()", IF(ISNA(MATCH(N331, Criterios!$C$123:$C$128, 0)), "Temporada no válida", "")), IF(OR(O331="", O331=""), "[Aviso] Ciclo de vida no capturado ()", IF(ISNA(MATCH(O331, Criterios!$D$123:$D$124, 0)), "Ciclo de vida no válido", ""))))</f>
        <v/>
      </c>
      <c r="AC331" s="56" t="n"/>
      <c r="AD331" s="51" t="n"/>
      <c r="AE331" s="156" t="n"/>
      <c r="AF331" s="51" t="n"/>
      <c r="AG331" s="156" t="inlineStr">
        <is>
          <t>Nuevo – Carga Hoja2 01/10/2026</t>
        </is>
      </c>
      <c r="AH331" s="156" t="inlineStr">
        <is>
          <t>Alta 01/10/2026 desde Hoja2 (fila 129) | 01/10/2026: Odoo Universal Unique Brands trae Género «Unisex» — se conservó el valor de Productos | Homologación G1522 06/10/2026: Enlace de imagen: «» → «https://cdn.shopify.com/s/files/1/0005/9015/1741/files/RLC-L159LBR2.webp?v=1760150604» (Completado por investigación en línea) · Validador Shopify: WB: precio con IVA no termina en 9</t>
        </is>
      </c>
      <c r="AI331" s="156" t="n"/>
      <c r="AJ331" s="156" t="n"/>
      <c r="AK331" s="155" t="inlineStr">
        <is>
          <t>Hoja2: fila 129 | Odoo: producto 27151 / plantilla 33851 | Investigación en línea 06/10/2026: https://montanawestworld.com/products/montana-west-genuine-leather-floral-fringe-crossbody</t>
        </is>
      </c>
      <c r="AL331" s="58" t="n"/>
      <c r="AM331" s="58" t="n"/>
      <c r="AN331" s="155" t="inlineStr">
        <is>
          <t>Odoo Universal Unique Brands</t>
        </is>
      </c>
      <c r="AO331" s="59" t="n"/>
      <c r="AP331" s="59" t="n"/>
      <c r="AQ331" s="59" t="n">
        <v>3</v>
      </c>
      <c r="AR331" s="155" t="inlineStr">
        <is>
          <t>Odoo Universal Unique Brands › Bodega 25 › Bodega 25/General: 3</t>
        </is>
      </c>
    </row>
    <row r="332">
      <c r="A332" s="50" t="n"/>
      <c r="B332" s="51" t="inlineStr">
        <is>
          <t>27152</t>
        </is>
      </c>
      <c r="C332" s="156" t="inlineStr">
        <is>
          <t>Montana West</t>
        </is>
      </c>
      <c r="D332" s="156" t="n"/>
      <c r="E332" s="156" t="inlineStr">
        <is>
          <t>RLC-L159OAK</t>
        </is>
      </c>
      <c r="F332" s="156" t="inlineStr">
        <is>
          <t>Talla única</t>
        </is>
      </c>
      <c r="G332" s="156" t="inlineStr">
        <is>
          <t>One Size</t>
        </is>
      </c>
      <c r="H332" s="156" t="inlineStr">
        <is>
          <t>Montana West</t>
        </is>
      </c>
      <c r="I332" s="156" t="inlineStr">
        <is>
          <t>MW REAL LEATHER BAG</t>
        </is>
      </c>
      <c r="J332" s="156" t="inlineStr">
        <is>
          <t>Accesorios</t>
        </is>
      </c>
      <c r="K332" s="156" t="inlineStr">
        <is>
          <t>Bolsos</t>
        </is>
      </c>
      <c r="L332" s="156" t="inlineStr">
        <is>
          <t>Unisex</t>
        </is>
      </c>
      <c r="M332" s="156" t="n"/>
      <c r="N332" s="156" t="n"/>
      <c r="O332" s="156" t="n"/>
      <c r="P332" s="156" t="n"/>
      <c r="Q332" s="156" t="n"/>
      <c r="R332" s="156" t="n"/>
      <c r="S332" s="156" t="n"/>
      <c r="T332" s="156" t="n"/>
      <c r="U332" s="156" t="n"/>
      <c r="V332" s="156" t="inlineStr">
        <is>
          <t>PZS</t>
        </is>
      </c>
      <c r="W332" s="51" t="inlineStr">
        <is>
          <t>53121601</t>
        </is>
      </c>
      <c r="X332" s="156" t="inlineStr">
        <is>
          <t>https://cdn.shopify.com/s/files/1/0005/9015/1741/files/RLC-L159OAK.webp?v=1760150604</t>
        </is>
      </c>
      <c r="Y332" s="54" t="n">
        <v>418.6</v>
      </c>
      <c r="Z332" s="54" t="n">
        <v>699</v>
      </c>
      <c r="AA332" s="55">
        <f>IF(AND(A332="", B332="", E332=""), "", IF(AB332="", "Válido", IF((LEN(AB332)-LEN(SUBSTITUTE(AB332,"; ","")))/2+1&gt;(LEN(AB332)-LEN(SUBSTITUTE(AB332,"[Aviso]","")))/7, "Con Incidencias", "Válido")))</f>
        <v/>
      </c>
      <c r="AB332" s="56">
        <f>IF(AND(A332="", B332="", E332=""), "", TEXTJOIN("; ", TRUE, IF(OR(TRIM(A332&amp;"")="", ISNUMBER(SEARCH("FALTA", A332))), "UPC faltante/inválido", ""), IF(AND(A332&lt;&gt;"", IFERROR(_xlfn.XMATCH(A332,$A$2:$A$1063,0,1)&lt;&gt;_xlfn.XMATCH(A332,$A$2:$A$1063,0,-1),FALSE)), "Código de barras duplicado", ""), IF(AND(E332&lt;&gt;"", COUNTIF($E$2:$E$1063, E332)&gt;1), "SKU duplicado", ""), IF(OR(J332="", J332=""), "[Aviso] División no capturada ()", IF(ISNA(MATCH(J332, Criterios!$A$123:$A$126, 0)), "División no válida", "")), IF(OR(K332="", K332=""), "[Aviso] Categoría no capturada ()", IF(ISNA(MATCH(K332, Criterios!$A$81:$A$120, 0)), "Categoría no válida", IF(AND(J332&lt;&gt;"", J332&lt;&gt;"", J332&lt;&gt;VLOOKUP(K332, Criterios!$A$81:$B$120, 2, FALSE)), "División no coincide con Categoría", ""))), IF(OR(L332="", L332=""), "[Aviso] Género no capturado ()", IF(ISNA(MATCH(L332, Criterios!$B$123:$B$127, 0)), "Género no válido", "")), IF(OR(N332="", N332=""), "[Aviso] Temporada no capturada ()", IF(ISNA(MATCH(N332, Criterios!$C$123:$C$128, 0)), "Temporada no válida", "")), IF(OR(O332="", O332=""), "[Aviso] Ciclo de vida no capturado ()", IF(ISNA(MATCH(O332, Criterios!$D$123:$D$124, 0)), "Ciclo de vida no válido", ""))))</f>
        <v/>
      </c>
      <c r="AC332" s="56" t="n"/>
      <c r="AD332" s="51" t="n"/>
      <c r="AE332" s="156" t="n"/>
      <c r="AF332" s="51" t="n"/>
      <c r="AG332" s="156" t="inlineStr">
        <is>
          <t>Nuevo – Carga Hoja2 01/10/2026</t>
        </is>
      </c>
      <c r="AH332" s="156" t="inlineStr">
        <is>
          <t>Alta 01/10/2026 desde Hoja2 (fila 130) | 01/10/2026: complementado desde Odoo Universal Unique Brands (match por SKU): WB Talla, WB Talla de EE. UU., WB Género | Homologación G1522 06/10/2026: Enlace de imagen: «» → «https://cdn.shopify.com/s/files/1/0005/9015/1741/files/RLC-L159OAK.webp?v=1760150604»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332" s="156" t="n"/>
      <c r="AJ332" s="156" t="n"/>
      <c r="AK332" s="155" t="inlineStr">
        <is>
          <t>Hoja2: fila 130 | Odoo: producto 27152 / plantilla 33852 | Investigación en línea 06/10/2026: https://montanawestworld.com/products/montana-west-genuine-leather-floral-fringe-crossbody</t>
        </is>
      </c>
      <c r="AL332" s="58" t="n"/>
      <c r="AM332" s="58" t="n"/>
      <c r="AN332" s="155" t="inlineStr">
        <is>
          <t>Odoo Universal Unique Brands</t>
        </is>
      </c>
      <c r="AO332" s="59" t="n"/>
      <c r="AP332" s="59" t="n"/>
      <c r="AQ332" s="59" t="n">
        <v>10</v>
      </c>
      <c r="AR332" s="155" t="inlineStr">
        <is>
          <t>Odoo Universal Unique Brands › Bodega 25 › Bodega 25/General: 10</t>
        </is>
      </c>
    </row>
    <row r="333">
      <c r="A333" s="50" t="inlineStr">
        <is>
          <t>712288124926</t>
        </is>
      </c>
      <c r="B333" s="51" t="inlineStr">
        <is>
          <t>27153</t>
        </is>
      </c>
      <c r="C333" s="156" t="inlineStr">
        <is>
          <t>Montana West</t>
        </is>
      </c>
      <c r="D333" s="156" t="inlineStr">
        <is>
          <t>RLC-L159RD</t>
        </is>
      </c>
      <c r="E333" s="156" t="inlineStr">
        <is>
          <t>RLC-L159RD</t>
        </is>
      </c>
      <c r="F333" s="156" t="inlineStr">
        <is>
          <t>Talla única</t>
        </is>
      </c>
      <c r="G333" s="156" t="inlineStr">
        <is>
          <t>One Size</t>
        </is>
      </c>
      <c r="H333" s="156" t="inlineStr">
        <is>
          <t>Montana West</t>
        </is>
      </c>
      <c r="I333" s="156" t="inlineStr">
        <is>
          <t>Bolsa de Piel Montana West Rojo</t>
        </is>
      </c>
      <c r="J333" s="156" t="inlineStr">
        <is>
          <t>Accesorios</t>
        </is>
      </c>
      <c r="K333" s="156" t="inlineStr">
        <is>
          <t>Bolsos</t>
        </is>
      </c>
      <c r="L333" s="156" t="inlineStr">
        <is>
          <t>Mujer</t>
        </is>
      </c>
      <c r="M333" s="156" t="inlineStr">
        <is>
          <t>Montana West</t>
        </is>
      </c>
      <c r="N333" s="156" t="n"/>
      <c r="O333" s="156" t="inlineStr">
        <is>
          <t>Core</t>
        </is>
      </c>
      <c r="P333" s="156" t="inlineStr">
        <is>
          <t>Rojo</t>
        </is>
      </c>
      <c r="Q333" s="156" t="n"/>
      <c r="R333" s="156" t="n"/>
      <c r="S333" s="156" t="inlineStr">
        <is>
          <t>Exterior: piel genuina</t>
        </is>
      </c>
      <c r="T333" s="156" t="inlineStr">
        <is>
          <t>Bolsa de Piel Montana West. Color: Rojo. Talla única. Mujer. Exterior: piel genuina. Referencia: RLC-L159RD.</t>
        </is>
      </c>
      <c r="U333" s="156" t="n"/>
      <c r="V333" s="156" t="inlineStr">
        <is>
          <t>PZS</t>
        </is>
      </c>
      <c r="W333" s="51" t="inlineStr">
        <is>
          <t>53121601</t>
        </is>
      </c>
      <c r="X333" s="156" t="inlineStr">
        <is>
          <t>https://cdn.shopify.com/s/files/1/0005/9015/1741/files/RLC-L159PK.webp?v=1760150604</t>
        </is>
      </c>
      <c r="Y333" s="54" t="n">
        <v>418.6</v>
      </c>
      <c r="Z333" s="54" t="n">
        <v>699</v>
      </c>
      <c r="AA333" s="55">
        <f>IF(AND(A333="", B333="", E333=""), "", IF(AB333="", "Válido", IF((LEN(AB333)-LEN(SUBSTITUTE(AB333,"; ","")))/2+1&gt;(LEN(AB333)-LEN(SUBSTITUTE(AB333,"[Aviso]","")))/7, "Con Incidencias", "Válido")))</f>
        <v/>
      </c>
      <c r="AB333" s="56">
        <f>IF(AND(A333="", B333="", E333=""), "", TEXTJOIN("; ", TRUE, IF(OR(TRIM(A333&amp;"")="", ISNUMBER(SEARCH("FALTA", A333))), "UPC faltante/inválido", ""), IF(AND(A333&lt;&gt;"", IFERROR(_xlfn.XMATCH(A333,$A$2:$A$1063,0,1)&lt;&gt;_xlfn.XMATCH(A333,$A$2:$A$1063,0,-1),FALSE)), "Código de barras duplicado", ""), IF(AND(E333&lt;&gt;"", COUNTIF($E$2:$E$1063, E333)&gt;1), "SKU duplicado", ""), IF(OR(J333="", J333=""), "[Aviso] División no capturada ()", IF(ISNA(MATCH(J333, Criterios!$A$123:$A$126, 0)), "División no válida", "")), IF(OR(K333="", K333=""), "[Aviso] Categoría no capturada ()", IF(ISNA(MATCH(K333, Criterios!$A$81:$A$120, 0)), "Categoría no válida", IF(AND(J333&lt;&gt;"", J333&lt;&gt;"", J333&lt;&gt;VLOOKUP(K333, Criterios!$A$81:$B$120, 2, FALSE)), "División no coincide con Categoría", ""))), IF(OR(L333="", L333=""), "[Aviso] Género no capturado ()", IF(ISNA(MATCH(L333, Criterios!$B$123:$B$127, 0)), "Género no válido", "")), IF(OR(N333="", N333=""), "[Aviso] Temporada no capturada ()", IF(ISNA(MATCH(N333, Criterios!$C$123:$C$128, 0)), "Temporada no válida", "")), IF(OR(O333="", O333=""), "[Aviso] Ciclo de vida no capturado ()", IF(ISNA(MATCH(O333, Criterios!$D$123:$D$124, 0)), "Ciclo de vida no válido", ""))))</f>
        <v/>
      </c>
      <c r="AC333" s="56" t="n"/>
      <c r="AD333" s="51" t="n"/>
      <c r="AE333" s="156" t="n"/>
      <c r="AF333" s="51" t="n"/>
      <c r="AG333" s="156" t="inlineStr">
        <is>
          <t>Nuevo – Carga Hoja2 01/10/2026</t>
        </is>
      </c>
      <c r="AH333" s="156" t="inlineStr">
        <is>
          <t>Alta 01/10/2026 desde Hoja2 (fila 131) | 01/10/2026: Odoo Universal Unique Brands trae Género «Unisex» — se conservó el valor de Productos | Homologación G1522 06/10/2026: Enlace de imagen: «» → «https://cdn.shopify.com/s/files/1/0005/9015/1741/files/RLC-L159PK.webp?v=1760150604» (Completado por investigación en línea) · Validador Shopify: WB: precio con IVA no termina en 9</t>
        </is>
      </c>
      <c r="AI333" s="156" t="n"/>
      <c r="AJ333" s="156" t="n"/>
      <c r="AK333" s="155" t="inlineStr">
        <is>
          <t>Hoja2: fila 131 | Odoo: producto 27153 / plantilla 33853 | Investigación en línea 06/10/2026: https://montanawestworld.com/products/montana-west-genuine-leather-floral-fringe-crossbody</t>
        </is>
      </c>
      <c r="AL333" s="58" t="n"/>
      <c r="AM333" s="58" t="n"/>
      <c r="AN333" s="155" t="inlineStr">
        <is>
          <t>Odoo Universal Unique Brands</t>
        </is>
      </c>
      <c r="AO333" s="59" t="n"/>
      <c r="AP333" s="59" t="n"/>
      <c r="AQ333" s="59" t="n">
        <v>0</v>
      </c>
      <c r="AR333" s="155" t="n"/>
    </row>
    <row r="334">
      <c r="A334" s="50" t="inlineStr">
        <is>
          <t>762704258360</t>
        </is>
      </c>
      <c r="B334" s="51" t="inlineStr">
        <is>
          <t>27154</t>
        </is>
      </c>
      <c r="C334" s="156" t="inlineStr">
        <is>
          <t>Montana West</t>
        </is>
      </c>
      <c r="D334" s="156" t="inlineStr">
        <is>
          <t>RLC-L159TN</t>
        </is>
      </c>
      <c r="E334" s="156" t="inlineStr">
        <is>
          <t>RLC-L159TN</t>
        </is>
      </c>
      <c r="F334" s="156" t="inlineStr">
        <is>
          <t>Talla única</t>
        </is>
      </c>
      <c r="G334" s="156" t="inlineStr">
        <is>
          <t>One Size</t>
        </is>
      </c>
      <c r="H334" s="156" t="inlineStr">
        <is>
          <t>Montana West</t>
        </is>
      </c>
      <c r="I334" s="156" t="inlineStr">
        <is>
          <t>Bolsa de Piel Montana West Camel</t>
        </is>
      </c>
      <c r="J334" s="156" t="inlineStr">
        <is>
          <t>Accesorios</t>
        </is>
      </c>
      <c r="K334" s="156" t="inlineStr">
        <is>
          <t>Bolsos</t>
        </is>
      </c>
      <c r="L334" s="156" t="inlineStr">
        <is>
          <t>Mujer</t>
        </is>
      </c>
      <c r="M334" s="156" t="inlineStr">
        <is>
          <t>Montana West</t>
        </is>
      </c>
      <c r="N334" s="156" t="n"/>
      <c r="O334" s="156" t="inlineStr">
        <is>
          <t>Core</t>
        </is>
      </c>
      <c r="P334" s="156" t="inlineStr">
        <is>
          <t>Beige</t>
        </is>
      </c>
      <c r="Q334" s="156" t="n"/>
      <c r="R334" s="156" t="n"/>
      <c r="S334" s="156" t="inlineStr">
        <is>
          <t>Exterior: piel genuina</t>
        </is>
      </c>
      <c r="T334" s="156" t="inlineStr">
        <is>
          <t>Bolsa de Piel Montana West. Color: Camel. Talla única. Mujer. Exterior: piel genuina. Referencia: RLC-L159TN.</t>
        </is>
      </c>
      <c r="U334" s="156" t="n"/>
      <c r="V334" s="156" t="inlineStr">
        <is>
          <t>PZS</t>
        </is>
      </c>
      <c r="W334" s="51" t="inlineStr">
        <is>
          <t>53121601</t>
        </is>
      </c>
      <c r="X334" s="156" t="inlineStr">
        <is>
          <t>https://cdn.shopify.com/s/files/1/0005/9015/1741/files/RLC-L159TAN.webp?v=1760150604</t>
        </is>
      </c>
      <c r="Y334" s="54" t="n">
        <v>418.6</v>
      </c>
      <c r="Z334" s="54" t="n">
        <v>699</v>
      </c>
      <c r="AA334" s="55">
        <f>IF(AND(A334="", B334="", E334=""), "", IF(AB334="", "Válido", IF((LEN(AB334)-LEN(SUBSTITUTE(AB334,"; ","")))/2+1&gt;(LEN(AB334)-LEN(SUBSTITUTE(AB334,"[Aviso]","")))/7, "Con Incidencias", "Válido")))</f>
        <v/>
      </c>
      <c r="AB334" s="56">
        <f>IF(AND(A334="", B334="", E334=""), "", TEXTJOIN("; ", TRUE, IF(OR(TRIM(A334&amp;"")="", ISNUMBER(SEARCH("FALTA", A334))), "UPC faltante/inválido", ""), IF(AND(A334&lt;&gt;"", IFERROR(_xlfn.XMATCH(A334,$A$2:$A$1063,0,1)&lt;&gt;_xlfn.XMATCH(A334,$A$2:$A$1063,0,-1),FALSE)), "Código de barras duplicado", ""), IF(AND(E334&lt;&gt;"", COUNTIF($E$2:$E$1063, E334)&gt;1), "SKU duplicado", ""), IF(OR(J334="", J334=""), "[Aviso] División no capturada ()", IF(ISNA(MATCH(J334, Criterios!$A$123:$A$126, 0)), "División no válida", "")), IF(OR(K334="", K334=""), "[Aviso] Categoría no capturada ()", IF(ISNA(MATCH(K334, Criterios!$A$81:$A$120, 0)), "Categoría no válida", IF(AND(J334&lt;&gt;"", J334&lt;&gt;"", J334&lt;&gt;VLOOKUP(K334, Criterios!$A$81:$B$120, 2, FALSE)), "División no coincide con Categoría", ""))), IF(OR(L334="", L334=""), "[Aviso] Género no capturado ()", IF(ISNA(MATCH(L334, Criterios!$B$123:$B$127, 0)), "Género no válido", "")), IF(OR(N334="", N334=""), "[Aviso] Temporada no capturada ()", IF(ISNA(MATCH(N334, Criterios!$C$123:$C$128, 0)), "Temporada no válida", "")), IF(OR(O334="", O334=""), "[Aviso] Ciclo de vida no capturado ()", IF(ISNA(MATCH(O334, Criterios!$D$123:$D$124, 0)), "Ciclo de vida no válido", ""))))</f>
        <v/>
      </c>
      <c r="AC334" s="56" t="n"/>
      <c r="AD334" s="51" t="n"/>
      <c r="AE334" s="156" t="n"/>
      <c r="AF334" s="51" t="n"/>
      <c r="AG334" s="156" t="inlineStr">
        <is>
          <t>Nuevo – Carga Hoja2 01/10/2026</t>
        </is>
      </c>
      <c r="AH334" s="156" t="inlineStr">
        <is>
          <t>Alta 01/10/2026 desde Hoja2 (fila 132) | 01/10/2026: Odoo Universal Unique Brands trae Género «Unisex» — se conservó el valor de Productos | Homologación G1522 06/10/2026: Enlace de imagen: «» → «https://cdn.shopify.com/s/files/1/0005/9015/1741/files/RLC-L159TAN.webp?v=1760150604» (Completado por investigación en línea) · Validador Shopify: WB: precio con IVA no termina en 9</t>
        </is>
      </c>
      <c r="AI334" s="156" t="n"/>
      <c r="AJ334" s="156" t="n"/>
      <c r="AK334" s="155" t="inlineStr">
        <is>
          <t>Hoja2: fila 132 | Odoo: producto 27154 / plantilla 33854 | Investigación en línea 06/10/2026: https://montanawestworld.com/products/montana-west-genuine-leather-floral-fringe-crossbody</t>
        </is>
      </c>
      <c r="AL334" s="58" t="n"/>
      <c r="AM334" s="58" t="n"/>
      <c r="AN334" s="155" t="inlineStr">
        <is>
          <t>Odoo Universal Unique Brands</t>
        </is>
      </c>
      <c r="AO334" s="59" t="n"/>
      <c r="AP334" s="59" t="n"/>
      <c r="AQ334" s="59" t="n">
        <v>3</v>
      </c>
      <c r="AR334" s="155" t="inlineStr">
        <is>
          <t>Odoo Universal Unique Brands › Bodega 25 › Bodega 25/General: 3</t>
        </is>
      </c>
    </row>
    <row r="335">
      <c r="A335" s="50" t="inlineStr">
        <is>
          <t>9900000368845</t>
        </is>
      </c>
      <c r="B335" s="51" t="inlineStr">
        <is>
          <t>11261</t>
        </is>
      </c>
      <c r="C335" s="156" t="inlineStr">
        <is>
          <t>Montana West</t>
        </is>
      </c>
      <c r="D335" s="156" t="inlineStr">
        <is>
          <t>RLC-L161BR</t>
        </is>
      </c>
      <c r="E335" s="156" t="inlineStr">
        <is>
          <t>RLC-L161BR</t>
        </is>
      </c>
      <c r="F335" s="156" t="inlineStr">
        <is>
          <t>Talla única</t>
        </is>
      </c>
      <c r="G335" s="156" t="inlineStr">
        <is>
          <t>One Size</t>
        </is>
      </c>
      <c r="H335" s="156" t="inlineStr">
        <is>
          <t>Montana West</t>
        </is>
      </c>
      <c r="I335" s="156" t="inlineStr">
        <is>
          <t>Bolsa de Piel Montana West Café</t>
        </is>
      </c>
      <c r="J335" s="156" t="inlineStr">
        <is>
          <t>Accesorios</t>
        </is>
      </c>
      <c r="K335" s="156" t="inlineStr">
        <is>
          <t>Bolsos</t>
        </is>
      </c>
      <c r="L335" s="156" t="inlineStr">
        <is>
          <t>Mujer</t>
        </is>
      </c>
      <c r="M335" s="156" t="inlineStr">
        <is>
          <t>Montana West</t>
        </is>
      </c>
      <c r="N335" s="156" t="n"/>
      <c r="O335" s="156" t="inlineStr">
        <is>
          <t>Core</t>
        </is>
      </c>
      <c r="P335" s="156" t="inlineStr">
        <is>
          <t>Cafe</t>
        </is>
      </c>
      <c r="Q335" s="156" t="n"/>
      <c r="R335" s="156" t="n"/>
      <c r="S335" s="156" t="inlineStr">
        <is>
          <t>Exterior: piel genuina</t>
        </is>
      </c>
      <c r="T335" s="156" t="inlineStr">
        <is>
          <t>Bolsa de Piel Montana West. Color: Café. Talla única. Mujer. Exterior: piel genuina. Referencia: RLC-L161BR.</t>
        </is>
      </c>
      <c r="U335" s="156" t="n"/>
      <c r="V335" s="156" t="inlineStr">
        <is>
          <t>PZS</t>
        </is>
      </c>
      <c r="W335" s="51" t="inlineStr">
        <is>
          <t>53121601</t>
        </is>
      </c>
      <c r="X335" s="156" t="n"/>
      <c r="Y335" s="54" t="n">
        <v>448.5</v>
      </c>
      <c r="Z335" s="54" t="n">
        <v>799</v>
      </c>
      <c r="AA335" s="55">
        <f>IF(AND(A335="", B335="", E335=""), "", IF(AB335="", "Válido", IF((LEN(AB335)-LEN(SUBSTITUTE(AB335,"; ","")))/2+1&gt;(LEN(AB335)-LEN(SUBSTITUTE(AB335,"[Aviso]","")))/7, "Con Incidencias", "Válido")))</f>
        <v/>
      </c>
      <c r="AB335" s="56">
        <f>IF(AND(A335="", B335="", E335=""), "", TEXTJOIN("; ", TRUE, IF(OR(TRIM(A335&amp;"")="", ISNUMBER(SEARCH("FALTA", A335))), "UPC faltante/inválido", ""), IF(AND(A335&lt;&gt;"", IFERROR(_xlfn.XMATCH(A335,$A$2:$A$1063,0,1)&lt;&gt;_xlfn.XMATCH(A335,$A$2:$A$1063,0,-1),FALSE)), "Código de barras duplicado", ""), IF(AND(E335&lt;&gt;"", COUNTIF($E$2:$E$1063, E335)&gt;1), "SKU duplicado", ""), IF(OR(J335="", J335=""), "[Aviso] División no capturada ()", IF(ISNA(MATCH(J335, Criterios!$A$123:$A$126, 0)), "División no válida", "")), IF(OR(K335="", K335=""), "[Aviso] Categoría no capturada ()", IF(ISNA(MATCH(K335, Criterios!$A$81:$A$120, 0)), "Categoría no válida", IF(AND(J335&lt;&gt;"", J335&lt;&gt;"", J335&lt;&gt;VLOOKUP(K335, Criterios!$A$81:$B$120, 2, FALSE)), "División no coincide con Categoría", ""))), IF(OR(L335="", L335=""), "[Aviso] Género no capturado ()", IF(ISNA(MATCH(L335, Criterios!$B$123:$B$127, 0)), "Género no válido", "")), IF(OR(N335="", N335=""), "[Aviso] Temporada no capturada ()", IF(ISNA(MATCH(N335, Criterios!$C$123:$C$128, 0)), "Temporada no válida", "")), IF(OR(O335="", O335=""), "[Aviso] Ciclo de vida no capturado ()", IF(ISNA(MATCH(O335, Criterios!$D$123:$D$124, 0)), "Ciclo de vida no válido", ""))))</f>
        <v/>
      </c>
      <c r="AC335" s="56" t="n"/>
      <c r="AD335" s="51" t="n"/>
      <c r="AE335" s="156" t="n"/>
      <c r="AF335" s="51" t="n"/>
      <c r="AG335" s="156" t="inlineStr">
        <is>
          <t>Nuevo – Carga Hoja2 01/10/2026</t>
        </is>
      </c>
      <c r="AH335" s="156" t="inlineStr">
        <is>
          <t>Alta 01/10/2026 desde Hoja2 (fila 133) | 01/10/2026: Odoo Universal Unique Brands trae Género «Unisex» — se conservó el valor de Productos | Homologación G1522 06/10/2026: Validador Shopify: WB: precio con IVA no termina en 9</t>
        </is>
      </c>
      <c r="AI335" s="156" t="n"/>
      <c r="AJ335" s="156" t="n"/>
      <c r="AK335" s="155" t="inlineStr">
        <is>
          <t>Hoja2: fila 133 | Odoo: producto 11261 / plantilla 14696</t>
        </is>
      </c>
      <c r="AL335" s="58" t="n"/>
      <c r="AM335" s="58" t="n"/>
      <c r="AN335" s="155" t="inlineStr">
        <is>
          <t>Odoo Universal Unique Brands</t>
        </is>
      </c>
      <c r="AO335" s="59" t="n"/>
      <c r="AP335" s="59" t="n"/>
      <c r="AQ335" s="59" t="n">
        <v>6</v>
      </c>
      <c r="AR335" s="155" t="inlineStr">
        <is>
          <t>Odoo Universal Unique Brands › Bodega 25 › Bodega 25/General: 6</t>
        </is>
      </c>
    </row>
    <row r="336">
      <c r="A336" s="50" t="inlineStr">
        <is>
          <t>762704246060</t>
        </is>
      </c>
      <c r="B336" s="51" t="inlineStr">
        <is>
          <t>27156</t>
        </is>
      </c>
      <c r="C336" s="156" t="inlineStr">
        <is>
          <t>Montana West</t>
        </is>
      </c>
      <c r="D336" s="156" t="inlineStr">
        <is>
          <t>RLC-L168CF</t>
        </is>
      </c>
      <c r="E336" s="156" t="inlineStr">
        <is>
          <t>RLC-L168CF</t>
        </is>
      </c>
      <c r="F336" s="156" t="inlineStr">
        <is>
          <t>Talla única</t>
        </is>
      </c>
      <c r="G336" s="156" t="inlineStr">
        <is>
          <t>One Size</t>
        </is>
      </c>
      <c r="H336" s="156" t="inlineStr">
        <is>
          <t>Montana West</t>
        </is>
      </c>
      <c r="I336" s="156" t="inlineStr">
        <is>
          <t>Bolsa Cruzada Montana West Café Oscuro</t>
        </is>
      </c>
      <c r="J336" s="156" t="inlineStr">
        <is>
          <t>Accesorios</t>
        </is>
      </c>
      <c r="K336" s="156" t="inlineStr">
        <is>
          <t>Bolsos</t>
        </is>
      </c>
      <c r="L336" s="156" t="inlineStr">
        <is>
          <t>Mujer</t>
        </is>
      </c>
      <c r="M336" s="156" t="inlineStr">
        <is>
          <t>Montana West</t>
        </is>
      </c>
      <c r="N336" s="156" t="n"/>
      <c r="O336" s="156" t="inlineStr">
        <is>
          <t>Core</t>
        </is>
      </c>
      <c r="P336" s="156" t="inlineStr">
        <is>
          <t>Cafe</t>
        </is>
      </c>
      <c r="Q336" s="156" t="n"/>
      <c r="R336" s="156" t="n"/>
      <c r="S336" s="156" t="inlineStr">
        <is>
          <t>Exterior: piel genuina</t>
        </is>
      </c>
      <c r="T336" s="156" t="inlineStr">
        <is>
          <t>Bolsa Cruzada Montana West. Color: Café Oscuro. Talla única. Mujer. Exterior: piel genuina. Referencia: RLC-L168CF.</t>
        </is>
      </c>
      <c r="U336" s="156" t="n"/>
      <c r="V336" s="156" t="inlineStr">
        <is>
          <t>PZS</t>
        </is>
      </c>
      <c r="W336" s="51" t="inlineStr">
        <is>
          <t>53121601</t>
        </is>
      </c>
      <c r="X336" s="156" t="n"/>
      <c r="Y336" s="54" t="n">
        <v>418.6</v>
      </c>
      <c r="Z336" s="54" t="n">
        <v>699</v>
      </c>
      <c r="AA336" s="55">
        <f>IF(AND(A336="", B336="", E336=""), "", IF(AB336="", "Válido", IF((LEN(AB336)-LEN(SUBSTITUTE(AB336,"; ","")))/2+1&gt;(LEN(AB336)-LEN(SUBSTITUTE(AB336,"[Aviso]","")))/7, "Con Incidencias", "Válido")))</f>
        <v/>
      </c>
      <c r="AB336" s="56">
        <f>IF(AND(A336="", B336="", E336=""), "", TEXTJOIN("; ", TRUE, IF(OR(TRIM(A336&amp;"")="", ISNUMBER(SEARCH("FALTA", A336))), "UPC faltante/inválido", ""), IF(AND(A336&lt;&gt;"", IFERROR(_xlfn.XMATCH(A336,$A$2:$A$1063,0,1)&lt;&gt;_xlfn.XMATCH(A336,$A$2:$A$1063,0,-1),FALSE)), "Código de barras duplicado", ""), IF(AND(E336&lt;&gt;"", COUNTIF($E$2:$E$1063, E336)&gt;1), "SKU duplicado", ""), IF(OR(J336="", J336=""), "[Aviso] División no capturada ()", IF(ISNA(MATCH(J336, Criterios!$A$123:$A$126, 0)), "División no válida", "")), IF(OR(K336="", K336=""), "[Aviso] Categoría no capturada ()", IF(ISNA(MATCH(K336, Criterios!$A$81:$A$120, 0)), "Categoría no válida", IF(AND(J336&lt;&gt;"", J336&lt;&gt;"", J336&lt;&gt;VLOOKUP(K336, Criterios!$A$81:$B$120, 2, FALSE)), "División no coincide con Categoría", ""))), IF(OR(L336="", L336=""), "[Aviso] Género no capturado ()", IF(ISNA(MATCH(L336, Criterios!$B$123:$B$127, 0)), "Género no válido", "")), IF(OR(N336="", N336=""), "[Aviso] Temporada no capturada ()", IF(ISNA(MATCH(N336, Criterios!$C$123:$C$128, 0)), "Temporada no válida", "")), IF(OR(O336="", O336=""), "[Aviso] Ciclo de vida no capturado ()", IF(ISNA(MATCH(O336, Criterios!$D$123:$D$124, 0)), "Ciclo de vida no válido", ""))))</f>
        <v/>
      </c>
      <c r="AC336" s="56" t="n"/>
      <c r="AD336" s="51" t="n"/>
      <c r="AE336" s="156" t="n"/>
      <c r="AF336" s="51" t="n"/>
      <c r="AG336" s="156" t="inlineStr">
        <is>
          <t>Nuevo – Carga Hoja2 01/10/2026</t>
        </is>
      </c>
      <c r="AH336" s="156" t="inlineStr">
        <is>
          <t>Alta 01/10/2026 desde Hoja2 (fila 134) | 01/10/2026: Odoo Universal Unique Brands trae Género «Unisex» — se conservó el valor de Productos | Homologación G1522 06/10/2026: Validador Shopify: WB: precio con IVA no termina en 9</t>
        </is>
      </c>
      <c r="AI336" s="156" t="n"/>
      <c r="AJ336" s="156" t="n"/>
      <c r="AK336" s="155" t="inlineStr">
        <is>
          <t>Hoja2: fila 134 | Odoo: producto 27156 / plantilla 33856</t>
        </is>
      </c>
      <c r="AL336" s="58" t="n"/>
      <c r="AM336" s="58" t="n"/>
      <c r="AN336" s="155" t="inlineStr">
        <is>
          <t>Odoo Universal Unique Brands</t>
        </is>
      </c>
      <c r="AO336" s="59" t="n"/>
      <c r="AP336" s="59" t="n"/>
      <c r="AQ336" s="59" t="n">
        <v>2</v>
      </c>
      <c r="AR336" s="155" t="inlineStr">
        <is>
          <t>Odoo Universal Unique Brands › Bodega 25 › Bodega 25/General: 2</t>
        </is>
      </c>
    </row>
    <row r="337">
      <c r="A337" s="50" t="inlineStr">
        <is>
          <t>712288124834</t>
        </is>
      </c>
      <c r="B337" s="51" t="inlineStr">
        <is>
          <t>27157</t>
        </is>
      </c>
      <c r="C337" s="156" t="inlineStr">
        <is>
          <t>Montana West</t>
        </is>
      </c>
      <c r="D337" s="156" t="inlineStr">
        <is>
          <t>RLC-L168RD</t>
        </is>
      </c>
      <c r="E337" s="156" t="inlineStr">
        <is>
          <t>RLC-L168RD</t>
        </is>
      </c>
      <c r="F337" s="156" t="inlineStr">
        <is>
          <t>Talla única</t>
        </is>
      </c>
      <c r="G337" s="156" t="inlineStr">
        <is>
          <t>One Size</t>
        </is>
      </c>
      <c r="H337" s="156" t="inlineStr">
        <is>
          <t>Montana West</t>
        </is>
      </c>
      <c r="I337" s="156" t="inlineStr">
        <is>
          <t>Bolsa de Piel Montana West Rojo</t>
        </is>
      </c>
      <c r="J337" s="156" t="inlineStr">
        <is>
          <t>Accesorios</t>
        </is>
      </c>
      <c r="K337" s="156" t="inlineStr">
        <is>
          <t>Bolsos</t>
        </is>
      </c>
      <c r="L337" s="156" t="inlineStr">
        <is>
          <t>Mujer</t>
        </is>
      </c>
      <c r="M337" s="156" t="inlineStr">
        <is>
          <t>Montana West</t>
        </is>
      </c>
      <c r="N337" s="156" t="n"/>
      <c r="O337" s="156" t="inlineStr">
        <is>
          <t>Core</t>
        </is>
      </c>
      <c r="P337" s="156" t="inlineStr">
        <is>
          <t>Rojo</t>
        </is>
      </c>
      <c r="Q337" s="156" t="n"/>
      <c r="R337" s="156" t="n"/>
      <c r="S337" s="156" t="inlineStr">
        <is>
          <t>Exterior: piel genuina</t>
        </is>
      </c>
      <c r="T337" s="156" t="inlineStr">
        <is>
          <t>Bolsa de Piel Montana West. Color: Rojo. Talla única. Mujer. Exterior: piel genuina. Referencia: RLC-L168RD.</t>
        </is>
      </c>
      <c r="U337" s="156" t="n"/>
      <c r="V337" s="156" t="inlineStr">
        <is>
          <t>PZS</t>
        </is>
      </c>
      <c r="W337" s="51" t="inlineStr">
        <is>
          <t>53121601</t>
        </is>
      </c>
      <c r="X337" s="156" t="n"/>
      <c r="Y337" s="54" t="n">
        <v>418.6</v>
      </c>
      <c r="Z337" s="54" t="n">
        <v>699</v>
      </c>
      <c r="AA337" s="55">
        <f>IF(AND(A337="", B337="", E337=""), "", IF(AB337="", "Válido", IF((LEN(AB337)-LEN(SUBSTITUTE(AB337,"; ","")))/2+1&gt;(LEN(AB337)-LEN(SUBSTITUTE(AB337,"[Aviso]","")))/7, "Con Incidencias", "Válido")))</f>
        <v/>
      </c>
      <c r="AB337" s="56">
        <f>IF(AND(A337="", B337="", E337=""), "", TEXTJOIN("; ", TRUE, IF(OR(TRIM(A337&amp;"")="", ISNUMBER(SEARCH("FALTA", A337))), "UPC faltante/inválido", ""), IF(AND(A337&lt;&gt;"", IFERROR(_xlfn.XMATCH(A337,$A$2:$A$1063,0,1)&lt;&gt;_xlfn.XMATCH(A337,$A$2:$A$1063,0,-1),FALSE)), "Código de barras duplicado", ""), IF(AND(E337&lt;&gt;"", COUNTIF($E$2:$E$1063, E337)&gt;1), "SKU duplicado", ""), IF(OR(J337="", J337=""), "[Aviso] División no capturada ()", IF(ISNA(MATCH(J337, Criterios!$A$123:$A$126, 0)), "División no válida", "")), IF(OR(K337="", K337=""), "[Aviso] Categoría no capturada ()", IF(ISNA(MATCH(K337, Criterios!$A$81:$A$120, 0)), "Categoría no válida", IF(AND(J337&lt;&gt;"", J337&lt;&gt;"", J337&lt;&gt;VLOOKUP(K337, Criterios!$A$81:$B$120, 2, FALSE)), "División no coincide con Categoría", ""))), IF(OR(L337="", L337=""), "[Aviso] Género no capturado ()", IF(ISNA(MATCH(L337, Criterios!$B$123:$B$127, 0)), "Género no válido", "")), IF(OR(N337="", N337=""), "[Aviso] Temporada no capturada ()", IF(ISNA(MATCH(N337, Criterios!$C$123:$C$128, 0)), "Temporada no válida", "")), IF(OR(O337="", O337=""), "[Aviso] Ciclo de vida no capturado ()", IF(ISNA(MATCH(O337, Criterios!$D$123:$D$124, 0)), "Ciclo de vida no válido", ""))))</f>
        <v/>
      </c>
      <c r="AC337" s="56" t="n"/>
      <c r="AD337" s="51" t="n"/>
      <c r="AE337" s="156" t="n"/>
      <c r="AF337" s="51" t="n"/>
      <c r="AG337" s="156" t="inlineStr">
        <is>
          <t>Nuevo – Carga Hoja2 01/10/2026</t>
        </is>
      </c>
      <c r="AH337" s="156" t="inlineStr">
        <is>
          <t>Alta 01/10/2026 desde Hoja2 (fila 135) | 01/10/2026: Odoo Universal Unique Brands trae Género «Unisex» — se conservó el valor de Productos | Homologación G1522 06/10/2026: Validador Shopify: WB: precio con IVA no termina en 9</t>
        </is>
      </c>
      <c r="AI337" s="156" t="n"/>
      <c r="AJ337" s="156" t="n"/>
      <c r="AK337" s="155" t="inlineStr">
        <is>
          <t>Hoja2: fila 135 | Odoo: producto 27157 / plantilla 33857</t>
        </is>
      </c>
      <c r="AL337" s="58" t="n"/>
      <c r="AM337" s="58" t="n"/>
      <c r="AN337" s="155" t="inlineStr">
        <is>
          <t>Odoo Universal Unique Brands</t>
        </is>
      </c>
      <c r="AO337" s="59" t="n"/>
      <c r="AP337" s="59" t="n"/>
      <c r="AQ337" s="59" t="n">
        <v>3</v>
      </c>
      <c r="AR337" s="155" t="inlineStr">
        <is>
          <t>Odoo Universal Unique Brands › Bodega 25 › Bodega 25/General: 3</t>
        </is>
      </c>
    </row>
    <row r="338">
      <c r="A338" s="50" t="inlineStr">
        <is>
          <t>9900000371135</t>
        </is>
      </c>
      <c r="B338" s="51" t="inlineStr">
        <is>
          <t>27158</t>
        </is>
      </c>
      <c r="C338" s="156" t="inlineStr">
        <is>
          <t>Montana West</t>
        </is>
      </c>
      <c r="D338" s="156" t="inlineStr">
        <is>
          <t>RLC-L173BR</t>
        </is>
      </c>
      <c r="E338" s="156" t="inlineStr">
        <is>
          <t>RLC-L173BR</t>
        </is>
      </c>
      <c r="F338" s="156" t="inlineStr">
        <is>
          <t>Talla única</t>
        </is>
      </c>
      <c r="G338" s="156" t="inlineStr">
        <is>
          <t>One Size</t>
        </is>
      </c>
      <c r="H338" s="156" t="inlineStr">
        <is>
          <t>Montana West</t>
        </is>
      </c>
      <c r="I338" s="156" t="inlineStr">
        <is>
          <t>Bolsa Cruzada Montana West Café</t>
        </is>
      </c>
      <c r="J338" s="156" t="inlineStr">
        <is>
          <t>Accesorios</t>
        </is>
      </c>
      <c r="K338" s="156" t="inlineStr">
        <is>
          <t>Bolsos</t>
        </is>
      </c>
      <c r="L338" s="156" t="inlineStr">
        <is>
          <t>Mujer</t>
        </is>
      </c>
      <c r="M338" s="156" t="inlineStr">
        <is>
          <t>Montana West</t>
        </is>
      </c>
      <c r="N338" s="156" t="n"/>
      <c r="O338" s="156" t="inlineStr">
        <is>
          <t>Core</t>
        </is>
      </c>
      <c r="P338" s="156" t="inlineStr">
        <is>
          <t>Cafe</t>
        </is>
      </c>
      <c r="Q338" s="156" t="n"/>
      <c r="R338" s="156" t="n"/>
      <c r="S338" s="156" t="inlineStr">
        <is>
          <t>Exterior: piel genuina</t>
        </is>
      </c>
      <c r="T338" s="156" t="inlineStr">
        <is>
          <t>Bolsa Cruzada Montana West. Color: Café. Talla única. Mujer. Exterior: piel genuina. Referencia: RLC-L173BR.</t>
        </is>
      </c>
      <c r="U338" s="156" t="n"/>
      <c r="V338" s="156" t="inlineStr">
        <is>
          <t>PZS</t>
        </is>
      </c>
      <c r="W338" s="51" t="inlineStr">
        <is>
          <t>53121601</t>
        </is>
      </c>
      <c r="X338" s="156" t="n"/>
      <c r="Y338" s="54" t="n">
        <v>370.3</v>
      </c>
      <c r="Z338" s="54" t="n">
        <v>599</v>
      </c>
      <c r="AA338" s="55">
        <f>IF(AND(A338="", B338="", E338=""), "", IF(AB338="", "Válido", IF((LEN(AB338)-LEN(SUBSTITUTE(AB338,"; ","")))/2+1&gt;(LEN(AB338)-LEN(SUBSTITUTE(AB338,"[Aviso]","")))/7, "Con Incidencias", "Válido")))</f>
        <v/>
      </c>
      <c r="AB338" s="56">
        <f>IF(AND(A338="", B338="", E338=""), "", TEXTJOIN("; ", TRUE, IF(OR(TRIM(A338&amp;"")="", ISNUMBER(SEARCH("FALTA", A338))), "UPC faltante/inválido", ""), IF(AND(A338&lt;&gt;"", IFERROR(_xlfn.XMATCH(A338,$A$2:$A$1063,0,1)&lt;&gt;_xlfn.XMATCH(A338,$A$2:$A$1063,0,-1),FALSE)), "Código de barras duplicado", ""), IF(AND(E338&lt;&gt;"", COUNTIF($E$2:$E$1063, E338)&gt;1), "SKU duplicado", ""), IF(OR(J338="", J338=""), "[Aviso] División no capturada ()", IF(ISNA(MATCH(J338, Criterios!$A$123:$A$126, 0)), "División no válida", "")), IF(OR(K338="", K338=""), "[Aviso] Categoría no capturada ()", IF(ISNA(MATCH(K338, Criterios!$A$81:$A$120, 0)), "Categoría no válida", IF(AND(J338&lt;&gt;"", J338&lt;&gt;"", J338&lt;&gt;VLOOKUP(K338, Criterios!$A$81:$B$120, 2, FALSE)), "División no coincide con Categoría", ""))), IF(OR(L338="", L338=""), "[Aviso] Género no capturado ()", IF(ISNA(MATCH(L338, Criterios!$B$123:$B$127, 0)), "Género no válido", "")), IF(OR(N338="", N338=""), "[Aviso] Temporada no capturada ()", IF(ISNA(MATCH(N338, Criterios!$C$123:$C$128, 0)), "Temporada no válida", "")), IF(OR(O338="", O338=""), "[Aviso] Ciclo de vida no capturado ()", IF(ISNA(MATCH(O338, Criterios!$D$123:$D$124, 0)), "Ciclo de vida no válido", ""))))</f>
        <v/>
      </c>
      <c r="AC338" s="56" t="n"/>
      <c r="AD338" s="51" t="n"/>
      <c r="AE338" s="156" t="n"/>
      <c r="AF338" s="51" t="n"/>
      <c r="AG338" s="156" t="inlineStr">
        <is>
          <t>Nuevo – Carga Hoja2 01/10/2026</t>
        </is>
      </c>
      <c r="AH338" s="156" t="inlineStr">
        <is>
          <t>Alta 01/10/2026 desde Hoja2 (fila 136) | 01/10/2026: Odoo Universal Unique Brands trae Género «Unisex» — se conservó el valor de Productos | Homologación G1522 06/10/2026: Validador Shopify: WB: precio con IVA no termina en 9</t>
        </is>
      </c>
      <c r="AI338" s="156" t="n"/>
      <c r="AJ338" s="156" t="n"/>
      <c r="AK338" s="155" t="inlineStr">
        <is>
          <t>Hoja2: fila 136 | Odoo: producto 27158 / plantilla 33858</t>
        </is>
      </c>
      <c r="AL338" s="58" t="n"/>
      <c r="AM338" s="58" t="n"/>
      <c r="AN338" s="155" t="inlineStr">
        <is>
          <t>Odoo Universal Unique Brands</t>
        </is>
      </c>
      <c r="AO338" s="59" t="n"/>
      <c r="AP338" s="59" t="n"/>
      <c r="AQ338" s="59" t="n">
        <v>0</v>
      </c>
      <c r="AR338" s="155" t="n"/>
    </row>
    <row r="339">
      <c r="A339" s="50" t="inlineStr">
        <is>
          <t>9900000371159</t>
        </is>
      </c>
      <c r="B339" s="51" t="inlineStr">
        <is>
          <t>27159</t>
        </is>
      </c>
      <c r="C339" s="156" t="inlineStr">
        <is>
          <t>Montana West</t>
        </is>
      </c>
      <c r="D339" s="156" t="inlineStr">
        <is>
          <t>RLC-L173TN</t>
        </is>
      </c>
      <c r="E339" s="156" t="inlineStr">
        <is>
          <t>RLC-L173TN</t>
        </is>
      </c>
      <c r="F339" s="156" t="inlineStr">
        <is>
          <t>Talla única</t>
        </is>
      </c>
      <c r="G339" s="156" t="inlineStr">
        <is>
          <t>One Size</t>
        </is>
      </c>
      <c r="H339" s="156" t="inlineStr">
        <is>
          <t>Montana West</t>
        </is>
      </c>
      <c r="I339" s="156" t="inlineStr">
        <is>
          <t>Bolsa Cruzada Montana West Camel</t>
        </is>
      </c>
      <c r="J339" s="156" t="inlineStr">
        <is>
          <t>Accesorios</t>
        </is>
      </c>
      <c r="K339" s="156" t="inlineStr">
        <is>
          <t>Bolsos</t>
        </is>
      </c>
      <c r="L339" s="156" t="inlineStr">
        <is>
          <t>Mujer</t>
        </is>
      </c>
      <c r="M339" s="156" t="inlineStr">
        <is>
          <t>Montana West</t>
        </is>
      </c>
      <c r="N339" s="156" t="n"/>
      <c r="O339" s="156" t="inlineStr">
        <is>
          <t>Core</t>
        </is>
      </c>
      <c r="P339" s="156" t="inlineStr">
        <is>
          <t>Beige</t>
        </is>
      </c>
      <c r="Q339" s="156" t="n"/>
      <c r="R339" s="156" t="n"/>
      <c r="S339" s="156" t="inlineStr">
        <is>
          <t>Exterior: piel genuina</t>
        </is>
      </c>
      <c r="T339" s="156" t="inlineStr">
        <is>
          <t>Bolsa Cruzada Montana West. Color: Camel. Talla única. Mujer. Exterior: piel genuina. Referencia: RLC-L173TN.</t>
        </is>
      </c>
      <c r="U339" s="156" t="n"/>
      <c r="V339" s="156" t="inlineStr">
        <is>
          <t>PZS</t>
        </is>
      </c>
      <c r="W339" s="51" t="inlineStr">
        <is>
          <t>53121601</t>
        </is>
      </c>
      <c r="X339" s="156" t="n"/>
      <c r="Y339" s="54" t="n">
        <v>370.3</v>
      </c>
      <c r="Z339" s="54" t="n">
        <v>599</v>
      </c>
      <c r="AA339" s="55">
        <f>IF(AND(A339="", B339="", E339=""), "", IF(AB339="", "Válido", IF((LEN(AB339)-LEN(SUBSTITUTE(AB339,"; ","")))/2+1&gt;(LEN(AB339)-LEN(SUBSTITUTE(AB339,"[Aviso]","")))/7, "Con Incidencias", "Válido")))</f>
        <v/>
      </c>
      <c r="AB339" s="56">
        <f>IF(AND(A339="", B339="", E339=""), "", TEXTJOIN("; ", TRUE, IF(OR(TRIM(A339&amp;"")="", ISNUMBER(SEARCH("FALTA", A339))), "UPC faltante/inválido", ""), IF(AND(A339&lt;&gt;"", IFERROR(_xlfn.XMATCH(A339,$A$2:$A$1063,0,1)&lt;&gt;_xlfn.XMATCH(A339,$A$2:$A$1063,0,-1),FALSE)), "Código de barras duplicado", ""), IF(AND(E339&lt;&gt;"", COUNTIF($E$2:$E$1063, E339)&gt;1), "SKU duplicado", ""), IF(OR(J339="", J339=""), "[Aviso] División no capturada ()", IF(ISNA(MATCH(J339, Criterios!$A$123:$A$126, 0)), "División no válida", "")), IF(OR(K339="", K339=""), "[Aviso] Categoría no capturada ()", IF(ISNA(MATCH(K339, Criterios!$A$81:$A$120, 0)), "Categoría no válida", IF(AND(J339&lt;&gt;"", J339&lt;&gt;"", J339&lt;&gt;VLOOKUP(K339, Criterios!$A$81:$B$120, 2, FALSE)), "División no coincide con Categoría", ""))), IF(OR(L339="", L339=""), "[Aviso] Género no capturado ()", IF(ISNA(MATCH(L339, Criterios!$B$123:$B$127, 0)), "Género no válido", "")), IF(OR(N339="", N339=""), "[Aviso] Temporada no capturada ()", IF(ISNA(MATCH(N339, Criterios!$C$123:$C$128, 0)), "Temporada no válida", "")), IF(OR(O339="", O339=""), "[Aviso] Ciclo de vida no capturado ()", IF(ISNA(MATCH(O339, Criterios!$D$123:$D$124, 0)), "Ciclo de vida no válido", ""))))</f>
        <v/>
      </c>
      <c r="AC339" s="56" t="n"/>
      <c r="AD339" s="51" t="n"/>
      <c r="AE339" s="156" t="n"/>
      <c r="AF339" s="51" t="n"/>
      <c r="AG339" s="156" t="inlineStr">
        <is>
          <t>Nuevo – Carga Hoja2 01/10/2026</t>
        </is>
      </c>
      <c r="AH339" s="156" t="inlineStr">
        <is>
          <t>Alta 01/10/2026 desde Hoja2 (fila 137) | 01/10/2026: Odoo Universal Unique Brands trae Género «Unisex» — se conservó el valor de Productos | Homologación G1522 06/10/2026: Validador Shopify: WB: precio con IVA no termina en 9</t>
        </is>
      </c>
      <c r="AI339" s="156" t="n"/>
      <c r="AJ339" s="156" t="n"/>
      <c r="AK339" s="155" t="inlineStr">
        <is>
          <t>Hoja2: fila 137 | Odoo: producto 27159 / plantilla 33859</t>
        </is>
      </c>
      <c r="AL339" s="58" t="n"/>
      <c r="AM339" s="58" t="n"/>
      <c r="AN339" s="155" t="inlineStr">
        <is>
          <t>Odoo Universal Unique Brands</t>
        </is>
      </c>
      <c r="AO339" s="59" t="n"/>
      <c r="AP339" s="59" t="n"/>
      <c r="AQ339" s="59" t="n">
        <v>6</v>
      </c>
      <c r="AR339" s="155" t="inlineStr">
        <is>
          <t>Odoo Universal Unique Brands › Bodega 25 › Bodega 25/General: 6</t>
        </is>
      </c>
    </row>
    <row r="340">
      <c r="A340" s="50" t="inlineStr">
        <is>
          <t>712288123615</t>
        </is>
      </c>
      <c r="B340" s="51" t="inlineStr">
        <is>
          <t>27160</t>
        </is>
      </c>
      <c r="C340" s="156" t="inlineStr">
        <is>
          <t>Montana West</t>
        </is>
      </c>
      <c r="D340" s="156" t="inlineStr">
        <is>
          <t>RLC-L187BK</t>
        </is>
      </c>
      <c r="E340" s="156" t="inlineStr">
        <is>
          <t>RLC-L187BK</t>
        </is>
      </c>
      <c r="F340" s="156" t="inlineStr">
        <is>
          <t>Talla única</t>
        </is>
      </c>
      <c r="G340" s="156" t="inlineStr">
        <is>
          <t>One Size</t>
        </is>
      </c>
      <c r="H340" s="156" t="inlineStr">
        <is>
          <t>Montana West</t>
        </is>
      </c>
      <c r="I340" s="156" t="inlineStr">
        <is>
          <t>Bolsa Montana West Negro</t>
        </is>
      </c>
      <c r="J340" s="156" t="inlineStr">
        <is>
          <t>Accesorios</t>
        </is>
      </c>
      <c r="K340" s="156" t="inlineStr">
        <is>
          <t>Bolsos</t>
        </is>
      </c>
      <c r="L340" s="156" t="inlineStr">
        <is>
          <t>Mujer</t>
        </is>
      </c>
      <c r="M340" s="156" t="inlineStr">
        <is>
          <t>Montana West</t>
        </is>
      </c>
      <c r="N340" s="156" t="n"/>
      <c r="O340" s="156" t="inlineStr">
        <is>
          <t>Core</t>
        </is>
      </c>
      <c r="P340" s="156" t="inlineStr">
        <is>
          <t>Negro</t>
        </is>
      </c>
      <c r="Q340" s="156" t="n"/>
      <c r="R340" s="156" t="n"/>
      <c r="S340" s="156" t="n"/>
      <c r="T340" s="156" t="inlineStr">
        <is>
          <t>Bolsa Montana West. Color: Negro. Talla única. Mujer. Referencia: RLC-L187BK.</t>
        </is>
      </c>
      <c r="U340" s="156" t="n"/>
      <c r="V340" s="156" t="inlineStr">
        <is>
          <t>PZS</t>
        </is>
      </c>
      <c r="W340" s="51" t="inlineStr">
        <is>
          <t>53121601</t>
        </is>
      </c>
      <c r="X340" s="156" t="n"/>
      <c r="Y340" s="54" t="n">
        <v>418.6</v>
      </c>
      <c r="Z340" s="54" t="n">
        <v>699</v>
      </c>
      <c r="AA340" s="55">
        <f>IF(AND(A340="", B340="", E340=""), "", IF(AB340="", "Válido", IF((LEN(AB340)-LEN(SUBSTITUTE(AB340,"; ","")))/2+1&gt;(LEN(AB340)-LEN(SUBSTITUTE(AB340,"[Aviso]","")))/7, "Con Incidencias", "Válido")))</f>
        <v/>
      </c>
      <c r="AB340" s="56">
        <f>IF(AND(A340="", B340="", E340=""), "", TEXTJOIN("; ", TRUE, IF(OR(TRIM(A340&amp;"")="", ISNUMBER(SEARCH("FALTA", A340))), "UPC faltante/inválido", ""), IF(AND(A340&lt;&gt;"", IFERROR(_xlfn.XMATCH(A340,$A$2:$A$1063,0,1)&lt;&gt;_xlfn.XMATCH(A340,$A$2:$A$1063,0,-1),FALSE)), "Código de barras duplicado", ""), IF(AND(E340&lt;&gt;"", COUNTIF($E$2:$E$1063, E340)&gt;1), "SKU duplicado", ""), IF(OR(J340="", J340=""), "[Aviso] División no capturada ()", IF(ISNA(MATCH(J340, Criterios!$A$123:$A$126, 0)), "División no válida", "")), IF(OR(K340="", K340=""), "[Aviso] Categoría no capturada ()", IF(ISNA(MATCH(K340, Criterios!$A$81:$A$120, 0)), "Categoría no válida", IF(AND(J340&lt;&gt;"", J340&lt;&gt;"", J340&lt;&gt;VLOOKUP(K340, Criterios!$A$81:$B$120, 2, FALSE)), "División no coincide con Categoría", ""))), IF(OR(L340="", L340=""), "[Aviso] Género no capturado ()", IF(ISNA(MATCH(L340, Criterios!$B$123:$B$127, 0)), "Género no válido", "")), IF(OR(N340="", N340=""), "[Aviso] Temporada no capturada ()", IF(ISNA(MATCH(N340, Criterios!$C$123:$C$128, 0)), "Temporada no válida", "")), IF(OR(O340="", O340=""), "[Aviso] Ciclo de vida no capturado ()", IF(ISNA(MATCH(O340, Criterios!$D$123:$D$124, 0)), "Ciclo de vida no válido", ""))))</f>
        <v/>
      </c>
      <c r="AC340" s="56" t="n"/>
      <c r="AD340" s="51" t="n"/>
      <c r="AE340" s="156" t="n"/>
      <c r="AF340" s="51" t="n"/>
      <c r="AG340" s="156" t="inlineStr">
        <is>
          <t>Nuevo – Carga Hoja2 01/10/2026</t>
        </is>
      </c>
      <c r="AH340" s="156" t="inlineStr">
        <is>
          <t>Alta 01/10/2026 desde Hoja2 (fila 138) | 01/10/2026: Odoo Universal Unique Brands trae Género «Unisex» — se conservó el valor de Productos | Homologación G1522 06/10/2026: Validador Shopify: WB: precio con IVA no termina en 9</t>
        </is>
      </c>
      <c r="AI340" s="156" t="n"/>
      <c r="AJ340" s="156" t="n"/>
      <c r="AK340" s="155" t="inlineStr">
        <is>
          <t>Hoja2: fila 138 | Odoo: producto 27160 / plantilla 33860</t>
        </is>
      </c>
      <c r="AL340" s="58" t="n"/>
      <c r="AM340" s="58" t="n"/>
      <c r="AN340" s="155" t="inlineStr">
        <is>
          <t>Odoo Universal Unique Brands</t>
        </is>
      </c>
      <c r="AO340" s="59" t="n"/>
      <c r="AP340" s="59" t="n"/>
      <c r="AQ340" s="59" t="n">
        <v>3</v>
      </c>
      <c r="AR340" s="155" t="inlineStr">
        <is>
          <t>Odoo Universal Unique Brands › Bodega 25 › Bodega 25/General: 3</t>
        </is>
      </c>
    </row>
    <row r="341">
      <c r="A341" s="50" t="inlineStr">
        <is>
          <t>717205895422</t>
        </is>
      </c>
      <c r="B341" s="51" t="inlineStr">
        <is>
          <t>27161</t>
        </is>
      </c>
      <c r="C341" s="156" t="inlineStr">
        <is>
          <t>Montana West</t>
        </is>
      </c>
      <c r="D341" s="156" t="inlineStr">
        <is>
          <t>TR160-9110CF</t>
        </is>
      </c>
      <c r="E341" s="156" t="inlineStr">
        <is>
          <t>TR160-9110CF</t>
        </is>
      </c>
      <c r="F341" s="156" t="inlineStr">
        <is>
          <t>Talla única</t>
        </is>
      </c>
      <c r="G341" s="156" t="inlineStr">
        <is>
          <t>One Size</t>
        </is>
      </c>
      <c r="H341" s="156" t="inlineStr">
        <is>
          <t>Montana West</t>
        </is>
      </c>
      <c r="I341" s="156" t="inlineStr">
        <is>
          <t>Mochila Trinity Ranch Café Oscuro</t>
        </is>
      </c>
      <c r="J341" s="156" t="inlineStr">
        <is>
          <t>Accesorios</t>
        </is>
      </c>
      <c r="K341" s="156" t="inlineStr">
        <is>
          <t>Mochilas</t>
        </is>
      </c>
      <c r="L341" s="156" t="inlineStr">
        <is>
          <t>Mujer</t>
        </is>
      </c>
      <c r="M341" s="156" t="inlineStr">
        <is>
          <t>Trinity Ranch</t>
        </is>
      </c>
      <c r="N341" s="156" t="n"/>
      <c r="O341" s="156" t="inlineStr">
        <is>
          <t>Core</t>
        </is>
      </c>
      <c r="P341" s="156" t="inlineStr">
        <is>
          <t>Cafe</t>
        </is>
      </c>
      <c r="Q341" s="156" t="n"/>
      <c r="R341" s="156" t="n"/>
      <c r="S341" s="156" t="n"/>
      <c r="T341" s="156" t="inlineStr">
        <is>
          <t>Mochila Trinity Ranch. Color: Café Oscuro. Talla única. Mujer. Referencia: TR160-9110CF.</t>
        </is>
      </c>
      <c r="U341" s="156" t="n"/>
      <c r="V341" s="156" t="inlineStr">
        <is>
          <t>PZS</t>
        </is>
      </c>
      <c r="W341" s="51" t="inlineStr">
        <is>
          <t>53121601</t>
        </is>
      </c>
      <c r="X341" s="156" t="n"/>
      <c r="Y341" s="54" t="n">
        <v>386.4</v>
      </c>
      <c r="Z341" s="54" t="n">
        <v>649</v>
      </c>
      <c r="AA341" s="55">
        <f>IF(AND(A341="", B341="", E341=""), "", IF(AB341="", "Válido", IF((LEN(AB341)-LEN(SUBSTITUTE(AB341,"; ","")))/2+1&gt;(LEN(AB341)-LEN(SUBSTITUTE(AB341,"[Aviso]","")))/7, "Con Incidencias", "Válido")))</f>
        <v/>
      </c>
      <c r="AB341" s="56">
        <f>IF(AND(A341="", B341="", E341=""), "", TEXTJOIN("; ", TRUE, IF(OR(TRIM(A341&amp;"")="", ISNUMBER(SEARCH("FALTA", A341))), "UPC faltante/inválido", ""), IF(AND(A341&lt;&gt;"", IFERROR(_xlfn.XMATCH(A341,$A$2:$A$1063,0,1)&lt;&gt;_xlfn.XMATCH(A341,$A$2:$A$1063,0,-1),FALSE)), "Código de barras duplicado", ""), IF(AND(E341&lt;&gt;"", COUNTIF($E$2:$E$1063, E341)&gt;1), "SKU duplicado", ""), IF(OR(J341="", J341=""), "[Aviso] División no capturada ()", IF(ISNA(MATCH(J341, Criterios!$A$123:$A$126, 0)), "División no válida", "")), IF(OR(K341="", K341=""), "[Aviso] Categoría no capturada ()", IF(ISNA(MATCH(K341, Criterios!$A$81:$A$120, 0)), "Categoría no válida", IF(AND(J341&lt;&gt;"", J341&lt;&gt;"", J341&lt;&gt;VLOOKUP(K341, Criterios!$A$81:$B$120, 2, FALSE)), "División no coincide con Categoría", ""))), IF(OR(L341="", L341=""), "[Aviso] Género no capturado ()", IF(ISNA(MATCH(L341, Criterios!$B$123:$B$127, 0)), "Género no válido", "")), IF(OR(N341="", N341=""), "[Aviso] Temporada no capturada ()", IF(ISNA(MATCH(N341, Criterios!$C$123:$C$128, 0)), "Temporada no válida", "")), IF(OR(O341="", O341=""), "[Aviso] Ciclo de vida no capturado ()", IF(ISNA(MATCH(O341, Criterios!$D$123:$D$124, 0)), "Ciclo de vida no válido", ""))))</f>
        <v/>
      </c>
      <c r="AC341" s="56" t="n"/>
      <c r="AD341" s="51" t="n"/>
      <c r="AE341" s="156" t="n"/>
      <c r="AF341" s="51" t="n"/>
      <c r="AG341" s="156" t="inlineStr">
        <is>
          <t>Nuevo – Carga Hoja2 01/10/2026</t>
        </is>
      </c>
      <c r="AH341" s="156" t="inlineStr">
        <is>
          <t>Alta 01/10/2026 desde Hoja2 (fila 139);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41" s="156" t="n"/>
      <c r="AJ341" s="156" t="n"/>
      <c r="AK341" s="155" t="inlineStr">
        <is>
          <t>Hoja2: fila 139 | Odoo: producto 27161 / plantilla 33861</t>
        </is>
      </c>
      <c r="AL341" s="58" t="n"/>
      <c r="AM341" s="58" t="n"/>
      <c r="AN341" s="155" t="inlineStr">
        <is>
          <t>Odoo Universal Unique Brands</t>
        </is>
      </c>
      <c r="AO341" s="59" t="n"/>
      <c r="AP341" s="59" t="n"/>
      <c r="AQ341" s="59" t="n">
        <v>1</v>
      </c>
      <c r="AR341" s="155" t="inlineStr">
        <is>
          <t>Odoo Universal Unique Brands › Bodega 25 › Bodega 25/General: 1</t>
        </is>
      </c>
    </row>
    <row r="342">
      <c r="A342" s="50" t="inlineStr">
        <is>
          <t>712288132105</t>
        </is>
      </c>
      <c r="B342" s="51" t="inlineStr">
        <is>
          <t>27163</t>
        </is>
      </c>
      <c r="C342" s="156" t="inlineStr">
        <is>
          <t>Montana West</t>
        </is>
      </c>
      <c r="D342" s="156" t="inlineStr">
        <is>
          <t>TR162G-2001BR</t>
        </is>
      </c>
      <c r="E342" s="156" t="inlineStr">
        <is>
          <t>TR162G-2001BR</t>
        </is>
      </c>
      <c r="F342" s="156" t="inlineStr">
        <is>
          <t>Talla única</t>
        </is>
      </c>
      <c r="G342" s="156" t="inlineStr">
        <is>
          <t>One Size</t>
        </is>
      </c>
      <c r="H342" s="156" t="inlineStr">
        <is>
          <t>Montana West</t>
        </is>
      </c>
      <c r="I342" s="156" t="inlineStr">
        <is>
          <t>Bolsa Trinity Ranch Café</t>
        </is>
      </c>
      <c r="J342" s="156" t="inlineStr">
        <is>
          <t>Accesorios</t>
        </is>
      </c>
      <c r="K342" s="156" t="inlineStr">
        <is>
          <t>Bolsos</t>
        </is>
      </c>
      <c r="L342" s="156" t="inlineStr">
        <is>
          <t>Mujer</t>
        </is>
      </c>
      <c r="M342" s="156" t="inlineStr">
        <is>
          <t>Trinity Ranch</t>
        </is>
      </c>
      <c r="N342" s="156" t="n"/>
      <c r="O342" s="156" t="inlineStr">
        <is>
          <t>Core</t>
        </is>
      </c>
      <c r="P342" s="156" t="inlineStr">
        <is>
          <t>Cafe</t>
        </is>
      </c>
      <c r="Q342" s="156" t="n"/>
      <c r="R342" s="156" t="n"/>
      <c r="S342" s="156" t="n"/>
      <c r="T342" s="156" t="inlineStr">
        <is>
          <t>Bolsa Trinity Ranch. Color: Café. Talla única. Mujer. Referencia: TR162G-2001BR.</t>
        </is>
      </c>
      <c r="U342" s="156" t="n"/>
      <c r="V342" s="156" t="inlineStr">
        <is>
          <t>PZS</t>
        </is>
      </c>
      <c r="W342" s="51" t="inlineStr">
        <is>
          <t>53121601</t>
        </is>
      </c>
      <c r="X342" s="156" t="n"/>
      <c r="Y342" s="54" t="n">
        <v>450.8</v>
      </c>
      <c r="Z342" s="54" t="n">
        <v>749</v>
      </c>
      <c r="AA342" s="55">
        <f>IF(AND(A342="", B342="", E342=""), "", IF(AB342="", "Válido", IF((LEN(AB342)-LEN(SUBSTITUTE(AB342,"; ","")))/2+1&gt;(LEN(AB342)-LEN(SUBSTITUTE(AB342,"[Aviso]","")))/7, "Con Incidencias", "Válido")))</f>
        <v/>
      </c>
      <c r="AB342" s="56">
        <f>IF(AND(A342="", B342="", E342=""), "", TEXTJOIN("; ", TRUE, IF(OR(TRIM(A342&amp;"")="", ISNUMBER(SEARCH("FALTA", A342))), "UPC faltante/inválido", ""), IF(AND(A342&lt;&gt;"", IFERROR(_xlfn.XMATCH(A342,$A$2:$A$1063,0,1)&lt;&gt;_xlfn.XMATCH(A342,$A$2:$A$1063,0,-1),FALSE)), "Código de barras duplicado", ""), IF(AND(E342&lt;&gt;"", COUNTIF($E$2:$E$1063, E342)&gt;1), "SKU duplicado", ""), IF(OR(J342="", J342=""), "[Aviso] División no capturada ()", IF(ISNA(MATCH(J342, Criterios!$A$123:$A$126, 0)), "División no válida", "")), IF(OR(K342="", K342=""), "[Aviso] Categoría no capturada ()", IF(ISNA(MATCH(K342, Criterios!$A$81:$A$120, 0)), "Categoría no válida", IF(AND(J342&lt;&gt;"", J342&lt;&gt;"", J342&lt;&gt;VLOOKUP(K342, Criterios!$A$81:$B$120, 2, FALSE)), "División no coincide con Categoría", ""))), IF(OR(L342="", L342=""), "[Aviso] Género no capturado ()", IF(ISNA(MATCH(L342, Criterios!$B$123:$B$127, 0)), "Género no válido", "")), IF(OR(N342="", N342=""), "[Aviso] Temporada no capturada ()", IF(ISNA(MATCH(N342, Criterios!$C$123:$C$128, 0)), "Temporada no válida", "")), IF(OR(O342="", O342=""), "[Aviso] Ciclo de vida no capturado ()", IF(ISNA(MATCH(O342, Criterios!$D$123:$D$124, 0)), "Ciclo de vida no válido", ""))))</f>
        <v/>
      </c>
      <c r="AC342" s="56" t="n"/>
      <c r="AD342" s="51" t="n"/>
      <c r="AE342" s="156" t="n"/>
      <c r="AF342" s="51" t="n"/>
      <c r="AG342" s="156" t="inlineStr">
        <is>
          <t>Nuevo – Carga Hoja2 01/10/2026</t>
        </is>
      </c>
      <c r="AH342" s="156" t="inlineStr">
        <is>
          <t>Alta 01/10/2026 desde Hoja2 (fila 140);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42" s="156" t="n"/>
      <c r="AJ342" s="156" t="n"/>
      <c r="AK342" s="155" t="inlineStr">
        <is>
          <t>Hoja2: fila 140 | Odoo: producto 27163 / plantilla 33863</t>
        </is>
      </c>
      <c r="AL342" s="58" t="n"/>
      <c r="AM342" s="58" t="n"/>
      <c r="AN342" s="155" t="inlineStr">
        <is>
          <t>Odoo Universal Unique Brands</t>
        </is>
      </c>
      <c r="AO342" s="59" t="n"/>
      <c r="AP342" s="59" t="n"/>
      <c r="AQ342" s="59" t="n">
        <v>18</v>
      </c>
      <c r="AR342" s="155" t="inlineStr">
        <is>
          <t>Odoo Universal Unique Brands › Bodega 25 › Bodega 25/General: 18</t>
        </is>
      </c>
    </row>
    <row r="343">
      <c r="A343" s="50" t="inlineStr">
        <is>
          <t>712288132068</t>
        </is>
      </c>
      <c r="B343" s="51" t="inlineStr">
        <is>
          <t>27164</t>
        </is>
      </c>
      <c r="C343" s="156" t="inlineStr">
        <is>
          <t>Montana West</t>
        </is>
      </c>
      <c r="D343" s="156" t="inlineStr">
        <is>
          <t>TR162G-2001HPK</t>
        </is>
      </c>
      <c r="E343" s="156" t="inlineStr">
        <is>
          <t>TR162G-2001HPK</t>
        </is>
      </c>
      <c r="F343" s="156" t="inlineStr">
        <is>
          <t>Talla única</t>
        </is>
      </c>
      <c r="G343" s="156" t="inlineStr">
        <is>
          <t>One Size</t>
        </is>
      </c>
      <c r="H343" s="156" t="inlineStr">
        <is>
          <t>Montana West</t>
        </is>
      </c>
      <c r="I343" s="156" t="inlineStr">
        <is>
          <t>Bolsa Trinity Ranch Rosa Fuerte</t>
        </is>
      </c>
      <c r="J343" s="156" t="inlineStr">
        <is>
          <t>Accesorios</t>
        </is>
      </c>
      <c r="K343" s="156" t="inlineStr">
        <is>
          <t>Bolsos</t>
        </is>
      </c>
      <c r="L343" s="156" t="inlineStr">
        <is>
          <t>Mujer</t>
        </is>
      </c>
      <c r="M343" s="156" t="inlineStr">
        <is>
          <t>Trinity Ranch</t>
        </is>
      </c>
      <c r="N343" s="156" t="n"/>
      <c r="O343" s="156" t="inlineStr">
        <is>
          <t>Core</t>
        </is>
      </c>
      <c r="P343" s="156" t="inlineStr">
        <is>
          <t>Rosa</t>
        </is>
      </c>
      <c r="Q343" s="156" t="n"/>
      <c r="R343" s="156" t="n"/>
      <c r="S343" s="156" t="n"/>
      <c r="T343" s="156" t="inlineStr">
        <is>
          <t>Bolsa Trinity Ranch. Color: Rosa Fuerte. Talla única. Mujer. Referencia: TR162G-2001HPK.</t>
        </is>
      </c>
      <c r="U343" s="156" t="n"/>
      <c r="V343" s="156" t="inlineStr">
        <is>
          <t>PZS</t>
        </is>
      </c>
      <c r="W343" s="51" t="inlineStr">
        <is>
          <t>53121601</t>
        </is>
      </c>
      <c r="X343" s="156" t="n"/>
      <c r="Y343" s="54" t="n">
        <v>450.8</v>
      </c>
      <c r="Z343" s="54" t="n">
        <v>749</v>
      </c>
      <c r="AA343" s="55">
        <f>IF(AND(A343="", B343="", E343=""), "", IF(AB343="", "Válido", IF((LEN(AB343)-LEN(SUBSTITUTE(AB343,"; ","")))/2+1&gt;(LEN(AB343)-LEN(SUBSTITUTE(AB343,"[Aviso]","")))/7, "Con Incidencias", "Válido")))</f>
        <v/>
      </c>
      <c r="AB343" s="56">
        <f>IF(AND(A343="", B343="", E343=""), "", TEXTJOIN("; ", TRUE, IF(OR(TRIM(A343&amp;"")="", ISNUMBER(SEARCH("FALTA", A343))), "UPC faltante/inválido", ""), IF(AND(A343&lt;&gt;"", IFERROR(_xlfn.XMATCH(A343,$A$2:$A$1063,0,1)&lt;&gt;_xlfn.XMATCH(A343,$A$2:$A$1063,0,-1),FALSE)), "Código de barras duplicado", ""), IF(AND(E343&lt;&gt;"", COUNTIF($E$2:$E$1063, E343)&gt;1), "SKU duplicado", ""), IF(OR(J343="", J343=""), "[Aviso] División no capturada ()", IF(ISNA(MATCH(J343, Criterios!$A$123:$A$126, 0)), "División no válida", "")), IF(OR(K343="", K343=""), "[Aviso] Categoría no capturada ()", IF(ISNA(MATCH(K343, Criterios!$A$81:$A$120, 0)), "Categoría no válida", IF(AND(J343&lt;&gt;"", J343&lt;&gt;"", J343&lt;&gt;VLOOKUP(K343, Criterios!$A$81:$B$120, 2, FALSE)), "División no coincide con Categoría", ""))), IF(OR(L343="", L343=""), "[Aviso] Género no capturado ()", IF(ISNA(MATCH(L343, Criterios!$B$123:$B$127, 0)), "Género no válido", "")), IF(OR(N343="", N343=""), "[Aviso] Temporada no capturada ()", IF(ISNA(MATCH(N343, Criterios!$C$123:$C$128, 0)), "Temporada no válida", "")), IF(OR(O343="", O343=""), "[Aviso] Ciclo de vida no capturado ()", IF(ISNA(MATCH(O343, Criterios!$D$123:$D$124, 0)), "Ciclo de vida no válido", ""))))</f>
        <v/>
      </c>
      <c r="AC343" s="56" t="n"/>
      <c r="AD343" s="51" t="n"/>
      <c r="AE343" s="156" t="n"/>
      <c r="AF343" s="51" t="n"/>
      <c r="AG343" s="156" t="inlineStr">
        <is>
          <t>Nuevo – Carga Hoja2 01/10/2026</t>
        </is>
      </c>
      <c r="AH343" s="156" t="inlineStr">
        <is>
          <t>Alta 01/10/2026 desde Hoja2 (fila 141);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43" s="156" t="n"/>
      <c r="AJ343" s="156" t="n"/>
      <c r="AK343" s="155" t="inlineStr">
        <is>
          <t>Hoja2: fila 141 | Odoo: producto 27164 / plantilla 33864</t>
        </is>
      </c>
      <c r="AL343" s="58" t="n"/>
      <c r="AM343" s="58" t="n"/>
      <c r="AN343" s="155" t="inlineStr">
        <is>
          <t>Odoo Universal Unique Brands</t>
        </is>
      </c>
      <c r="AO343" s="59" t="n"/>
      <c r="AP343" s="59" t="n"/>
      <c r="AQ343" s="59" t="n">
        <v>6</v>
      </c>
      <c r="AR343" s="155" t="inlineStr">
        <is>
          <t>Odoo Universal Unique Brands › Bodega 25 › Bodega 25/General: 6</t>
        </is>
      </c>
    </row>
    <row r="344">
      <c r="A344" s="50" t="inlineStr">
        <is>
          <t>717205896597</t>
        </is>
      </c>
      <c r="B344" s="51" t="inlineStr">
        <is>
          <t>27165</t>
        </is>
      </c>
      <c r="C344" s="156" t="inlineStr">
        <is>
          <t>Montana West</t>
        </is>
      </c>
      <c r="D344" s="156" t="inlineStr">
        <is>
          <t>TR165-194ABR</t>
        </is>
      </c>
      <c r="E344" s="156" t="inlineStr">
        <is>
          <t>TR165-194ABR</t>
        </is>
      </c>
      <c r="F344" s="156" t="inlineStr">
        <is>
          <t>Talla única</t>
        </is>
      </c>
      <c r="G344" s="156" t="inlineStr">
        <is>
          <t>One Size</t>
        </is>
      </c>
      <c r="H344" s="156" t="inlineStr">
        <is>
          <t>Montana West</t>
        </is>
      </c>
      <c r="I344" s="156" t="inlineStr">
        <is>
          <t>Riñonera Trinity Ranch Café</t>
        </is>
      </c>
      <c r="J344" s="156" t="inlineStr">
        <is>
          <t>Accesorios</t>
        </is>
      </c>
      <c r="K344" s="156" t="inlineStr">
        <is>
          <t>Bolsos</t>
        </is>
      </c>
      <c r="L344" s="156" t="inlineStr">
        <is>
          <t>Mujer</t>
        </is>
      </c>
      <c r="M344" s="156" t="inlineStr">
        <is>
          <t>Trinity Ranch</t>
        </is>
      </c>
      <c r="N344" s="156" t="n"/>
      <c r="O344" s="156" t="inlineStr">
        <is>
          <t>Core</t>
        </is>
      </c>
      <c r="P344" s="156" t="inlineStr">
        <is>
          <t>Cafe</t>
        </is>
      </c>
      <c r="Q344" s="156" t="n"/>
      <c r="R344" s="156" t="n"/>
      <c r="S344" s="156" t="n"/>
      <c r="T344" s="156" t="inlineStr">
        <is>
          <t>Riñonera Trinity Ranch. Color: Café. Talla única. Mujer. Referencia: TR165-194ABR.</t>
        </is>
      </c>
      <c r="U344" s="156" t="n"/>
      <c r="V344" s="156" t="inlineStr">
        <is>
          <t>PZS</t>
        </is>
      </c>
      <c r="W344" s="51" t="inlineStr">
        <is>
          <t>53121601</t>
        </is>
      </c>
      <c r="X344" s="156" t="n"/>
      <c r="Y344" s="54" t="n">
        <v>418.6</v>
      </c>
      <c r="Z344" s="54" t="n">
        <v>699</v>
      </c>
      <c r="AA344" s="55">
        <f>IF(AND(A344="", B344="", E344=""), "", IF(AB344="", "Válido", IF((LEN(AB344)-LEN(SUBSTITUTE(AB344,"; ","")))/2+1&gt;(LEN(AB344)-LEN(SUBSTITUTE(AB344,"[Aviso]","")))/7, "Con Incidencias", "Válido")))</f>
        <v/>
      </c>
      <c r="AB344" s="56">
        <f>IF(AND(A344="", B344="", E344=""), "", TEXTJOIN("; ", TRUE, IF(OR(TRIM(A344&amp;"")="", ISNUMBER(SEARCH("FALTA", A344))), "UPC faltante/inválido", ""), IF(AND(A344&lt;&gt;"", IFERROR(_xlfn.XMATCH(A344,$A$2:$A$1063,0,1)&lt;&gt;_xlfn.XMATCH(A344,$A$2:$A$1063,0,-1),FALSE)), "Código de barras duplicado", ""), IF(AND(E344&lt;&gt;"", COUNTIF($E$2:$E$1063, E344)&gt;1), "SKU duplicado", ""), IF(OR(J344="", J344=""), "[Aviso] División no capturada ()", IF(ISNA(MATCH(J344, Criterios!$A$123:$A$126, 0)), "División no válida", "")), IF(OR(K344="", K344=""), "[Aviso] Categoría no capturada ()", IF(ISNA(MATCH(K344, Criterios!$A$81:$A$120, 0)), "Categoría no válida", IF(AND(J344&lt;&gt;"", J344&lt;&gt;"", J344&lt;&gt;VLOOKUP(K344, Criterios!$A$81:$B$120, 2, FALSE)), "División no coincide con Categoría", ""))), IF(OR(L344="", L344=""), "[Aviso] Género no capturado ()", IF(ISNA(MATCH(L344, Criterios!$B$123:$B$127, 0)), "Género no válido", "")), IF(OR(N344="", N344=""), "[Aviso] Temporada no capturada ()", IF(ISNA(MATCH(N344, Criterios!$C$123:$C$128, 0)), "Temporada no válida", "")), IF(OR(O344="", O344=""), "[Aviso] Ciclo de vida no capturado ()", IF(ISNA(MATCH(O344, Criterios!$D$123:$D$124, 0)), "Ciclo de vida no válido", ""))))</f>
        <v/>
      </c>
      <c r="AC344" s="56" t="n"/>
      <c r="AD344" s="51" t="n"/>
      <c r="AE344" s="156" t="n"/>
      <c r="AF344" s="51" t="n"/>
      <c r="AG344" s="156" t="inlineStr">
        <is>
          <t>Nuevo – Carga Hoja2 01/10/2026</t>
        </is>
      </c>
      <c r="AH344" s="156" t="inlineStr">
        <is>
          <t>Alta 01/10/2026 desde Hoja2 (fila 142); Marca original 'Trinity Ranch' (submarca de Montana West) | 01/10/2026: Odoo Universal Unique Brands trae Categoría «Cinturones», Género «Unisex» — se conservó el valor de Productos | Homologación G1522 06/10/2026: Validador Shopify: WB: precio con IVA no termina en 9</t>
        </is>
      </c>
      <c r="AI344" s="156" t="n"/>
      <c r="AJ344" s="156" t="n"/>
      <c r="AK344" s="155" t="inlineStr">
        <is>
          <t>Hoja2: fila 142 | Odoo: producto 27165 / plantilla 33865</t>
        </is>
      </c>
      <c r="AL344" s="58" t="n"/>
      <c r="AM344" s="58" t="n"/>
      <c r="AN344" s="155" t="inlineStr">
        <is>
          <t>Odoo Universal Unique Brands</t>
        </is>
      </c>
      <c r="AO344" s="59" t="n"/>
      <c r="AP344" s="59" t="n"/>
      <c r="AQ344" s="59" t="n">
        <v>6</v>
      </c>
      <c r="AR344" s="155" t="inlineStr">
        <is>
          <t>Odoo Universal Unique Brands › Bodega 25 › Bodega 25/General: 6</t>
        </is>
      </c>
    </row>
    <row r="345">
      <c r="A345" s="50" t="inlineStr">
        <is>
          <t>717205896535</t>
        </is>
      </c>
      <c r="B345" s="51" t="inlineStr">
        <is>
          <t>27166</t>
        </is>
      </c>
      <c r="C345" s="156" t="inlineStr">
        <is>
          <t>Montana West</t>
        </is>
      </c>
      <c r="D345" s="156" t="inlineStr">
        <is>
          <t>TR165-194AHPK</t>
        </is>
      </c>
      <c r="E345" s="156" t="inlineStr">
        <is>
          <t>TR165-194AHPK</t>
        </is>
      </c>
      <c r="F345" s="156" t="inlineStr">
        <is>
          <t>Talla única</t>
        </is>
      </c>
      <c r="G345" s="156" t="inlineStr">
        <is>
          <t>One Size</t>
        </is>
      </c>
      <c r="H345" s="156" t="inlineStr">
        <is>
          <t>Montana West</t>
        </is>
      </c>
      <c r="I345" s="156" t="inlineStr">
        <is>
          <t>Riñonera Trinity Ranch Rosa Fuerte</t>
        </is>
      </c>
      <c r="J345" s="156" t="inlineStr">
        <is>
          <t>Accesorios</t>
        </is>
      </c>
      <c r="K345" s="156" t="inlineStr">
        <is>
          <t>Bolsos</t>
        </is>
      </c>
      <c r="L345" s="156" t="inlineStr">
        <is>
          <t>Mujer</t>
        </is>
      </c>
      <c r="M345" s="156" t="inlineStr">
        <is>
          <t>Trinity Ranch</t>
        </is>
      </c>
      <c r="N345" s="156" t="n"/>
      <c r="O345" s="156" t="inlineStr">
        <is>
          <t>Core</t>
        </is>
      </c>
      <c r="P345" s="156" t="inlineStr">
        <is>
          <t>Rosa</t>
        </is>
      </c>
      <c r="Q345" s="156" t="n"/>
      <c r="R345" s="156" t="n"/>
      <c r="S345" s="156" t="n"/>
      <c r="T345" s="156" t="inlineStr">
        <is>
          <t>Riñonera Trinity Ranch. Color: Rosa Fuerte. Talla única. Mujer. Referencia: TR165-194AHPK.</t>
        </is>
      </c>
      <c r="U345" s="156" t="n"/>
      <c r="V345" s="156" t="inlineStr">
        <is>
          <t>PZS</t>
        </is>
      </c>
      <c r="W345" s="51" t="inlineStr">
        <is>
          <t>53121601</t>
        </is>
      </c>
      <c r="X345" s="156" t="n"/>
      <c r="Y345" s="54" t="n">
        <v>418.6</v>
      </c>
      <c r="Z345" s="54" t="n">
        <v>699</v>
      </c>
      <c r="AA345" s="55">
        <f>IF(AND(A345="", B345="", E345=""), "", IF(AB345="", "Válido", IF((LEN(AB345)-LEN(SUBSTITUTE(AB345,"; ","")))/2+1&gt;(LEN(AB345)-LEN(SUBSTITUTE(AB345,"[Aviso]","")))/7, "Con Incidencias", "Válido")))</f>
        <v/>
      </c>
      <c r="AB345" s="56">
        <f>IF(AND(A345="", B345="", E345=""), "", TEXTJOIN("; ", TRUE, IF(OR(TRIM(A345&amp;"")="", ISNUMBER(SEARCH("FALTA", A345))), "UPC faltante/inválido", ""), IF(AND(A345&lt;&gt;"", IFERROR(_xlfn.XMATCH(A345,$A$2:$A$1063,0,1)&lt;&gt;_xlfn.XMATCH(A345,$A$2:$A$1063,0,-1),FALSE)), "Código de barras duplicado", ""), IF(AND(E345&lt;&gt;"", COUNTIF($E$2:$E$1063, E345)&gt;1), "SKU duplicado", ""), IF(OR(J345="", J345=""), "[Aviso] División no capturada ()", IF(ISNA(MATCH(J345, Criterios!$A$123:$A$126, 0)), "División no válida", "")), IF(OR(K345="", K345=""), "[Aviso] Categoría no capturada ()", IF(ISNA(MATCH(K345, Criterios!$A$81:$A$120, 0)), "Categoría no válida", IF(AND(J345&lt;&gt;"", J345&lt;&gt;"", J345&lt;&gt;VLOOKUP(K345, Criterios!$A$81:$B$120, 2, FALSE)), "División no coincide con Categoría", ""))), IF(OR(L345="", L345=""), "[Aviso] Género no capturado ()", IF(ISNA(MATCH(L345, Criterios!$B$123:$B$127, 0)), "Género no válido", "")), IF(OR(N345="", N345=""), "[Aviso] Temporada no capturada ()", IF(ISNA(MATCH(N345, Criterios!$C$123:$C$128, 0)), "Temporada no válida", "")), IF(OR(O345="", O345=""), "[Aviso] Ciclo de vida no capturado ()", IF(ISNA(MATCH(O345, Criterios!$D$123:$D$124, 0)), "Ciclo de vida no válido", ""))))</f>
        <v/>
      </c>
      <c r="AC345" s="56" t="n"/>
      <c r="AD345" s="51" t="n"/>
      <c r="AE345" s="156" t="n"/>
      <c r="AF345" s="51" t="n"/>
      <c r="AG345" s="156" t="inlineStr">
        <is>
          <t>Nuevo – Carga Hoja2 01/10/2026</t>
        </is>
      </c>
      <c r="AH345" s="156" t="inlineStr">
        <is>
          <t>Alta 01/10/2026 desde Hoja2 (fila 143); Marca original 'Trinity Ranch' (submarca de Montana West) | 01/10/2026: Odoo Universal Unique Brands trae Categoría «Cinturones», Género «Unisex» — se conservó el valor de Productos | Homologación G1522 06/10/2026: Validador Shopify: WB: precio con IVA no termina en 9</t>
        </is>
      </c>
      <c r="AI345" s="156" t="n"/>
      <c r="AJ345" s="156" t="n"/>
      <c r="AK345" s="155" t="inlineStr">
        <is>
          <t>Hoja2: fila 143 | Odoo: producto 27166 / plantilla 33866</t>
        </is>
      </c>
      <c r="AL345" s="58" t="n"/>
      <c r="AM345" s="58" t="n"/>
      <c r="AN345" s="155" t="inlineStr">
        <is>
          <t>Odoo Universal Unique Brands</t>
        </is>
      </c>
      <c r="AO345" s="59" t="n"/>
      <c r="AP345" s="59" t="n"/>
      <c r="AQ345" s="59" t="n">
        <v>6</v>
      </c>
      <c r="AR345" s="155" t="inlineStr">
        <is>
          <t>Odoo Universal Unique Brands › Bodega 25 › Bodega 25/General: 6</t>
        </is>
      </c>
    </row>
    <row r="346">
      <c r="A346" s="50" t="inlineStr">
        <is>
          <t>717205896801</t>
        </is>
      </c>
      <c r="B346" s="51" t="inlineStr">
        <is>
          <t>27167</t>
        </is>
      </c>
      <c r="C346" s="156" t="inlineStr">
        <is>
          <t>Montana West</t>
        </is>
      </c>
      <c r="D346" s="156" t="inlineStr">
        <is>
          <t>TR165-198BK</t>
        </is>
      </c>
      <c r="E346" s="156" t="inlineStr">
        <is>
          <t>TR165-198BK</t>
        </is>
      </c>
      <c r="F346" s="156" t="inlineStr">
        <is>
          <t>Talla única</t>
        </is>
      </c>
      <c r="G346" s="156" t="inlineStr">
        <is>
          <t>One Size</t>
        </is>
      </c>
      <c r="H346" s="156" t="inlineStr">
        <is>
          <t>Montana West</t>
        </is>
      </c>
      <c r="I346" s="156" t="inlineStr">
        <is>
          <t>Riñonera Trinity Ranch Negro</t>
        </is>
      </c>
      <c r="J346" s="156" t="inlineStr">
        <is>
          <t>Accesorios</t>
        </is>
      </c>
      <c r="K346" s="156" t="inlineStr">
        <is>
          <t>Bolsos</t>
        </is>
      </c>
      <c r="L346" s="156" t="inlineStr">
        <is>
          <t>Mujer</t>
        </is>
      </c>
      <c r="M346" s="156" t="inlineStr">
        <is>
          <t>Trinity Ranch</t>
        </is>
      </c>
      <c r="N346" s="156" t="n"/>
      <c r="O346" s="156" t="inlineStr">
        <is>
          <t>Core</t>
        </is>
      </c>
      <c r="P346" s="156" t="inlineStr">
        <is>
          <t>Negro</t>
        </is>
      </c>
      <c r="Q346" s="156" t="n"/>
      <c r="R346" s="156" t="n"/>
      <c r="S346" s="156" t="n"/>
      <c r="T346" s="156" t="inlineStr">
        <is>
          <t>Riñonera Trinity Ranch. Color: Negro. Talla única. Mujer. Referencia: TR165-198BK.</t>
        </is>
      </c>
      <c r="U346" s="156" t="n"/>
      <c r="V346" s="156" t="inlineStr">
        <is>
          <t>PZS</t>
        </is>
      </c>
      <c r="W346" s="51" t="inlineStr">
        <is>
          <t>53121601</t>
        </is>
      </c>
      <c r="X346" s="156" t="n"/>
      <c r="Y346" s="54" t="n">
        <v>418.6</v>
      </c>
      <c r="Z346" s="54" t="n">
        <v>699</v>
      </c>
      <c r="AA346" s="55">
        <f>IF(AND(A346="", B346="", E346=""), "", IF(AB346="", "Válido", IF((LEN(AB346)-LEN(SUBSTITUTE(AB346,"; ","")))/2+1&gt;(LEN(AB346)-LEN(SUBSTITUTE(AB346,"[Aviso]","")))/7, "Con Incidencias", "Válido")))</f>
        <v/>
      </c>
      <c r="AB346" s="56">
        <f>IF(AND(A346="", B346="", E346=""), "", TEXTJOIN("; ", TRUE, IF(OR(TRIM(A346&amp;"")="", ISNUMBER(SEARCH("FALTA", A346))), "UPC faltante/inválido", ""), IF(AND(A346&lt;&gt;"", IFERROR(_xlfn.XMATCH(A346,$A$2:$A$1063,0,1)&lt;&gt;_xlfn.XMATCH(A346,$A$2:$A$1063,0,-1),FALSE)), "Código de barras duplicado", ""), IF(AND(E346&lt;&gt;"", COUNTIF($E$2:$E$1063, E346)&gt;1), "SKU duplicado", ""), IF(OR(J346="", J346=""), "[Aviso] División no capturada ()", IF(ISNA(MATCH(J346, Criterios!$A$123:$A$126, 0)), "División no válida", "")), IF(OR(K346="", K346=""), "[Aviso] Categoría no capturada ()", IF(ISNA(MATCH(K346, Criterios!$A$81:$A$120, 0)), "Categoría no válida", IF(AND(J346&lt;&gt;"", J346&lt;&gt;"", J346&lt;&gt;VLOOKUP(K346, Criterios!$A$81:$B$120, 2, FALSE)), "División no coincide con Categoría", ""))), IF(OR(L346="", L346=""), "[Aviso] Género no capturado ()", IF(ISNA(MATCH(L346, Criterios!$B$123:$B$127, 0)), "Género no válido", "")), IF(OR(N346="", N346=""), "[Aviso] Temporada no capturada ()", IF(ISNA(MATCH(N346, Criterios!$C$123:$C$128, 0)), "Temporada no válida", "")), IF(OR(O346="", O346=""), "[Aviso] Ciclo de vida no capturado ()", IF(ISNA(MATCH(O346, Criterios!$D$123:$D$124, 0)), "Ciclo de vida no válido", ""))))</f>
        <v/>
      </c>
      <c r="AC346" s="56" t="n"/>
      <c r="AD346" s="51" t="n"/>
      <c r="AE346" s="156" t="n"/>
      <c r="AF346" s="51" t="n"/>
      <c r="AG346" s="156" t="inlineStr">
        <is>
          <t>Nuevo – Carga Hoja2 01/10/2026</t>
        </is>
      </c>
      <c r="AH346" s="156" t="inlineStr">
        <is>
          <t>Alta 01/10/2026 desde Hoja2 (fila 144); Marca original 'Trinity Ranch' (submarca de Montana West) | 01/10/2026: Odoo Universal Unique Brands trae Categoría «Cinturones», Género «Unisex» — se conservó el valor de Productos | Homologación G1522 06/10/2026: Validador Shopify: WB: precio con IVA no termina en 9</t>
        </is>
      </c>
      <c r="AI346" s="156" t="n"/>
      <c r="AJ346" s="156" t="n"/>
      <c r="AK346" s="155" t="inlineStr">
        <is>
          <t>Hoja2: fila 144 | Odoo: producto 27167 / plantilla 33867</t>
        </is>
      </c>
      <c r="AL346" s="58" t="n"/>
      <c r="AM346" s="58" t="n"/>
      <c r="AN346" s="155" t="inlineStr">
        <is>
          <t>Odoo Universal Unique Brands</t>
        </is>
      </c>
      <c r="AO346" s="59" t="n"/>
      <c r="AP346" s="59" t="n"/>
      <c r="AQ346" s="59" t="n">
        <v>6</v>
      </c>
      <c r="AR346" s="155" t="inlineStr">
        <is>
          <t>Odoo Universal Unique Brands › Bodega 25 › Bodega 25/General: 6</t>
        </is>
      </c>
    </row>
    <row r="347">
      <c r="A347" s="50" t="inlineStr">
        <is>
          <t>717205896771</t>
        </is>
      </c>
      <c r="B347" s="51" t="inlineStr">
        <is>
          <t>27168</t>
        </is>
      </c>
      <c r="C347" s="156" t="inlineStr">
        <is>
          <t>Montana West</t>
        </is>
      </c>
      <c r="D347" s="156" t="inlineStr">
        <is>
          <t>TR165-198BR</t>
        </is>
      </c>
      <c r="E347" s="156" t="inlineStr">
        <is>
          <t>TR165-198BR</t>
        </is>
      </c>
      <c r="F347" s="156" t="inlineStr">
        <is>
          <t>Talla única</t>
        </is>
      </c>
      <c r="G347" s="156" t="inlineStr">
        <is>
          <t>One Size</t>
        </is>
      </c>
      <c r="H347" s="156" t="inlineStr">
        <is>
          <t>Montana West</t>
        </is>
      </c>
      <c r="I347" s="156" t="inlineStr">
        <is>
          <t>Riñonera Trinity Ranch Café</t>
        </is>
      </c>
      <c r="J347" s="156" t="inlineStr">
        <is>
          <t>Accesorios</t>
        </is>
      </c>
      <c r="K347" s="156" t="inlineStr">
        <is>
          <t>Bolsos</t>
        </is>
      </c>
      <c r="L347" s="156" t="inlineStr">
        <is>
          <t>Mujer</t>
        </is>
      </c>
      <c r="M347" s="156" t="inlineStr">
        <is>
          <t>Trinity Ranch</t>
        </is>
      </c>
      <c r="N347" s="156" t="n"/>
      <c r="O347" s="156" t="inlineStr">
        <is>
          <t>Core</t>
        </is>
      </c>
      <c r="P347" s="156" t="inlineStr">
        <is>
          <t>Cafe</t>
        </is>
      </c>
      <c r="Q347" s="156" t="n"/>
      <c r="R347" s="156" t="n"/>
      <c r="S347" s="156" t="n"/>
      <c r="T347" s="156" t="inlineStr">
        <is>
          <t>Riñonera Trinity Ranch. Color: Café. Talla única. Mujer. Referencia: TR165-198BR.</t>
        </is>
      </c>
      <c r="U347" s="156" t="n"/>
      <c r="V347" s="156" t="inlineStr">
        <is>
          <t>PZS</t>
        </is>
      </c>
      <c r="W347" s="51" t="inlineStr">
        <is>
          <t>53121601</t>
        </is>
      </c>
      <c r="X347" s="156" t="n"/>
      <c r="Y347" s="54" t="n">
        <v>418.6</v>
      </c>
      <c r="Z347" s="54" t="n">
        <v>699</v>
      </c>
      <c r="AA347" s="55">
        <f>IF(AND(A347="", B347="", E347=""), "", IF(AB347="", "Válido", IF((LEN(AB347)-LEN(SUBSTITUTE(AB347,"; ","")))/2+1&gt;(LEN(AB347)-LEN(SUBSTITUTE(AB347,"[Aviso]","")))/7, "Con Incidencias", "Válido")))</f>
        <v/>
      </c>
      <c r="AB347" s="56">
        <f>IF(AND(A347="", B347="", E347=""), "", TEXTJOIN("; ", TRUE, IF(OR(TRIM(A347&amp;"")="", ISNUMBER(SEARCH("FALTA", A347))), "UPC faltante/inválido", ""), IF(AND(A347&lt;&gt;"", IFERROR(_xlfn.XMATCH(A347,$A$2:$A$1063,0,1)&lt;&gt;_xlfn.XMATCH(A347,$A$2:$A$1063,0,-1),FALSE)), "Código de barras duplicado", ""), IF(AND(E347&lt;&gt;"", COUNTIF($E$2:$E$1063, E347)&gt;1), "SKU duplicado", ""), IF(OR(J347="", J347=""), "[Aviso] División no capturada ()", IF(ISNA(MATCH(J347, Criterios!$A$123:$A$126, 0)), "División no válida", "")), IF(OR(K347="", K347=""), "[Aviso] Categoría no capturada ()", IF(ISNA(MATCH(K347, Criterios!$A$81:$A$120, 0)), "Categoría no válida", IF(AND(J347&lt;&gt;"", J347&lt;&gt;"", J347&lt;&gt;VLOOKUP(K347, Criterios!$A$81:$B$120, 2, FALSE)), "División no coincide con Categoría", ""))), IF(OR(L347="", L347=""), "[Aviso] Género no capturado ()", IF(ISNA(MATCH(L347, Criterios!$B$123:$B$127, 0)), "Género no válido", "")), IF(OR(N347="", N347=""), "[Aviso] Temporada no capturada ()", IF(ISNA(MATCH(N347, Criterios!$C$123:$C$128, 0)), "Temporada no válida", "")), IF(OR(O347="", O347=""), "[Aviso] Ciclo de vida no capturado ()", IF(ISNA(MATCH(O347, Criterios!$D$123:$D$124, 0)), "Ciclo de vida no válido", ""))))</f>
        <v/>
      </c>
      <c r="AC347" s="56" t="n"/>
      <c r="AD347" s="51" t="n"/>
      <c r="AE347" s="156" t="n"/>
      <c r="AF347" s="51" t="n"/>
      <c r="AG347" s="156" t="inlineStr">
        <is>
          <t>Nuevo – Carga Hoja2 01/10/2026</t>
        </is>
      </c>
      <c r="AH347" s="156" t="inlineStr">
        <is>
          <t>Alta 01/10/2026 desde Hoja2 (fila 145); Marca original 'Trinity Ranch' (submarca de Montana West) | 01/10/2026: Odoo Universal Unique Brands trae Categoría «Cinturones», Género «Unisex» — se conservó el valor de Productos | Homologación G1522 06/10/2026: Validador Shopify: WB: precio con IVA no termina en 9</t>
        </is>
      </c>
      <c r="AI347" s="156" t="n"/>
      <c r="AJ347" s="156" t="n"/>
      <c r="AK347" s="155" t="inlineStr">
        <is>
          <t>Hoja2: fila 145 | Odoo: producto 27168 / plantilla 33868</t>
        </is>
      </c>
      <c r="AL347" s="58" t="n"/>
      <c r="AM347" s="58" t="n"/>
      <c r="AN347" s="155" t="inlineStr">
        <is>
          <t>Odoo Universal Unique Brands</t>
        </is>
      </c>
      <c r="AO347" s="59" t="n"/>
      <c r="AP347" s="59" t="n"/>
      <c r="AQ347" s="59" t="n">
        <v>3</v>
      </c>
      <c r="AR347" s="155" t="inlineStr">
        <is>
          <t>Odoo Universal Unique Brands › Bodega 25 › Bodega 25/General: 3</t>
        </is>
      </c>
    </row>
    <row r="348">
      <c r="A348" s="50" t="inlineStr">
        <is>
          <t>717205871426</t>
        </is>
      </c>
      <c r="B348" s="51" t="inlineStr">
        <is>
          <t>27169</t>
        </is>
      </c>
      <c r="C348" s="156" t="inlineStr">
        <is>
          <t>Montana West</t>
        </is>
      </c>
      <c r="D348" s="156" t="inlineStr">
        <is>
          <t>TR179-185CF</t>
        </is>
      </c>
      <c r="E348" s="156" t="inlineStr">
        <is>
          <t>TR179-185CF</t>
        </is>
      </c>
      <c r="F348" s="156" t="inlineStr">
        <is>
          <t>Talla única</t>
        </is>
      </c>
      <c r="G348" s="156" t="inlineStr">
        <is>
          <t>One Size</t>
        </is>
      </c>
      <c r="H348" s="156" t="inlineStr">
        <is>
          <t>Montana West</t>
        </is>
      </c>
      <c r="I348" s="156" t="inlineStr">
        <is>
          <t>Bolsa Trinity Ranch Café Oscuro</t>
        </is>
      </c>
      <c r="J348" s="156" t="inlineStr">
        <is>
          <t>Accesorios</t>
        </is>
      </c>
      <c r="K348" s="156" t="inlineStr">
        <is>
          <t>Bolsos</t>
        </is>
      </c>
      <c r="L348" s="156" t="inlineStr">
        <is>
          <t>Mujer</t>
        </is>
      </c>
      <c r="M348" s="156" t="inlineStr">
        <is>
          <t>Trinity Ranch</t>
        </is>
      </c>
      <c r="N348" s="156" t="n"/>
      <c r="O348" s="156" t="inlineStr">
        <is>
          <t>Core</t>
        </is>
      </c>
      <c r="P348" s="156" t="inlineStr">
        <is>
          <t>Cafe</t>
        </is>
      </c>
      <c r="Q348" s="156" t="n"/>
      <c r="R348" s="156" t="n"/>
      <c r="S348" s="156" t="n"/>
      <c r="T348" s="156" t="inlineStr">
        <is>
          <t>Bolsa Trinity Ranch. Color: Café Oscuro. Talla única. Mujer. Referencia: TR179-185CF.</t>
        </is>
      </c>
      <c r="U348" s="156" t="n"/>
      <c r="V348" s="156" t="inlineStr">
        <is>
          <t>PZS</t>
        </is>
      </c>
      <c r="W348" s="51" t="inlineStr">
        <is>
          <t>53121601</t>
        </is>
      </c>
      <c r="X348" s="156" t="n"/>
      <c r="Y348" s="54" t="n">
        <v>370.3</v>
      </c>
      <c r="Z348" s="54" t="n">
        <v>599</v>
      </c>
      <c r="AA348" s="55">
        <f>IF(AND(A348="", B348="", E348=""), "", IF(AB348="", "Válido", IF((LEN(AB348)-LEN(SUBSTITUTE(AB348,"; ","")))/2+1&gt;(LEN(AB348)-LEN(SUBSTITUTE(AB348,"[Aviso]","")))/7, "Con Incidencias", "Válido")))</f>
        <v/>
      </c>
      <c r="AB348" s="56">
        <f>IF(AND(A348="", B348="", E348=""), "", TEXTJOIN("; ", TRUE, IF(OR(TRIM(A348&amp;"")="", ISNUMBER(SEARCH("FALTA", A348))), "UPC faltante/inválido", ""), IF(AND(A348&lt;&gt;"", IFERROR(_xlfn.XMATCH(A348,$A$2:$A$1063,0,1)&lt;&gt;_xlfn.XMATCH(A348,$A$2:$A$1063,0,-1),FALSE)), "Código de barras duplicado", ""), IF(AND(E348&lt;&gt;"", COUNTIF($E$2:$E$1063, E348)&gt;1), "SKU duplicado", ""), IF(OR(J348="", J348=""), "[Aviso] División no capturada ()", IF(ISNA(MATCH(J348, Criterios!$A$123:$A$126, 0)), "División no válida", "")), IF(OR(K348="", K348=""), "[Aviso] Categoría no capturada ()", IF(ISNA(MATCH(K348, Criterios!$A$81:$A$120, 0)), "Categoría no válida", IF(AND(J348&lt;&gt;"", J348&lt;&gt;"", J348&lt;&gt;VLOOKUP(K348, Criterios!$A$81:$B$120, 2, FALSE)), "División no coincide con Categoría", ""))), IF(OR(L348="", L348=""), "[Aviso] Género no capturado ()", IF(ISNA(MATCH(L348, Criterios!$B$123:$B$127, 0)), "Género no válido", "")), IF(OR(N348="", N348=""), "[Aviso] Temporada no capturada ()", IF(ISNA(MATCH(N348, Criterios!$C$123:$C$128, 0)), "Temporada no válida", "")), IF(OR(O348="", O348=""), "[Aviso] Ciclo de vida no capturado ()", IF(ISNA(MATCH(O348, Criterios!$D$123:$D$124, 0)), "Ciclo de vida no válido", ""))))</f>
        <v/>
      </c>
      <c r="AC348" s="56" t="n"/>
      <c r="AD348" s="51" t="n"/>
      <c r="AE348" s="156" t="n"/>
      <c r="AF348" s="51" t="n"/>
      <c r="AG348" s="156" t="inlineStr">
        <is>
          <t>Nuevo – Carga Hoja2 01/10/2026</t>
        </is>
      </c>
      <c r="AH348" s="156" t="inlineStr">
        <is>
          <t>Alta 01/10/2026 desde Hoja2 (fila 146);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48" s="156" t="n"/>
      <c r="AJ348" s="156" t="n"/>
      <c r="AK348" s="155" t="inlineStr">
        <is>
          <t>Hoja2: fila 146 | Odoo: producto 27169 / plantilla 33869</t>
        </is>
      </c>
      <c r="AL348" s="58" t="n"/>
      <c r="AM348" s="58" t="n"/>
      <c r="AN348" s="155" t="inlineStr">
        <is>
          <t>Odoo Universal Unique Brands</t>
        </is>
      </c>
      <c r="AO348" s="59" t="n"/>
      <c r="AP348" s="59" t="n"/>
      <c r="AQ348" s="59" t="n">
        <v>5</v>
      </c>
      <c r="AR348" s="155" t="inlineStr">
        <is>
          <t>Odoo Universal Unique Brands › Bodega 25 › Bodega 25/General: 5</t>
        </is>
      </c>
    </row>
    <row r="349">
      <c r="A349" s="50" t="inlineStr">
        <is>
          <t>717205871303</t>
        </is>
      </c>
      <c r="B349" s="51" t="inlineStr">
        <is>
          <t>27170</t>
        </is>
      </c>
      <c r="C349" s="156" t="inlineStr">
        <is>
          <t>Montana West</t>
        </is>
      </c>
      <c r="D349" s="156" t="inlineStr">
        <is>
          <t>TR179-186BR</t>
        </is>
      </c>
      <c r="E349" s="156" t="inlineStr">
        <is>
          <t>TR179-186BR</t>
        </is>
      </c>
      <c r="F349" s="156" t="inlineStr">
        <is>
          <t>Talla única</t>
        </is>
      </c>
      <c r="G349" s="156" t="inlineStr">
        <is>
          <t>One Size</t>
        </is>
      </c>
      <c r="H349" s="156" t="inlineStr">
        <is>
          <t>Montana West</t>
        </is>
      </c>
      <c r="I349" s="156" t="inlineStr">
        <is>
          <t>Bolsa Trinity Ranch Café</t>
        </is>
      </c>
      <c r="J349" s="156" t="inlineStr">
        <is>
          <t>Accesorios</t>
        </is>
      </c>
      <c r="K349" s="156" t="inlineStr">
        <is>
          <t>Bolsos</t>
        </is>
      </c>
      <c r="L349" s="156" t="inlineStr">
        <is>
          <t>Mujer</t>
        </is>
      </c>
      <c r="M349" s="156" t="inlineStr">
        <is>
          <t>Trinity Ranch</t>
        </is>
      </c>
      <c r="N349" s="156" t="n"/>
      <c r="O349" s="156" t="inlineStr">
        <is>
          <t>Core</t>
        </is>
      </c>
      <c r="P349" s="156" t="inlineStr">
        <is>
          <t>Cafe</t>
        </is>
      </c>
      <c r="Q349" s="156" t="n"/>
      <c r="R349" s="156" t="n"/>
      <c r="S349" s="156" t="n"/>
      <c r="T349" s="156" t="inlineStr">
        <is>
          <t>Bolsa Trinity Ranch. Color: Café. Talla única. Mujer. Referencia: TR179-186BR.</t>
        </is>
      </c>
      <c r="U349" s="156" t="n"/>
      <c r="V349" s="156" t="inlineStr">
        <is>
          <t>PZS</t>
        </is>
      </c>
      <c r="W349" s="51" t="inlineStr">
        <is>
          <t>53121601</t>
        </is>
      </c>
      <c r="X349" s="156" t="n"/>
      <c r="Y349" s="54" t="n">
        <v>386.4</v>
      </c>
      <c r="Z349" s="54" t="n">
        <v>649</v>
      </c>
      <c r="AA349" s="55">
        <f>IF(AND(A349="", B349="", E349=""), "", IF(AB349="", "Válido", IF((LEN(AB349)-LEN(SUBSTITUTE(AB349,"; ","")))/2+1&gt;(LEN(AB349)-LEN(SUBSTITUTE(AB349,"[Aviso]","")))/7, "Con Incidencias", "Válido")))</f>
        <v/>
      </c>
      <c r="AB349" s="56">
        <f>IF(AND(A349="", B349="", E349=""), "", TEXTJOIN("; ", TRUE, IF(OR(TRIM(A349&amp;"")="", ISNUMBER(SEARCH("FALTA", A349))), "UPC faltante/inválido", ""), IF(AND(A349&lt;&gt;"", IFERROR(_xlfn.XMATCH(A349,$A$2:$A$1063,0,1)&lt;&gt;_xlfn.XMATCH(A349,$A$2:$A$1063,0,-1),FALSE)), "Código de barras duplicado", ""), IF(AND(E349&lt;&gt;"", COUNTIF($E$2:$E$1063, E349)&gt;1), "SKU duplicado", ""), IF(OR(J349="", J349=""), "[Aviso] División no capturada ()", IF(ISNA(MATCH(J349, Criterios!$A$123:$A$126, 0)), "División no válida", "")), IF(OR(K349="", K349=""), "[Aviso] Categoría no capturada ()", IF(ISNA(MATCH(K349, Criterios!$A$81:$A$120, 0)), "Categoría no válida", IF(AND(J349&lt;&gt;"", J349&lt;&gt;"", J349&lt;&gt;VLOOKUP(K349, Criterios!$A$81:$B$120, 2, FALSE)), "División no coincide con Categoría", ""))), IF(OR(L349="", L349=""), "[Aviso] Género no capturado ()", IF(ISNA(MATCH(L349, Criterios!$B$123:$B$127, 0)), "Género no válido", "")), IF(OR(N349="", N349=""), "[Aviso] Temporada no capturada ()", IF(ISNA(MATCH(N349, Criterios!$C$123:$C$128, 0)), "Temporada no válida", "")), IF(OR(O349="", O349=""), "[Aviso] Ciclo de vida no capturado ()", IF(ISNA(MATCH(O349, Criterios!$D$123:$D$124, 0)), "Ciclo de vida no válido", ""))))</f>
        <v/>
      </c>
      <c r="AC349" s="56" t="n"/>
      <c r="AD349" s="51" t="n"/>
      <c r="AE349" s="156" t="n"/>
      <c r="AF349" s="51" t="n"/>
      <c r="AG349" s="156" t="inlineStr">
        <is>
          <t>Nuevo – Carga Hoja2 01/10/2026</t>
        </is>
      </c>
      <c r="AH349" s="156" t="inlineStr">
        <is>
          <t>Alta 01/10/2026 desde Hoja2 (fila 147);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49" s="156" t="n"/>
      <c r="AJ349" s="156" t="n"/>
      <c r="AK349" s="155" t="inlineStr">
        <is>
          <t>Hoja2: fila 147 | Odoo: producto 27170 / plantilla 33870</t>
        </is>
      </c>
      <c r="AL349" s="58" t="n"/>
      <c r="AM349" s="58" t="n"/>
      <c r="AN349" s="155" t="inlineStr">
        <is>
          <t>Odoo Universal Unique Brands</t>
        </is>
      </c>
      <c r="AO349" s="59" t="n"/>
      <c r="AP349" s="59" t="n"/>
      <c r="AQ349" s="59" t="n">
        <v>5</v>
      </c>
      <c r="AR349" s="155" t="inlineStr">
        <is>
          <t>Odoo Universal Unique Brands › Bodega 25 › Bodega 25/General: 5</t>
        </is>
      </c>
    </row>
    <row r="350">
      <c r="A350" s="50" t="inlineStr">
        <is>
          <t>717205871211</t>
        </is>
      </c>
      <c r="B350" s="51" t="inlineStr">
        <is>
          <t>27171</t>
        </is>
      </c>
      <c r="C350" s="156" t="inlineStr">
        <is>
          <t>Montana West</t>
        </is>
      </c>
      <c r="D350" s="156" t="inlineStr">
        <is>
          <t>TR179-186HPK</t>
        </is>
      </c>
      <c r="E350" s="156" t="inlineStr">
        <is>
          <t>TR179-186HPK</t>
        </is>
      </c>
      <c r="F350" s="156" t="inlineStr">
        <is>
          <t>Talla única</t>
        </is>
      </c>
      <c r="G350" s="156" t="inlineStr">
        <is>
          <t>One Size</t>
        </is>
      </c>
      <c r="H350" s="156" t="inlineStr">
        <is>
          <t>Montana West</t>
        </is>
      </c>
      <c r="I350" s="156" t="inlineStr">
        <is>
          <t>Bolsa Trinity Ranch Rosa Fuerte</t>
        </is>
      </c>
      <c r="J350" s="156" t="inlineStr">
        <is>
          <t>Accesorios</t>
        </is>
      </c>
      <c r="K350" s="156" t="inlineStr">
        <is>
          <t>Bolsos</t>
        </is>
      </c>
      <c r="L350" s="156" t="inlineStr">
        <is>
          <t>Mujer</t>
        </is>
      </c>
      <c r="M350" s="156" t="inlineStr">
        <is>
          <t>Trinity Ranch</t>
        </is>
      </c>
      <c r="N350" s="156" t="n"/>
      <c r="O350" s="156" t="inlineStr">
        <is>
          <t>Core</t>
        </is>
      </c>
      <c r="P350" s="156" t="inlineStr">
        <is>
          <t>Rosa</t>
        </is>
      </c>
      <c r="Q350" s="156" t="n"/>
      <c r="R350" s="156" t="n"/>
      <c r="S350" s="156" t="n"/>
      <c r="T350" s="156" t="inlineStr">
        <is>
          <t>Bolsa Trinity Ranch. Color: Rosa Fuerte. Talla única. Mujer. Referencia: TR179-186HPK.</t>
        </is>
      </c>
      <c r="U350" s="156" t="n"/>
      <c r="V350" s="156" t="inlineStr">
        <is>
          <t>PZS</t>
        </is>
      </c>
      <c r="W350" s="51" t="inlineStr">
        <is>
          <t>53121601</t>
        </is>
      </c>
      <c r="X350" s="156" t="n"/>
      <c r="Y350" s="54" t="n">
        <v>386.4</v>
      </c>
      <c r="Z350" s="54" t="n">
        <v>649</v>
      </c>
      <c r="AA350" s="55">
        <f>IF(AND(A350="", B350="", E350=""), "", IF(AB350="", "Válido", IF((LEN(AB350)-LEN(SUBSTITUTE(AB350,"; ","")))/2+1&gt;(LEN(AB350)-LEN(SUBSTITUTE(AB350,"[Aviso]","")))/7, "Con Incidencias", "Válido")))</f>
        <v/>
      </c>
      <c r="AB350" s="56">
        <f>IF(AND(A350="", B350="", E350=""), "", TEXTJOIN("; ", TRUE, IF(OR(TRIM(A350&amp;"")="", ISNUMBER(SEARCH("FALTA", A350))), "UPC faltante/inválido", ""), IF(AND(A350&lt;&gt;"", IFERROR(_xlfn.XMATCH(A350,$A$2:$A$1063,0,1)&lt;&gt;_xlfn.XMATCH(A350,$A$2:$A$1063,0,-1),FALSE)), "Código de barras duplicado", ""), IF(AND(E350&lt;&gt;"", COUNTIF($E$2:$E$1063, E350)&gt;1), "SKU duplicado", ""), IF(OR(J350="", J350=""), "[Aviso] División no capturada ()", IF(ISNA(MATCH(J350, Criterios!$A$123:$A$126, 0)), "División no válida", "")), IF(OR(K350="", K350=""), "[Aviso] Categoría no capturada ()", IF(ISNA(MATCH(K350, Criterios!$A$81:$A$120, 0)), "Categoría no válida", IF(AND(J350&lt;&gt;"", J350&lt;&gt;"", J350&lt;&gt;VLOOKUP(K350, Criterios!$A$81:$B$120, 2, FALSE)), "División no coincide con Categoría", ""))), IF(OR(L350="", L350=""), "[Aviso] Género no capturado ()", IF(ISNA(MATCH(L350, Criterios!$B$123:$B$127, 0)), "Género no válido", "")), IF(OR(N350="", N350=""), "[Aviso] Temporada no capturada ()", IF(ISNA(MATCH(N350, Criterios!$C$123:$C$128, 0)), "Temporada no válida", "")), IF(OR(O350="", O350=""), "[Aviso] Ciclo de vida no capturado ()", IF(ISNA(MATCH(O350, Criterios!$D$123:$D$124, 0)), "Ciclo de vida no válido", ""))))</f>
        <v/>
      </c>
      <c r="AC350" s="56" t="n"/>
      <c r="AD350" s="51" t="n"/>
      <c r="AE350" s="156" t="n"/>
      <c r="AF350" s="51" t="n"/>
      <c r="AG350" s="156" t="inlineStr">
        <is>
          <t>Nuevo – Carga Hoja2 01/10/2026</t>
        </is>
      </c>
      <c r="AH350" s="156" t="inlineStr">
        <is>
          <t>Alta 01/10/2026 desde Hoja2 (fila 148);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50" s="156" t="n"/>
      <c r="AJ350" s="156" t="n"/>
      <c r="AK350" s="155" t="inlineStr">
        <is>
          <t>Hoja2: fila 148 | Odoo: producto 27171 / plantilla 33871</t>
        </is>
      </c>
      <c r="AL350" s="58" t="n"/>
      <c r="AM350" s="58" t="n"/>
      <c r="AN350" s="155" t="inlineStr">
        <is>
          <t>Odoo Universal Unique Brands</t>
        </is>
      </c>
      <c r="AO350" s="59" t="n"/>
      <c r="AP350" s="59" t="n"/>
      <c r="AQ350" s="59" t="n">
        <v>6</v>
      </c>
      <c r="AR350" s="155" t="inlineStr">
        <is>
          <t>Odoo Universal Unique Brands › Bodega 25 › Bodega 25/General: 6</t>
        </is>
      </c>
    </row>
    <row r="351">
      <c r="A351" s="50" t="inlineStr">
        <is>
          <t>717205852463</t>
        </is>
      </c>
      <c r="B351" s="51" t="inlineStr">
        <is>
          <t>27172</t>
        </is>
      </c>
      <c r="C351" s="156" t="inlineStr">
        <is>
          <t>Montana West</t>
        </is>
      </c>
      <c r="D351" s="156" t="inlineStr">
        <is>
          <t>TR180-8360BK</t>
        </is>
      </c>
      <c r="E351" s="156" t="inlineStr">
        <is>
          <t>TR180-8360BK</t>
        </is>
      </c>
      <c r="F351" s="156" t="inlineStr">
        <is>
          <t>Talla única</t>
        </is>
      </c>
      <c r="G351" s="156" t="inlineStr">
        <is>
          <t>One Size</t>
        </is>
      </c>
      <c r="H351" s="156" t="inlineStr">
        <is>
          <t>Montana West</t>
        </is>
      </c>
      <c r="I351" s="156" t="inlineStr">
        <is>
          <t>Bolsa Trinity Ranch Negro</t>
        </is>
      </c>
      <c r="J351" s="156" t="inlineStr">
        <is>
          <t>Accesorios</t>
        </is>
      </c>
      <c r="K351" s="156" t="inlineStr">
        <is>
          <t>Bolsos</t>
        </is>
      </c>
      <c r="L351" s="156" t="inlineStr">
        <is>
          <t>Mujer</t>
        </is>
      </c>
      <c r="M351" s="156" t="inlineStr">
        <is>
          <t>Trinity Ranch</t>
        </is>
      </c>
      <c r="N351" s="156" t="n"/>
      <c r="O351" s="156" t="inlineStr">
        <is>
          <t>Core</t>
        </is>
      </c>
      <c r="P351" s="156" t="inlineStr">
        <is>
          <t>Negro</t>
        </is>
      </c>
      <c r="Q351" s="156" t="n"/>
      <c r="R351" s="156" t="n"/>
      <c r="S351" s="156" t="n"/>
      <c r="T351" s="156" t="inlineStr">
        <is>
          <t>Bolsa Trinity Ranch. Color: Negro. Talla única. Mujer. Referencia: TR180-8360BK.</t>
        </is>
      </c>
      <c r="U351" s="156" t="n"/>
      <c r="V351" s="156" t="inlineStr">
        <is>
          <t>PZS</t>
        </is>
      </c>
      <c r="W351" s="51" t="inlineStr">
        <is>
          <t>53121601</t>
        </is>
      </c>
      <c r="X351" s="156" t="n"/>
      <c r="Y351" s="54" t="n">
        <v>434.7</v>
      </c>
      <c r="Z351" s="54" t="n">
        <v>699</v>
      </c>
      <c r="AA351" s="55">
        <f>IF(AND(A351="", B351="", E351=""), "", IF(AB351="", "Válido", IF((LEN(AB351)-LEN(SUBSTITUTE(AB351,"; ","")))/2+1&gt;(LEN(AB351)-LEN(SUBSTITUTE(AB351,"[Aviso]","")))/7, "Con Incidencias", "Válido")))</f>
        <v/>
      </c>
      <c r="AB351" s="56">
        <f>IF(AND(A351="", B351="", E351=""), "", TEXTJOIN("; ", TRUE, IF(OR(TRIM(A351&amp;"")="", ISNUMBER(SEARCH("FALTA", A351))), "UPC faltante/inválido", ""), IF(AND(A351&lt;&gt;"", IFERROR(_xlfn.XMATCH(A351,$A$2:$A$1063,0,1)&lt;&gt;_xlfn.XMATCH(A351,$A$2:$A$1063,0,-1),FALSE)), "Código de barras duplicado", ""), IF(AND(E351&lt;&gt;"", COUNTIF($E$2:$E$1063, E351)&gt;1), "SKU duplicado", ""), IF(OR(J351="", J351=""), "[Aviso] División no capturada ()", IF(ISNA(MATCH(J351, Criterios!$A$123:$A$126, 0)), "División no válida", "")), IF(OR(K351="", K351=""), "[Aviso] Categoría no capturada ()", IF(ISNA(MATCH(K351, Criterios!$A$81:$A$120, 0)), "Categoría no válida", IF(AND(J351&lt;&gt;"", J351&lt;&gt;"", J351&lt;&gt;VLOOKUP(K351, Criterios!$A$81:$B$120, 2, FALSE)), "División no coincide con Categoría", ""))), IF(OR(L351="", L351=""), "[Aviso] Género no capturado ()", IF(ISNA(MATCH(L351, Criterios!$B$123:$B$127, 0)), "Género no válido", "")), IF(OR(N351="", N351=""), "[Aviso] Temporada no capturada ()", IF(ISNA(MATCH(N351, Criterios!$C$123:$C$128, 0)), "Temporada no válida", "")), IF(OR(O351="", O351=""), "[Aviso] Ciclo de vida no capturado ()", IF(ISNA(MATCH(O351, Criterios!$D$123:$D$124, 0)), "Ciclo de vida no válido", ""))))</f>
        <v/>
      </c>
      <c r="AC351" s="56" t="n"/>
      <c r="AD351" s="51" t="n"/>
      <c r="AE351" s="156" t="n"/>
      <c r="AF351" s="51" t="n"/>
      <c r="AG351" s="156" t="inlineStr">
        <is>
          <t>Nuevo – Carga Hoja2 01/10/2026</t>
        </is>
      </c>
      <c r="AH351" s="156" t="inlineStr">
        <is>
          <t>Alta 01/10/2026 desde Hoja2 (fila 149);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51" s="156" t="n"/>
      <c r="AJ351" s="156" t="n"/>
      <c r="AK351" s="155" t="inlineStr">
        <is>
          <t>Hoja2: fila 149 | Odoo: producto 27172 / plantilla 33872</t>
        </is>
      </c>
      <c r="AL351" s="58" t="n"/>
      <c r="AM351" s="58" t="n"/>
      <c r="AN351" s="155" t="inlineStr">
        <is>
          <t>Odoo Universal Unique Brands</t>
        </is>
      </c>
      <c r="AO351" s="59" t="n"/>
      <c r="AP351" s="59" t="n"/>
      <c r="AQ351" s="59" t="n">
        <v>-2</v>
      </c>
      <c r="AR351" s="155" t="n"/>
    </row>
    <row r="352">
      <c r="A352" s="50" t="inlineStr">
        <is>
          <t>717205852371</t>
        </is>
      </c>
      <c r="B352" s="51" t="inlineStr">
        <is>
          <t>27174</t>
        </is>
      </c>
      <c r="C352" s="156" t="inlineStr">
        <is>
          <t>Montana West</t>
        </is>
      </c>
      <c r="D352" s="156" t="inlineStr">
        <is>
          <t>TR180-8360TN</t>
        </is>
      </c>
      <c r="E352" s="156" t="inlineStr">
        <is>
          <t>TR180-8360TN</t>
        </is>
      </c>
      <c r="F352" s="156" t="inlineStr">
        <is>
          <t>Talla única</t>
        </is>
      </c>
      <c r="G352" s="156" t="inlineStr">
        <is>
          <t>One Size</t>
        </is>
      </c>
      <c r="H352" s="156" t="inlineStr">
        <is>
          <t>Montana West</t>
        </is>
      </c>
      <c r="I352" s="156" t="inlineStr">
        <is>
          <t>Bolsa Trinity Ranch Camel</t>
        </is>
      </c>
      <c r="J352" s="156" t="inlineStr">
        <is>
          <t>Accesorios</t>
        </is>
      </c>
      <c r="K352" s="156" t="inlineStr">
        <is>
          <t>Bolsos</t>
        </is>
      </c>
      <c r="L352" s="156" t="inlineStr">
        <is>
          <t>Mujer</t>
        </is>
      </c>
      <c r="M352" s="156" t="inlineStr">
        <is>
          <t>Trinity Ranch</t>
        </is>
      </c>
      <c r="N352" s="156" t="n"/>
      <c r="O352" s="156" t="inlineStr">
        <is>
          <t>Core</t>
        </is>
      </c>
      <c r="P352" s="156" t="inlineStr">
        <is>
          <t>Beige</t>
        </is>
      </c>
      <c r="Q352" s="156" t="n"/>
      <c r="R352" s="156" t="n"/>
      <c r="S352" s="156" t="n"/>
      <c r="T352" s="156" t="inlineStr">
        <is>
          <t>Bolsa Trinity Ranch. Color: Camel. Talla única. Mujer. Referencia: TR180-8360TN.</t>
        </is>
      </c>
      <c r="U352" s="156" t="n"/>
      <c r="V352" s="156" t="inlineStr">
        <is>
          <t>PZS</t>
        </is>
      </c>
      <c r="W352" s="51" t="inlineStr">
        <is>
          <t>53121601</t>
        </is>
      </c>
      <c r="X352" s="156" t="n"/>
      <c r="Y352" s="54" t="n">
        <v>434.7</v>
      </c>
      <c r="Z352" s="54" t="n">
        <v>699</v>
      </c>
      <c r="AA352" s="55">
        <f>IF(AND(A352="", B352="", E352=""), "", IF(AB352="", "Válido", IF((LEN(AB352)-LEN(SUBSTITUTE(AB352,"; ","")))/2+1&gt;(LEN(AB352)-LEN(SUBSTITUTE(AB352,"[Aviso]","")))/7, "Con Incidencias", "Válido")))</f>
        <v/>
      </c>
      <c r="AB352" s="56">
        <f>IF(AND(A352="", B352="", E352=""), "", TEXTJOIN("; ", TRUE, IF(OR(TRIM(A352&amp;"")="", ISNUMBER(SEARCH("FALTA", A352))), "UPC faltante/inválido", ""), IF(AND(A352&lt;&gt;"", IFERROR(_xlfn.XMATCH(A352,$A$2:$A$1063,0,1)&lt;&gt;_xlfn.XMATCH(A352,$A$2:$A$1063,0,-1),FALSE)), "Código de barras duplicado", ""), IF(AND(E352&lt;&gt;"", COUNTIF($E$2:$E$1063, E352)&gt;1), "SKU duplicado", ""), IF(OR(J352="", J352=""), "[Aviso] División no capturada ()", IF(ISNA(MATCH(J352, Criterios!$A$123:$A$126, 0)), "División no válida", "")), IF(OR(K352="", K352=""), "[Aviso] Categoría no capturada ()", IF(ISNA(MATCH(K352, Criterios!$A$81:$A$120, 0)), "Categoría no válida", IF(AND(J352&lt;&gt;"", J352&lt;&gt;"", J352&lt;&gt;VLOOKUP(K352, Criterios!$A$81:$B$120, 2, FALSE)), "División no coincide con Categoría", ""))), IF(OR(L352="", L352=""), "[Aviso] Género no capturado ()", IF(ISNA(MATCH(L352, Criterios!$B$123:$B$127, 0)), "Género no válido", "")), IF(OR(N352="", N352=""), "[Aviso] Temporada no capturada ()", IF(ISNA(MATCH(N352, Criterios!$C$123:$C$128, 0)), "Temporada no válida", "")), IF(OR(O352="", O352=""), "[Aviso] Ciclo de vida no capturado ()", IF(ISNA(MATCH(O352, Criterios!$D$123:$D$124, 0)), "Ciclo de vida no válido", ""))))</f>
        <v/>
      </c>
      <c r="AC352" s="56" t="n"/>
      <c r="AD352" s="51" t="n"/>
      <c r="AE352" s="156" t="n"/>
      <c r="AF352" s="51" t="n"/>
      <c r="AG352" s="156" t="inlineStr">
        <is>
          <t>Nuevo – Carga Hoja2 01/10/2026</t>
        </is>
      </c>
      <c r="AH352" s="156" t="inlineStr">
        <is>
          <t>Alta 01/10/2026 desde Hoja2 (fila 150);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52" s="156" t="n"/>
      <c r="AJ352" s="156" t="n"/>
      <c r="AK352" s="155" t="inlineStr">
        <is>
          <t>Hoja2: fila 150 | Odoo: producto 27174 / plantilla 33874</t>
        </is>
      </c>
      <c r="AL352" s="58" t="n"/>
      <c r="AM352" s="58" t="n"/>
      <c r="AN352" s="155" t="inlineStr">
        <is>
          <t>Odoo Universal Unique Brands</t>
        </is>
      </c>
      <c r="AO352" s="59" t="n"/>
      <c r="AP352" s="59" t="n"/>
      <c r="AQ352" s="59" t="n">
        <v>10</v>
      </c>
      <c r="AR352" s="155" t="inlineStr">
        <is>
          <t>Odoo Universal Unique Brands › Bodega 25 › Bodega 25/General: 10</t>
        </is>
      </c>
    </row>
    <row r="353">
      <c r="A353" s="50" t="n"/>
      <c r="B353" s="51" t="inlineStr">
        <is>
          <t>27175</t>
        </is>
      </c>
      <c r="C353" s="156" t="inlineStr">
        <is>
          <t>Montana West</t>
        </is>
      </c>
      <c r="D353" s="156" t="n"/>
      <c r="E353" s="156" t="inlineStr">
        <is>
          <t>TR183-8360BK</t>
        </is>
      </c>
      <c r="F353" s="156" t="inlineStr">
        <is>
          <t>Talla única</t>
        </is>
      </c>
      <c r="G353" s="156" t="inlineStr">
        <is>
          <t>One Size</t>
        </is>
      </c>
      <c r="H353" s="156" t="inlineStr">
        <is>
          <t>Montana West</t>
        </is>
      </c>
      <c r="I353" s="156" t="inlineStr">
        <is>
          <t>TR BAG</t>
        </is>
      </c>
      <c r="J353" s="156" t="inlineStr">
        <is>
          <t>Accesorios</t>
        </is>
      </c>
      <c r="K353" s="156" t="inlineStr">
        <is>
          <t>Bolsos</t>
        </is>
      </c>
      <c r="L353" s="156" t="inlineStr">
        <is>
          <t>Unisex</t>
        </is>
      </c>
      <c r="M353" s="156" t="n"/>
      <c r="N353" s="156" t="n"/>
      <c r="O353" s="156" t="n"/>
      <c r="P353" s="156" t="n"/>
      <c r="Q353" s="156" t="n"/>
      <c r="R353" s="156" t="n"/>
      <c r="S353" s="156" t="n"/>
      <c r="T353" s="156" t="n"/>
      <c r="U353" s="156" t="n"/>
      <c r="V353" s="156" t="inlineStr">
        <is>
          <t>PZS</t>
        </is>
      </c>
      <c r="W353" s="51" t="inlineStr">
        <is>
          <t>53121601</t>
        </is>
      </c>
      <c r="X353" s="156" t="n"/>
      <c r="Y353" s="54" t="n">
        <v>322</v>
      </c>
      <c r="Z353" s="54" t="n">
        <v>549</v>
      </c>
      <c r="AA353" s="55">
        <f>IF(AND(A353="", B353="", E353=""), "", IF(AB353="", "Válido", IF((LEN(AB353)-LEN(SUBSTITUTE(AB353,"; ","")))/2+1&gt;(LEN(AB353)-LEN(SUBSTITUTE(AB353,"[Aviso]","")))/7, "Con Incidencias", "Válido")))</f>
        <v/>
      </c>
      <c r="AB353" s="56">
        <f>IF(AND(A353="", B353="", E353=""), "", TEXTJOIN("; ", TRUE, IF(OR(TRIM(A353&amp;"")="", ISNUMBER(SEARCH("FALTA", A353))), "UPC faltante/inválido", ""), IF(AND(A353&lt;&gt;"", IFERROR(_xlfn.XMATCH(A353,$A$2:$A$1063,0,1)&lt;&gt;_xlfn.XMATCH(A353,$A$2:$A$1063,0,-1),FALSE)), "Código de barras duplicado", ""), IF(AND(E353&lt;&gt;"", COUNTIF($E$2:$E$1063, E353)&gt;1), "SKU duplicado", ""), IF(OR(J353="", J353=""), "[Aviso] División no capturada ()", IF(ISNA(MATCH(J353, Criterios!$A$123:$A$126, 0)), "División no válida", "")), IF(OR(K353="", K353=""), "[Aviso] Categoría no capturada ()", IF(ISNA(MATCH(K353, Criterios!$A$81:$A$120, 0)), "Categoría no válida", IF(AND(J353&lt;&gt;"", J353&lt;&gt;"", J353&lt;&gt;VLOOKUP(K353, Criterios!$A$81:$B$120, 2, FALSE)), "División no coincide con Categoría", ""))), IF(OR(L353="", L353=""), "[Aviso] Género no capturado ()", IF(ISNA(MATCH(L353, Criterios!$B$123:$B$127, 0)), "Género no válido", "")), IF(OR(N353="", N353=""), "[Aviso] Temporada no capturada ()", IF(ISNA(MATCH(N353, Criterios!$C$123:$C$128, 0)), "Temporada no válida", "")), IF(OR(O353="", O353=""), "[Aviso] Ciclo de vida no capturado ()", IF(ISNA(MATCH(O353, Criterios!$D$123:$D$124, 0)), "Ciclo de vida no válido", ""))))</f>
        <v/>
      </c>
      <c r="AC353" s="56" t="n"/>
      <c r="AD353" s="51" t="n"/>
      <c r="AE353" s="156" t="n"/>
      <c r="AF353" s="51" t="n"/>
      <c r="AG353" s="156" t="inlineStr">
        <is>
          <t>Nuevo – Carga Hoja2 01/10/2026</t>
        </is>
      </c>
      <c r="AH353" s="156" t="inlineStr">
        <is>
          <t>Alta 01/10/2026 desde Hoja2 (fila 151)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353" s="156" t="n"/>
      <c r="AJ353" s="156" t="n"/>
      <c r="AK353" s="155" t="inlineStr">
        <is>
          <t>Hoja2: fila 151 | Odoo: producto 27175 / plantilla 33875</t>
        </is>
      </c>
      <c r="AL353" s="58" t="n"/>
      <c r="AM353" s="58" t="n"/>
      <c r="AN353" s="155" t="inlineStr">
        <is>
          <t>Odoo Universal Unique Brands</t>
        </is>
      </c>
      <c r="AO353" s="59" t="n"/>
      <c r="AP353" s="59" t="n"/>
      <c r="AQ353" s="59" t="n">
        <v>3</v>
      </c>
      <c r="AR353" s="155" t="inlineStr">
        <is>
          <t>Odoo Universal Unique Brands › Bodega 25 › Bodega 25/General: 3</t>
        </is>
      </c>
    </row>
    <row r="354">
      <c r="A354" s="50" t="inlineStr">
        <is>
          <t>717205853873</t>
        </is>
      </c>
      <c r="B354" s="51" t="inlineStr">
        <is>
          <t>27176</t>
        </is>
      </c>
      <c r="C354" s="156" t="inlineStr">
        <is>
          <t>Montana West</t>
        </is>
      </c>
      <c r="D354" s="156" t="inlineStr">
        <is>
          <t>TR183-8360BR</t>
        </is>
      </c>
      <c r="E354" s="156" t="inlineStr">
        <is>
          <t>TR183-8360BR</t>
        </is>
      </c>
      <c r="F354" s="156" t="inlineStr">
        <is>
          <t>Talla única</t>
        </is>
      </c>
      <c r="G354" s="156" t="inlineStr">
        <is>
          <t>One Size</t>
        </is>
      </c>
      <c r="H354" s="156" t="inlineStr">
        <is>
          <t>Montana West</t>
        </is>
      </c>
      <c r="I354" s="156" t="inlineStr">
        <is>
          <t>Bolsa Trinity Ranch Café</t>
        </is>
      </c>
      <c r="J354" s="156" t="inlineStr">
        <is>
          <t>Accesorios</t>
        </is>
      </c>
      <c r="K354" s="156" t="inlineStr">
        <is>
          <t>Bolsos</t>
        </is>
      </c>
      <c r="L354" s="156" t="inlineStr">
        <is>
          <t>Mujer</t>
        </is>
      </c>
      <c r="M354" s="156" t="inlineStr">
        <is>
          <t>Trinity Ranch</t>
        </is>
      </c>
      <c r="N354" s="156" t="n"/>
      <c r="O354" s="156" t="inlineStr">
        <is>
          <t>Core</t>
        </is>
      </c>
      <c r="P354" s="156" t="inlineStr">
        <is>
          <t>Cafe</t>
        </is>
      </c>
      <c r="Q354" s="156" t="n"/>
      <c r="R354" s="156" t="n"/>
      <c r="S354" s="156" t="n"/>
      <c r="T354" s="156" t="inlineStr">
        <is>
          <t>Bolsa Trinity Ranch. Color: Café. Talla única. Mujer. Referencia: TR183-8360BR.</t>
        </is>
      </c>
      <c r="U354" s="156" t="n"/>
      <c r="V354" s="156" t="inlineStr">
        <is>
          <t>PZS</t>
        </is>
      </c>
      <c r="W354" s="51" t="inlineStr">
        <is>
          <t>53121601</t>
        </is>
      </c>
      <c r="X354" s="156" t="n"/>
      <c r="Y354" s="54" t="n">
        <v>322</v>
      </c>
      <c r="Z354" s="54" t="n">
        <v>549</v>
      </c>
      <c r="AA354" s="55">
        <f>IF(AND(A354="", B354="", E354=""), "", IF(AB354="", "Válido", IF((LEN(AB354)-LEN(SUBSTITUTE(AB354,"; ","")))/2+1&gt;(LEN(AB354)-LEN(SUBSTITUTE(AB354,"[Aviso]","")))/7, "Con Incidencias", "Válido")))</f>
        <v/>
      </c>
      <c r="AB354" s="56">
        <f>IF(AND(A354="", B354="", E354=""), "", TEXTJOIN("; ", TRUE, IF(OR(TRIM(A354&amp;"")="", ISNUMBER(SEARCH("FALTA", A354))), "UPC faltante/inválido", ""), IF(AND(A354&lt;&gt;"", IFERROR(_xlfn.XMATCH(A354,$A$2:$A$1063,0,1)&lt;&gt;_xlfn.XMATCH(A354,$A$2:$A$1063,0,-1),FALSE)), "Código de barras duplicado", ""), IF(AND(E354&lt;&gt;"", COUNTIF($E$2:$E$1063, E354)&gt;1), "SKU duplicado", ""), IF(OR(J354="", J354=""), "[Aviso] División no capturada ()", IF(ISNA(MATCH(J354, Criterios!$A$123:$A$126, 0)), "División no válida", "")), IF(OR(K354="", K354=""), "[Aviso] Categoría no capturada ()", IF(ISNA(MATCH(K354, Criterios!$A$81:$A$120, 0)), "Categoría no válida", IF(AND(J354&lt;&gt;"", J354&lt;&gt;"", J354&lt;&gt;VLOOKUP(K354, Criterios!$A$81:$B$120, 2, FALSE)), "División no coincide con Categoría", ""))), IF(OR(L354="", L354=""), "[Aviso] Género no capturado ()", IF(ISNA(MATCH(L354, Criterios!$B$123:$B$127, 0)), "Género no válido", "")), IF(OR(N354="", N354=""), "[Aviso] Temporada no capturada ()", IF(ISNA(MATCH(N354, Criterios!$C$123:$C$128, 0)), "Temporada no válida", "")), IF(OR(O354="", O354=""), "[Aviso] Ciclo de vida no capturado ()", IF(ISNA(MATCH(O354, Criterios!$D$123:$D$124, 0)), "Ciclo de vida no válido", ""))))</f>
        <v/>
      </c>
      <c r="AC354" s="56" t="n"/>
      <c r="AD354" s="51" t="n"/>
      <c r="AE354" s="156" t="n"/>
      <c r="AF354" s="51" t="n"/>
      <c r="AG354" s="156" t="inlineStr">
        <is>
          <t>Nuevo – Carga Hoja2 01/10/2026</t>
        </is>
      </c>
      <c r="AH354" s="156" t="inlineStr">
        <is>
          <t>Alta 01/10/2026 desde Hoja2 (fila 152);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54" s="156" t="n"/>
      <c r="AJ354" s="156" t="n"/>
      <c r="AK354" s="155" t="inlineStr">
        <is>
          <t>Hoja2: fila 152 | Odoo: producto 27176 / plantilla 33876</t>
        </is>
      </c>
      <c r="AL354" s="58" t="n"/>
      <c r="AM354" s="58" t="n"/>
      <c r="AN354" s="155" t="inlineStr">
        <is>
          <t>Odoo Universal Unique Brands</t>
        </is>
      </c>
      <c r="AO354" s="59" t="n"/>
      <c r="AP354" s="59" t="n"/>
      <c r="AQ354" s="59" t="n">
        <v>5</v>
      </c>
      <c r="AR354" s="155" t="inlineStr">
        <is>
          <t>Odoo Universal Unique Brands › Bodega 25 › Bodega 25/General: 5</t>
        </is>
      </c>
    </row>
    <row r="355">
      <c r="A355" s="50" t="inlineStr">
        <is>
          <t>717205853903</t>
        </is>
      </c>
      <c r="B355" s="51" t="inlineStr">
        <is>
          <t>27177</t>
        </is>
      </c>
      <c r="C355" s="156" t="inlineStr">
        <is>
          <t>Montana West</t>
        </is>
      </c>
      <c r="D355" s="156" t="inlineStr">
        <is>
          <t>TR183-8360CF</t>
        </is>
      </c>
      <c r="E355" s="156" t="inlineStr">
        <is>
          <t>TR183-8360CF</t>
        </is>
      </c>
      <c r="F355" s="156" t="inlineStr">
        <is>
          <t>Talla única</t>
        </is>
      </c>
      <c r="G355" s="156" t="inlineStr">
        <is>
          <t>One Size</t>
        </is>
      </c>
      <c r="H355" s="156" t="inlineStr">
        <is>
          <t>Montana West</t>
        </is>
      </c>
      <c r="I355" s="156" t="inlineStr">
        <is>
          <t>Bolsa Trinity Ranch Café Oscuro</t>
        </is>
      </c>
      <c r="J355" s="156" t="inlineStr">
        <is>
          <t>Accesorios</t>
        </is>
      </c>
      <c r="K355" s="156" t="inlineStr">
        <is>
          <t>Bolsos</t>
        </is>
      </c>
      <c r="L355" s="156" t="inlineStr">
        <is>
          <t>Mujer</t>
        </is>
      </c>
      <c r="M355" s="156" t="inlineStr">
        <is>
          <t>Trinity Ranch</t>
        </is>
      </c>
      <c r="N355" s="156" t="n"/>
      <c r="O355" s="156" t="inlineStr">
        <is>
          <t>Core</t>
        </is>
      </c>
      <c r="P355" s="156" t="inlineStr">
        <is>
          <t>Cafe</t>
        </is>
      </c>
      <c r="Q355" s="156" t="n"/>
      <c r="R355" s="156" t="n"/>
      <c r="S355" s="156" t="n"/>
      <c r="T355" s="156" t="inlineStr">
        <is>
          <t>Bolsa Trinity Ranch. Color: Café Oscuro. Talla única. Mujer. Referencia: TR183-8360CF.</t>
        </is>
      </c>
      <c r="U355" s="156" t="n"/>
      <c r="V355" s="156" t="inlineStr">
        <is>
          <t>PZS</t>
        </is>
      </c>
      <c r="W355" s="51" t="inlineStr">
        <is>
          <t>53121601</t>
        </is>
      </c>
      <c r="X355" s="156" t="n"/>
      <c r="Y355" s="54" t="n">
        <v>322</v>
      </c>
      <c r="Z355" s="54" t="n">
        <v>549</v>
      </c>
      <c r="AA355" s="55">
        <f>IF(AND(A355="", B355="", E355=""), "", IF(AB355="", "Válido", IF((LEN(AB355)-LEN(SUBSTITUTE(AB355,"; ","")))/2+1&gt;(LEN(AB355)-LEN(SUBSTITUTE(AB355,"[Aviso]","")))/7, "Con Incidencias", "Válido")))</f>
        <v/>
      </c>
      <c r="AB355" s="56">
        <f>IF(AND(A355="", B355="", E355=""), "", TEXTJOIN("; ", TRUE, IF(OR(TRIM(A355&amp;"")="", ISNUMBER(SEARCH("FALTA", A355))), "UPC faltante/inválido", ""), IF(AND(A355&lt;&gt;"", IFERROR(_xlfn.XMATCH(A355,$A$2:$A$1063,0,1)&lt;&gt;_xlfn.XMATCH(A355,$A$2:$A$1063,0,-1),FALSE)), "Código de barras duplicado", ""), IF(AND(E355&lt;&gt;"", COUNTIF($E$2:$E$1063, E355)&gt;1), "SKU duplicado", ""), IF(OR(J355="", J355=""), "[Aviso] División no capturada ()", IF(ISNA(MATCH(J355, Criterios!$A$123:$A$126, 0)), "División no válida", "")), IF(OR(K355="", K355=""), "[Aviso] Categoría no capturada ()", IF(ISNA(MATCH(K355, Criterios!$A$81:$A$120, 0)), "Categoría no válida", IF(AND(J355&lt;&gt;"", J355&lt;&gt;"", J355&lt;&gt;VLOOKUP(K355, Criterios!$A$81:$B$120, 2, FALSE)), "División no coincide con Categoría", ""))), IF(OR(L355="", L355=""), "[Aviso] Género no capturado ()", IF(ISNA(MATCH(L355, Criterios!$B$123:$B$127, 0)), "Género no válido", "")), IF(OR(N355="", N355=""), "[Aviso] Temporada no capturada ()", IF(ISNA(MATCH(N355, Criterios!$C$123:$C$128, 0)), "Temporada no válida", "")), IF(OR(O355="", O355=""), "[Aviso] Ciclo de vida no capturado ()", IF(ISNA(MATCH(O355, Criterios!$D$123:$D$124, 0)), "Ciclo de vida no válido", ""))))</f>
        <v/>
      </c>
      <c r="AC355" s="56" t="n"/>
      <c r="AD355" s="51" t="n"/>
      <c r="AE355" s="156" t="n"/>
      <c r="AF355" s="51" t="n"/>
      <c r="AG355" s="156" t="inlineStr">
        <is>
          <t>Nuevo – Carga Hoja2 01/10/2026</t>
        </is>
      </c>
      <c r="AH355" s="156" t="inlineStr">
        <is>
          <t>Alta 01/10/2026 desde Hoja2 (fila 153);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55" s="156" t="n"/>
      <c r="AJ355" s="156" t="n"/>
      <c r="AK355" s="155" t="inlineStr">
        <is>
          <t>Hoja2: fila 153 | Odoo: producto 27177 / plantilla 33877</t>
        </is>
      </c>
      <c r="AL355" s="58" t="n"/>
      <c r="AM355" s="58" t="n"/>
      <c r="AN355" s="155" t="inlineStr">
        <is>
          <t>Odoo Universal Unique Brands</t>
        </is>
      </c>
      <c r="AO355" s="59" t="n"/>
      <c r="AP355" s="59" t="n"/>
      <c r="AQ355" s="59" t="n">
        <v>-2</v>
      </c>
      <c r="AR355" s="155" t="n"/>
    </row>
    <row r="356">
      <c r="A356" s="50" t="inlineStr">
        <is>
          <t>717205853842</t>
        </is>
      </c>
      <c r="B356" s="51" t="inlineStr">
        <is>
          <t>27178</t>
        </is>
      </c>
      <c r="C356" s="156" t="inlineStr">
        <is>
          <t>Montana West</t>
        </is>
      </c>
      <c r="D356" s="156" t="inlineStr">
        <is>
          <t>TR183-8360TN</t>
        </is>
      </c>
      <c r="E356" s="156" t="inlineStr">
        <is>
          <t>TR183-8360TN</t>
        </is>
      </c>
      <c r="F356" s="156" t="inlineStr">
        <is>
          <t>Talla única</t>
        </is>
      </c>
      <c r="G356" s="156" t="inlineStr">
        <is>
          <t>One Size</t>
        </is>
      </c>
      <c r="H356" s="156" t="inlineStr">
        <is>
          <t>Montana West</t>
        </is>
      </c>
      <c r="I356" s="156" t="inlineStr">
        <is>
          <t>Bolsa Trinity Ranch Camel</t>
        </is>
      </c>
      <c r="J356" s="156" t="inlineStr">
        <is>
          <t>Accesorios</t>
        </is>
      </c>
      <c r="K356" s="156" t="inlineStr">
        <is>
          <t>Bolsos</t>
        </is>
      </c>
      <c r="L356" s="156" t="inlineStr">
        <is>
          <t>Mujer</t>
        </is>
      </c>
      <c r="M356" s="156" t="inlineStr">
        <is>
          <t>Trinity Ranch</t>
        </is>
      </c>
      <c r="N356" s="156" t="n"/>
      <c r="O356" s="156" t="inlineStr">
        <is>
          <t>Core</t>
        </is>
      </c>
      <c r="P356" s="156" t="inlineStr">
        <is>
          <t>Beige</t>
        </is>
      </c>
      <c r="Q356" s="156" t="n"/>
      <c r="R356" s="156" t="n"/>
      <c r="S356" s="156" t="n"/>
      <c r="T356" s="156" t="inlineStr">
        <is>
          <t>Bolsa Trinity Ranch. Color: Camel. Talla única. Mujer. Referencia: TR183-8360TN.</t>
        </is>
      </c>
      <c r="U356" s="156" t="n"/>
      <c r="V356" s="156" t="inlineStr">
        <is>
          <t>PZS</t>
        </is>
      </c>
      <c r="W356" s="51" t="inlineStr">
        <is>
          <t>53121601</t>
        </is>
      </c>
      <c r="X356" s="156" t="n"/>
      <c r="Y356" s="54" t="n">
        <v>322</v>
      </c>
      <c r="Z356" s="54" t="n">
        <v>549</v>
      </c>
      <c r="AA356" s="55">
        <f>IF(AND(A356="", B356="", E356=""), "", IF(AB356="", "Válido", IF((LEN(AB356)-LEN(SUBSTITUTE(AB356,"; ","")))/2+1&gt;(LEN(AB356)-LEN(SUBSTITUTE(AB356,"[Aviso]","")))/7, "Con Incidencias", "Válido")))</f>
        <v/>
      </c>
      <c r="AB356" s="56">
        <f>IF(AND(A356="", B356="", E356=""), "", TEXTJOIN("; ", TRUE, IF(OR(TRIM(A356&amp;"")="", ISNUMBER(SEARCH("FALTA", A356))), "UPC faltante/inválido", ""), IF(AND(A356&lt;&gt;"", IFERROR(_xlfn.XMATCH(A356,$A$2:$A$1063,0,1)&lt;&gt;_xlfn.XMATCH(A356,$A$2:$A$1063,0,-1),FALSE)), "Código de barras duplicado", ""), IF(AND(E356&lt;&gt;"", COUNTIF($E$2:$E$1063, E356)&gt;1), "SKU duplicado", ""), IF(OR(J356="", J356=""), "[Aviso] División no capturada ()", IF(ISNA(MATCH(J356, Criterios!$A$123:$A$126, 0)), "División no válida", "")), IF(OR(K356="", K356=""), "[Aviso] Categoría no capturada ()", IF(ISNA(MATCH(K356, Criterios!$A$81:$A$120, 0)), "Categoría no válida", IF(AND(J356&lt;&gt;"", J356&lt;&gt;"", J356&lt;&gt;VLOOKUP(K356, Criterios!$A$81:$B$120, 2, FALSE)), "División no coincide con Categoría", ""))), IF(OR(L356="", L356=""), "[Aviso] Género no capturado ()", IF(ISNA(MATCH(L356, Criterios!$B$123:$B$127, 0)), "Género no válido", "")), IF(OR(N356="", N356=""), "[Aviso] Temporada no capturada ()", IF(ISNA(MATCH(N356, Criterios!$C$123:$C$128, 0)), "Temporada no válida", "")), IF(OR(O356="", O356=""), "[Aviso] Ciclo de vida no capturado ()", IF(ISNA(MATCH(O356, Criterios!$D$123:$D$124, 0)), "Ciclo de vida no válido", ""))))</f>
        <v/>
      </c>
      <c r="AC356" s="56" t="n"/>
      <c r="AD356" s="51" t="n"/>
      <c r="AE356" s="156" t="n"/>
      <c r="AF356" s="51" t="n"/>
      <c r="AG356" s="156" t="inlineStr">
        <is>
          <t>Nuevo – Carga Hoja2 01/10/2026</t>
        </is>
      </c>
      <c r="AH356" s="156" t="inlineStr">
        <is>
          <t>Alta 01/10/2026 desde Hoja2 (fila 154);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56" s="156" t="n"/>
      <c r="AJ356" s="156" t="n"/>
      <c r="AK356" s="155" t="inlineStr">
        <is>
          <t>Hoja2: fila 154 | Odoo: producto 27178 / plantilla 33878</t>
        </is>
      </c>
      <c r="AL356" s="58" t="n"/>
      <c r="AM356" s="58" t="n"/>
      <c r="AN356" s="155" t="inlineStr">
        <is>
          <t>Odoo Universal Unique Brands</t>
        </is>
      </c>
      <c r="AO356" s="59" t="n"/>
      <c r="AP356" s="59" t="n"/>
      <c r="AQ356" s="59" t="n">
        <v>4</v>
      </c>
      <c r="AR356" s="155" t="inlineStr">
        <is>
          <t>Odoo Universal Unique Brands › Bodega 25 › Bodega 25/General: 4</t>
        </is>
      </c>
    </row>
    <row r="357">
      <c r="A357" s="50" t="inlineStr">
        <is>
          <t>717205840972</t>
        </is>
      </c>
      <c r="B357" s="51" t="inlineStr">
        <is>
          <t>27179</t>
        </is>
      </c>
      <c r="C357" s="156" t="inlineStr">
        <is>
          <t>Montana West</t>
        </is>
      </c>
      <c r="D357" s="156" t="inlineStr">
        <is>
          <t>TR185-9110BR</t>
        </is>
      </c>
      <c r="E357" s="156" t="inlineStr">
        <is>
          <t>TR185-9110BR</t>
        </is>
      </c>
      <c r="F357" s="156" t="inlineStr">
        <is>
          <t>Talla única</t>
        </is>
      </c>
      <c r="G357" s="156" t="inlineStr">
        <is>
          <t>One Size</t>
        </is>
      </c>
      <c r="H357" s="156" t="inlineStr">
        <is>
          <t>Montana West</t>
        </is>
      </c>
      <c r="I357" s="156" t="inlineStr">
        <is>
          <t>Mochila Trinity Ranch Café</t>
        </is>
      </c>
      <c r="J357" s="156" t="inlineStr">
        <is>
          <t>Accesorios</t>
        </is>
      </c>
      <c r="K357" s="156" t="inlineStr">
        <is>
          <t>Mochilas</t>
        </is>
      </c>
      <c r="L357" s="156" t="inlineStr">
        <is>
          <t>Mujer</t>
        </is>
      </c>
      <c r="M357" s="156" t="inlineStr">
        <is>
          <t>Trinity Ranch</t>
        </is>
      </c>
      <c r="N357" s="156" t="n"/>
      <c r="O357" s="156" t="inlineStr">
        <is>
          <t>Core</t>
        </is>
      </c>
      <c r="P357" s="156" t="inlineStr">
        <is>
          <t>Cafe</t>
        </is>
      </c>
      <c r="Q357" s="156" t="n"/>
      <c r="R357" s="156" t="n"/>
      <c r="S357" s="156" t="n"/>
      <c r="T357" s="156" t="inlineStr">
        <is>
          <t>Mochila Trinity Ranch. Color: Café. Talla única. Mujer. Referencia: TR185-9110BR.</t>
        </is>
      </c>
      <c r="U357" s="156" t="n"/>
      <c r="V357" s="156" t="inlineStr">
        <is>
          <t>PZS</t>
        </is>
      </c>
      <c r="W357" s="51" t="inlineStr">
        <is>
          <t>53121601</t>
        </is>
      </c>
      <c r="X357" s="156" t="n"/>
      <c r="Y357" s="54" t="n">
        <v>611.8</v>
      </c>
      <c r="Z357" s="54" t="n">
        <v>999</v>
      </c>
      <c r="AA357" s="55">
        <f>IF(AND(A357="", B357="", E357=""), "", IF(AB357="", "Válido", IF((LEN(AB357)-LEN(SUBSTITUTE(AB357,"; ","")))/2+1&gt;(LEN(AB357)-LEN(SUBSTITUTE(AB357,"[Aviso]","")))/7, "Con Incidencias", "Válido")))</f>
        <v/>
      </c>
      <c r="AB357" s="56">
        <f>IF(AND(A357="", B357="", E357=""), "", TEXTJOIN("; ", TRUE, IF(OR(TRIM(A357&amp;"")="", ISNUMBER(SEARCH("FALTA", A357))), "UPC faltante/inválido", ""), IF(AND(A357&lt;&gt;"", IFERROR(_xlfn.XMATCH(A357,$A$2:$A$1063,0,1)&lt;&gt;_xlfn.XMATCH(A357,$A$2:$A$1063,0,-1),FALSE)), "Código de barras duplicado", ""), IF(AND(E357&lt;&gt;"", COUNTIF($E$2:$E$1063, E357)&gt;1), "SKU duplicado", ""), IF(OR(J357="", J357=""), "[Aviso] División no capturada ()", IF(ISNA(MATCH(J357, Criterios!$A$123:$A$126, 0)), "División no válida", "")), IF(OR(K357="", K357=""), "[Aviso] Categoría no capturada ()", IF(ISNA(MATCH(K357, Criterios!$A$81:$A$120, 0)), "Categoría no válida", IF(AND(J357&lt;&gt;"", J357&lt;&gt;"", J357&lt;&gt;VLOOKUP(K357, Criterios!$A$81:$B$120, 2, FALSE)), "División no coincide con Categoría", ""))), IF(OR(L357="", L357=""), "[Aviso] Género no capturado ()", IF(ISNA(MATCH(L357, Criterios!$B$123:$B$127, 0)), "Género no válido", "")), IF(OR(N357="", N357=""), "[Aviso] Temporada no capturada ()", IF(ISNA(MATCH(N357, Criterios!$C$123:$C$128, 0)), "Temporada no válida", "")), IF(OR(O357="", O357=""), "[Aviso] Ciclo de vida no capturado ()", IF(ISNA(MATCH(O357, Criterios!$D$123:$D$124, 0)), "Ciclo de vida no válido", ""))))</f>
        <v/>
      </c>
      <c r="AC357" s="56" t="n"/>
      <c r="AD357" s="51" t="n"/>
      <c r="AE357" s="156" t="n"/>
      <c r="AF357" s="51" t="n"/>
      <c r="AG357" s="156" t="inlineStr">
        <is>
          <t>Nuevo – Carga Hoja2 01/10/2026</t>
        </is>
      </c>
      <c r="AH357" s="156" t="inlineStr">
        <is>
          <t>Alta 01/10/2026 desde Hoja2 (fila 155);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57" s="156" t="n"/>
      <c r="AJ357" s="156" t="n"/>
      <c r="AK357" s="155" t="inlineStr">
        <is>
          <t>Hoja2: fila 155 | Odoo: producto 27179 / plantilla 33879</t>
        </is>
      </c>
      <c r="AL357" s="58" t="n"/>
      <c r="AM357" s="58" t="n"/>
      <c r="AN357" s="155" t="inlineStr">
        <is>
          <t>Odoo Universal Unique Brands</t>
        </is>
      </c>
      <c r="AO357" s="59" t="n"/>
      <c r="AP357" s="59" t="n"/>
      <c r="AQ357" s="59" t="n">
        <v>0</v>
      </c>
      <c r="AR357" s="155" t="n"/>
    </row>
    <row r="358">
      <c r="A358" s="50" t="inlineStr">
        <is>
          <t>717205840910</t>
        </is>
      </c>
      <c r="B358" s="51" t="inlineStr">
        <is>
          <t>27180</t>
        </is>
      </c>
      <c r="C358" s="156" t="inlineStr">
        <is>
          <t>Montana West</t>
        </is>
      </c>
      <c r="D358" s="156" t="inlineStr">
        <is>
          <t>TR185G-918BK</t>
        </is>
      </c>
      <c r="E358" s="156" t="inlineStr">
        <is>
          <t>TR185G-918BK</t>
        </is>
      </c>
      <c r="F358" s="156" t="inlineStr">
        <is>
          <t>Talla única</t>
        </is>
      </c>
      <c r="G358" s="156" t="inlineStr">
        <is>
          <t>One Size</t>
        </is>
      </c>
      <c r="H358" s="156" t="inlineStr">
        <is>
          <t>Montana West</t>
        </is>
      </c>
      <c r="I358" s="156" t="inlineStr">
        <is>
          <t>Bolsa Trinity Ranch Negro</t>
        </is>
      </c>
      <c r="J358" s="156" t="inlineStr">
        <is>
          <t>Accesorios</t>
        </is>
      </c>
      <c r="K358" s="156" t="inlineStr">
        <is>
          <t>Bolsos</t>
        </is>
      </c>
      <c r="L358" s="156" t="inlineStr">
        <is>
          <t>Mujer</t>
        </is>
      </c>
      <c r="M358" s="156" t="inlineStr">
        <is>
          <t>Trinity Ranch</t>
        </is>
      </c>
      <c r="N358" s="156" t="n"/>
      <c r="O358" s="156" t="inlineStr">
        <is>
          <t>Core</t>
        </is>
      </c>
      <c r="P358" s="156" t="inlineStr">
        <is>
          <t>Negro</t>
        </is>
      </c>
      <c r="Q358" s="156" t="n"/>
      <c r="R358" s="156" t="n"/>
      <c r="S358" s="156" t="n"/>
      <c r="T358" s="156" t="inlineStr">
        <is>
          <t>Bolsa Trinity Ranch. Color: Negro. Talla única. Mujer. Referencia: TR185G-918BK.</t>
        </is>
      </c>
      <c r="U358" s="156" t="n"/>
      <c r="V358" s="156" t="inlineStr">
        <is>
          <t>PZS</t>
        </is>
      </c>
      <c r="W358" s="51" t="inlineStr">
        <is>
          <t>53121601</t>
        </is>
      </c>
      <c r="X358" s="156" t="inlineStr">
        <is>
          <t>https://cdn.shopify.com/s/files/1/0005/9015/1741/files/TR185G-918BK_6568f46b-2a92-47f0-8726-7ebb1d2069a4.webp?v=1787763291</t>
        </is>
      </c>
      <c r="Y358" s="54" t="n">
        <v>547.4</v>
      </c>
      <c r="Z358" s="54" t="n">
        <v>899</v>
      </c>
      <c r="AA358" s="55">
        <f>IF(AND(A358="", B358="", E358=""), "", IF(AB358="", "Válido", IF((LEN(AB358)-LEN(SUBSTITUTE(AB358,"; ","")))/2+1&gt;(LEN(AB358)-LEN(SUBSTITUTE(AB358,"[Aviso]","")))/7, "Con Incidencias", "Válido")))</f>
        <v/>
      </c>
      <c r="AB358" s="56">
        <f>IF(AND(A358="", B358="", E358=""), "", TEXTJOIN("; ", TRUE, IF(OR(TRIM(A358&amp;"")="", ISNUMBER(SEARCH("FALTA", A358))), "UPC faltante/inválido", ""), IF(AND(A358&lt;&gt;"", IFERROR(_xlfn.XMATCH(A358,$A$2:$A$1063,0,1)&lt;&gt;_xlfn.XMATCH(A358,$A$2:$A$1063,0,-1),FALSE)), "Código de barras duplicado", ""), IF(AND(E358&lt;&gt;"", COUNTIF($E$2:$E$1063, E358)&gt;1), "SKU duplicado", ""), IF(OR(J358="", J358=""), "[Aviso] División no capturada ()", IF(ISNA(MATCH(J358, Criterios!$A$123:$A$126, 0)), "División no válida", "")), IF(OR(K358="", K358=""), "[Aviso] Categoría no capturada ()", IF(ISNA(MATCH(K358, Criterios!$A$81:$A$120, 0)), "Categoría no válida", IF(AND(J358&lt;&gt;"", J358&lt;&gt;"", J358&lt;&gt;VLOOKUP(K358, Criterios!$A$81:$B$120, 2, FALSE)), "División no coincide con Categoría", ""))), IF(OR(L358="", L358=""), "[Aviso] Género no capturado ()", IF(ISNA(MATCH(L358, Criterios!$B$123:$B$127, 0)), "Género no válido", "")), IF(OR(N358="", N358=""), "[Aviso] Temporada no capturada ()", IF(ISNA(MATCH(N358, Criterios!$C$123:$C$128, 0)), "Temporada no válida", "")), IF(OR(O358="", O358=""), "[Aviso] Ciclo de vida no capturado ()", IF(ISNA(MATCH(O358, Criterios!$D$123:$D$124, 0)), "Ciclo de vida no válido", ""))))</f>
        <v/>
      </c>
      <c r="AC358" s="56" t="n"/>
      <c r="AD358" s="51" t="n"/>
      <c r="AE358" s="156" t="n"/>
      <c r="AF358" s="51" t="n"/>
      <c r="AG358" s="156" t="inlineStr">
        <is>
          <t>Nuevo – Carga Hoja2 01/10/2026</t>
        </is>
      </c>
      <c r="AH358" s="156" t="inlineStr">
        <is>
          <t>Alta 01/10/2026 desde Hoja2 (fila 156); Marca original 'Trinity Ranch' (submarca de Montana West) | 01/10/2026: Odoo Universal Unique Brands trae Género «Unisex» — se conservó el valor de Productos | Homologación G1522 06/10/2026: Enlace de imagen: «» → «https://cdn.shopify.com/s/files/1/0005/9015/1741/files/TR185G-918BK_6568f46b-2a92-47f0-8726-7ebb1d2069a4.webp?v=1787763291» (Completado por investigación en línea) · Validador Shopify: WB: precio con IVA no termina en 9</t>
        </is>
      </c>
      <c r="AI358" s="156" t="n"/>
      <c r="AJ358" s="156" t="n"/>
      <c r="AK358" s="155" t="inlineStr">
        <is>
          <t>Hoja2: fila 156 | Odoo: producto 27180 / plantilla 33880 | Investigación en línea 06/10/2026: https://montanawestworld.com/products/trinity-ranch-hair-on-cowhide-tooled-concealed-carry-shoulder-bag</t>
        </is>
      </c>
      <c r="AL358" s="58" t="n"/>
      <c r="AM358" s="58" t="n"/>
      <c r="AN358" s="155" t="inlineStr">
        <is>
          <t>Odoo Universal Unique Brands</t>
        </is>
      </c>
      <c r="AO358" s="59" t="n"/>
      <c r="AP358" s="59" t="n"/>
      <c r="AQ358" s="59" t="n">
        <v>4</v>
      </c>
      <c r="AR358" s="155" t="inlineStr">
        <is>
          <t>Odoo Universal Unique Brands › Bodega 25 › Bodega 25/General: 4</t>
        </is>
      </c>
    </row>
    <row r="359">
      <c r="A359" s="50" t="inlineStr">
        <is>
          <t>717205840880</t>
        </is>
      </c>
      <c r="B359" s="51" t="inlineStr">
        <is>
          <t>27181</t>
        </is>
      </c>
      <c r="C359" s="156" t="inlineStr">
        <is>
          <t>Montana West</t>
        </is>
      </c>
      <c r="D359" s="156" t="inlineStr">
        <is>
          <t>TR185G-918CF</t>
        </is>
      </c>
      <c r="E359" s="156" t="inlineStr">
        <is>
          <t>TR185G-918CF</t>
        </is>
      </c>
      <c r="F359" s="156" t="inlineStr">
        <is>
          <t>Talla única</t>
        </is>
      </c>
      <c r="G359" s="156" t="inlineStr">
        <is>
          <t>One Size</t>
        </is>
      </c>
      <c r="H359" s="156" t="inlineStr">
        <is>
          <t>Montana West</t>
        </is>
      </c>
      <c r="I359" s="156" t="inlineStr">
        <is>
          <t>Bolsa Trinity Ranch Café Oscuro</t>
        </is>
      </c>
      <c r="J359" s="156" t="inlineStr">
        <is>
          <t>Accesorios</t>
        </is>
      </c>
      <c r="K359" s="156" t="inlineStr">
        <is>
          <t>Bolsos</t>
        </is>
      </c>
      <c r="L359" s="156" t="inlineStr">
        <is>
          <t>Mujer</t>
        </is>
      </c>
      <c r="M359" s="156" t="inlineStr">
        <is>
          <t>Trinity Ranch</t>
        </is>
      </c>
      <c r="N359" s="156" t="n"/>
      <c r="O359" s="156" t="inlineStr">
        <is>
          <t>Core</t>
        </is>
      </c>
      <c r="P359" s="156" t="inlineStr">
        <is>
          <t>Cafe</t>
        </is>
      </c>
      <c r="Q359" s="156" t="n"/>
      <c r="R359" s="156" t="n"/>
      <c r="S359" s="156" t="n"/>
      <c r="T359" s="156" t="inlineStr">
        <is>
          <t>Bolsa Trinity Ranch. Color: Café Oscuro. Talla única. Mujer. Referencia: TR185G-918CF.</t>
        </is>
      </c>
      <c r="U359" s="156" t="n"/>
      <c r="V359" s="156" t="inlineStr">
        <is>
          <t>PZS</t>
        </is>
      </c>
      <c r="W359" s="51" t="inlineStr">
        <is>
          <t>53121601</t>
        </is>
      </c>
      <c r="X359" s="156" t="inlineStr">
        <is>
          <t>https://cdn.shopify.com/s/files/1/0005/9015/1741/files/TR185G-918CF_a3a624e2-0759-4c4d-b07f-68ea7393f8ba.webp?v=1787763291</t>
        </is>
      </c>
      <c r="Y359" s="54" t="n">
        <v>547.4</v>
      </c>
      <c r="Z359" s="54" t="n">
        <v>899</v>
      </c>
      <c r="AA359" s="55">
        <f>IF(AND(A359="", B359="", E359=""), "", IF(AB359="", "Válido", IF((LEN(AB359)-LEN(SUBSTITUTE(AB359,"; ","")))/2+1&gt;(LEN(AB359)-LEN(SUBSTITUTE(AB359,"[Aviso]","")))/7, "Con Incidencias", "Válido")))</f>
        <v/>
      </c>
      <c r="AB359" s="56">
        <f>IF(AND(A359="", B359="", E359=""), "", TEXTJOIN("; ", TRUE, IF(OR(TRIM(A359&amp;"")="", ISNUMBER(SEARCH("FALTA", A359))), "UPC faltante/inválido", ""), IF(AND(A359&lt;&gt;"", IFERROR(_xlfn.XMATCH(A359,$A$2:$A$1063,0,1)&lt;&gt;_xlfn.XMATCH(A359,$A$2:$A$1063,0,-1),FALSE)), "Código de barras duplicado", ""), IF(AND(E359&lt;&gt;"", COUNTIF($E$2:$E$1063, E359)&gt;1), "SKU duplicado", ""), IF(OR(J359="", J359=""), "[Aviso] División no capturada ()", IF(ISNA(MATCH(J359, Criterios!$A$123:$A$126, 0)), "División no válida", "")), IF(OR(K359="", K359=""), "[Aviso] Categoría no capturada ()", IF(ISNA(MATCH(K359, Criterios!$A$81:$A$120, 0)), "Categoría no válida", IF(AND(J359&lt;&gt;"", J359&lt;&gt;"", J359&lt;&gt;VLOOKUP(K359, Criterios!$A$81:$B$120, 2, FALSE)), "División no coincide con Categoría", ""))), IF(OR(L359="", L359=""), "[Aviso] Género no capturado ()", IF(ISNA(MATCH(L359, Criterios!$B$123:$B$127, 0)), "Género no válido", "")), IF(OR(N359="", N359=""), "[Aviso] Temporada no capturada ()", IF(ISNA(MATCH(N359, Criterios!$C$123:$C$128, 0)), "Temporada no válida", "")), IF(OR(O359="", O359=""), "[Aviso] Ciclo de vida no capturado ()", IF(ISNA(MATCH(O359, Criterios!$D$123:$D$124, 0)), "Ciclo de vida no válido", ""))))</f>
        <v/>
      </c>
      <c r="AC359" s="56" t="n"/>
      <c r="AD359" s="51" t="n"/>
      <c r="AE359" s="156" t="n"/>
      <c r="AF359" s="51" t="n"/>
      <c r="AG359" s="156" t="inlineStr">
        <is>
          <t>Nuevo – Carga Hoja2 01/10/2026</t>
        </is>
      </c>
      <c r="AH359" s="156" t="inlineStr">
        <is>
          <t>Alta 01/10/2026 desde Hoja2 (fila 157); Marca original 'Trinity Ranch' (submarca de Montana West) | 01/10/2026: Odoo Universal Unique Brands trae Género «Unisex» — se conservó el valor de Productos | Homologación G1522 06/10/2026: Enlace de imagen: «» → «https://cdn.shopify.com/s/files/1/0005/9015/1741/files/TR185G-918CF_a3a624e2-0759-4c4d-b07f-68ea7393f8ba.webp?v=1787763291» (Completado por investigación en línea) · Validador Shopify: WB: precio con IVA no termina en 9</t>
        </is>
      </c>
      <c r="AI359" s="156" t="n"/>
      <c r="AJ359" s="156" t="n"/>
      <c r="AK359" s="155" t="inlineStr">
        <is>
          <t>Hoja2: fila 157 | Odoo: producto 27181 / plantilla 33881 | Investigación en línea 06/10/2026: https://montanawestworld.com/products/trinity-ranch-hair-on-cowhide-tooled-concealed-carry-shoulder-bag</t>
        </is>
      </c>
      <c r="AL359" s="58" t="n"/>
      <c r="AM359" s="58" t="n"/>
      <c r="AN359" s="155" t="inlineStr">
        <is>
          <t>Odoo Universal Unique Brands</t>
        </is>
      </c>
      <c r="AO359" s="59" t="n"/>
      <c r="AP359" s="59" t="n"/>
      <c r="AQ359" s="59" t="n">
        <v>6</v>
      </c>
      <c r="AR359" s="155" t="inlineStr">
        <is>
          <t>Odoo Universal Unique Brands › Bodega 25 › Bodega 25/General: 6</t>
        </is>
      </c>
    </row>
    <row r="360">
      <c r="A360" s="50" t="inlineStr">
        <is>
          <t>717205840736</t>
        </is>
      </c>
      <c r="B360" s="51" t="inlineStr">
        <is>
          <t>27182</t>
        </is>
      </c>
      <c r="C360" s="156" t="inlineStr">
        <is>
          <t>Montana West</t>
        </is>
      </c>
      <c r="D360" s="156" t="inlineStr">
        <is>
          <t>TR185G-9360BR</t>
        </is>
      </c>
      <c r="E360" s="156" t="inlineStr">
        <is>
          <t>TR185G-9360BR</t>
        </is>
      </c>
      <c r="F360" s="156" t="inlineStr">
        <is>
          <t>Talla única</t>
        </is>
      </c>
      <c r="G360" s="156" t="inlineStr">
        <is>
          <t>One Size</t>
        </is>
      </c>
      <c r="H360" s="156" t="inlineStr">
        <is>
          <t>Montana West</t>
        </is>
      </c>
      <c r="I360" s="156" t="inlineStr">
        <is>
          <t>Bolsa Trinity Ranch Café</t>
        </is>
      </c>
      <c r="J360" s="156" t="inlineStr">
        <is>
          <t>Accesorios</t>
        </is>
      </c>
      <c r="K360" s="156" t="inlineStr">
        <is>
          <t>Bolsos</t>
        </is>
      </c>
      <c r="L360" s="156" t="inlineStr">
        <is>
          <t>Mujer</t>
        </is>
      </c>
      <c r="M360" s="156" t="inlineStr">
        <is>
          <t>Trinity Ranch</t>
        </is>
      </c>
      <c r="N360" s="156" t="n"/>
      <c r="O360" s="156" t="inlineStr">
        <is>
          <t>Core</t>
        </is>
      </c>
      <c r="P360" s="156" t="inlineStr">
        <is>
          <t>Cafe</t>
        </is>
      </c>
      <c r="Q360" s="156" t="n"/>
      <c r="R360" s="156" t="n"/>
      <c r="S360" s="156" t="n"/>
      <c r="T360" s="156" t="inlineStr">
        <is>
          <t>Bolsa Trinity Ranch. Color: Café. Talla única. Mujer. Referencia: TR185G-9360BR.</t>
        </is>
      </c>
      <c r="U360" s="156" t="n"/>
      <c r="V360" s="156" t="inlineStr">
        <is>
          <t>PZS</t>
        </is>
      </c>
      <c r="W360" s="51" t="inlineStr">
        <is>
          <t>53121601</t>
        </is>
      </c>
      <c r="X360" s="156" t="n"/>
      <c r="Y360" s="54" t="n">
        <v>483</v>
      </c>
      <c r="Z360" s="54" t="n">
        <v>799</v>
      </c>
      <c r="AA360" s="55">
        <f>IF(AND(A360="", B360="", E360=""), "", IF(AB360="", "Válido", IF((LEN(AB360)-LEN(SUBSTITUTE(AB360,"; ","")))/2+1&gt;(LEN(AB360)-LEN(SUBSTITUTE(AB360,"[Aviso]","")))/7, "Con Incidencias", "Válido")))</f>
        <v/>
      </c>
      <c r="AB360" s="56">
        <f>IF(AND(A360="", B360="", E360=""), "", TEXTJOIN("; ", TRUE, IF(OR(TRIM(A360&amp;"")="", ISNUMBER(SEARCH("FALTA", A360))), "UPC faltante/inválido", ""), IF(AND(A360&lt;&gt;"", IFERROR(_xlfn.XMATCH(A360,$A$2:$A$1063,0,1)&lt;&gt;_xlfn.XMATCH(A360,$A$2:$A$1063,0,-1),FALSE)), "Código de barras duplicado", ""), IF(AND(E360&lt;&gt;"", COUNTIF($E$2:$E$1063, E360)&gt;1), "SKU duplicado", ""), IF(OR(J360="", J360=""), "[Aviso] División no capturada ()", IF(ISNA(MATCH(J360, Criterios!$A$123:$A$126, 0)), "División no válida", "")), IF(OR(K360="", K360=""), "[Aviso] Categoría no capturada ()", IF(ISNA(MATCH(K360, Criterios!$A$81:$A$120, 0)), "Categoría no válida", IF(AND(J360&lt;&gt;"", J360&lt;&gt;"", J360&lt;&gt;VLOOKUP(K360, Criterios!$A$81:$B$120, 2, FALSE)), "División no coincide con Categoría", ""))), IF(OR(L360="", L360=""), "[Aviso] Género no capturado ()", IF(ISNA(MATCH(L360, Criterios!$B$123:$B$127, 0)), "Género no válido", "")), IF(OR(N360="", N360=""), "[Aviso] Temporada no capturada ()", IF(ISNA(MATCH(N360, Criterios!$C$123:$C$128, 0)), "Temporada no válida", "")), IF(OR(O360="", O360=""), "[Aviso] Ciclo de vida no capturado ()", IF(ISNA(MATCH(O360, Criterios!$D$123:$D$124, 0)), "Ciclo de vida no válido", ""))))</f>
        <v/>
      </c>
      <c r="AC360" s="56" t="n"/>
      <c r="AD360" s="51" t="n"/>
      <c r="AE360" s="156" t="n"/>
      <c r="AF360" s="51" t="n"/>
      <c r="AG360" s="156" t="inlineStr">
        <is>
          <t>Nuevo – Carga Hoja2 01/10/2026</t>
        </is>
      </c>
      <c r="AH360" s="156" t="inlineStr">
        <is>
          <t>Alta 01/10/2026 desde Hoja2 (fila 158);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60" s="156" t="n"/>
      <c r="AJ360" s="156" t="n"/>
      <c r="AK360" s="155" t="inlineStr">
        <is>
          <t>Hoja2: fila 158 | Odoo: producto 27182 / plantilla 33882</t>
        </is>
      </c>
      <c r="AL360" s="58" t="n"/>
      <c r="AM360" s="58" t="n"/>
      <c r="AN360" s="155" t="inlineStr">
        <is>
          <t>Odoo Universal Unique Brands</t>
        </is>
      </c>
      <c r="AO360" s="59" t="n"/>
      <c r="AP360" s="59" t="n"/>
      <c r="AQ360" s="59" t="n">
        <v>2</v>
      </c>
      <c r="AR360" s="155" t="inlineStr">
        <is>
          <t>Odoo Universal Unique Brands › Bodega 25 › Bodega 25/General: 2</t>
        </is>
      </c>
    </row>
    <row r="361">
      <c r="A361" s="50" t="inlineStr">
        <is>
          <t>717205840767</t>
        </is>
      </c>
      <c r="B361" s="51" t="inlineStr">
        <is>
          <t>27183</t>
        </is>
      </c>
      <c r="C361" s="156" t="inlineStr">
        <is>
          <t>Montana West</t>
        </is>
      </c>
      <c r="D361" s="156" t="inlineStr">
        <is>
          <t>TR185G-9360CF</t>
        </is>
      </c>
      <c r="E361" s="156" t="inlineStr">
        <is>
          <t>TR185G-9360CF</t>
        </is>
      </c>
      <c r="F361" s="156" t="inlineStr">
        <is>
          <t>Talla única</t>
        </is>
      </c>
      <c r="G361" s="156" t="inlineStr">
        <is>
          <t>One Size</t>
        </is>
      </c>
      <c r="H361" s="156" t="inlineStr">
        <is>
          <t>Montana West</t>
        </is>
      </c>
      <c r="I361" s="156" t="inlineStr">
        <is>
          <t>Bolsa Trinity Ranch Café Oscuro</t>
        </is>
      </c>
      <c r="J361" s="156" t="inlineStr">
        <is>
          <t>Accesorios</t>
        </is>
      </c>
      <c r="K361" s="156" t="inlineStr">
        <is>
          <t>Bolsos</t>
        </is>
      </c>
      <c r="L361" s="156" t="inlineStr">
        <is>
          <t>Mujer</t>
        </is>
      </c>
      <c r="M361" s="156" t="inlineStr">
        <is>
          <t>Trinity Ranch</t>
        </is>
      </c>
      <c r="N361" s="156" t="n"/>
      <c r="O361" s="156" t="inlineStr">
        <is>
          <t>Core</t>
        </is>
      </c>
      <c r="P361" s="156" t="inlineStr">
        <is>
          <t>Cafe</t>
        </is>
      </c>
      <c r="Q361" s="156" t="n"/>
      <c r="R361" s="156" t="n"/>
      <c r="S361" s="156" t="n"/>
      <c r="T361" s="156" t="inlineStr">
        <is>
          <t>Bolsa Trinity Ranch. Color: Café Oscuro. Talla única. Mujer. Referencia: TR185G-9360CF.</t>
        </is>
      </c>
      <c r="U361" s="156" t="n"/>
      <c r="V361" s="156" t="inlineStr">
        <is>
          <t>PZS</t>
        </is>
      </c>
      <c r="W361" s="51" t="inlineStr">
        <is>
          <t>53121601</t>
        </is>
      </c>
      <c r="X361" s="156" t="n"/>
      <c r="Y361" s="54" t="n">
        <v>483</v>
      </c>
      <c r="Z361" s="54" t="n">
        <v>799</v>
      </c>
      <c r="AA361" s="55">
        <f>IF(AND(A361="", B361="", E361=""), "", IF(AB361="", "Válido", IF((LEN(AB361)-LEN(SUBSTITUTE(AB361,"; ","")))/2+1&gt;(LEN(AB361)-LEN(SUBSTITUTE(AB361,"[Aviso]","")))/7, "Con Incidencias", "Válido")))</f>
        <v/>
      </c>
      <c r="AB361" s="56">
        <f>IF(AND(A361="", B361="", E361=""), "", TEXTJOIN("; ", TRUE, IF(OR(TRIM(A361&amp;"")="", ISNUMBER(SEARCH("FALTA", A361))), "UPC faltante/inválido", ""), IF(AND(A361&lt;&gt;"", IFERROR(_xlfn.XMATCH(A361,$A$2:$A$1063,0,1)&lt;&gt;_xlfn.XMATCH(A361,$A$2:$A$1063,0,-1),FALSE)), "Código de barras duplicado", ""), IF(AND(E361&lt;&gt;"", COUNTIF($E$2:$E$1063, E361)&gt;1), "SKU duplicado", ""), IF(OR(J361="", J361=""), "[Aviso] División no capturada ()", IF(ISNA(MATCH(J361, Criterios!$A$123:$A$126, 0)), "División no válida", "")), IF(OR(K361="", K361=""), "[Aviso] Categoría no capturada ()", IF(ISNA(MATCH(K361, Criterios!$A$81:$A$120, 0)), "Categoría no válida", IF(AND(J361&lt;&gt;"", J361&lt;&gt;"", J361&lt;&gt;VLOOKUP(K361, Criterios!$A$81:$B$120, 2, FALSE)), "División no coincide con Categoría", ""))), IF(OR(L361="", L361=""), "[Aviso] Género no capturado ()", IF(ISNA(MATCH(L361, Criterios!$B$123:$B$127, 0)), "Género no válido", "")), IF(OR(N361="", N361=""), "[Aviso] Temporada no capturada ()", IF(ISNA(MATCH(N361, Criterios!$C$123:$C$128, 0)), "Temporada no válida", "")), IF(OR(O361="", O361=""), "[Aviso] Ciclo de vida no capturado ()", IF(ISNA(MATCH(O361, Criterios!$D$123:$D$124, 0)), "Ciclo de vida no válido", ""))))</f>
        <v/>
      </c>
      <c r="AC361" s="56" t="n"/>
      <c r="AD361" s="51" t="n"/>
      <c r="AE361" s="156" t="n"/>
      <c r="AF361" s="51" t="n"/>
      <c r="AG361" s="156" t="inlineStr">
        <is>
          <t>Nuevo – Carga Hoja2 01/10/2026</t>
        </is>
      </c>
      <c r="AH361" s="156" t="inlineStr">
        <is>
          <t>Alta 01/10/2026 desde Hoja2 (fila 159);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61" s="156" t="n"/>
      <c r="AJ361" s="156" t="n"/>
      <c r="AK361" s="155" t="inlineStr">
        <is>
          <t>Hoja2: fila 159 | Odoo: producto 27183 / plantilla 33883</t>
        </is>
      </c>
      <c r="AL361" s="58" t="n"/>
      <c r="AM361" s="58" t="n"/>
      <c r="AN361" s="155" t="inlineStr">
        <is>
          <t>Odoo Universal Unique Brands</t>
        </is>
      </c>
      <c r="AO361" s="59" t="n"/>
      <c r="AP361" s="59" t="n"/>
      <c r="AQ361" s="59" t="n">
        <v>-1</v>
      </c>
      <c r="AR361" s="155" t="n"/>
    </row>
    <row r="362">
      <c r="A362" s="50" t="inlineStr">
        <is>
          <t>717019698387</t>
        </is>
      </c>
      <c r="B362" s="51" t="inlineStr">
        <is>
          <t>27184</t>
        </is>
      </c>
      <c r="C362" s="156" t="inlineStr">
        <is>
          <t>Montana West</t>
        </is>
      </c>
      <c r="D362" s="156" t="inlineStr">
        <is>
          <t>TR187-W002BK</t>
        </is>
      </c>
      <c r="E362" s="156" t="inlineStr">
        <is>
          <t>TR187-W002BK</t>
        </is>
      </c>
      <c r="F362" s="156" t="inlineStr">
        <is>
          <t>Talla única</t>
        </is>
      </c>
      <c r="G362" s="156" t="inlineStr">
        <is>
          <t>One Size</t>
        </is>
      </c>
      <c r="H362" s="156" t="inlineStr">
        <is>
          <t>Montana West</t>
        </is>
      </c>
      <c r="I362" s="156" t="inlineStr">
        <is>
          <t>Cartera Trinity Ranch Negro</t>
        </is>
      </c>
      <c r="J362" s="156" t="inlineStr">
        <is>
          <t>Accesorios</t>
        </is>
      </c>
      <c r="K362" s="156" t="inlineStr">
        <is>
          <t>Carteras</t>
        </is>
      </c>
      <c r="L362" s="156" t="inlineStr">
        <is>
          <t>Mujer</t>
        </is>
      </c>
      <c r="M362" s="156" t="inlineStr">
        <is>
          <t>Trinity Ranch</t>
        </is>
      </c>
      <c r="N362" s="156" t="n"/>
      <c r="O362" s="156" t="inlineStr">
        <is>
          <t>Core</t>
        </is>
      </c>
      <c r="P362" s="156" t="inlineStr">
        <is>
          <t>Negro</t>
        </is>
      </c>
      <c r="Q362" s="156" t="n"/>
      <c r="R362" s="156" t="n"/>
      <c r="S362" s="156" t="n"/>
      <c r="T362" s="156" t="inlineStr">
        <is>
          <t>Cartera Trinity Ranch. Color: Negro. Talla única. Mujer. Referencia: TR187-W002BK.</t>
        </is>
      </c>
      <c r="U362" s="156" t="n"/>
      <c r="V362" s="156" t="inlineStr">
        <is>
          <t>PZS</t>
        </is>
      </c>
      <c r="W362" s="51" t="inlineStr">
        <is>
          <t>53121700</t>
        </is>
      </c>
      <c r="X362" s="156" t="n"/>
      <c r="Y362" s="54" t="n">
        <v>273.7</v>
      </c>
      <c r="Z362" s="54" t="n">
        <v>449</v>
      </c>
      <c r="AA362" s="55">
        <f>IF(AND(A362="", B362="", E362=""), "", IF(AB362="", "Válido", IF((LEN(AB362)-LEN(SUBSTITUTE(AB362,"; ","")))/2+1&gt;(LEN(AB362)-LEN(SUBSTITUTE(AB362,"[Aviso]","")))/7, "Con Incidencias", "Válido")))</f>
        <v/>
      </c>
      <c r="AB362" s="56">
        <f>IF(AND(A362="", B362="", E362=""), "", TEXTJOIN("; ", TRUE, IF(OR(TRIM(A362&amp;"")="", ISNUMBER(SEARCH("FALTA", A362))), "UPC faltante/inválido", ""), IF(AND(A362&lt;&gt;"", IFERROR(_xlfn.XMATCH(A362,$A$2:$A$1063,0,1)&lt;&gt;_xlfn.XMATCH(A362,$A$2:$A$1063,0,-1),FALSE)), "Código de barras duplicado", ""), IF(AND(E362&lt;&gt;"", COUNTIF($E$2:$E$1063, E362)&gt;1), "SKU duplicado", ""), IF(OR(J362="", J362=""), "[Aviso] División no capturada ()", IF(ISNA(MATCH(J362, Criterios!$A$123:$A$126, 0)), "División no válida", "")), IF(OR(K362="", K362=""), "[Aviso] Categoría no capturada ()", IF(ISNA(MATCH(K362, Criterios!$A$81:$A$120, 0)), "Categoría no válida", IF(AND(J362&lt;&gt;"", J362&lt;&gt;"", J362&lt;&gt;VLOOKUP(K362, Criterios!$A$81:$B$120, 2, FALSE)), "División no coincide con Categoría", ""))), IF(OR(L362="", L362=""), "[Aviso] Género no capturado ()", IF(ISNA(MATCH(L362, Criterios!$B$123:$B$127, 0)), "Género no válido", "")), IF(OR(N362="", N362=""), "[Aviso] Temporada no capturada ()", IF(ISNA(MATCH(N362, Criterios!$C$123:$C$128, 0)), "Temporada no válida", "")), IF(OR(O362="", O362=""), "[Aviso] Ciclo de vida no capturado ()", IF(ISNA(MATCH(O362, Criterios!$D$123:$D$124, 0)), "Ciclo de vida no válido", ""))))</f>
        <v/>
      </c>
      <c r="AC362" s="56" t="n"/>
      <c r="AD362" s="51" t="n"/>
      <c r="AE362" s="156" t="n"/>
      <c r="AF362" s="51" t="n"/>
      <c r="AG362" s="156" t="inlineStr">
        <is>
          <t>Nuevo – Carga Hoja2 01/10/2026</t>
        </is>
      </c>
      <c r="AH362" s="156" t="inlineStr">
        <is>
          <t>Alta 01/10/2026 desde Hoja2 (fila 160);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62" s="156" t="n"/>
      <c r="AJ362" s="156" t="n"/>
      <c r="AK362" s="155" t="inlineStr">
        <is>
          <t>Hoja2: fila 160 | Odoo: producto 27184 / plantilla 33884</t>
        </is>
      </c>
      <c r="AL362" s="58" t="n"/>
      <c r="AM362" s="58" t="n"/>
      <c r="AN362" s="155" t="inlineStr">
        <is>
          <t>Odoo Universal Unique Brands</t>
        </is>
      </c>
      <c r="AO362" s="59" t="n"/>
      <c r="AP362" s="59" t="n"/>
      <c r="AQ362" s="59" t="n">
        <v>1</v>
      </c>
      <c r="AR362" s="155" t="inlineStr">
        <is>
          <t>Odoo Universal Unique Brands › Bodega 25 › Bodega 25/General: 1</t>
        </is>
      </c>
    </row>
    <row r="363">
      <c r="A363" s="50" t="inlineStr">
        <is>
          <t>717019698448</t>
        </is>
      </c>
      <c r="B363" s="51" t="inlineStr">
        <is>
          <t>27185</t>
        </is>
      </c>
      <c r="C363" s="156" t="inlineStr">
        <is>
          <t>Montana West</t>
        </is>
      </c>
      <c r="D363" s="156" t="inlineStr">
        <is>
          <t>TR187-W002BR</t>
        </is>
      </c>
      <c r="E363" s="156" t="inlineStr">
        <is>
          <t>TR187-W002BR</t>
        </is>
      </c>
      <c r="F363" s="156" t="inlineStr">
        <is>
          <t>Talla única</t>
        </is>
      </c>
      <c r="G363" s="156" t="inlineStr">
        <is>
          <t>One Size</t>
        </is>
      </c>
      <c r="H363" s="156" t="inlineStr">
        <is>
          <t>Montana West</t>
        </is>
      </c>
      <c r="I363" s="156" t="inlineStr">
        <is>
          <t>Cartera Trinity Ranch Café</t>
        </is>
      </c>
      <c r="J363" s="156" t="inlineStr">
        <is>
          <t>Accesorios</t>
        </is>
      </c>
      <c r="K363" s="156" t="inlineStr">
        <is>
          <t>Carteras</t>
        </is>
      </c>
      <c r="L363" s="156" t="inlineStr">
        <is>
          <t>Mujer</t>
        </is>
      </c>
      <c r="M363" s="156" t="inlineStr">
        <is>
          <t>Trinity Ranch</t>
        </is>
      </c>
      <c r="N363" s="156" t="n"/>
      <c r="O363" s="156" t="inlineStr">
        <is>
          <t>Core</t>
        </is>
      </c>
      <c r="P363" s="156" t="inlineStr">
        <is>
          <t>Cafe</t>
        </is>
      </c>
      <c r="Q363" s="156" t="n"/>
      <c r="R363" s="156" t="n"/>
      <c r="S363" s="156" t="n"/>
      <c r="T363" s="156" t="inlineStr">
        <is>
          <t>Cartera Trinity Ranch. Color: Café. Talla única. Mujer. Referencia: TR187-W002BR.</t>
        </is>
      </c>
      <c r="U363" s="156" t="n"/>
      <c r="V363" s="156" t="inlineStr">
        <is>
          <t>PZS</t>
        </is>
      </c>
      <c r="W363" s="51" t="inlineStr">
        <is>
          <t>53121700</t>
        </is>
      </c>
      <c r="X363" s="156" t="n"/>
      <c r="Y363" s="54" t="n">
        <v>273.7</v>
      </c>
      <c r="Z363" s="54" t="n">
        <v>449</v>
      </c>
      <c r="AA363" s="55">
        <f>IF(AND(A363="", B363="", E363=""), "", IF(AB363="", "Válido", IF((LEN(AB363)-LEN(SUBSTITUTE(AB363,"; ","")))/2+1&gt;(LEN(AB363)-LEN(SUBSTITUTE(AB363,"[Aviso]","")))/7, "Con Incidencias", "Válido")))</f>
        <v/>
      </c>
      <c r="AB363" s="56">
        <f>IF(AND(A363="", B363="", E363=""), "", TEXTJOIN("; ", TRUE, IF(OR(TRIM(A363&amp;"")="", ISNUMBER(SEARCH("FALTA", A363))), "UPC faltante/inválido", ""), IF(AND(A363&lt;&gt;"", IFERROR(_xlfn.XMATCH(A363,$A$2:$A$1063,0,1)&lt;&gt;_xlfn.XMATCH(A363,$A$2:$A$1063,0,-1),FALSE)), "Código de barras duplicado", ""), IF(AND(E363&lt;&gt;"", COUNTIF($E$2:$E$1063, E363)&gt;1), "SKU duplicado", ""), IF(OR(J363="", J363=""), "[Aviso] División no capturada ()", IF(ISNA(MATCH(J363, Criterios!$A$123:$A$126, 0)), "División no válida", "")), IF(OR(K363="", K363=""), "[Aviso] Categoría no capturada ()", IF(ISNA(MATCH(K363, Criterios!$A$81:$A$120, 0)), "Categoría no válida", IF(AND(J363&lt;&gt;"", J363&lt;&gt;"", J363&lt;&gt;VLOOKUP(K363, Criterios!$A$81:$B$120, 2, FALSE)), "División no coincide con Categoría", ""))), IF(OR(L363="", L363=""), "[Aviso] Género no capturado ()", IF(ISNA(MATCH(L363, Criterios!$B$123:$B$127, 0)), "Género no válido", "")), IF(OR(N363="", N363=""), "[Aviso] Temporada no capturada ()", IF(ISNA(MATCH(N363, Criterios!$C$123:$C$128, 0)), "Temporada no válida", "")), IF(OR(O363="", O363=""), "[Aviso] Ciclo de vida no capturado ()", IF(ISNA(MATCH(O363, Criterios!$D$123:$D$124, 0)), "Ciclo de vida no válido", ""))))</f>
        <v/>
      </c>
      <c r="AC363" s="56" t="n"/>
      <c r="AD363" s="51" t="n"/>
      <c r="AE363" s="156" t="n"/>
      <c r="AF363" s="51" t="n"/>
      <c r="AG363" s="156" t="inlineStr">
        <is>
          <t>Nuevo – Carga Hoja2 01/10/2026</t>
        </is>
      </c>
      <c r="AH363" s="156" t="inlineStr">
        <is>
          <t>Alta 01/10/2026 desde Hoja2 (fila 161);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63" s="156" t="n"/>
      <c r="AJ363" s="156" t="n"/>
      <c r="AK363" s="155" t="inlineStr">
        <is>
          <t>Hoja2: fila 161 | Odoo: producto 27185 / plantilla 33885</t>
        </is>
      </c>
      <c r="AL363" s="58" t="n"/>
      <c r="AM363" s="58" t="n"/>
      <c r="AN363" s="155" t="inlineStr">
        <is>
          <t>Odoo Universal Unique Brands</t>
        </is>
      </c>
      <c r="AO363" s="59" t="n"/>
      <c r="AP363" s="59" t="n"/>
      <c r="AQ363" s="59" t="n">
        <v>0</v>
      </c>
      <c r="AR363" s="155" t="n"/>
    </row>
    <row r="364">
      <c r="A364" s="50" t="inlineStr">
        <is>
          <t>717019698479</t>
        </is>
      </c>
      <c r="B364" s="51" t="inlineStr">
        <is>
          <t>27186</t>
        </is>
      </c>
      <c r="C364" s="156" t="inlineStr">
        <is>
          <t>Montana West</t>
        </is>
      </c>
      <c r="D364" s="156" t="inlineStr">
        <is>
          <t>TR187-W002TN</t>
        </is>
      </c>
      <c r="E364" s="156" t="inlineStr">
        <is>
          <t>TR187-W002TN</t>
        </is>
      </c>
      <c r="F364" s="156" t="inlineStr">
        <is>
          <t>Talla única</t>
        </is>
      </c>
      <c r="G364" s="156" t="inlineStr">
        <is>
          <t>One Size</t>
        </is>
      </c>
      <c r="H364" s="156" t="inlineStr">
        <is>
          <t>Montana West</t>
        </is>
      </c>
      <c r="I364" s="156" t="inlineStr">
        <is>
          <t>Cartera Trinity Ranch Camel</t>
        </is>
      </c>
      <c r="J364" s="156" t="inlineStr">
        <is>
          <t>Accesorios</t>
        </is>
      </c>
      <c r="K364" s="156" t="inlineStr">
        <is>
          <t>Carteras</t>
        </is>
      </c>
      <c r="L364" s="156" t="inlineStr">
        <is>
          <t>Mujer</t>
        </is>
      </c>
      <c r="M364" s="156" t="inlineStr">
        <is>
          <t>Trinity Ranch</t>
        </is>
      </c>
      <c r="N364" s="156" t="n"/>
      <c r="O364" s="156" t="inlineStr">
        <is>
          <t>Core</t>
        </is>
      </c>
      <c r="P364" s="156" t="inlineStr">
        <is>
          <t>Beige</t>
        </is>
      </c>
      <c r="Q364" s="156" t="n"/>
      <c r="R364" s="156" t="n"/>
      <c r="S364" s="156" t="n"/>
      <c r="T364" s="156" t="inlineStr">
        <is>
          <t>Cartera Trinity Ranch. Color: Camel. Talla única. Mujer. Referencia: TR187-W002TN.</t>
        </is>
      </c>
      <c r="U364" s="156" t="n"/>
      <c r="V364" s="156" t="inlineStr">
        <is>
          <t>PZS</t>
        </is>
      </c>
      <c r="W364" s="51" t="inlineStr">
        <is>
          <t>53121700</t>
        </is>
      </c>
      <c r="X364" s="156" t="n"/>
      <c r="Y364" s="54" t="n">
        <v>273.7</v>
      </c>
      <c r="Z364" s="54" t="n">
        <v>449</v>
      </c>
      <c r="AA364" s="55">
        <f>IF(AND(A364="", B364="", E364=""), "", IF(AB364="", "Válido", IF((LEN(AB364)-LEN(SUBSTITUTE(AB364,"; ","")))/2+1&gt;(LEN(AB364)-LEN(SUBSTITUTE(AB364,"[Aviso]","")))/7, "Con Incidencias", "Válido")))</f>
        <v/>
      </c>
      <c r="AB364" s="56">
        <f>IF(AND(A364="", B364="", E364=""), "", TEXTJOIN("; ", TRUE, IF(OR(TRIM(A364&amp;"")="", ISNUMBER(SEARCH("FALTA", A364))), "UPC faltante/inválido", ""), IF(AND(A364&lt;&gt;"", IFERROR(_xlfn.XMATCH(A364,$A$2:$A$1063,0,1)&lt;&gt;_xlfn.XMATCH(A364,$A$2:$A$1063,0,-1),FALSE)), "Código de barras duplicado", ""), IF(AND(E364&lt;&gt;"", COUNTIF($E$2:$E$1063, E364)&gt;1), "SKU duplicado", ""), IF(OR(J364="", J364=""), "[Aviso] División no capturada ()", IF(ISNA(MATCH(J364, Criterios!$A$123:$A$126, 0)), "División no válida", "")), IF(OR(K364="", K364=""), "[Aviso] Categoría no capturada ()", IF(ISNA(MATCH(K364, Criterios!$A$81:$A$120, 0)), "Categoría no válida", IF(AND(J364&lt;&gt;"", J364&lt;&gt;"", J364&lt;&gt;VLOOKUP(K364, Criterios!$A$81:$B$120, 2, FALSE)), "División no coincide con Categoría", ""))), IF(OR(L364="", L364=""), "[Aviso] Género no capturado ()", IF(ISNA(MATCH(L364, Criterios!$B$123:$B$127, 0)), "Género no válido", "")), IF(OR(N364="", N364=""), "[Aviso] Temporada no capturada ()", IF(ISNA(MATCH(N364, Criterios!$C$123:$C$128, 0)), "Temporada no válida", "")), IF(OR(O364="", O364=""), "[Aviso] Ciclo de vida no capturado ()", IF(ISNA(MATCH(O364, Criterios!$D$123:$D$124, 0)), "Ciclo de vida no válido", ""))))</f>
        <v/>
      </c>
      <c r="AC364" s="56" t="n"/>
      <c r="AD364" s="51" t="n"/>
      <c r="AE364" s="156" t="n"/>
      <c r="AF364" s="51" t="n"/>
      <c r="AG364" s="156" t="inlineStr">
        <is>
          <t>Nuevo – Carga Hoja2 01/10/2026</t>
        </is>
      </c>
      <c r="AH364" s="156" t="inlineStr">
        <is>
          <t>Alta 01/10/2026 desde Hoja2 (fila 162);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64" s="156" t="n"/>
      <c r="AJ364" s="156" t="n"/>
      <c r="AK364" s="155" t="inlineStr">
        <is>
          <t>Hoja2: fila 162 | Odoo: producto 27186 / plantilla 33886</t>
        </is>
      </c>
      <c r="AL364" s="58" t="n"/>
      <c r="AM364" s="58" t="n"/>
      <c r="AN364" s="155" t="inlineStr">
        <is>
          <t>Odoo Universal Unique Brands</t>
        </is>
      </c>
      <c r="AO364" s="59" t="n"/>
      <c r="AP364" s="59" t="n"/>
      <c r="AQ364" s="59" t="n">
        <v>4</v>
      </c>
      <c r="AR364" s="155" t="inlineStr">
        <is>
          <t>Odoo Universal Unique Brands › Bodega 25 › Bodega 25/General: 4</t>
        </is>
      </c>
    </row>
    <row r="365">
      <c r="A365" s="50" t="inlineStr">
        <is>
          <t>717019697816</t>
        </is>
      </c>
      <c r="B365" s="51" t="inlineStr">
        <is>
          <t>27187</t>
        </is>
      </c>
      <c r="C365" s="156" t="inlineStr">
        <is>
          <t>Montana West</t>
        </is>
      </c>
      <c r="D365" s="156" t="inlineStr">
        <is>
          <t>TR188-160BK</t>
        </is>
      </c>
      <c r="E365" s="156" t="inlineStr">
        <is>
          <t>TR188-160BK</t>
        </is>
      </c>
      <c r="F365" s="156" t="inlineStr">
        <is>
          <t>Talla única</t>
        </is>
      </c>
      <c r="G365" s="156" t="inlineStr">
        <is>
          <t>One Size</t>
        </is>
      </c>
      <c r="H365" s="156" t="inlineStr">
        <is>
          <t>Montana West</t>
        </is>
      </c>
      <c r="I365" s="156" t="inlineStr">
        <is>
          <t>Bolsa Trinity Ranch Negro</t>
        </is>
      </c>
      <c r="J365" s="156" t="inlineStr">
        <is>
          <t>Accesorios</t>
        </is>
      </c>
      <c r="K365" s="156" t="inlineStr">
        <is>
          <t>Bolsos</t>
        </is>
      </c>
      <c r="L365" s="156" t="inlineStr">
        <is>
          <t>Mujer</t>
        </is>
      </c>
      <c r="M365" s="156" t="inlineStr">
        <is>
          <t>Trinity Ranch</t>
        </is>
      </c>
      <c r="N365" s="156" t="n"/>
      <c r="O365" s="156" t="inlineStr">
        <is>
          <t>Core</t>
        </is>
      </c>
      <c r="P365" s="156" t="inlineStr">
        <is>
          <t>Negro</t>
        </is>
      </c>
      <c r="Q365" s="156" t="n"/>
      <c r="R365" s="156" t="n"/>
      <c r="S365" s="156" t="n"/>
      <c r="T365" s="156" t="inlineStr">
        <is>
          <t>Bolsa Trinity Ranch. Color: Negro. Talla única. Mujer. Referencia: TR188-160BK.</t>
        </is>
      </c>
      <c r="U365" s="156" t="n"/>
      <c r="V365" s="156" t="inlineStr">
        <is>
          <t>PZS</t>
        </is>
      </c>
      <c r="W365" s="51" t="inlineStr">
        <is>
          <t>53121601</t>
        </is>
      </c>
      <c r="X365" s="156" t="n"/>
      <c r="Y365" s="54" t="n">
        <v>418.6</v>
      </c>
      <c r="Z365" s="54" t="n">
        <v>699</v>
      </c>
      <c r="AA365" s="55">
        <f>IF(AND(A365="", B365="", E365=""), "", IF(AB365="", "Válido", IF((LEN(AB365)-LEN(SUBSTITUTE(AB365,"; ","")))/2+1&gt;(LEN(AB365)-LEN(SUBSTITUTE(AB365,"[Aviso]","")))/7, "Con Incidencias", "Válido")))</f>
        <v/>
      </c>
      <c r="AB365" s="56">
        <f>IF(AND(A365="", B365="", E365=""), "", TEXTJOIN("; ", TRUE, IF(OR(TRIM(A365&amp;"")="", ISNUMBER(SEARCH("FALTA", A365))), "UPC faltante/inválido", ""), IF(AND(A365&lt;&gt;"", IFERROR(_xlfn.XMATCH(A365,$A$2:$A$1063,0,1)&lt;&gt;_xlfn.XMATCH(A365,$A$2:$A$1063,0,-1),FALSE)), "Código de barras duplicado", ""), IF(AND(E365&lt;&gt;"", COUNTIF($E$2:$E$1063, E365)&gt;1), "SKU duplicado", ""), IF(OR(J365="", J365=""), "[Aviso] División no capturada ()", IF(ISNA(MATCH(J365, Criterios!$A$123:$A$126, 0)), "División no válida", "")), IF(OR(K365="", K365=""), "[Aviso] Categoría no capturada ()", IF(ISNA(MATCH(K365, Criterios!$A$81:$A$120, 0)), "Categoría no válida", IF(AND(J365&lt;&gt;"", J365&lt;&gt;"", J365&lt;&gt;VLOOKUP(K365, Criterios!$A$81:$B$120, 2, FALSE)), "División no coincide con Categoría", ""))), IF(OR(L365="", L365=""), "[Aviso] Género no capturado ()", IF(ISNA(MATCH(L365, Criterios!$B$123:$B$127, 0)), "Género no válido", "")), IF(OR(N365="", N365=""), "[Aviso] Temporada no capturada ()", IF(ISNA(MATCH(N365, Criterios!$C$123:$C$128, 0)), "Temporada no válida", "")), IF(OR(O365="", O365=""), "[Aviso] Ciclo de vida no capturado ()", IF(ISNA(MATCH(O365, Criterios!$D$123:$D$124, 0)), "Ciclo de vida no válido", ""))))</f>
        <v/>
      </c>
      <c r="AC365" s="56" t="n"/>
      <c r="AD365" s="51" t="n"/>
      <c r="AE365" s="156" t="n"/>
      <c r="AF365" s="51" t="n"/>
      <c r="AG365" s="156" t="inlineStr">
        <is>
          <t>Nuevo – Carga Hoja2 01/10/2026</t>
        </is>
      </c>
      <c r="AH365" s="156" t="inlineStr">
        <is>
          <t>Alta 01/10/2026 desde Hoja2 (fila 163);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65" s="156" t="n"/>
      <c r="AJ365" s="156" t="n"/>
      <c r="AK365" s="155" t="inlineStr">
        <is>
          <t>Hoja2: fila 163 | Odoo: producto 27187 / plantilla 33887</t>
        </is>
      </c>
      <c r="AL365" s="58" t="n"/>
      <c r="AM365" s="58" t="n"/>
      <c r="AN365" s="155" t="inlineStr">
        <is>
          <t>Odoo Universal Unique Brands</t>
        </is>
      </c>
      <c r="AO365" s="59" t="n"/>
      <c r="AP365" s="59" t="n"/>
      <c r="AQ365" s="59" t="n">
        <v>3</v>
      </c>
      <c r="AR365" s="155" t="inlineStr">
        <is>
          <t>Odoo Universal Unique Brands › Bodega 25 › Bodega 25/General: 3</t>
        </is>
      </c>
    </row>
    <row r="366">
      <c r="A366" s="50" t="inlineStr">
        <is>
          <t>717019697878</t>
        </is>
      </c>
      <c r="B366" s="51" t="inlineStr">
        <is>
          <t>27188</t>
        </is>
      </c>
      <c r="C366" s="156" t="inlineStr">
        <is>
          <t>Montana West</t>
        </is>
      </c>
      <c r="D366" s="156" t="inlineStr">
        <is>
          <t>TR188-160BR</t>
        </is>
      </c>
      <c r="E366" s="156" t="inlineStr">
        <is>
          <t>TR188-160BR</t>
        </is>
      </c>
      <c r="F366" s="156" t="inlineStr">
        <is>
          <t>Talla única</t>
        </is>
      </c>
      <c r="G366" s="156" t="inlineStr">
        <is>
          <t>One Size</t>
        </is>
      </c>
      <c r="H366" s="156" t="inlineStr">
        <is>
          <t>Montana West</t>
        </is>
      </c>
      <c r="I366" s="156" t="inlineStr">
        <is>
          <t>Bolsa Trinity Ranch Café</t>
        </is>
      </c>
      <c r="J366" s="156" t="inlineStr">
        <is>
          <t>Accesorios</t>
        </is>
      </c>
      <c r="K366" s="156" t="inlineStr">
        <is>
          <t>Bolsos</t>
        </is>
      </c>
      <c r="L366" s="156" t="inlineStr">
        <is>
          <t>Mujer</t>
        </is>
      </c>
      <c r="M366" s="156" t="inlineStr">
        <is>
          <t>Trinity Ranch</t>
        </is>
      </c>
      <c r="N366" s="156" t="n"/>
      <c r="O366" s="156" t="inlineStr">
        <is>
          <t>Core</t>
        </is>
      </c>
      <c r="P366" s="156" t="inlineStr">
        <is>
          <t>Cafe</t>
        </is>
      </c>
      <c r="Q366" s="156" t="n"/>
      <c r="R366" s="156" t="n"/>
      <c r="S366" s="156" t="n"/>
      <c r="T366" s="156" t="inlineStr">
        <is>
          <t>Bolsa Trinity Ranch. Color: Café. Talla única. Mujer. Referencia: TR188-160BR.</t>
        </is>
      </c>
      <c r="U366" s="156" t="n"/>
      <c r="V366" s="156" t="inlineStr">
        <is>
          <t>PZS</t>
        </is>
      </c>
      <c r="W366" s="51" t="inlineStr">
        <is>
          <t>53121601</t>
        </is>
      </c>
      <c r="X366" s="156" t="n"/>
      <c r="Y366" s="54" t="n">
        <v>418.6</v>
      </c>
      <c r="Z366" s="54" t="n">
        <v>699</v>
      </c>
      <c r="AA366" s="55">
        <f>IF(AND(A366="", B366="", E366=""), "", IF(AB366="", "Válido", IF((LEN(AB366)-LEN(SUBSTITUTE(AB366,"; ","")))/2+1&gt;(LEN(AB366)-LEN(SUBSTITUTE(AB366,"[Aviso]","")))/7, "Con Incidencias", "Válido")))</f>
        <v/>
      </c>
      <c r="AB366" s="56">
        <f>IF(AND(A366="", B366="", E366=""), "", TEXTJOIN("; ", TRUE, IF(OR(TRIM(A366&amp;"")="", ISNUMBER(SEARCH("FALTA", A366))), "UPC faltante/inválido", ""), IF(AND(A366&lt;&gt;"", IFERROR(_xlfn.XMATCH(A366,$A$2:$A$1063,0,1)&lt;&gt;_xlfn.XMATCH(A366,$A$2:$A$1063,0,-1),FALSE)), "Código de barras duplicado", ""), IF(AND(E366&lt;&gt;"", COUNTIF($E$2:$E$1063, E366)&gt;1), "SKU duplicado", ""), IF(OR(J366="", J366=""), "[Aviso] División no capturada ()", IF(ISNA(MATCH(J366, Criterios!$A$123:$A$126, 0)), "División no válida", "")), IF(OR(K366="", K366=""), "[Aviso] Categoría no capturada ()", IF(ISNA(MATCH(K366, Criterios!$A$81:$A$120, 0)), "Categoría no válida", IF(AND(J366&lt;&gt;"", J366&lt;&gt;"", J366&lt;&gt;VLOOKUP(K366, Criterios!$A$81:$B$120, 2, FALSE)), "División no coincide con Categoría", ""))), IF(OR(L366="", L366=""), "[Aviso] Género no capturado ()", IF(ISNA(MATCH(L366, Criterios!$B$123:$B$127, 0)), "Género no válido", "")), IF(OR(N366="", N366=""), "[Aviso] Temporada no capturada ()", IF(ISNA(MATCH(N366, Criterios!$C$123:$C$128, 0)), "Temporada no válida", "")), IF(OR(O366="", O366=""), "[Aviso] Ciclo de vida no capturado ()", IF(ISNA(MATCH(O366, Criterios!$D$123:$D$124, 0)), "Ciclo de vida no válido", ""))))</f>
        <v/>
      </c>
      <c r="AC366" s="56" t="n"/>
      <c r="AD366" s="51" t="n"/>
      <c r="AE366" s="156" t="n"/>
      <c r="AF366" s="51" t="n"/>
      <c r="AG366" s="156" t="inlineStr">
        <is>
          <t>Nuevo – Carga Hoja2 01/10/2026</t>
        </is>
      </c>
      <c r="AH366" s="156" t="inlineStr">
        <is>
          <t>Alta 01/10/2026 desde Hoja2 (fila 164);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66" s="156" t="n"/>
      <c r="AJ366" s="156" t="n"/>
      <c r="AK366" s="155" t="inlineStr">
        <is>
          <t>Hoja2: fila 164 | Odoo: producto 27188 / plantilla 33888</t>
        </is>
      </c>
      <c r="AL366" s="58" t="n"/>
      <c r="AM366" s="58" t="n"/>
      <c r="AN366" s="155" t="inlineStr">
        <is>
          <t>Odoo Universal Unique Brands</t>
        </is>
      </c>
      <c r="AO366" s="59" t="n"/>
      <c r="AP366" s="59" t="n"/>
      <c r="AQ366" s="59" t="n">
        <v>3</v>
      </c>
      <c r="AR366" s="155" t="inlineStr">
        <is>
          <t>Odoo Universal Unique Brands › Bodega 25 › Bodega 25/General: 3</t>
        </is>
      </c>
    </row>
    <row r="367">
      <c r="A367" s="50" t="inlineStr">
        <is>
          <t>717019697847</t>
        </is>
      </c>
      <c r="B367" s="51" t="inlineStr">
        <is>
          <t>27189</t>
        </is>
      </c>
      <c r="C367" s="156" t="inlineStr">
        <is>
          <t>Montana West</t>
        </is>
      </c>
      <c r="D367" s="156" t="inlineStr">
        <is>
          <t>TR188-160CF</t>
        </is>
      </c>
      <c r="E367" s="156" t="inlineStr">
        <is>
          <t>TR188-160CF</t>
        </is>
      </c>
      <c r="F367" s="156" t="inlineStr">
        <is>
          <t>Talla única</t>
        </is>
      </c>
      <c r="G367" s="156" t="inlineStr">
        <is>
          <t>One Size</t>
        </is>
      </c>
      <c r="H367" s="156" t="inlineStr">
        <is>
          <t>Montana West</t>
        </is>
      </c>
      <c r="I367" s="156" t="inlineStr">
        <is>
          <t>Bolsa Trinity Ranch Café Oscuro</t>
        </is>
      </c>
      <c r="J367" s="156" t="inlineStr">
        <is>
          <t>Accesorios</t>
        </is>
      </c>
      <c r="K367" s="156" t="inlineStr">
        <is>
          <t>Bolsos</t>
        </is>
      </c>
      <c r="L367" s="156" t="inlineStr">
        <is>
          <t>Mujer</t>
        </is>
      </c>
      <c r="M367" s="156" t="inlineStr">
        <is>
          <t>Trinity Ranch</t>
        </is>
      </c>
      <c r="N367" s="156" t="n"/>
      <c r="O367" s="156" t="inlineStr">
        <is>
          <t>Core</t>
        </is>
      </c>
      <c r="P367" s="156" t="inlineStr">
        <is>
          <t>Cafe</t>
        </is>
      </c>
      <c r="Q367" s="156" t="n"/>
      <c r="R367" s="156" t="n"/>
      <c r="S367" s="156" t="n"/>
      <c r="T367" s="156" t="inlineStr">
        <is>
          <t>Bolsa Trinity Ranch. Color: Café Oscuro. Talla única. Mujer. Referencia: TR188-160CF.</t>
        </is>
      </c>
      <c r="U367" s="156" t="n"/>
      <c r="V367" s="156" t="inlineStr">
        <is>
          <t>PZS</t>
        </is>
      </c>
      <c r="W367" s="51" t="inlineStr">
        <is>
          <t>53121601</t>
        </is>
      </c>
      <c r="X367" s="156" t="n"/>
      <c r="Y367" s="54" t="n">
        <v>418.6</v>
      </c>
      <c r="Z367" s="54" t="n">
        <v>699</v>
      </c>
      <c r="AA367" s="55">
        <f>IF(AND(A367="", B367="", E367=""), "", IF(AB367="", "Válido", IF((LEN(AB367)-LEN(SUBSTITUTE(AB367,"; ","")))/2+1&gt;(LEN(AB367)-LEN(SUBSTITUTE(AB367,"[Aviso]","")))/7, "Con Incidencias", "Válido")))</f>
        <v/>
      </c>
      <c r="AB367" s="56">
        <f>IF(AND(A367="", B367="", E367=""), "", TEXTJOIN("; ", TRUE, IF(OR(TRIM(A367&amp;"")="", ISNUMBER(SEARCH("FALTA", A367))), "UPC faltante/inválido", ""), IF(AND(A367&lt;&gt;"", IFERROR(_xlfn.XMATCH(A367,$A$2:$A$1063,0,1)&lt;&gt;_xlfn.XMATCH(A367,$A$2:$A$1063,0,-1),FALSE)), "Código de barras duplicado", ""), IF(AND(E367&lt;&gt;"", COUNTIF($E$2:$E$1063, E367)&gt;1), "SKU duplicado", ""), IF(OR(J367="", J367=""), "[Aviso] División no capturada ()", IF(ISNA(MATCH(J367, Criterios!$A$123:$A$126, 0)), "División no válida", "")), IF(OR(K367="", K367=""), "[Aviso] Categoría no capturada ()", IF(ISNA(MATCH(K367, Criterios!$A$81:$A$120, 0)), "Categoría no válida", IF(AND(J367&lt;&gt;"", J367&lt;&gt;"", J367&lt;&gt;VLOOKUP(K367, Criterios!$A$81:$B$120, 2, FALSE)), "División no coincide con Categoría", ""))), IF(OR(L367="", L367=""), "[Aviso] Género no capturado ()", IF(ISNA(MATCH(L367, Criterios!$B$123:$B$127, 0)), "Género no válido", "")), IF(OR(N367="", N367=""), "[Aviso] Temporada no capturada ()", IF(ISNA(MATCH(N367, Criterios!$C$123:$C$128, 0)), "Temporada no válida", "")), IF(OR(O367="", O367=""), "[Aviso] Ciclo de vida no capturado ()", IF(ISNA(MATCH(O367, Criterios!$D$123:$D$124, 0)), "Ciclo de vida no válido", ""))))</f>
        <v/>
      </c>
      <c r="AC367" s="56" t="n"/>
      <c r="AD367" s="51" t="n"/>
      <c r="AE367" s="156" t="n"/>
      <c r="AF367" s="51" t="n"/>
      <c r="AG367" s="156" t="inlineStr">
        <is>
          <t>Nuevo – Carga Hoja2 01/10/2026</t>
        </is>
      </c>
      <c r="AH367" s="156" t="inlineStr">
        <is>
          <t>Alta 01/10/2026 desde Hoja2 (fila 165);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67" s="156" t="n"/>
      <c r="AJ367" s="156" t="n"/>
      <c r="AK367" s="155" t="inlineStr">
        <is>
          <t>Hoja2: fila 165 | Odoo: producto 27189 / plantilla 33889</t>
        </is>
      </c>
      <c r="AL367" s="58" t="n"/>
      <c r="AM367" s="58" t="n"/>
      <c r="AN367" s="155" t="inlineStr">
        <is>
          <t>Odoo Universal Unique Brands</t>
        </is>
      </c>
      <c r="AO367" s="59" t="n"/>
      <c r="AP367" s="59" t="n"/>
      <c r="AQ367" s="59" t="n">
        <v>2</v>
      </c>
      <c r="AR367" s="155" t="inlineStr">
        <is>
          <t>Odoo Universal Unique Brands › Bodega 25 › Bodega 25/General: 2</t>
        </is>
      </c>
    </row>
    <row r="368">
      <c r="A368" s="50" t="inlineStr">
        <is>
          <t>717325206061</t>
        </is>
      </c>
      <c r="B368" s="51" t="inlineStr">
        <is>
          <t>27190</t>
        </is>
      </c>
      <c r="C368" s="156" t="inlineStr">
        <is>
          <t>Montana West</t>
        </is>
      </c>
      <c r="D368" s="156" t="inlineStr">
        <is>
          <t>TR190-181BR</t>
        </is>
      </c>
      <c r="E368" s="156" t="inlineStr">
        <is>
          <t>TR190-181BR</t>
        </is>
      </c>
      <c r="F368" s="156" t="inlineStr">
        <is>
          <t>Talla única</t>
        </is>
      </c>
      <c r="G368" s="156" t="inlineStr">
        <is>
          <t>One Size</t>
        </is>
      </c>
      <c r="H368" s="156" t="inlineStr">
        <is>
          <t>Montana West</t>
        </is>
      </c>
      <c r="I368" s="156" t="inlineStr">
        <is>
          <t>Bolsa Trinity Ranch Café</t>
        </is>
      </c>
      <c r="J368" s="156" t="inlineStr">
        <is>
          <t>Accesorios</t>
        </is>
      </c>
      <c r="K368" s="156" t="inlineStr">
        <is>
          <t>Bolsos</t>
        </is>
      </c>
      <c r="L368" s="156" t="inlineStr">
        <is>
          <t>Mujer</t>
        </is>
      </c>
      <c r="M368" s="156" t="inlineStr">
        <is>
          <t>Trinity Ranch</t>
        </is>
      </c>
      <c r="N368" s="156" t="n"/>
      <c r="O368" s="156" t="inlineStr">
        <is>
          <t>Core</t>
        </is>
      </c>
      <c r="P368" s="156" t="inlineStr">
        <is>
          <t>Cafe</t>
        </is>
      </c>
      <c r="Q368" s="156" t="n"/>
      <c r="R368" s="156" t="n"/>
      <c r="S368" s="156" t="n"/>
      <c r="T368" s="156" t="inlineStr">
        <is>
          <t>Bolsa Trinity Ranch. Color: Café. Talla única. Mujer. Referencia: TR190-181BR.</t>
        </is>
      </c>
      <c r="U368" s="156" t="n"/>
      <c r="V368" s="156" t="inlineStr">
        <is>
          <t>PZS</t>
        </is>
      </c>
      <c r="W368" s="51" t="inlineStr">
        <is>
          <t>53121601</t>
        </is>
      </c>
      <c r="X368" s="156" t="n"/>
      <c r="Y368" s="54" t="n">
        <v>257.6</v>
      </c>
      <c r="Z368" s="54" t="n">
        <v>449</v>
      </c>
      <c r="AA368" s="55">
        <f>IF(AND(A368="", B368="", E368=""), "", IF(AB368="", "Válido", IF((LEN(AB368)-LEN(SUBSTITUTE(AB368,"; ","")))/2+1&gt;(LEN(AB368)-LEN(SUBSTITUTE(AB368,"[Aviso]","")))/7, "Con Incidencias", "Válido")))</f>
        <v/>
      </c>
      <c r="AB368" s="56">
        <f>IF(AND(A368="", B368="", E368=""), "", TEXTJOIN("; ", TRUE, IF(OR(TRIM(A368&amp;"")="", ISNUMBER(SEARCH("FALTA", A368))), "UPC faltante/inválido", ""), IF(AND(A368&lt;&gt;"", IFERROR(_xlfn.XMATCH(A368,$A$2:$A$1063,0,1)&lt;&gt;_xlfn.XMATCH(A368,$A$2:$A$1063,0,-1),FALSE)), "Código de barras duplicado", ""), IF(AND(E368&lt;&gt;"", COUNTIF($E$2:$E$1063, E368)&gt;1), "SKU duplicado", ""), IF(OR(J368="", J368=""), "[Aviso] División no capturada ()", IF(ISNA(MATCH(J368, Criterios!$A$123:$A$126, 0)), "División no válida", "")), IF(OR(K368="", K368=""), "[Aviso] Categoría no capturada ()", IF(ISNA(MATCH(K368, Criterios!$A$81:$A$120, 0)), "Categoría no válida", IF(AND(J368&lt;&gt;"", J368&lt;&gt;"", J368&lt;&gt;VLOOKUP(K368, Criterios!$A$81:$B$120, 2, FALSE)), "División no coincide con Categoría", ""))), IF(OR(L368="", L368=""), "[Aviso] Género no capturado ()", IF(ISNA(MATCH(L368, Criterios!$B$123:$B$127, 0)), "Género no válido", "")), IF(OR(N368="", N368=""), "[Aviso] Temporada no capturada ()", IF(ISNA(MATCH(N368, Criterios!$C$123:$C$128, 0)), "Temporada no válida", "")), IF(OR(O368="", O368=""), "[Aviso] Ciclo de vida no capturado ()", IF(ISNA(MATCH(O368, Criterios!$D$123:$D$124, 0)), "Ciclo de vida no válido", ""))))</f>
        <v/>
      </c>
      <c r="AC368" s="56" t="n"/>
      <c r="AD368" s="51" t="n"/>
      <c r="AE368" s="156" t="n"/>
      <c r="AF368" s="51" t="n"/>
      <c r="AG368" s="156" t="inlineStr">
        <is>
          <t>Nuevo – Carga Hoja2 01/10/2026</t>
        </is>
      </c>
      <c r="AH368" s="156" t="inlineStr">
        <is>
          <t>Alta 01/10/2026 desde Hoja2 (fila 166);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68" s="156" t="n"/>
      <c r="AJ368" s="156" t="n"/>
      <c r="AK368" s="155" t="inlineStr">
        <is>
          <t>Hoja2: fila 166 | Odoo: producto 27190 / plantilla 33890</t>
        </is>
      </c>
      <c r="AL368" s="58" t="n"/>
      <c r="AM368" s="58" t="n"/>
      <c r="AN368" s="155" t="inlineStr">
        <is>
          <t>Odoo Universal Unique Brands</t>
        </is>
      </c>
      <c r="AO368" s="59" t="n"/>
      <c r="AP368" s="59" t="n"/>
      <c r="AQ368" s="59" t="n">
        <v>4</v>
      </c>
      <c r="AR368" s="155" t="inlineStr">
        <is>
          <t>Odoo Universal Unique Brands › Bodega 25 › Bodega 25/General: 4</t>
        </is>
      </c>
    </row>
    <row r="369">
      <c r="A369" s="50" t="inlineStr">
        <is>
          <t>717325205934</t>
        </is>
      </c>
      <c r="B369" s="51" t="inlineStr">
        <is>
          <t>27191</t>
        </is>
      </c>
      <c r="C369" s="156" t="inlineStr">
        <is>
          <t>Montana West</t>
        </is>
      </c>
      <c r="D369" s="156" t="inlineStr">
        <is>
          <t>TR190-1821BR</t>
        </is>
      </c>
      <c r="E369" s="156" t="inlineStr">
        <is>
          <t>TR190-1821BR</t>
        </is>
      </c>
      <c r="F369" s="156" t="inlineStr">
        <is>
          <t>Talla única</t>
        </is>
      </c>
      <c r="G369" s="156" t="inlineStr">
        <is>
          <t>One Size</t>
        </is>
      </c>
      <c r="H369" s="156" t="inlineStr">
        <is>
          <t>Montana West</t>
        </is>
      </c>
      <c r="I369" s="156" t="inlineStr">
        <is>
          <t>Bolsa Trinity Ranch Café</t>
        </is>
      </c>
      <c r="J369" s="156" t="inlineStr">
        <is>
          <t>Accesorios</t>
        </is>
      </c>
      <c r="K369" s="156" t="inlineStr">
        <is>
          <t>Bolsos</t>
        </is>
      </c>
      <c r="L369" s="156" t="inlineStr">
        <is>
          <t>Mujer</t>
        </is>
      </c>
      <c r="M369" s="156" t="inlineStr">
        <is>
          <t>Trinity Ranch</t>
        </is>
      </c>
      <c r="N369" s="156" t="n"/>
      <c r="O369" s="156" t="inlineStr">
        <is>
          <t>Core</t>
        </is>
      </c>
      <c r="P369" s="156" t="inlineStr">
        <is>
          <t>Cafe</t>
        </is>
      </c>
      <c r="Q369" s="156" t="n"/>
      <c r="R369" s="156" t="n"/>
      <c r="S369" s="156" t="n"/>
      <c r="T369" s="156" t="inlineStr">
        <is>
          <t>Bolsa Trinity Ranch. Color: Café. Talla única. Mujer. Referencia: TR190-1821BR.</t>
        </is>
      </c>
      <c r="U369" s="156" t="n"/>
      <c r="V369" s="156" t="inlineStr">
        <is>
          <t>PZS</t>
        </is>
      </c>
      <c r="W369" s="51" t="inlineStr">
        <is>
          <t>53121601</t>
        </is>
      </c>
      <c r="X369" s="156" t="n"/>
      <c r="Y369" s="54" t="n">
        <v>322</v>
      </c>
      <c r="Z369" s="54" t="n">
        <v>549</v>
      </c>
      <c r="AA369" s="55">
        <f>IF(AND(A369="", B369="", E369=""), "", IF(AB369="", "Válido", IF((LEN(AB369)-LEN(SUBSTITUTE(AB369,"; ","")))/2+1&gt;(LEN(AB369)-LEN(SUBSTITUTE(AB369,"[Aviso]","")))/7, "Con Incidencias", "Válido")))</f>
        <v/>
      </c>
      <c r="AB369" s="56">
        <f>IF(AND(A369="", B369="", E369=""), "", TEXTJOIN("; ", TRUE, IF(OR(TRIM(A369&amp;"")="", ISNUMBER(SEARCH("FALTA", A369))), "UPC faltante/inválido", ""), IF(AND(A369&lt;&gt;"", IFERROR(_xlfn.XMATCH(A369,$A$2:$A$1063,0,1)&lt;&gt;_xlfn.XMATCH(A369,$A$2:$A$1063,0,-1),FALSE)), "Código de barras duplicado", ""), IF(AND(E369&lt;&gt;"", COUNTIF($E$2:$E$1063, E369)&gt;1), "SKU duplicado", ""), IF(OR(J369="", J369=""), "[Aviso] División no capturada ()", IF(ISNA(MATCH(J369, Criterios!$A$123:$A$126, 0)), "División no válida", "")), IF(OR(K369="", K369=""), "[Aviso] Categoría no capturada ()", IF(ISNA(MATCH(K369, Criterios!$A$81:$A$120, 0)), "Categoría no válida", IF(AND(J369&lt;&gt;"", J369&lt;&gt;"", J369&lt;&gt;VLOOKUP(K369, Criterios!$A$81:$B$120, 2, FALSE)), "División no coincide con Categoría", ""))), IF(OR(L369="", L369=""), "[Aviso] Género no capturado ()", IF(ISNA(MATCH(L369, Criterios!$B$123:$B$127, 0)), "Género no válido", "")), IF(OR(N369="", N369=""), "[Aviso] Temporada no capturada ()", IF(ISNA(MATCH(N369, Criterios!$C$123:$C$128, 0)), "Temporada no válida", "")), IF(OR(O369="", O369=""), "[Aviso] Ciclo de vida no capturado ()", IF(ISNA(MATCH(O369, Criterios!$D$123:$D$124, 0)), "Ciclo de vida no válido", ""))))</f>
        <v/>
      </c>
      <c r="AC369" s="56" t="n"/>
      <c r="AD369" s="51" t="n"/>
      <c r="AE369" s="156" t="n"/>
      <c r="AF369" s="51" t="n"/>
      <c r="AG369" s="156" t="inlineStr">
        <is>
          <t>Nuevo – Carga Hoja2 01/10/2026</t>
        </is>
      </c>
      <c r="AH369" s="156" t="inlineStr">
        <is>
          <t>Alta 01/10/2026 desde Hoja2 (fila 167);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69" s="156" t="n"/>
      <c r="AJ369" s="156" t="n"/>
      <c r="AK369" s="155" t="inlineStr">
        <is>
          <t>Hoja2: fila 167 | Odoo: producto 27191 / plantilla 33891</t>
        </is>
      </c>
      <c r="AL369" s="58" t="n"/>
      <c r="AM369" s="58" t="n"/>
      <c r="AN369" s="155" t="inlineStr">
        <is>
          <t>Odoo Universal Unique Brands</t>
        </is>
      </c>
      <c r="AO369" s="59" t="n"/>
      <c r="AP369" s="59" t="n"/>
      <c r="AQ369" s="59" t="n">
        <v>5</v>
      </c>
      <c r="AR369" s="155" t="inlineStr">
        <is>
          <t>Odoo Universal Unique Brands › Bodega 25 › Bodega 25/General: 5</t>
        </is>
      </c>
    </row>
    <row r="370">
      <c r="A370" s="50" t="inlineStr">
        <is>
          <t>717325205941</t>
        </is>
      </c>
      <c r="B370" s="51" t="inlineStr">
        <is>
          <t>27194</t>
        </is>
      </c>
      <c r="C370" s="156" t="inlineStr">
        <is>
          <t>Montana West</t>
        </is>
      </c>
      <c r="D370" s="156" t="inlineStr">
        <is>
          <t>TR190-8367CF</t>
        </is>
      </c>
      <c r="E370" s="156" t="inlineStr">
        <is>
          <t>TR190-8367CF</t>
        </is>
      </c>
      <c r="F370" s="156" t="inlineStr">
        <is>
          <t>Talla única</t>
        </is>
      </c>
      <c r="G370" s="156" t="inlineStr">
        <is>
          <t>One Size</t>
        </is>
      </c>
      <c r="H370" s="156" t="inlineStr">
        <is>
          <t>Montana West</t>
        </is>
      </c>
      <c r="I370" s="156" t="inlineStr">
        <is>
          <t>Bolsa Trinity Ranch Café Oscuro</t>
        </is>
      </c>
      <c r="J370" s="156" t="inlineStr">
        <is>
          <t>Accesorios</t>
        </is>
      </c>
      <c r="K370" s="156" t="inlineStr">
        <is>
          <t>Bolsos</t>
        </is>
      </c>
      <c r="L370" s="156" t="inlineStr">
        <is>
          <t>Mujer</t>
        </is>
      </c>
      <c r="M370" s="156" t="inlineStr">
        <is>
          <t>Trinity Ranch</t>
        </is>
      </c>
      <c r="N370" s="156" t="n"/>
      <c r="O370" s="156" t="inlineStr">
        <is>
          <t>Core</t>
        </is>
      </c>
      <c r="P370" s="156" t="inlineStr">
        <is>
          <t>Cafe</t>
        </is>
      </c>
      <c r="Q370" s="156" t="n"/>
      <c r="R370" s="156" t="n"/>
      <c r="S370" s="156" t="n"/>
      <c r="T370" s="156" t="inlineStr">
        <is>
          <t>Bolsa Trinity Ranch. Color: Café Oscuro. Talla única. Mujer. Referencia: TR190-8367CF.</t>
        </is>
      </c>
      <c r="U370" s="156" t="n"/>
      <c r="V370" s="156" t="inlineStr">
        <is>
          <t>PZS</t>
        </is>
      </c>
      <c r="W370" s="51" t="inlineStr">
        <is>
          <t>53121601</t>
        </is>
      </c>
      <c r="X370" s="156" t="n"/>
      <c r="Y370" s="54" t="n">
        <v>386.4</v>
      </c>
      <c r="Z370" s="54" t="n">
        <v>649</v>
      </c>
      <c r="AA370" s="55">
        <f>IF(AND(A370="", B370="", E370=""), "", IF(AB370="", "Válido", IF((LEN(AB370)-LEN(SUBSTITUTE(AB370,"; ","")))/2+1&gt;(LEN(AB370)-LEN(SUBSTITUTE(AB370,"[Aviso]","")))/7, "Con Incidencias", "Válido")))</f>
        <v/>
      </c>
      <c r="AB370" s="56">
        <f>IF(AND(A370="", B370="", E370=""), "", TEXTJOIN("; ", TRUE, IF(OR(TRIM(A370&amp;"")="", ISNUMBER(SEARCH("FALTA", A370))), "UPC faltante/inválido", ""), IF(AND(A370&lt;&gt;"", IFERROR(_xlfn.XMATCH(A370,$A$2:$A$1063,0,1)&lt;&gt;_xlfn.XMATCH(A370,$A$2:$A$1063,0,-1),FALSE)), "Código de barras duplicado", ""), IF(AND(E370&lt;&gt;"", COUNTIF($E$2:$E$1063, E370)&gt;1), "SKU duplicado", ""), IF(OR(J370="", J370=""), "[Aviso] División no capturada ()", IF(ISNA(MATCH(J370, Criterios!$A$123:$A$126, 0)), "División no válida", "")), IF(OR(K370="", K370=""), "[Aviso] Categoría no capturada ()", IF(ISNA(MATCH(K370, Criterios!$A$81:$A$120, 0)), "Categoría no válida", IF(AND(J370&lt;&gt;"", J370&lt;&gt;"", J370&lt;&gt;VLOOKUP(K370, Criterios!$A$81:$B$120, 2, FALSE)), "División no coincide con Categoría", ""))), IF(OR(L370="", L370=""), "[Aviso] Género no capturado ()", IF(ISNA(MATCH(L370, Criterios!$B$123:$B$127, 0)), "Género no válido", "")), IF(OR(N370="", N370=""), "[Aviso] Temporada no capturada ()", IF(ISNA(MATCH(N370, Criterios!$C$123:$C$128, 0)), "Temporada no válida", "")), IF(OR(O370="", O370=""), "[Aviso] Ciclo de vida no capturado ()", IF(ISNA(MATCH(O370, Criterios!$D$123:$D$124, 0)), "Ciclo de vida no válido", ""))))</f>
        <v/>
      </c>
      <c r="AC370" s="56" t="n"/>
      <c r="AD370" s="51" t="n"/>
      <c r="AE370" s="156" t="n"/>
      <c r="AF370" s="51" t="n"/>
      <c r="AG370" s="156" t="inlineStr">
        <is>
          <t>Nuevo – Carga Hoja2 01/10/2026</t>
        </is>
      </c>
      <c r="AH370" s="156" t="inlineStr">
        <is>
          <t>Alta 01/10/2026 desde Hoja2 (fila 168);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70" s="156" t="n"/>
      <c r="AJ370" s="156" t="n"/>
      <c r="AK370" s="155" t="inlineStr">
        <is>
          <t>Hoja2: fila 168 | Odoo: producto 27194 / plantilla 33894</t>
        </is>
      </c>
      <c r="AL370" s="58" t="n"/>
      <c r="AM370" s="58" t="n"/>
      <c r="AN370" s="155" t="inlineStr">
        <is>
          <t>Odoo Universal Unique Brands</t>
        </is>
      </c>
      <c r="AO370" s="59" t="n"/>
      <c r="AP370" s="59" t="n"/>
      <c r="AQ370" s="59" t="n">
        <v>3</v>
      </c>
      <c r="AR370" s="155" t="inlineStr">
        <is>
          <t>Odoo Universal Unique Brands › Bodega 25 › Bodega 25/General: 3</t>
        </is>
      </c>
    </row>
    <row r="371">
      <c r="A371" s="50" t="inlineStr">
        <is>
          <t>717325205965</t>
        </is>
      </c>
      <c r="B371" s="51" t="inlineStr">
        <is>
          <t>27195</t>
        </is>
      </c>
      <c r="C371" s="156" t="inlineStr">
        <is>
          <t>Montana West</t>
        </is>
      </c>
      <c r="D371" s="156" t="inlineStr">
        <is>
          <t>TR190-8367TN</t>
        </is>
      </c>
      <c r="E371" s="156" t="inlineStr">
        <is>
          <t>TR190-8367TN</t>
        </is>
      </c>
      <c r="F371" s="156" t="inlineStr">
        <is>
          <t>Talla única</t>
        </is>
      </c>
      <c r="G371" s="156" t="inlineStr">
        <is>
          <t>One Size</t>
        </is>
      </c>
      <c r="H371" s="156" t="inlineStr">
        <is>
          <t>Montana West</t>
        </is>
      </c>
      <c r="I371" s="156" t="inlineStr">
        <is>
          <t>Bolsa Trinity Ranch Camel</t>
        </is>
      </c>
      <c r="J371" s="156" t="inlineStr">
        <is>
          <t>Accesorios</t>
        </is>
      </c>
      <c r="K371" s="156" t="inlineStr">
        <is>
          <t>Bolsos</t>
        </is>
      </c>
      <c r="L371" s="156" t="inlineStr">
        <is>
          <t>Mujer</t>
        </is>
      </c>
      <c r="M371" s="156" t="inlineStr">
        <is>
          <t>Trinity Ranch</t>
        </is>
      </c>
      <c r="N371" s="156" t="n"/>
      <c r="O371" s="156" t="inlineStr">
        <is>
          <t>Core</t>
        </is>
      </c>
      <c r="P371" s="156" t="inlineStr">
        <is>
          <t>Beige</t>
        </is>
      </c>
      <c r="Q371" s="156" t="n"/>
      <c r="R371" s="156" t="n"/>
      <c r="S371" s="156" t="n"/>
      <c r="T371" s="156" t="inlineStr">
        <is>
          <t>Bolsa Trinity Ranch. Color: Camel. Talla única. Mujer. Referencia: TR190-8367TN.</t>
        </is>
      </c>
      <c r="U371" s="156" t="n"/>
      <c r="V371" s="156" t="inlineStr">
        <is>
          <t>PZS</t>
        </is>
      </c>
      <c r="W371" s="51" t="inlineStr">
        <is>
          <t>53121601</t>
        </is>
      </c>
      <c r="X371" s="156" t="n"/>
      <c r="Y371" s="54" t="n">
        <v>386.4</v>
      </c>
      <c r="Z371" s="54" t="n">
        <v>649</v>
      </c>
      <c r="AA371" s="55">
        <f>IF(AND(A371="", B371="", E371=""), "", IF(AB371="", "Válido", IF((LEN(AB371)-LEN(SUBSTITUTE(AB371,"; ","")))/2+1&gt;(LEN(AB371)-LEN(SUBSTITUTE(AB371,"[Aviso]","")))/7, "Con Incidencias", "Válido")))</f>
        <v/>
      </c>
      <c r="AB371" s="56">
        <f>IF(AND(A371="", B371="", E371=""), "", TEXTJOIN("; ", TRUE, IF(OR(TRIM(A371&amp;"")="", ISNUMBER(SEARCH("FALTA", A371))), "UPC faltante/inválido", ""), IF(AND(A371&lt;&gt;"", IFERROR(_xlfn.XMATCH(A371,$A$2:$A$1063,0,1)&lt;&gt;_xlfn.XMATCH(A371,$A$2:$A$1063,0,-1),FALSE)), "Código de barras duplicado", ""), IF(AND(E371&lt;&gt;"", COUNTIF($E$2:$E$1063, E371)&gt;1), "SKU duplicado", ""), IF(OR(J371="", J371=""), "[Aviso] División no capturada ()", IF(ISNA(MATCH(J371, Criterios!$A$123:$A$126, 0)), "División no válida", "")), IF(OR(K371="", K371=""), "[Aviso] Categoría no capturada ()", IF(ISNA(MATCH(K371, Criterios!$A$81:$A$120, 0)), "Categoría no válida", IF(AND(J371&lt;&gt;"", J371&lt;&gt;"", J371&lt;&gt;VLOOKUP(K371, Criterios!$A$81:$B$120, 2, FALSE)), "División no coincide con Categoría", ""))), IF(OR(L371="", L371=""), "[Aviso] Género no capturado ()", IF(ISNA(MATCH(L371, Criterios!$B$123:$B$127, 0)), "Género no válido", "")), IF(OR(N371="", N371=""), "[Aviso] Temporada no capturada ()", IF(ISNA(MATCH(N371, Criterios!$C$123:$C$128, 0)), "Temporada no válida", "")), IF(OR(O371="", O371=""), "[Aviso] Ciclo de vida no capturado ()", IF(ISNA(MATCH(O371, Criterios!$D$123:$D$124, 0)), "Ciclo de vida no válido", ""))))</f>
        <v/>
      </c>
      <c r="AC371" s="56" t="n"/>
      <c r="AD371" s="51" t="n"/>
      <c r="AE371" s="156" t="n"/>
      <c r="AF371" s="51" t="n"/>
      <c r="AG371" s="156" t="inlineStr">
        <is>
          <t>Nuevo – Carga Hoja2 01/10/2026</t>
        </is>
      </c>
      <c r="AH371" s="156" t="inlineStr">
        <is>
          <t>Alta 01/10/2026 desde Hoja2 (fila 169);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71" s="156" t="n"/>
      <c r="AJ371" s="156" t="n"/>
      <c r="AK371" s="155" t="inlineStr">
        <is>
          <t>Hoja2: fila 169 | Odoo: producto 27195 / plantilla 33895</t>
        </is>
      </c>
      <c r="AL371" s="58" t="n"/>
      <c r="AM371" s="58" t="n"/>
      <c r="AN371" s="155" t="inlineStr">
        <is>
          <t>Odoo Universal Unique Brands</t>
        </is>
      </c>
      <c r="AO371" s="59" t="n"/>
      <c r="AP371" s="59" t="n"/>
      <c r="AQ371" s="59" t="n">
        <v>2</v>
      </c>
      <c r="AR371" s="155" t="inlineStr">
        <is>
          <t>Odoo Universal Unique Brands › Bodega 25 › Bodega 25/General: 2</t>
        </is>
      </c>
    </row>
    <row r="372">
      <c r="A372" s="50" t="inlineStr">
        <is>
          <t>717325206085</t>
        </is>
      </c>
      <c r="B372" s="51" t="inlineStr">
        <is>
          <t>27197</t>
        </is>
      </c>
      <c r="C372" s="156" t="inlineStr">
        <is>
          <t>Montana West</t>
        </is>
      </c>
      <c r="D372" s="156" t="inlineStr">
        <is>
          <t>TR190-W010CF</t>
        </is>
      </c>
      <c r="E372" s="156" t="inlineStr">
        <is>
          <t>TR190-W010CF</t>
        </is>
      </c>
      <c r="F372" s="156" t="inlineStr">
        <is>
          <t>Talla única</t>
        </is>
      </c>
      <c r="G372" s="156" t="inlineStr">
        <is>
          <t>One Size</t>
        </is>
      </c>
      <c r="H372" s="156" t="inlineStr">
        <is>
          <t>Montana West</t>
        </is>
      </c>
      <c r="I372" s="156" t="inlineStr">
        <is>
          <t>Cartera Trinity Ranch Café Oscuro</t>
        </is>
      </c>
      <c r="J372" s="156" t="inlineStr">
        <is>
          <t>Accesorios</t>
        </is>
      </c>
      <c r="K372" s="156" t="inlineStr">
        <is>
          <t>Carteras</t>
        </is>
      </c>
      <c r="L372" s="156" t="inlineStr">
        <is>
          <t>Mujer</t>
        </is>
      </c>
      <c r="M372" s="156" t="inlineStr">
        <is>
          <t>Trinity Ranch</t>
        </is>
      </c>
      <c r="N372" s="156" t="n"/>
      <c r="O372" s="156" t="inlineStr">
        <is>
          <t>Core</t>
        </is>
      </c>
      <c r="P372" s="156" t="inlineStr">
        <is>
          <t>Cafe</t>
        </is>
      </c>
      <c r="Q372" s="156" t="n"/>
      <c r="R372" s="156" t="n"/>
      <c r="S372" s="156" t="n"/>
      <c r="T372" s="156" t="inlineStr">
        <is>
          <t>Cartera Trinity Ranch. Color: Café Oscuro. Talla única. Mujer. Referencia: TR190-W010CF.</t>
        </is>
      </c>
      <c r="U372" s="156" t="n"/>
      <c r="V372" s="156" t="inlineStr">
        <is>
          <t>PZS</t>
        </is>
      </c>
      <c r="W372" s="51" t="inlineStr">
        <is>
          <t>53121700</t>
        </is>
      </c>
      <c r="X372" s="156" t="n"/>
      <c r="Y372" s="54" t="n">
        <v>273.7</v>
      </c>
      <c r="Z372" s="54" t="n">
        <v>449</v>
      </c>
      <c r="AA372" s="55">
        <f>IF(AND(A372="", B372="", E372=""), "", IF(AB372="", "Válido", IF((LEN(AB372)-LEN(SUBSTITUTE(AB372,"; ","")))/2+1&gt;(LEN(AB372)-LEN(SUBSTITUTE(AB372,"[Aviso]","")))/7, "Con Incidencias", "Válido")))</f>
        <v/>
      </c>
      <c r="AB372" s="56">
        <f>IF(AND(A372="", B372="", E372=""), "", TEXTJOIN("; ", TRUE, IF(OR(TRIM(A372&amp;"")="", ISNUMBER(SEARCH("FALTA", A372))), "UPC faltante/inválido", ""), IF(AND(A372&lt;&gt;"", IFERROR(_xlfn.XMATCH(A372,$A$2:$A$1063,0,1)&lt;&gt;_xlfn.XMATCH(A372,$A$2:$A$1063,0,-1),FALSE)), "Código de barras duplicado", ""), IF(AND(E372&lt;&gt;"", COUNTIF($E$2:$E$1063, E372)&gt;1), "SKU duplicado", ""), IF(OR(J372="", J372=""), "[Aviso] División no capturada ()", IF(ISNA(MATCH(J372, Criterios!$A$123:$A$126, 0)), "División no válida", "")), IF(OR(K372="", K372=""), "[Aviso] Categoría no capturada ()", IF(ISNA(MATCH(K372, Criterios!$A$81:$A$120, 0)), "Categoría no válida", IF(AND(J372&lt;&gt;"", J372&lt;&gt;"", J372&lt;&gt;VLOOKUP(K372, Criterios!$A$81:$B$120, 2, FALSE)), "División no coincide con Categoría", ""))), IF(OR(L372="", L372=""), "[Aviso] Género no capturado ()", IF(ISNA(MATCH(L372, Criterios!$B$123:$B$127, 0)), "Género no válido", "")), IF(OR(N372="", N372=""), "[Aviso] Temporada no capturada ()", IF(ISNA(MATCH(N372, Criterios!$C$123:$C$128, 0)), "Temporada no válida", "")), IF(OR(O372="", O372=""), "[Aviso] Ciclo de vida no capturado ()", IF(ISNA(MATCH(O372, Criterios!$D$123:$D$124, 0)), "Ciclo de vida no válido", ""))))</f>
        <v/>
      </c>
      <c r="AC372" s="56" t="n"/>
      <c r="AD372" s="51" t="n"/>
      <c r="AE372" s="156" t="n"/>
      <c r="AF372" s="51" t="n"/>
      <c r="AG372" s="156" t="inlineStr">
        <is>
          <t>Nuevo – Carga Hoja2 01/10/2026</t>
        </is>
      </c>
      <c r="AH372" s="156" t="inlineStr">
        <is>
          <t>Alta 01/10/2026 desde Hoja2 (fila 170);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72" s="156" t="n"/>
      <c r="AJ372" s="156" t="n"/>
      <c r="AK372" s="155" t="inlineStr">
        <is>
          <t>Hoja2: fila 170 | Odoo: producto 27197 / plantilla 33897</t>
        </is>
      </c>
      <c r="AL372" s="58" t="n"/>
      <c r="AM372" s="58" t="n"/>
      <c r="AN372" s="155" t="inlineStr">
        <is>
          <t>Odoo Universal Unique Brands</t>
        </is>
      </c>
      <c r="AO372" s="59" t="n"/>
      <c r="AP372" s="59" t="n"/>
      <c r="AQ372" s="59" t="n">
        <v>3</v>
      </c>
      <c r="AR372" s="155" t="inlineStr">
        <is>
          <t>Odoo Universal Unique Brands › Bodega 25 › Bodega 25/General: 3</t>
        </is>
      </c>
    </row>
    <row r="373">
      <c r="A373" s="50" t="inlineStr">
        <is>
          <t>717325205781</t>
        </is>
      </c>
      <c r="B373" s="51" t="inlineStr">
        <is>
          <t>27196</t>
        </is>
      </c>
      <c r="C373" s="156" t="inlineStr">
        <is>
          <t>Montana West</t>
        </is>
      </c>
      <c r="D373" s="156" t="inlineStr">
        <is>
          <t>TR190G-8250TN</t>
        </is>
      </c>
      <c r="E373" s="156" t="inlineStr">
        <is>
          <t>TR190G-8250TN</t>
        </is>
      </c>
      <c r="F373" s="156" t="inlineStr">
        <is>
          <t>Talla única</t>
        </is>
      </c>
      <c r="G373" s="156" t="inlineStr">
        <is>
          <t>One Size</t>
        </is>
      </c>
      <c r="H373" s="156" t="inlineStr">
        <is>
          <t>Montana West</t>
        </is>
      </c>
      <c r="I373" s="156" t="inlineStr">
        <is>
          <t>Bolsa Trinity Ranch Camel</t>
        </is>
      </c>
      <c r="J373" s="156" t="inlineStr">
        <is>
          <t>Accesorios</t>
        </is>
      </c>
      <c r="K373" s="156" t="inlineStr">
        <is>
          <t>Bolsos</t>
        </is>
      </c>
      <c r="L373" s="156" t="inlineStr">
        <is>
          <t>Mujer</t>
        </is>
      </c>
      <c r="M373" s="156" t="inlineStr">
        <is>
          <t>Trinity Ranch</t>
        </is>
      </c>
      <c r="N373" s="156" t="n"/>
      <c r="O373" s="156" t="inlineStr">
        <is>
          <t>Core</t>
        </is>
      </c>
      <c r="P373" s="156" t="inlineStr">
        <is>
          <t>Beige</t>
        </is>
      </c>
      <c r="Q373" s="156" t="n"/>
      <c r="R373" s="156" t="n"/>
      <c r="S373" s="156" t="n"/>
      <c r="T373" s="156" t="inlineStr">
        <is>
          <t>Bolsa Trinity Ranch. Color: Camel. Talla única. Mujer. Referencia: TR190G-8250TN.</t>
        </is>
      </c>
      <c r="U373" s="156" t="n"/>
      <c r="V373" s="156" t="inlineStr">
        <is>
          <t>PZS</t>
        </is>
      </c>
      <c r="W373" s="51" t="inlineStr">
        <is>
          <t>53121601</t>
        </is>
      </c>
      <c r="X373" s="156" t="n"/>
      <c r="Y373" s="54" t="n">
        <v>515.2</v>
      </c>
      <c r="Z373" s="54" t="n">
        <v>849</v>
      </c>
      <c r="AA373" s="55">
        <f>IF(AND(A373="", B373="", E373=""), "", IF(AB373="", "Válido", IF((LEN(AB373)-LEN(SUBSTITUTE(AB373,"; ","")))/2+1&gt;(LEN(AB373)-LEN(SUBSTITUTE(AB373,"[Aviso]","")))/7, "Con Incidencias", "Válido")))</f>
        <v/>
      </c>
      <c r="AB373" s="56">
        <f>IF(AND(A373="", B373="", E373=""), "", TEXTJOIN("; ", TRUE, IF(OR(TRIM(A373&amp;"")="", ISNUMBER(SEARCH("FALTA", A373))), "UPC faltante/inválido", ""), IF(AND(A373&lt;&gt;"", IFERROR(_xlfn.XMATCH(A373,$A$2:$A$1063,0,1)&lt;&gt;_xlfn.XMATCH(A373,$A$2:$A$1063,0,-1),FALSE)), "Código de barras duplicado", ""), IF(AND(E373&lt;&gt;"", COUNTIF($E$2:$E$1063, E373)&gt;1), "SKU duplicado", ""), IF(OR(J373="", J373=""), "[Aviso] División no capturada ()", IF(ISNA(MATCH(J373, Criterios!$A$123:$A$126, 0)), "División no válida", "")), IF(OR(K373="", K373=""), "[Aviso] Categoría no capturada ()", IF(ISNA(MATCH(K373, Criterios!$A$81:$A$120, 0)), "Categoría no válida", IF(AND(J373&lt;&gt;"", J373&lt;&gt;"", J373&lt;&gt;VLOOKUP(K373, Criterios!$A$81:$B$120, 2, FALSE)), "División no coincide con Categoría", ""))), IF(OR(L373="", L373=""), "[Aviso] Género no capturado ()", IF(ISNA(MATCH(L373, Criterios!$B$123:$B$127, 0)), "Género no válido", "")), IF(OR(N373="", N373=""), "[Aviso] Temporada no capturada ()", IF(ISNA(MATCH(N373, Criterios!$C$123:$C$128, 0)), "Temporada no válida", "")), IF(OR(O373="", O373=""), "[Aviso] Ciclo de vida no capturado ()", IF(ISNA(MATCH(O373, Criterios!$D$123:$D$124, 0)), "Ciclo de vida no válido", ""))))</f>
        <v/>
      </c>
      <c r="AC373" s="56" t="n"/>
      <c r="AD373" s="51" t="n"/>
      <c r="AE373" s="156" t="n"/>
      <c r="AF373" s="51" t="n"/>
      <c r="AG373" s="156" t="inlineStr">
        <is>
          <t>Nuevo – Carga Hoja2 01/10/2026</t>
        </is>
      </c>
      <c r="AH373" s="156" t="inlineStr">
        <is>
          <t>Alta 01/10/2026 desde Hoja2 (fila 171);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373" s="156" t="n"/>
      <c r="AJ373" s="156" t="n"/>
      <c r="AK373" s="155" t="inlineStr">
        <is>
          <t>Hoja2: fila 171 | Odoo: producto 27196 / plantilla 33896</t>
        </is>
      </c>
      <c r="AL373" s="58" t="n"/>
      <c r="AM373" s="58" t="n"/>
      <c r="AN373" s="155" t="inlineStr">
        <is>
          <t>Odoo Universal Unique Brands</t>
        </is>
      </c>
      <c r="AO373" s="59" t="n"/>
      <c r="AP373" s="59" t="n"/>
      <c r="AQ373" s="59" t="n">
        <v>3</v>
      </c>
      <c r="AR373" s="155" t="inlineStr">
        <is>
          <t>Odoo Universal Unique Brands › Bodega 25 › Bodega 25/General: 3</t>
        </is>
      </c>
    </row>
    <row r="374">
      <c r="A374" s="50" t="inlineStr">
        <is>
          <t>717325224607</t>
        </is>
      </c>
      <c r="B374" s="51" t="inlineStr">
        <is>
          <t>27202</t>
        </is>
      </c>
      <c r="C374" s="156" t="inlineStr">
        <is>
          <t>Montana West</t>
        </is>
      </c>
      <c r="D374" s="156" t="inlineStr">
        <is>
          <t>TR192G-8317BK</t>
        </is>
      </c>
      <c r="E374" s="156" t="inlineStr">
        <is>
          <t>TR192G-8317BK</t>
        </is>
      </c>
      <c r="F374" s="156" t="inlineStr">
        <is>
          <t>Talla única</t>
        </is>
      </c>
      <c r="G374" s="156" t="inlineStr">
        <is>
          <t>One Size</t>
        </is>
      </c>
      <c r="H374" s="156" t="inlineStr">
        <is>
          <t>Montana West</t>
        </is>
      </c>
      <c r="I374" s="156" t="inlineStr">
        <is>
          <t>Bolsa Trinity Ranch Negro</t>
        </is>
      </c>
      <c r="J374" s="156" t="inlineStr">
        <is>
          <t>Accesorios</t>
        </is>
      </c>
      <c r="K374" s="156" t="inlineStr">
        <is>
          <t>Bolsos</t>
        </is>
      </c>
      <c r="L374" s="156" t="inlineStr">
        <is>
          <t>Mujer</t>
        </is>
      </c>
      <c r="M374" s="156" t="inlineStr">
        <is>
          <t>Trinity Ranch</t>
        </is>
      </c>
      <c r="N374" s="156" t="n"/>
      <c r="O374" s="156" t="inlineStr">
        <is>
          <t>Core</t>
        </is>
      </c>
      <c r="P374" s="156" t="inlineStr">
        <is>
          <t>Negro</t>
        </is>
      </c>
      <c r="Q374" s="156" t="n"/>
      <c r="R374" s="156" t="n"/>
      <c r="S374" s="156" t="n"/>
      <c r="T374" s="156" t="inlineStr">
        <is>
          <t>Bolsa Trinity Ranch. Color: Negro. Talla única. Mujer. Referencia: TR192G-8317BK.</t>
        </is>
      </c>
      <c r="U374" s="156" t="n"/>
      <c r="V374" s="156" t="inlineStr">
        <is>
          <t>PZS</t>
        </is>
      </c>
      <c r="W374" s="51" t="inlineStr">
        <is>
          <t>53121601</t>
        </is>
      </c>
      <c r="X374" s="156" t="inlineStr">
        <is>
          <t>https://cdn.shopify.com/s/files/1/0005/9015/1741/files/TR192G-8317BK.webp?v=1787763510</t>
        </is>
      </c>
      <c r="Y374" s="54" t="n">
        <v>547.4</v>
      </c>
      <c r="Z374" s="54" t="n">
        <v>899</v>
      </c>
      <c r="AA374" s="55">
        <f>IF(AND(A374="", B374="", E374=""), "", IF(AB374="", "Válido", IF((LEN(AB374)-LEN(SUBSTITUTE(AB374,"; ","")))/2+1&gt;(LEN(AB374)-LEN(SUBSTITUTE(AB374,"[Aviso]","")))/7, "Con Incidencias", "Válido")))</f>
        <v/>
      </c>
      <c r="AB374" s="56">
        <f>IF(AND(A374="", B374="", E374=""), "", TEXTJOIN("; ", TRUE, IF(OR(TRIM(A374&amp;"")="", ISNUMBER(SEARCH("FALTA", A374))), "UPC faltante/inválido", ""), IF(AND(A374&lt;&gt;"", IFERROR(_xlfn.XMATCH(A374,$A$2:$A$1063,0,1)&lt;&gt;_xlfn.XMATCH(A374,$A$2:$A$1063,0,-1),FALSE)), "Código de barras duplicado", ""), IF(AND(E374&lt;&gt;"", COUNTIF($E$2:$E$1063, E374)&gt;1), "SKU duplicado", ""), IF(OR(J374="", J374=""), "[Aviso] División no capturada ()", IF(ISNA(MATCH(J374, Criterios!$A$123:$A$126, 0)), "División no válida", "")), IF(OR(K374="", K374=""), "[Aviso] Categoría no capturada ()", IF(ISNA(MATCH(K374, Criterios!$A$81:$A$120, 0)), "Categoría no válida", IF(AND(J374&lt;&gt;"", J374&lt;&gt;"", J374&lt;&gt;VLOOKUP(K374, Criterios!$A$81:$B$120, 2, FALSE)), "División no coincide con Categoría", ""))), IF(OR(L374="", L374=""), "[Aviso] Género no capturado ()", IF(ISNA(MATCH(L374, Criterios!$B$123:$B$127, 0)), "Género no válido", "")), IF(OR(N374="", N374=""), "[Aviso] Temporada no capturada ()", IF(ISNA(MATCH(N374, Criterios!$C$123:$C$128, 0)), "Temporada no válida", "")), IF(OR(O374="", O374=""), "[Aviso] Ciclo de vida no capturado ()", IF(ISNA(MATCH(O374, Criterios!$D$123:$D$124, 0)), "Ciclo de vida no válido", ""))))</f>
        <v/>
      </c>
      <c r="AC374" s="56" t="n"/>
      <c r="AD374" s="51" t="n"/>
      <c r="AE374" s="156" t="n"/>
      <c r="AF374" s="51" t="n"/>
      <c r="AG374" s="156" t="inlineStr">
        <is>
          <t>Nuevo – Carga Hoja2 01/10/2026</t>
        </is>
      </c>
      <c r="AH374" s="156" t="inlineStr">
        <is>
          <t>Alta 01/10/2026 desde Hoja2 (fila 172); Marca original 'Trinity Ranch' (submarca de Montana West) | 01/10/2026: Odoo Universal Unique Brands trae Género «Unisex» — se conservó el valor de Productos | Homologación G1522 06/10/2026: Enlace de imagen: «» → «https://cdn.shopify.com/s/files/1/0005/9015/1741/files/TR192G-8317BK.webp?v=1787763510» (Completado por investigación en línea) · Validador Shopify: WB: precio con IVA no termina en 9</t>
        </is>
      </c>
      <c r="AI374" s="156" t="n"/>
      <c r="AJ374" s="156" t="n"/>
      <c r="AK374" s="155" t="inlineStr">
        <is>
          <t>Hoja2: fila 172 | Odoo: producto 27202 / plantilla 33902 | Investigación en línea 06/10/2026: https://montanawestworld.com/products/trinity-ranch-floral-tooled-concealed-carry-tote-bag-collection</t>
        </is>
      </c>
      <c r="AL374" s="58" t="n"/>
      <c r="AM374" s="58" t="n"/>
      <c r="AN374" s="155" t="inlineStr">
        <is>
          <t>Odoo Universal Unique Brands</t>
        </is>
      </c>
      <c r="AO374" s="59" t="n"/>
      <c r="AP374" s="59" t="n"/>
      <c r="AQ374" s="59" t="n">
        <v>5</v>
      </c>
      <c r="AR374" s="155" t="inlineStr">
        <is>
          <t>Odoo Universal Unique Brands › Bodega 25 › Bodega 25/General: 5</t>
        </is>
      </c>
    </row>
    <row r="375">
      <c r="A375" s="50" t="inlineStr">
        <is>
          <t>717325224621</t>
        </is>
      </c>
      <c r="B375" s="51" t="inlineStr">
        <is>
          <t>27204</t>
        </is>
      </c>
      <c r="C375" s="156" t="inlineStr">
        <is>
          <t>Montana West</t>
        </is>
      </c>
      <c r="D375" s="156" t="inlineStr">
        <is>
          <t>TR192G-8317JN</t>
        </is>
      </c>
      <c r="E375" s="156" t="inlineStr">
        <is>
          <t>TR192G-8317JN</t>
        </is>
      </c>
      <c r="F375" s="156" t="inlineStr">
        <is>
          <t>Talla única</t>
        </is>
      </c>
      <c r="G375" s="156" t="inlineStr">
        <is>
          <t>One Size</t>
        </is>
      </c>
      <c r="H375" s="156" t="inlineStr">
        <is>
          <t>Montana West</t>
        </is>
      </c>
      <c r="I375" s="156" t="inlineStr">
        <is>
          <t>Bolsa Trinity Ranch Mezclilla</t>
        </is>
      </c>
      <c r="J375" s="156" t="inlineStr">
        <is>
          <t>Accesorios</t>
        </is>
      </c>
      <c r="K375" s="156" t="inlineStr">
        <is>
          <t>Bolsos</t>
        </is>
      </c>
      <c r="L375" s="156" t="inlineStr">
        <is>
          <t>Mujer</t>
        </is>
      </c>
      <c r="M375" s="156" t="inlineStr">
        <is>
          <t>Trinity Ranch</t>
        </is>
      </c>
      <c r="N375" s="156" t="n"/>
      <c r="O375" s="156" t="inlineStr">
        <is>
          <t>Core</t>
        </is>
      </c>
      <c r="P375" s="156" t="inlineStr">
        <is>
          <t>Varios</t>
        </is>
      </c>
      <c r="Q375" s="156" t="n"/>
      <c r="R375" s="156" t="n"/>
      <c r="S375" s="156" t="n"/>
      <c r="T375" s="156" t="inlineStr">
        <is>
          <t>Bolsa Trinity Ranch. Color: Mezclilla. Talla única. Mujer. Referencia: TR192G-8317JN.</t>
        </is>
      </c>
      <c r="U375" s="156" t="n"/>
      <c r="V375" s="156" t="inlineStr">
        <is>
          <t>PZS</t>
        </is>
      </c>
      <c r="W375" s="51" t="inlineStr">
        <is>
          <t>53121601</t>
        </is>
      </c>
      <c r="X375" s="156" t="inlineStr">
        <is>
          <t>https://cdn.shopify.com/s/files/1/0005/9015/1741/files/TR192G-8317JN.webp?v=1787763510</t>
        </is>
      </c>
      <c r="Y375" s="54" t="n">
        <v>547.4</v>
      </c>
      <c r="Z375" s="54" t="n">
        <v>899</v>
      </c>
      <c r="AA375" s="55">
        <f>IF(AND(A375="", B375="", E375=""), "", IF(AB375="", "Válido", IF((LEN(AB375)-LEN(SUBSTITUTE(AB375,"; ","")))/2+1&gt;(LEN(AB375)-LEN(SUBSTITUTE(AB375,"[Aviso]","")))/7, "Con Incidencias", "Válido")))</f>
        <v/>
      </c>
      <c r="AB375" s="56">
        <f>IF(AND(A375="", B375="", E375=""), "", TEXTJOIN("; ", TRUE, IF(OR(TRIM(A375&amp;"")="", ISNUMBER(SEARCH("FALTA", A375))), "UPC faltante/inválido", ""), IF(AND(A375&lt;&gt;"", IFERROR(_xlfn.XMATCH(A375,$A$2:$A$1063,0,1)&lt;&gt;_xlfn.XMATCH(A375,$A$2:$A$1063,0,-1),FALSE)), "Código de barras duplicado", ""), IF(AND(E375&lt;&gt;"", COUNTIF($E$2:$E$1063, E375)&gt;1), "SKU duplicado", ""), IF(OR(J375="", J375=""), "[Aviso] División no capturada ()", IF(ISNA(MATCH(J375, Criterios!$A$123:$A$126, 0)), "División no válida", "")), IF(OR(K375="", K375=""), "[Aviso] Categoría no capturada ()", IF(ISNA(MATCH(K375, Criterios!$A$81:$A$120, 0)), "Categoría no válida", IF(AND(J375&lt;&gt;"", J375&lt;&gt;"", J375&lt;&gt;VLOOKUP(K375, Criterios!$A$81:$B$120, 2, FALSE)), "División no coincide con Categoría", ""))), IF(OR(L375="", L375=""), "[Aviso] Género no capturado ()", IF(ISNA(MATCH(L375, Criterios!$B$123:$B$127, 0)), "Género no válido", "")), IF(OR(N375="", N375=""), "[Aviso] Temporada no capturada ()", IF(ISNA(MATCH(N375, Criterios!$C$123:$C$128, 0)), "Temporada no válida", "")), IF(OR(O375="", O375=""), "[Aviso] Ciclo de vida no capturado ()", IF(ISNA(MATCH(O375, Criterios!$D$123:$D$124, 0)), "Ciclo de vida no válido", ""))))</f>
        <v/>
      </c>
      <c r="AC375" s="56" t="n"/>
      <c r="AD375" s="51" t="n"/>
      <c r="AE375" s="156" t="n"/>
      <c r="AF375" s="51" t="n"/>
      <c r="AG375" s="156" t="inlineStr">
        <is>
          <t>Nuevo – Carga Hoja2 01/10/2026</t>
        </is>
      </c>
      <c r="AH375" s="156" t="inlineStr">
        <is>
          <t>Alta 01/10/2026 desde Hoja2 (fila 173); Marca original 'Trinity Ranch' (submarca de Montana West) | 01/10/2026: Odoo Universal Unique Brands trae Género «Unisex» — se conservó el valor de Productos | Homologación G1522 06/10/2026: Enlace de imagen: «» → «https://cdn.shopify.com/s/files/1/0005/9015/1741/files/TR192G-8317JN.webp?v=1787763510» (Completado por investigación en línea) · Validador Shopify: WB: precio con IVA no termina en 9</t>
        </is>
      </c>
      <c r="AI375" s="156" t="n"/>
      <c r="AJ375" s="156" t="n"/>
      <c r="AK375" s="155" t="inlineStr">
        <is>
          <t>Hoja2: fila 173 | Odoo: producto 27204 / plantilla 33904 | Investigación en línea 06/10/2026: https://montanawestworld.com/products/trinity-ranch-floral-tooled-concealed-carry-tote-bag-collection</t>
        </is>
      </c>
      <c r="AL375" s="58" t="n"/>
      <c r="AM375" s="58" t="n"/>
      <c r="AN375" s="155" t="inlineStr">
        <is>
          <t>Odoo Universal Unique Brands</t>
        </is>
      </c>
      <c r="AO375" s="59" t="n"/>
      <c r="AP375" s="59" t="n"/>
      <c r="AQ375" s="59" t="n">
        <v>2</v>
      </c>
      <c r="AR375" s="155" t="inlineStr">
        <is>
          <t>Odoo Universal Unique Brands › Bodega 25 › Bodega 25/General: 2</t>
        </is>
      </c>
    </row>
    <row r="376">
      <c r="A376" s="50" t="inlineStr">
        <is>
          <t>717325224560</t>
        </is>
      </c>
      <c r="B376" s="51" t="inlineStr">
        <is>
          <t>27205</t>
        </is>
      </c>
      <c r="C376" s="156" t="inlineStr">
        <is>
          <t>Montana West</t>
        </is>
      </c>
      <c r="D376" s="156" t="inlineStr">
        <is>
          <t>TR192G-8317LBR</t>
        </is>
      </c>
      <c r="E376" s="156" t="inlineStr">
        <is>
          <t>TR192G-8317LBR</t>
        </is>
      </c>
      <c r="F376" s="156" t="inlineStr">
        <is>
          <t>Talla única</t>
        </is>
      </c>
      <c r="G376" s="156" t="inlineStr">
        <is>
          <t>One Size</t>
        </is>
      </c>
      <c r="H376" s="156" t="inlineStr">
        <is>
          <t>Montana West</t>
        </is>
      </c>
      <c r="I376" s="156" t="inlineStr">
        <is>
          <t>Bolsa Trinity Ranch Leopardo Café</t>
        </is>
      </c>
      <c r="J376" s="156" t="inlineStr">
        <is>
          <t>Accesorios</t>
        </is>
      </c>
      <c r="K376" s="156" t="inlineStr">
        <is>
          <t>Bolsos</t>
        </is>
      </c>
      <c r="L376" s="156" t="inlineStr">
        <is>
          <t>Mujer</t>
        </is>
      </c>
      <c r="M376" s="156" t="inlineStr">
        <is>
          <t>Trinity Ranch</t>
        </is>
      </c>
      <c r="N376" s="156" t="n"/>
      <c r="O376" s="156" t="inlineStr">
        <is>
          <t>Core</t>
        </is>
      </c>
      <c r="P376" s="156" t="inlineStr">
        <is>
          <t>Cafe</t>
        </is>
      </c>
      <c r="Q376" s="156" t="n"/>
      <c r="R376" s="156" t="n"/>
      <c r="S376" s="156" t="n"/>
      <c r="T376" s="156" t="inlineStr">
        <is>
          <t>Bolsa Trinity Ranch. Color: Leopardo Café. Talla única. Mujer. Referencia: TR192G-8317LBR.</t>
        </is>
      </c>
      <c r="U376" s="156" t="n"/>
      <c r="V376" s="156" t="inlineStr">
        <is>
          <t>PZS</t>
        </is>
      </c>
      <c r="W376" s="51" t="inlineStr">
        <is>
          <t>53121601</t>
        </is>
      </c>
      <c r="X376" s="156" t="inlineStr">
        <is>
          <t>https://cdn.shopify.com/s/files/1/0005/9015/1741/files/TR192G-8317LBR.webp?v=1787763510</t>
        </is>
      </c>
      <c r="Y376" s="54" t="n">
        <v>547.4</v>
      </c>
      <c r="Z376" s="54" t="n">
        <v>899</v>
      </c>
      <c r="AA376" s="55">
        <f>IF(AND(A376="", B376="", E376=""), "", IF(AB376="", "Válido", IF((LEN(AB376)-LEN(SUBSTITUTE(AB376,"; ","")))/2+1&gt;(LEN(AB376)-LEN(SUBSTITUTE(AB376,"[Aviso]","")))/7, "Con Incidencias", "Válido")))</f>
        <v/>
      </c>
      <c r="AB376" s="56">
        <f>IF(AND(A376="", B376="", E376=""), "", TEXTJOIN("; ", TRUE, IF(OR(TRIM(A376&amp;"")="", ISNUMBER(SEARCH("FALTA", A376))), "UPC faltante/inválido", ""), IF(AND(A376&lt;&gt;"", IFERROR(_xlfn.XMATCH(A376,$A$2:$A$1063,0,1)&lt;&gt;_xlfn.XMATCH(A376,$A$2:$A$1063,0,-1),FALSE)), "Código de barras duplicado", ""), IF(AND(E376&lt;&gt;"", COUNTIF($E$2:$E$1063, E376)&gt;1), "SKU duplicado", ""), IF(OR(J376="", J376=""), "[Aviso] División no capturada ()", IF(ISNA(MATCH(J376, Criterios!$A$123:$A$126, 0)), "División no válida", "")), IF(OR(K376="", K376=""), "[Aviso] Categoría no capturada ()", IF(ISNA(MATCH(K376, Criterios!$A$81:$A$120, 0)), "Categoría no válida", IF(AND(J376&lt;&gt;"", J376&lt;&gt;"", J376&lt;&gt;VLOOKUP(K376, Criterios!$A$81:$B$120, 2, FALSE)), "División no coincide con Categoría", ""))), IF(OR(L376="", L376=""), "[Aviso] Género no capturado ()", IF(ISNA(MATCH(L376, Criterios!$B$123:$B$127, 0)), "Género no válido", "")), IF(OR(N376="", N376=""), "[Aviso] Temporada no capturada ()", IF(ISNA(MATCH(N376, Criterios!$C$123:$C$128, 0)), "Temporada no válida", "")), IF(OR(O376="", O376=""), "[Aviso] Ciclo de vida no capturado ()", IF(ISNA(MATCH(O376, Criterios!$D$123:$D$124, 0)), "Ciclo de vida no válido", ""))))</f>
        <v/>
      </c>
      <c r="AC376" s="56" t="n"/>
      <c r="AD376" s="51" t="n"/>
      <c r="AE376" s="156" t="n"/>
      <c r="AF376" s="51" t="n"/>
      <c r="AG376" s="156" t="inlineStr">
        <is>
          <t>Nuevo – Carga Hoja2 01/10/2026</t>
        </is>
      </c>
      <c r="AH376" s="156" t="inlineStr">
        <is>
          <t>Alta 01/10/2026 desde Hoja2 (fila 174); Marca original 'Trinity Ranch' (submarca de Montana West) | 01/10/2026: Odoo Universal Unique Brands trae Género «Unisex» — se conservó el valor de Productos | Homologación G1522 06/10/2026: Enlace de imagen: «» → «https://cdn.shopify.com/s/files/1/0005/9015/1741/files/TR192G-8317LBR.webp?v=1787763510» (Completado por investigación en línea) · Validador Shopify: WB: precio con IVA no termina en 9</t>
        </is>
      </c>
      <c r="AI376" s="156" t="n"/>
      <c r="AJ376" s="156" t="n"/>
      <c r="AK376" s="155" t="inlineStr">
        <is>
          <t>Hoja2: fila 174 | Odoo: producto 27205 / plantilla 33905 | Investigación en línea 06/10/2026: https://montanawestworld.com/products/trinity-ranch-floral-tooled-concealed-carry-tote-bag-collection</t>
        </is>
      </c>
      <c r="AL376" s="58" t="n"/>
      <c r="AM376" s="58" t="n"/>
      <c r="AN376" s="155" t="inlineStr">
        <is>
          <t>Odoo Universal Unique Brands</t>
        </is>
      </c>
      <c r="AO376" s="59" t="n"/>
      <c r="AP376" s="59" t="n"/>
      <c r="AQ376" s="59" t="n">
        <v>5</v>
      </c>
      <c r="AR376" s="155" t="inlineStr">
        <is>
          <t>Odoo Universal Unique Brands › Bodega 25 › Bodega 25/General: 5</t>
        </is>
      </c>
    </row>
    <row r="377">
      <c r="A377" s="50" t="inlineStr">
        <is>
          <t>717325224591</t>
        </is>
      </c>
      <c r="B377" s="51" t="inlineStr">
        <is>
          <t>27206</t>
        </is>
      </c>
      <c r="C377" s="156" t="inlineStr">
        <is>
          <t>Montana West</t>
        </is>
      </c>
      <c r="D377" s="156" t="inlineStr">
        <is>
          <t>TR192G-8317TN</t>
        </is>
      </c>
      <c r="E377" s="156" t="inlineStr">
        <is>
          <t>TR192G-8317TN</t>
        </is>
      </c>
      <c r="F377" s="156" t="inlineStr">
        <is>
          <t>Talla única</t>
        </is>
      </c>
      <c r="G377" s="156" t="inlineStr">
        <is>
          <t>One Size</t>
        </is>
      </c>
      <c r="H377" s="156" t="inlineStr">
        <is>
          <t>Montana West</t>
        </is>
      </c>
      <c r="I377" s="156" t="inlineStr">
        <is>
          <t>Bolsa Trinity Ranch Camel</t>
        </is>
      </c>
      <c r="J377" s="156" t="inlineStr">
        <is>
          <t>Accesorios</t>
        </is>
      </c>
      <c r="K377" s="156" t="inlineStr">
        <is>
          <t>Bolsos</t>
        </is>
      </c>
      <c r="L377" s="156" t="inlineStr">
        <is>
          <t>Mujer</t>
        </is>
      </c>
      <c r="M377" s="156" t="inlineStr">
        <is>
          <t>Trinity Ranch</t>
        </is>
      </c>
      <c r="N377" s="156" t="n"/>
      <c r="O377" s="156" t="inlineStr">
        <is>
          <t>Core</t>
        </is>
      </c>
      <c r="P377" s="156" t="inlineStr">
        <is>
          <t>Beige</t>
        </is>
      </c>
      <c r="Q377" s="156" t="n"/>
      <c r="R377" s="156" t="n"/>
      <c r="S377" s="156" t="n"/>
      <c r="T377" s="156" t="inlineStr">
        <is>
          <t>Bolsa Trinity Ranch. Color: Camel. Talla única. Mujer. Referencia: TR192G-8317TN.</t>
        </is>
      </c>
      <c r="U377" s="156" t="n"/>
      <c r="V377" s="156" t="inlineStr">
        <is>
          <t>PZS</t>
        </is>
      </c>
      <c r="W377" s="51" t="inlineStr">
        <is>
          <t>53121601</t>
        </is>
      </c>
      <c r="X377" s="156" t="inlineStr">
        <is>
          <t>https://cdn.shopify.com/s/files/1/0005/9015/1741/files/TR192G-8317TN.webp?v=1787763509</t>
        </is>
      </c>
      <c r="Y377" s="54" t="n">
        <v>547.4</v>
      </c>
      <c r="Z377" s="54" t="n">
        <v>899</v>
      </c>
      <c r="AA377" s="55">
        <f>IF(AND(A377="", B377="", E377=""), "", IF(AB377="", "Válido", IF((LEN(AB377)-LEN(SUBSTITUTE(AB377,"; ","")))/2+1&gt;(LEN(AB377)-LEN(SUBSTITUTE(AB377,"[Aviso]","")))/7, "Con Incidencias", "Válido")))</f>
        <v/>
      </c>
      <c r="AB377" s="56">
        <f>IF(AND(A377="", B377="", E377=""), "", TEXTJOIN("; ", TRUE, IF(OR(TRIM(A377&amp;"")="", ISNUMBER(SEARCH("FALTA", A377))), "UPC faltante/inválido", ""), IF(AND(A377&lt;&gt;"", IFERROR(_xlfn.XMATCH(A377,$A$2:$A$1063,0,1)&lt;&gt;_xlfn.XMATCH(A377,$A$2:$A$1063,0,-1),FALSE)), "Código de barras duplicado", ""), IF(AND(E377&lt;&gt;"", COUNTIF($E$2:$E$1063, E377)&gt;1), "SKU duplicado", ""), IF(OR(J377="", J377=""), "[Aviso] División no capturada ()", IF(ISNA(MATCH(J377, Criterios!$A$123:$A$126, 0)), "División no válida", "")), IF(OR(K377="", K377=""), "[Aviso] Categoría no capturada ()", IF(ISNA(MATCH(K377, Criterios!$A$81:$A$120, 0)), "Categoría no válida", IF(AND(J377&lt;&gt;"", J377&lt;&gt;"", J377&lt;&gt;VLOOKUP(K377, Criterios!$A$81:$B$120, 2, FALSE)), "División no coincide con Categoría", ""))), IF(OR(L377="", L377=""), "[Aviso] Género no capturado ()", IF(ISNA(MATCH(L377, Criterios!$B$123:$B$127, 0)), "Género no válido", "")), IF(OR(N377="", N377=""), "[Aviso] Temporada no capturada ()", IF(ISNA(MATCH(N377, Criterios!$C$123:$C$128, 0)), "Temporada no válida", "")), IF(OR(O377="", O377=""), "[Aviso] Ciclo de vida no capturado ()", IF(ISNA(MATCH(O377, Criterios!$D$123:$D$124, 0)), "Ciclo de vida no válido", ""))))</f>
        <v/>
      </c>
      <c r="AC377" s="56" t="n"/>
      <c r="AD377" s="51" t="n"/>
      <c r="AE377" s="156" t="n"/>
      <c r="AF377" s="51" t="n"/>
      <c r="AG377" s="156" t="inlineStr">
        <is>
          <t>Nuevo – Carga Hoja2 01/10/2026</t>
        </is>
      </c>
      <c r="AH377" s="156" t="inlineStr">
        <is>
          <t>Alta 01/10/2026 desde Hoja2 (fila 175); Marca original 'Trinity Ranch' (submarca de Montana West) | 01/10/2026: Odoo Universal Unique Brands trae Género «Unisex» — se conservó el valor de Productos | Homologación G1522 06/10/2026: Enlace de imagen: «» → «https://cdn.shopify.com/s/files/1/0005/9015/1741/files/TR192G-8317TN.webp?v=1787763509» (Completado por investigación en línea) · Validador Shopify: WB: precio con IVA no termina en 9</t>
        </is>
      </c>
      <c r="AI377" s="156" t="n"/>
      <c r="AJ377" s="156" t="n"/>
      <c r="AK377" s="155" t="inlineStr">
        <is>
          <t>Hoja2: fila 175 | Odoo: producto 27206 / plantilla 33906 | Investigación en línea 06/10/2026: https://montanawestworld.com/products/trinity-ranch-floral-tooled-concealed-carry-tote-bag-collection</t>
        </is>
      </c>
      <c r="AL377" s="58" t="n"/>
      <c r="AM377" s="58" t="n"/>
      <c r="AN377" s="155" t="inlineStr">
        <is>
          <t>Odoo Universal Unique Brands</t>
        </is>
      </c>
      <c r="AO377" s="59" t="n"/>
      <c r="AP377" s="59" t="n"/>
      <c r="AQ377" s="59" t="n">
        <v>2</v>
      </c>
      <c r="AR377" s="155" t="inlineStr">
        <is>
          <t>Odoo Universal Unique Brands › Bodega 25 › Bodega 25/General: 2</t>
        </is>
      </c>
    </row>
    <row r="378">
      <c r="A378" s="50" t="inlineStr">
        <is>
          <t>717012188519</t>
        </is>
      </c>
      <c r="B378" s="51" t="inlineStr">
        <is>
          <t>27212</t>
        </is>
      </c>
      <c r="C378" s="156" t="inlineStr">
        <is>
          <t>Wrangler</t>
        </is>
      </c>
      <c r="D378" s="156" t="inlineStr">
        <is>
          <t>WG102-8120SBK</t>
        </is>
      </c>
      <c r="E378" s="156" t="inlineStr">
        <is>
          <t>WG102-8120SBK</t>
        </is>
      </c>
      <c r="F378" s="156" t="inlineStr">
        <is>
          <t>Talla única</t>
        </is>
      </c>
      <c r="G378" s="156" t="inlineStr">
        <is>
          <t>One Size</t>
        </is>
      </c>
      <c r="H378" s="156" t="inlineStr">
        <is>
          <t>Wrangler</t>
        </is>
      </c>
      <c r="I378" s="156" t="inlineStr">
        <is>
          <t>Bolsa Tote Cruzada Wrangler Estampado De Leopardo Con Compartimento Oculto Negro</t>
        </is>
      </c>
      <c r="J378" s="156" t="inlineStr">
        <is>
          <t>Accesorios</t>
        </is>
      </c>
      <c r="K378" s="156" t="inlineStr">
        <is>
          <t>Bolsos</t>
        </is>
      </c>
      <c r="L378" s="156" t="inlineStr">
        <is>
          <t>Unisex</t>
        </is>
      </c>
      <c r="M378" s="156" t="inlineStr">
        <is>
          <t>Wrangler</t>
        </is>
      </c>
      <c r="N378" s="156" t="n"/>
      <c r="O378" s="156" t="inlineStr">
        <is>
          <t>Core</t>
        </is>
      </c>
      <c r="P378" s="156" t="inlineStr">
        <is>
          <t>Negro</t>
        </is>
      </c>
      <c r="Q378" s="156" t="n"/>
      <c r="R378" s="156" t="n"/>
      <c r="S378" s="156" t="n"/>
      <c r="T378" s="156" t="inlineStr">
        <is>
          <t>Bolsa Tote Cruzada Wrangler. Modelo: Estampado De Leopardo Con Compartimento Oculto. Color: Negro. Talla única. Unisex. Referencia: WG102-8120SBK.</t>
        </is>
      </c>
      <c r="U378" s="156" t="n"/>
      <c r="V378" s="156" t="inlineStr">
        <is>
          <t>PZS</t>
        </is>
      </c>
      <c r="W378" s="51" t="inlineStr">
        <is>
          <t>53121601</t>
        </is>
      </c>
      <c r="X378" s="156" t="inlineStr">
        <is>
          <t>https://cdn.shopify.com/s/files/1/0005/9015/1741/files/WG102-8120SBK.webp?v=1787708494</t>
        </is>
      </c>
      <c r="Y378" s="54" t="n">
        <v>483</v>
      </c>
      <c r="Z378" s="54" t="n">
        <v>799</v>
      </c>
      <c r="AA378" s="55">
        <f>IF(AND(A378="", B378="", E378=""), "", IF(AB378="", "Válido", IF((LEN(AB378)-LEN(SUBSTITUTE(AB378,"; ","")))/2+1&gt;(LEN(AB378)-LEN(SUBSTITUTE(AB378,"[Aviso]","")))/7, "Con Incidencias", "Válido")))</f>
        <v/>
      </c>
      <c r="AB378" s="56">
        <f>IF(AND(A378="", B378="", E378=""), "", TEXTJOIN("; ", TRUE, IF(OR(TRIM(A378&amp;"")="", ISNUMBER(SEARCH("FALTA", A378))), "UPC faltante/inválido", ""), IF(AND(A378&lt;&gt;"", IFERROR(_xlfn.XMATCH(A378,$A$2:$A$1063,0,1)&lt;&gt;_xlfn.XMATCH(A378,$A$2:$A$1063,0,-1),FALSE)), "Código de barras duplicado", ""), IF(AND(E378&lt;&gt;"", COUNTIF($E$2:$E$1063, E378)&gt;1), "SKU duplicado", ""), IF(OR(J378="", J378=""), "[Aviso] División no capturada ()", IF(ISNA(MATCH(J378, Criterios!$A$123:$A$126, 0)), "División no válida", "")), IF(OR(K378="", K378=""), "[Aviso] Categoría no capturada ()", IF(ISNA(MATCH(K378, Criterios!$A$81:$A$120, 0)), "Categoría no válida", IF(AND(J378&lt;&gt;"", J378&lt;&gt;"", J378&lt;&gt;VLOOKUP(K378, Criterios!$A$81:$B$120, 2, FALSE)), "División no coincide con Categoría", ""))), IF(OR(L378="", L378=""), "[Aviso] Género no capturado ()", IF(ISNA(MATCH(L378, Criterios!$B$123:$B$127, 0)), "Género no válido", "")), IF(OR(N378="", N378=""), "[Aviso] Temporada no capturada ()", IF(ISNA(MATCH(N378, Criterios!$C$123:$C$128, 0)), "Temporada no válida", "")), IF(OR(O378="", O378=""), "[Aviso] Ciclo de vida no capturado ()", IF(ISNA(MATCH(O378, Criterios!$D$123:$D$124, 0)), "Ciclo de vida no válido", ""))))</f>
        <v/>
      </c>
      <c r="AC378" s="56" t="n"/>
      <c r="AD378" s="51" t="n"/>
      <c r="AE378" s="156" t="n"/>
      <c r="AF378" s="51" t="n"/>
      <c r="AG378" s="156" t="inlineStr">
        <is>
          <t>Nuevo – Carga Hoja2 01/10/2026</t>
        </is>
      </c>
      <c r="AH378" s="156" t="inlineStr">
        <is>
          <t>Alta 01/10/2026 desde Hoja2 (fila 176) | 01/10/2026: Odoo Universal Unique Brands trae Marca «Montana West» — se conservó el valor de Productos | Homologación G1522 06/10/2026: Enlace de imagen: «» → «https://cdn.shopify.com/s/files/1/0005/9015/1741/files/WG102-8120SBK.webp?v=1787708494» (Completado por investigación en línea) · Validador Shopify: WB: precio con IVA no termina en 9</t>
        </is>
      </c>
      <c r="AI378" s="156" t="n"/>
      <c r="AJ378" s="156" t="n"/>
      <c r="AK378" s="155" t="inlineStr">
        <is>
          <t>Hoja2: fila 176 | Odoo: producto 27212 / plantilla 33912 | Investigación en línea 06/10/2026: https://montanawestworld.com/products/wrangler-cow-print-crossbody-tote-western-tote-bag</t>
        </is>
      </c>
      <c r="AL378" s="58" t="n"/>
      <c r="AM378" s="58" t="n"/>
      <c r="AN378" s="155" t="inlineStr">
        <is>
          <t>Odoo Universal Unique Brands</t>
        </is>
      </c>
      <c r="AO378" s="59" t="n"/>
      <c r="AP378" s="59" t="n"/>
      <c r="AQ378" s="59" t="n">
        <v>2</v>
      </c>
      <c r="AR378" s="155" t="inlineStr">
        <is>
          <t>Odoo Universal Unique Brands › Bodega 25 › Bodega 25/General: 2</t>
        </is>
      </c>
    </row>
    <row r="379">
      <c r="A379" s="50" t="inlineStr">
        <is>
          <t>717012188540</t>
        </is>
      </c>
      <c r="B379" s="51" t="inlineStr">
        <is>
          <t>27214</t>
        </is>
      </c>
      <c r="C379" s="156" t="inlineStr">
        <is>
          <t>Wrangler</t>
        </is>
      </c>
      <c r="D379" s="156" t="inlineStr">
        <is>
          <t>WG102-8120SMST</t>
        </is>
      </c>
      <c r="E379" s="156" t="inlineStr">
        <is>
          <t>WG102-8120SMST</t>
        </is>
      </c>
      <c r="F379" s="156" t="inlineStr">
        <is>
          <t>Talla única</t>
        </is>
      </c>
      <c r="G379" s="156" t="inlineStr">
        <is>
          <t>One Size</t>
        </is>
      </c>
      <c r="H379" s="156" t="inlineStr">
        <is>
          <t>Wrangler</t>
        </is>
      </c>
      <c r="I379" s="156" t="inlineStr">
        <is>
          <t>Bolsa Tote Cruzada Wrangler Estampado De Leopardo Con Compartimento Oculto Mostaza</t>
        </is>
      </c>
      <c r="J379" s="156" t="inlineStr">
        <is>
          <t>Accesorios</t>
        </is>
      </c>
      <c r="K379" s="156" t="inlineStr">
        <is>
          <t>Bolsos</t>
        </is>
      </c>
      <c r="L379" s="156" t="inlineStr">
        <is>
          <t>Unisex</t>
        </is>
      </c>
      <c r="M379" s="156" t="inlineStr">
        <is>
          <t>Wrangler</t>
        </is>
      </c>
      <c r="N379" s="156" t="n"/>
      <c r="O379" s="156" t="inlineStr">
        <is>
          <t>Core</t>
        </is>
      </c>
      <c r="P379" s="156" t="inlineStr">
        <is>
          <t>Amarillo</t>
        </is>
      </c>
      <c r="Q379" s="156" t="n"/>
      <c r="R379" s="156" t="n"/>
      <c r="S379" s="156" t="n"/>
      <c r="T379" s="156" t="inlineStr">
        <is>
          <t>Bolsa Tote Cruzada Wrangler. Modelo: Estampado De Leopardo Con Compartimento Oculto. Color: Mostaza. Talla única. Unisex. Referencia: WG102-8120SMST.</t>
        </is>
      </c>
      <c r="U379" s="156" t="n"/>
      <c r="V379" s="156" t="inlineStr">
        <is>
          <t>PZS</t>
        </is>
      </c>
      <c r="W379" s="51" t="inlineStr">
        <is>
          <t>53121601</t>
        </is>
      </c>
      <c r="X379" s="156" t="n"/>
      <c r="Y379" s="54" t="n">
        <v>362.25</v>
      </c>
      <c r="Z379" s="54" t="n">
        <v>599</v>
      </c>
      <c r="AA379" s="55">
        <f>IF(AND(A379="", B379="", E379=""), "", IF(AB379="", "Válido", IF((LEN(AB379)-LEN(SUBSTITUTE(AB379,"; ","")))/2+1&gt;(LEN(AB379)-LEN(SUBSTITUTE(AB379,"[Aviso]","")))/7, "Con Incidencias", "Válido")))</f>
        <v/>
      </c>
      <c r="AB379" s="56">
        <f>IF(AND(A379="", B379="", E379=""), "", TEXTJOIN("; ", TRUE, IF(OR(TRIM(A379&amp;"")="", ISNUMBER(SEARCH("FALTA", A379))), "UPC faltante/inválido", ""), IF(AND(A379&lt;&gt;"", IFERROR(_xlfn.XMATCH(A379,$A$2:$A$1063,0,1)&lt;&gt;_xlfn.XMATCH(A379,$A$2:$A$1063,0,-1),FALSE)), "Código de barras duplicado", ""), IF(AND(E379&lt;&gt;"", COUNTIF($E$2:$E$1063, E379)&gt;1), "SKU duplicado", ""), IF(OR(J379="", J379=""), "[Aviso] División no capturada ()", IF(ISNA(MATCH(J379, Criterios!$A$123:$A$126, 0)), "División no válida", "")), IF(OR(K379="", K379=""), "[Aviso] Categoría no capturada ()", IF(ISNA(MATCH(K379, Criterios!$A$81:$A$120, 0)), "Categoría no válida", IF(AND(J379&lt;&gt;"", J379&lt;&gt;"", J379&lt;&gt;VLOOKUP(K379, Criterios!$A$81:$B$120, 2, FALSE)), "División no coincide con Categoría", ""))), IF(OR(L379="", L379=""), "[Aviso] Género no capturado ()", IF(ISNA(MATCH(L379, Criterios!$B$123:$B$127, 0)), "Género no válido", "")), IF(OR(N379="", N379=""), "[Aviso] Temporada no capturada ()", IF(ISNA(MATCH(N379, Criterios!$C$123:$C$128, 0)), "Temporada no válida", "")), IF(OR(O379="", O379=""), "[Aviso] Ciclo de vida no capturado ()", IF(ISNA(MATCH(O379, Criterios!$D$123:$D$124, 0)), "Ciclo de vida no válido", ""))))</f>
        <v/>
      </c>
      <c r="AC379" s="56" t="n"/>
      <c r="AD379" s="51" t="n"/>
      <c r="AE379" s="156" t="n"/>
      <c r="AF379" s="51" t="n"/>
      <c r="AG379" s="156" t="inlineStr">
        <is>
          <t>Nuevo – Carga Hoja2 01/10/2026</t>
        </is>
      </c>
      <c r="AH379" s="156" t="inlineStr">
        <is>
          <t>Alta 01/10/2026 desde Hoja2 (fila 178) | 01/10/2026: Odoo Universal Unique Brands trae Marca «Montana West» — se conservó el valor de Productos | Homologación G1522 06/10/2026: Validador Shopify: WB: precio con IVA no termina en 9</t>
        </is>
      </c>
      <c r="AI379" s="156" t="n"/>
      <c r="AJ379" s="156" t="n"/>
      <c r="AK379" s="155" t="inlineStr">
        <is>
          <t>Hoja2: fila 178 | Odoo: producto 27214 / plantilla 33914</t>
        </is>
      </c>
      <c r="AL379" s="58" t="n"/>
      <c r="AM379" s="58" t="n"/>
      <c r="AN379" s="155" t="inlineStr">
        <is>
          <t>Odoo Universal Unique Brands</t>
        </is>
      </c>
      <c r="AO379" s="59" t="n"/>
      <c r="AP379" s="59" t="n"/>
      <c r="AQ379" s="59" t="n">
        <v>0</v>
      </c>
      <c r="AR379" s="155" t="n"/>
    </row>
    <row r="380">
      <c r="A380" s="50" t="inlineStr">
        <is>
          <t>717019709939</t>
        </is>
      </c>
      <c r="B380" s="51" t="inlineStr">
        <is>
          <t>27217</t>
        </is>
      </c>
      <c r="C380" s="156" t="inlineStr">
        <is>
          <t>Wrangler</t>
        </is>
      </c>
      <c r="D380" s="156" t="inlineStr">
        <is>
          <t>WG102-8600PK</t>
        </is>
      </c>
      <c r="E380" s="156" t="inlineStr">
        <is>
          <t>WG102-8600PK</t>
        </is>
      </c>
      <c r="F380" s="156" t="inlineStr">
        <is>
          <t>Talla única</t>
        </is>
      </c>
      <c r="G380" s="156" t="inlineStr">
        <is>
          <t>One Size</t>
        </is>
      </c>
      <c r="H380" s="156" t="inlineStr">
        <is>
          <t>Wrangler</t>
        </is>
      </c>
      <c r="I380" s="156" t="inlineStr">
        <is>
          <t>Mochila Wrangler Rosa</t>
        </is>
      </c>
      <c r="J380" s="156" t="inlineStr">
        <is>
          <t>Accesorios</t>
        </is>
      </c>
      <c r="K380" s="156" t="inlineStr">
        <is>
          <t>Mochilas</t>
        </is>
      </c>
      <c r="L380" s="156" t="inlineStr">
        <is>
          <t>Unisex</t>
        </is>
      </c>
      <c r="M380" s="156" t="inlineStr">
        <is>
          <t>Wrangler</t>
        </is>
      </c>
      <c r="N380" s="156" t="n"/>
      <c r="O380" s="156" t="inlineStr">
        <is>
          <t>Core</t>
        </is>
      </c>
      <c r="P380" s="156" t="inlineStr">
        <is>
          <t>Rosa</t>
        </is>
      </c>
      <c r="Q380" s="156" t="n"/>
      <c r="R380" s="156" t="n"/>
      <c r="S380" s="156" t="n"/>
      <c r="T380" s="156" t="inlineStr">
        <is>
          <t>Mochila Wrangler. Color: Rosa. Talla única. Unisex. Referencia: WG102-8600PK.</t>
        </is>
      </c>
      <c r="U380" s="156" t="n"/>
      <c r="V380" s="156" t="inlineStr">
        <is>
          <t>PZS</t>
        </is>
      </c>
      <c r="W380" s="51" t="inlineStr">
        <is>
          <t>53121601</t>
        </is>
      </c>
      <c r="X380" s="156" t="inlineStr">
        <is>
          <t>https://cdn.shopify.com/s/files/1/0005/9015/1741/files/Wrangler_Cow_Print_Decorated_Zipper_Backpack_Pink.webp?v=1762510610</t>
        </is>
      </c>
      <c r="Y380" s="54" t="n">
        <v>258.75</v>
      </c>
      <c r="Z380" s="54" t="n">
        <v>449</v>
      </c>
      <c r="AA380" s="55">
        <f>IF(AND(A380="", B380="", E380=""), "", IF(AB380="", "Válido", IF((LEN(AB380)-LEN(SUBSTITUTE(AB380,"; ","")))/2+1&gt;(LEN(AB380)-LEN(SUBSTITUTE(AB380,"[Aviso]","")))/7, "Con Incidencias", "Válido")))</f>
        <v/>
      </c>
      <c r="AB380" s="56">
        <f>IF(AND(A380="", B380="", E380=""), "", TEXTJOIN("; ", TRUE, IF(OR(TRIM(A380&amp;"")="", ISNUMBER(SEARCH("FALTA", A380))), "UPC faltante/inválido", ""), IF(AND(A380&lt;&gt;"", IFERROR(_xlfn.XMATCH(A380,$A$2:$A$1063,0,1)&lt;&gt;_xlfn.XMATCH(A380,$A$2:$A$1063,0,-1),FALSE)), "Código de barras duplicado", ""), IF(AND(E380&lt;&gt;"", COUNTIF($E$2:$E$1063, E380)&gt;1), "SKU duplicado", ""), IF(OR(J380="", J380=""), "[Aviso] División no capturada ()", IF(ISNA(MATCH(J380, Criterios!$A$123:$A$126, 0)), "División no válida", "")), IF(OR(K380="", K380=""), "[Aviso] Categoría no capturada ()", IF(ISNA(MATCH(K380, Criterios!$A$81:$A$120, 0)), "Categoría no válida", IF(AND(J380&lt;&gt;"", J380&lt;&gt;"", J380&lt;&gt;VLOOKUP(K380, Criterios!$A$81:$B$120, 2, FALSE)), "División no coincide con Categoría", ""))), IF(OR(L380="", L380=""), "[Aviso] Género no capturado ()", IF(ISNA(MATCH(L380, Criterios!$B$123:$B$127, 0)), "Género no válido", "")), IF(OR(N380="", N380=""), "[Aviso] Temporada no capturada ()", IF(ISNA(MATCH(N380, Criterios!$C$123:$C$128, 0)), "Temporada no válida", "")), IF(OR(O380="", O380=""), "[Aviso] Ciclo de vida no capturado ()", IF(ISNA(MATCH(O380, Criterios!$D$123:$D$124, 0)), "Ciclo de vida no válido", ""))))</f>
        <v/>
      </c>
      <c r="AC380" s="56" t="n"/>
      <c r="AD380" s="51" t="n"/>
      <c r="AE380" s="156" t="n"/>
      <c r="AF380" s="51" t="n"/>
      <c r="AG380" s="156" t="inlineStr">
        <is>
          <t>Nuevo – Carga Hoja2 01/10/2026</t>
        </is>
      </c>
      <c r="AH380" s="156" t="inlineStr">
        <is>
          <t>Alta 01/10/2026 desde Hoja2 (fila 179) | 01/10/2026: Odoo Universal Unique Brands trae Marca «Montana West» — se conservó el valor de Productos | Homologación G1522 06/10/2026: Enlace de imagen: «» → «https://cdn.shopify.com/s/files/1/0005/9015/1741/files/Wrangler_Cow_Print_Decorated_Zipper_Backpack_Pink.webp?v=1762510610» (Completado por investigación en línea) · Validador Shopify: WB: precio con IVA no termina en 9</t>
        </is>
      </c>
      <c r="AI380" s="156" t="n"/>
      <c r="AJ380" s="156" t="n"/>
      <c r="AK380" s="155" t="inlineStr">
        <is>
          <t>Hoja2: fila 179 | Odoo: producto 27217 / plantilla 33917 | Investigación en línea 06/10/2026: https://montanawestworld.com/products/wrangler-cow-print-mini-backpack</t>
        </is>
      </c>
      <c r="AL380" s="58" t="n"/>
      <c r="AM380" s="58" t="n"/>
      <c r="AN380" s="155" t="inlineStr">
        <is>
          <t>Odoo Universal Unique Brands</t>
        </is>
      </c>
      <c r="AO380" s="59" t="n"/>
      <c r="AP380" s="59" t="n"/>
      <c r="AQ380" s="59" t="n">
        <v>3</v>
      </c>
      <c r="AR380" s="155" t="inlineStr">
        <is>
          <t>Odoo Universal Unique Brands › Bodega 25 › Bodega 25/General: 3</t>
        </is>
      </c>
    </row>
    <row r="381">
      <c r="A381" s="50" t="inlineStr">
        <is>
          <t>717325213236</t>
        </is>
      </c>
      <c r="B381" s="51" t="inlineStr">
        <is>
          <t>27218</t>
        </is>
      </c>
      <c r="C381" s="156" t="inlineStr">
        <is>
          <t>Wrangler</t>
        </is>
      </c>
      <c r="D381" s="156" t="inlineStr">
        <is>
          <t>WG102-8600TN</t>
        </is>
      </c>
      <c r="E381" s="156" t="inlineStr">
        <is>
          <t>WG102-8600TN</t>
        </is>
      </c>
      <c r="F381" s="156" t="inlineStr">
        <is>
          <t>Talla única</t>
        </is>
      </c>
      <c r="G381" s="156" t="inlineStr">
        <is>
          <t>One Size</t>
        </is>
      </c>
      <c r="H381" s="156" t="inlineStr">
        <is>
          <t>Wrangler</t>
        </is>
      </c>
      <c r="I381" s="156" t="inlineStr">
        <is>
          <t>Mochila Wrangler Camel</t>
        </is>
      </c>
      <c r="J381" s="156" t="inlineStr">
        <is>
          <t>Accesorios</t>
        </is>
      </c>
      <c r="K381" s="156" t="inlineStr">
        <is>
          <t>Mochilas</t>
        </is>
      </c>
      <c r="L381" s="156" t="inlineStr">
        <is>
          <t>Unisex</t>
        </is>
      </c>
      <c r="M381" s="156" t="inlineStr">
        <is>
          <t>Wrangler</t>
        </is>
      </c>
      <c r="N381" s="156" t="n"/>
      <c r="O381" s="156" t="inlineStr">
        <is>
          <t>Core</t>
        </is>
      </c>
      <c r="P381" s="156" t="inlineStr">
        <is>
          <t>Beige</t>
        </is>
      </c>
      <c r="Q381" s="156" t="n"/>
      <c r="R381" s="156" t="n"/>
      <c r="S381" s="156" t="n"/>
      <c r="T381" s="156" t="inlineStr">
        <is>
          <t>Mochila Wrangler. Color: Camel. Talla única. Unisex. Referencia: WG102-8600TN.</t>
        </is>
      </c>
      <c r="U381" s="156" t="n"/>
      <c r="V381" s="156" t="inlineStr">
        <is>
          <t>PZS</t>
        </is>
      </c>
      <c r="W381" s="51" t="inlineStr">
        <is>
          <t>53121601</t>
        </is>
      </c>
      <c r="X381" s="156" t="n"/>
      <c r="Y381" s="54" t="n">
        <v>258.75</v>
      </c>
      <c r="Z381" s="54" t="n">
        <v>449</v>
      </c>
      <c r="AA381" s="55">
        <f>IF(AND(A381="", B381="", E381=""), "", IF(AB381="", "Válido", IF((LEN(AB381)-LEN(SUBSTITUTE(AB381,"; ","")))/2+1&gt;(LEN(AB381)-LEN(SUBSTITUTE(AB381,"[Aviso]","")))/7, "Con Incidencias", "Válido")))</f>
        <v/>
      </c>
      <c r="AB381" s="56">
        <f>IF(AND(A381="", B381="", E381=""), "", TEXTJOIN("; ", TRUE, IF(OR(TRIM(A381&amp;"")="", ISNUMBER(SEARCH("FALTA", A381))), "UPC faltante/inválido", ""), IF(AND(A381&lt;&gt;"", IFERROR(_xlfn.XMATCH(A381,$A$2:$A$1063,0,1)&lt;&gt;_xlfn.XMATCH(A381,$A$2:$A$1063,0,-1),FALSE)), "Código de barras duplicado", ""), IF(AND(E381&lt;&gt;"", COUNTIF($E$2:$E$1063, E381)&gt;1), "SKU duplicado", ""), IF(OR(J381="", J381=""), "[Aviso] División no capturada ()", IF(ISNA(MATCH(J381, Criterios!$A$123:$A$126, 0)), "División no válida", "")), IF(OR(K381="", K381=""), "[Aviso] Categoría no capturada ()", IF(ISNA(MATCH(K381, Criterios!$A$81:$A$120, 0)), "Categoría no válida", IF(AND(J381&lt;&gt;"", J381&lt;&gt;"", J381&lt;&gt;VLOOKUP(K381, Criterios!$A$81:$B$120, 2, FALSE)), "División no coincide con Categoría", ""))), IF(OR(L381="", L381=""), "[Aviso] Género no capturado ()", IF(ISNA(MATCH(L381, Criterios!$B$123:$B$127, 0)), "Género no válido", "")), IF(OR(N381="", N381=""), "[Aviso] Temporada no capturada ()", IF(ISNA(MATCH(N381, Criterios!$C$123:$C$128, 0)), "Temporada no válida", "")), IF(OR(O381="", O381=""), "[Aviso] Ciclo de vida no capturado ()", IF(ISNA(MATCH(O381, Criterios!$D$123:$D$124, 0)), "Ciclo de vida no válido", ""))))</f>
        <v/>
      </c>
      <c r="AC381" s="56" t="n"/>
      <c r="AD381" s="51" t="n"/>
      <c r="AE381" s="156" t="n"/>
      <c r="AF381" s="51" t="n"/>
      <c r="AG381" s="156" t="inlineStr">
        <is>
          <t>Nuevo – Carga Hoja2 01/10/2026</t>
        </is>
      </c>
      <c r="AH381" s="156" t="inlineStr">
        <is>
          <t>Alta 01/10/2026 desde Hoja2 (fila 180) | 01/10/2026: Odoo Universal Unique Brands trae Marca «Montana West» — se conservó el valor de Productos | Homologación G1522 06/10/2026: Validador Shopify: WB: precio con IVA no termina en 9</t>
        </is>
      </c>
      <c r="AI381" s="156" t="n"/>
      <c r="AJ381" s="156" t="n"/>
      <c r="AK381" s="155" t="inlineStr">
        <is>
          <t>Hoja2: fila 180 | Odoo: producto 27218 / plantilla 33918</t>
        </is>
      </c>
      <c r="AL381" s="58" t="n"/>
      <c r="AM381" s="58" t="n"/>
      <c r="AN381" s="155" t="inlineStr">
        <is>
          <t>Odoo Universal Unique Brands</t>
        </is>
      </c>
      <c r="AO381" s="59" t="n"/>
      <c r="AP381" s="59" t="n"/>
      <c r="AQ381" s="59" t="n">
        <v>-1</v>
      </c>
      <c r="AR381" s="155" t="n"/>
    </row>
    <row r="382">
      <c r="A382" s="50" t="inlineStr">
        <is>
          <t>712288122656</t>
        </is>
      </c>
      <c r="B382" s="51" t="inlineStr">
        <is>
          <t>27221</t>
        </is>
      </c>
      <c r="C382" s="156" t="inlineStr">
        <is>
          <t>Wrangler</t>
        </is>
      </c>
      <c r="D382" s="156" t="inlineStr">
        <is>
          <t>WG102-W005BR</t>
        </is>
      </c>
      <c r="E382" s="156" t="inlineStr">
        <is>
          <t>WG102-W005BR</t>
        </is>
      </c>
      <c r="F382" s="156" t="inlineStr">
        <is>
          <t>Talla única</t>
        </is>
      </c>
      <c r="G382" s="156" t="inlineStr">
        <is>
          <t>One Size</t>
        </is>
      </c>
      <c r="H382" s="156" t="inlineStr">
        <is>
          <t>Wrangler</t>
        </is>
      </c>
      <c r="I382" s="156" t="inlineStr">
        <is>
          <t>Tarjetero Wrangler Café</t>
        </is>
      </c>
      <c r="J382" s="156" t="inlineStr">
        <is>
          <t>Accesorios</t>
        </is>
      </c>
      <c r="K382" s="156" t="inlineStr">
        <is>
          <t>Carteras</t>
        </is>
      </c>
      <c r="L382" s="156" t="inlineStr">
        <is>
          <t>Unisex</t>
        </is>
      </c>
      <c r="M382" s="156" t="inlineStr">
        <is>
          <t>Wrangler</t>
        </is>
      </c>
      <c r="N382" s="156" t="n"/>
      <c r="O382" s="156" t="inlineStr">
        <is>
          <t>Core</t>
        </is>
      </c>
      <c r="P382" s="156" t="inlineStr">
        <is>
          <t>Cafe</t>
        </is>
      </c>
      <c r="Q382" s="156" t="n"/>
      <c r="R382" s="156" t="n"/>
      <c r="S382" s="156" t="n"/>
      <c r="T382" s="156" t="inlineStr">
        <is>
          <t>Tarjetero Wrangler. Color: Café. Talla única. Unisex. Referencia: WG102-W005BR.</t>
        </is>
      </c>
      <c r="U382" s="156" t="n"/>
      <c r="V382" s="156" t="inlineStr">
        <is>
          <t>PZS</t>
        </is>
      </c>
      <c r="W382" s="51" t="inlineStr">
        <is>
          <t>53121700</t>
        </is>
      </c>
      <c r="X382" s="156" t="inlineStr">
        <is>
          <t>https://cdn.shopify.com/s/files/1/0005/9015/1741/files/WG102-W005_dcbff17b-63e3-45bf-9aca-3211192a0560.webp?v=1723808129</t>
        </is>
      </c>
      <c r="Y382" s="54" t="n">
        <v>120.75</v>
      </c>
      <c r="Z382" s="54" t="n">
        <v>199</v>
      </c>
      <c r="AA382" s="55">
        <f>IF(AND(A382="", B382="", E382=""), "", IF(AB382="", "Válido", IF((LEN(AB382)-LEN(SUBSTITUTE(AB382,"; ","")))/2+1&gt;(LEN(AB382)-LEN(SUBSTITUTE(AB382,"[Aviso]","")))/7, "Con Incidencias", "Válido")))</f>
        <v/>
      </c>
      <c r="AB382" s="56">
        <f>IF(AND(A382="", B382="", E382=""), "", TEXTJOIN("; ", TRUE, IF(OR(TRIM(A382&amp;"")="", ISNUMBER(SEARCH("FALTA", A382))), "UPC faltante/inválido", ""), IF(AND(A382&lt;&gt;"", IFERROR(_xlfn.XMATCH(A382,$A$2:$A$1063,0,1)&lt;&gt;_xlfn.XMATCH(A382,$A$2:$A$1063,0,-1),FALSE)), "Código de barras duplicado", ""), IF(AND(E382&lt;&gt;"", COUNTIF($E$2:$E$1063, E382)&gt;1), "SKU duplicado", ""), IF(OR(J382="", J382=""), "[Aviso] División no capturada ()", IF(ISNA(MATCH(J382, Criterios!$A$123:$A$126, 0)), "División no válida", "")), IF(OR(K382="", K382=""), "[Aviso] Categoría no capturada ()", IF(ISNA(MATCH(K382, Criterios!$A$81:$A$120, 0)), "Categoría no válida", IF(AND(J382&lt;&gt;"", J382&lt;&gt;"", J382&lt;&gt;VLOOKUP(K382, Criterios!$A$81:$B$120, 2, FALSE)), "División no coincide con Categoría", ""))), IF(OR(L382="", L382=""), "[Aviso] Género no capturado ()", IF(ISNA(MATCH(L382, Criterios!$B$123:$B$127, 0)), "Género no válido", "")), IF(OR(N382="", N382=""), "[Aviso] Temporada no capturada ()", IF(ISNA(MATCH(N382, Criterios!$C$123:$C$128, 0)), "Temporada no válida", "")), IF(OR(O382="", O382=""), "[Aviso] Ciclo de vida no capturado ()", IF(ISNA(MATCH(O382, Criterios!$D$123:$D$124, 0)), "Ciclo de vida no válido", ""))))</f>
        <v/>
      </c>
      <c r="AC382" s="56" t="n"/>
      <c r="AD382" s="51" t="n"/>
      <c r="AE382" s="156" t="n"/>
      <c r="AF382" s="51" t="n"/>
      <c r="AG382" s="156" t="inlineStr">
        <is>
          <t>Nuevo – Carga Hoja2 01/10/2026</t>
        </is>
      </c>
      <c r="AH382" s="156" t="inlineStr">
        <is>
          <t>Alta 01/10/2026 desde Hoja2 (fila 181) | 01/10/2026: Odoo Universal Unique Brands trae Marca «Montana West» — se conservó el valor de Productos | Homologación G1522 06/10/2026: Enlace de imagen: «» → «https://cdn.shopify.com/s/files/1/0005/9015/1741/files/WG102-W005_dcbff17b-63e3-45bf-9aca-3211192a0560.webp?v=1723808129» (Completado por investigación en línea) · Validador Shopify: WB: precio con IVA no termina en 9</t>
        </is>
      </c>
      <c r="AI382" s="156" t="n"/>
      <c r="AJ382" s="156" t="n"/>
      <c r="AK382" s="155" t="inlineStr">
        <is>
          <t>Hoja2: fila 181 | Odoo: producto 27221 / plantilla 33921 | Investigación en línea 06/10/2026: https://montanawestworld.com/products/wrangler-cow-print-mini-zip-card-case</t>
        </is>
      </c>
      <c r="AL382" s="58" t="n"/>
      <c r="AM382" s="58" t="n"/>
      <c r="AN382" s="155" t="inlineStr">
        <is>
          <t>Odoo Universal Unique Brands</t>
        </is>
      </c>
      <c r="AO382" s="59" t="n"/>
      <c r="AP382" s="59" t="n"/>
      <c r="AQ382" s="59" t="n">
        <v>0</v>
      </c>
      <c r="AR382" s="155" t="n"/>
    </row>
    <row r="383">
      <c r="A383" s="50" t="n"/>
      <c r="B383" s="51" t="inlineStr">
        <is>
          <t>27222</t>
        </is>
      </c>
      <c r="C383" s="156" t="inlineStr">
        <is>
          <t>Montana West</t>
        </is>
      </c>
      <c r="D383" s="156" t="n"/>
      <c r="E383" s="156" t="inlineStr">
        <is>
          <t>WG102-W006LP-BR</t>
        </is>
      </c>
      <c r="F383" s="156" t="inlineStr">
        <is>
          <t>Talla única</t>
        </is>
      </c>
      <c r="G383" s="156" t="inlineStr">
        <is>
          <t>One Size</t>
        </is>
      </c>
      <c r="H383" s="156" t="inlineStr">
        <is>
          <t>Montana West</t>
        </is>
      </c>
      <c r="I383" s="156" t="inlineStr">
        <is>
          <t>WG Wallet</t>
        </is>
      </c>
      <c r="J383" s="156" t="inlineStr">
        <is>
          <t>Accesorios</t>
        </is>
      </c>
      <c r="K383" s="156" t="inlineStr">
        <is>
          <t>Carteras</t>
        </is>
      </c>
      <c r="L383" s="156" t="inlineStr">
        <is>
          <t>Unisex</t>
        </is>
      </c>
      <c r="M383" s="156" t="n"/>
      <c r="N383" s="156" t="n"/>
      <c r="O383" s="156" t="n"/>
      <c r="P383" s="156" t="n"/>
      <c r="Q383" s="156" t="n"/>
      <c r="R383" s="156" t="n"/>
      <c r="S383" s="156" t="n"/>
      <c r="T383" s="156" t="n"/>
      <c r="U383" s="156" t="n"/>
      <c r="V383" s="156" t="inlineStr">
        <is>
          <t>PZS</t>
        </is>
      </c>
      <c r="W383" s="51" t="inlineStr">
        <is>
          <t>53121601</t>
        </is>
      </c>
      <c r="X383" s="156" t="n"/>
      <c r="Y383" s="54" t="n">
        <v>293.25</v>
      </c>
      <c r="Z383" s="54" t="n">
        <v>499</v>
      </c>
      <c r="AA383" s="55">
        <f>IF(AND(A383="", B383="", E383=""), "", IF(AB383="", "Válido", IF((LEN(AB383)-LEN(SUBSTITUTE(AB383,"; ","")))/2+1&gt;(LEN(AB383)-LEN(SUBSTITUTE(AB383,"[Aviso]","")))/7, "Con Incidencias", "Válido")))</f>
        <v/>
      </c>
      <c r="AB383" s="56">
        <f>IF(AND(A383="", B383="", E383=""), "", TEXTJOIN("; ", TRUE, IF(OR(TRIM(A383&amp;"")="", ISNUMBER(SEARCH("FALTA", A383))), "UPC faltante/inválido", ""), IF(AND(A383&lt;&gt;"", IFERROR(_xlfn.XMATCH(A383,$A$2:$A$1063,0,1)&lt;&gt;_xlfn.XMATCH(A383,$A$2:$A$1063,0,-1),FALSE)), "Código de barras duplicado", ""), IF(AND(E383&lt;&gt;"", COUNTIF($E$2:$E$1063, E383)&gt;1), "SKU duplicado", ""), IF(OR(J383="", J383=""), "[Aviso] División no capturada ()", IF(ISNA(MATCH(J383, Criterios!$A$123:$A$126, 0)), "División no válida", "")), IF(OR(K383="", K383=""), "[Aviso] Categoría no capturada ()", IF(ISNA(MATCH(K383, Criterios!$A$81:$A$120, 0)), "Categoría no válida", IF(AND(J383&lt;&gt;"", J383&lt;&gt;"", J383&lt;&gt;VLOOKUP(K383, Criterios!$A$81:$B$120, 2, FALSE)), "División no coincide con Categoría", ""))), IF(OR(L383="", L383=""), "[Aviso] Género no capturado ()", IF(ISNA(MATCH(L383, Criterios!$B$123:$B$127, 0)), "Género no válido", "")), IF(OR(N383="", N383=""), "[Aviso] Temporada no capturada ()", IF(ISNA(MATCH(N383, Criterios!$C$123:$C$128, 0)), "Temporada no válida", "")), IF(OR(O383="", O383=""), "[Aviso] Ciclo de vida no capturado ()", IF(ISNA(MATCH(O383, Criterios!$D$123:$D$124, 0)), "Ciclo de vida no válido", ""))))</f>
        <v/>
      </c>
      <c r="AC383" s="56" t="n"/>
      <c r="AD383" s="51" t="n"/>
      <c r="AE383" s="156" t="n"/>
      <c r="AF383" s="51" t="n"/>
      <c r="AG383" s="156" t="inlineStr">
        <is>
          <t>Nuevo – Carga Hoja2 01/10/2026</t>
        </is>
      </c>
      <c r="AH383" s="156" t="inlineStr">
        <is>
          <t>Alta 01/10/2026 desde Hoja2 (fila 182)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383" s="156" t="n"/>
      <c r="AJ383" s="156" t="n"/>
      <c r="AK383" s="155" t="inlineStr">
        <is>
          <t>Hoja2: fila 182 | Odoo: producto 27222 / plantilla 33922</t>
        </is>
      </c>
      <c r="AL383" s="58" t="n"/>
      <c r="AM383" s="58" t="n"/>
      <c r="AN383" s="155" t="inlineStr">
        <is>
          <t>Odoo Universal Unique Brands</t>
        </is>
      </c>
      <c r="AO383" s="59" t="n"/>
      <c r="AP383" s="59" t="n"/>
      <c r="AQ383" s="59" t="n">
        <v>2</v>
      </c>
      <c r="AR383" s="155" t="inlineStr">
        <is>
          <t>Odoo Universal Unique Brands › Bodega 25 › Bodega 25/General: 2</t>
        </is>
      </c>
    </row>
    <row r="384">
      <c r="A384" s="50" t="inlineStr">
        <is>
          <t>717690430665</t>
        </is>
      </c>
      <c r="B384" s="51" t="inlineStr">
        <is>
          <t>27223</t>
        </is>
      </c>
      <c r="C384" s="156" t="inlineStr">
        <is>
          <t>Wrangler</t>
        </is>
      </c>
      <c r="D384" s="156" t="inlineStr">
        <is>
          <t>WG102-W006PK</t>
        </is>
      </c>
      <c r="E384" s="156" t="inlineStr">
        <is>
          <t>WG102-W006PK</t>
        </is>
      </c>
      <c r="F384" s="156" t="inlineStr">
        <is>
          <t>Talla única</t>
        </is>
      </c>
      <c r="G384" s="156" t="inlineStr">
        <is>
          <t>One Size</t>
        </is>
      </c>
      <c r="H384" s="156" t="inlineStr">
        <is>
          <t>Wrangler</t>
        </is>
      </c>
      <c r="I384" s="156" t="inlineStr">
        <is>
          <t>Cartera Wrangler Rosa</t>
        </is>
      </c>
      <c r="J384" s="156" t="inlineStr">
        <is>
          <t>Accesorios</t>
        </is>
      </c>
      <c r="K384" s="156" t="inlineStr">
        <is>
          <t>Carteras</t>
        </is>
      </c>
      <c r="L384" s="156" t="inlineStr">
        <is>
          <t>Unisex</t>
        </is>
      </c>
      <c r="M384" s="156" t="inlineStr">
        <is>
          <t>Wrangler</t>
        </is>
      </c>
      <c r="N384" s="156" t="n"/>
      <c r="O384" s="156" t="inlineStr">
        <is>
          <t>Core</t>
        </is>
      </c>
      <c r="P384" s="156" t="inlineStr">
        <is>
          <t>Rosa</t>
        </is>
      </c>
      <c r="Q384" s="156" t="n"/>
      <c r="R384" s="156" t="n"/>
      <c r="S384" s="156" t="n"/>
      <c r="T384" s="156" t="inlineStr">
        <is>
          <t>Cartera Wrangler. Color: Rosa. Talla única. Unisex. Referencia: WG102-W006PK.</t>
        </is>
      </c>
      <c r="U384" s="156" t="n"/>
      <c r="V384" s="156" t="inlineStr">
        <is>
          <t>PZS</t>
        </is>
      </c>
      <c r="W384" s="51" t="inlineStr">
        <is>
          <t>53121700</t>
        </is>
      </c>
      <c r="X384" s="156" t="n"/>
      <c r="Y384" s="54" t="n">
        <v>293.25</v>
      </c>
      <c r="Z384" s="54" t="n">
        <v>499</v>
      </c>
      <c r="AA384" s="55">
        <f>IF(AND(A384="", B384="", E384=""), "", IF(AB384="", "Válido", IF((LEN(AB384)-LEN(SUBSTITUTE(AB384,"; ","")))/2+1&gt;(LEN(AB384)-LEN(SUBSTITUTE(AB384,"[Aviso]","")))/7, "Con Incidencias", "Válido")))</f>
        <v/>
      </c>
      <c r="AB384" s="56">
        <f>IF(AND(A384="", B384="", E384=""), "", TEXTJOIN("; ", TRUE, IF(OR(TRIM(A384&amp;"")="", ISNUMBER(SEARCH("FALTA", A384))), "UPC faltante/inválido", ""), IF(AND(A384&lt;&gt;"", IFERROR(_xlfn.XMATCH(A384,$A$2:$A$1063,0,1)&lt;&gt;_xlfn.XMATCH(A384,$A$2:$A$1063,0,-1),FALSE)), "Código de barras duplicado", ""), IF(AND(E384&lt;&gt;"", COUNTIF($E$2:$E$1063, E384)&gt;1), "SKU duplicado", ""), IF(OR(J384="", J384=""), "[Aviso] División no capturada ()", IF(ISNA(MATCH(J384, Criterios!$A$123:$A$126, 0)), "División no válida", "")), IF(OR(K384="", K384=""), "[Aviso] Categoría no capturada ()", IF(ISNA(MATCH(K384, Criterios!$A$81:$A$120, 0)), "Categoría no válida", IF(AND(J384&lt;&gt;"", J384&lt;&gt;"", J384&lt;&gt;VLOOKUP(K384, Criterios!$A$81:$B$120, 2, FALSE)), "División no coincide con Categoría", ""))), IF(OR(L384="", L384=""), "[Aviso] Género no capturado ()", IF(ISNA(MATCH(L384, Criterios!$B$123:$B$127, 0)), "Género no válido", "")), IF(OR(N384="", N384=""), "[Aviso] Temporada no capturada ()", IF(ISNA(MATCH(N384, Criterios!$C$123:$C$128, 0)), "Temporada no válida", "")), IF(OR(O384="", O384=""), "[Aviso] Ciclo de vida no capturado ()", IF(ISNA(MATCH(O384, Criterios!$D$123:$D$124, 0)), "Ciclo de vida no válido", ""))))</f>
        <v/>
      </c>
      <c r="AC384" s="56" t="n"/>
      <c r="AD384" s="51" t="n"/>
      <c r="AE384" s="156" t="n"/>
      <c r="AF384" s="51" t="n"/>
      <c r="AG384" s="156" t="inlineStr">
        <is>
          <t>Nuevo – Carga Hoja2 01/10/2026</t>
        </is>
      </c>
      <c r="AH384" s="156" t="inlineStr">
        <is>
          <t>Alta 01/10/2026 desde Hoja2 (fila 183) | 01/10/2026: Odoo Universal Unique Brands trae Marca «Montana West» — se conservó el valor de Productos | Homologación G1522 06/10/2026: Validador Shopify: WB: precio con IVA no termina en 9</t>
        </is>
      </c>
      <c r="AI384" s="156" t="n"/>
      <c r="AJ384" s="156" t="n"/>
      <c r="AK384" s="155" t="inlineStr">
        <is>
          <t>Hoja2: fila 183 | Odoo: producto 27223 / plantilla 33923</t>
        </is>
      </c>
      <c r="AL384" s="58" t="n"/>
      <c r="AM384" s="58" t="n"/>
      <c r="AN384" s="155" t="inlineStr">
        <is>
          <t>Odoo Universal Unique Brands</t>
        </is>
      </c>
      <c r="AO384" s="59" t="n"/>
      <c r="AP384" s="59" t="n"/>
      <c r="AQ384" s="59" t="n">
        <v>3</v>
      </c>
      <c r="AR384" s="155" t="inlineStr">
        <is>
          <t>Odoo Universal Unique Brands › Bodega 25 › Bodega 25/General: 3</t>
        </is>
      </c>
    </row>
    <row r="385">
      <c r="A385" s="50" t="n"/>
      <c r="B385" s="51" t="inlineStr">
        <is>
          <t>27225</t>
        </is>
      </c>
      <c r="C385" s="156" t="inlineStr">
        <is>
          <t>Montana West</t>
        </is>
      </c>
      <c r="D385" s="156" t="inlineStr">
        <is>
          <t>WG120-209BR</t>
        </is>
      </c>
      <c r="E385" s="156" t="inlineStr">
        <is>
          <t>WG120-209BR</t>
        </is>
      </c>
      <c r="F385" s="156" t="inlineStr">
        <is>
          <t>Talla única</t>
        </is>
      </c>
      <c r="G385" s="156" t="inlineStr">
        <is>
          <t>One Size</t>
        </is>
      </c>
      <c r="H385" s="156" t="inlineStr">
        <is>
          <t>Montana West</t>
        </is>
      </c>
      <c r="I385" s="156" t="inlineStr">
        <is>
          <t>WG BAG</t>
        </is>
      </c>
      <c r="J385" s="156" t="inlineStr">
        <is>
          <t>Accesorios</t>
        </is>
      </c>
      <c r="K385" s="156" t="inlineStr">
        <is>
          <t>Bolsos</t>
        </is>
      </c>
      <c r="L385" s="156" t="inlineStr">
        <is>
          <t>Unisex</t>
        </is>
      </c>
      <c r="M385" s="156" t="inlineStr">
        <is>
          <t>Wrangler</t>
        </is>
      </c>
      <c r="N385" s="156" t="n"/>
      <c r="O385" s="156" t="n"/>
      <c r="P385" s="156" t="inlineStr">
        <is>
          <t>Cafe</t>
        </is>
      </c>
      <c r="Q385" s="156" t="n"/>
      <c r="R385" s="156" t="n"/>
      <c r="S385" s="156" t="n"/>
      <c r="T385" s="156" t="inlineStr">
        <is>
          <t>Bolsa</t>
        </is>
      </c>
      <c r="U385" s="156" t="inlineStr">
        <is>
          <t>México</t>
        </is>
      </c>
      <c r="V385" s="156" t="inlineStr">
        <is>
          <t>PZS</t>
        </is>
      </c>
      <c r="W385" s="51" t="inlineStr">
        <is>
          <t>53121601</t>
        </is>
      </c>
      <c r="X385" s="156" t="n"/>
      <c r="Y385" s="54" t="n">
        <v>241.5</v>
      </c>
      <c r="Z385" s="54" t="n">
        <v>399</v>
      </c>
      <c r="AA385" s="55">
        <f>IF(AND(A385="", B385="", E385=""), "", IF(AB385="", "Válido", IF((LEN(AB385)-LEN(SUBSTITUTE(AB385,"; ","")))/2+1&gt;(LEN(AB385)-LEN(SUBSTITUTE(AB385,"[Aviso]","")))/7, "Con Incidencias", "Válido")))</f>
        <v/>
      </c>
      <c r="AB385" s="56">
        <f>IF(AND(A385="", B385="", E385=""), "", TEXTJOIN("; ", TRUE, IF(OR(TRIM(A385&amp;"")="", ISNUMBER(SEARCH("FALTA", A385))), "UPC faltante/inválido", ""), IF(AND(A385&lt;&gt;"", IFERROR(_xlfn.XMATCH(A385,$A$2:$A$1063,0,1)&lt;&gt;_xlfn.XMATCH(A385,$A$2:$A$1063,0,-1),FALSE)), "Código de barras duplicado", ""), IF(AND(E385&lt;&gt;"", COUNTIF($E$2:$E$1063, E385)&gt;1), "SKU duplicado", ""), IF(OR(J385="", J385=""), "[Aviso] División no capturada ()", IF(ISNA(MATCH(J385, Criterios!$A$123:$A$126, 0)), "División no válida", "")), IF(OR(K385="", K385=""), "[Aviso] Categoría no capturada ()", IF(ISNA(MATCH(K385, Criterios!$A$81:$A$120, 0)), "Categoría no válida", IF(AND(J385&lt;&gt;"", J385&lt;&gt;"", J385&lt;&gt;VLOOKUP(K385, Criterios!$A$81:$B$120, 2, FALSE)), "División no coincide con Categoría", ""))), IF(OR(L385="", L385=""), "[Aviso] Género no capturado ()", IF(ISNA(MATCH(L385, Criterios!$B$123:$B$127, 0)), "Género no válido", "")), IF(OR(N385="", N385=""), "[Aviso] Temporada no capturada ()", IF(ISNA(MATCH(N385, Criterios!$C$123:$C$128, 0)), "Temporada no válida", "")), IF(OR(O385="", O385=""), "[Aviso] Ciclo de vida no capturado ()", IF(ISNA(MATCH(O385, Criterios!$D$123:$D$124, 0)), "Ciclo de vida no válido", ""))))</f>
        <v/>
      </c>
      <c r="AC385" s="56" t="n"/>
      <c r="AD385" s="51" t="n"/>
      <c r="AE385" s="156" t="n"/>
      <c r="AF385" s="51" t="n"/>
      <c r="AG385" s="156" t="inlineStr">
        <is>
          <t>Nuevo – Carga Hoja2 01/10/2026</t>
        </is>
      </c>
      <c r="AH385" s="156" t="inlineStr">
        <is>
          <t>Alta 01/10/2026 desde Hoja2 (fila 184) | 01/10/2026: complementado desde Odoo Universal Unique Brands (match por SKU): WB N.º de estilo, WB Talla, WB Talla de EE. UU., WB Género, WB Licencia, WB Color, WB Descripción larga, WB País de origen | 01/10/2026: Odoo Universal Unique Brands trae Marca «Wrangler» — se conservó el valor de Productos | Homologación G1522 06/10/2026: Validación G1522: Código de barras faltante · Validador NetSuite / Odoo: V1: falta código de barras · Validador Shopify: V1: falta código de barras; WB: precio con IVA no termina en 9</t>
        </is>
      </c>
      <c r="AI385" s="156" t="n"/>
      <c r="AJ385" s="156" t="n"/>
      <c r="AK385" s="155" t="inlineStr">
        <is>
          <t>Hoja2: fila 184 | Odoo: producto 19110 / plantilla 23463 | Odoo: producto 27225 / plantilla 33925</t>
        </is>
      </c>
      <c r="AL385" s="58" t="n"/>
      <c r="AM385" s="58" t="n"/>
      <c r="AN385" s="155" t="inlineStr">
        <is>
          <t>Odoo Universal Unique Brands</t>
        </is>
      </c>
      <c r="AO385" s="59" t="n"/>
      <c r="AP385" s="59" t="n"/>
      <c r="AQ385" s="59" t="n">
        <v>6</v>
      </c>
      <c r="AR385" s="155" t="inlineStr">
        <is>
          <t>Odoo Universal Unique Brands › Bodega 25 › Bodega 25/General: 6</t>
        </is>
      </c>
    </row>
    <row r="386">
      <c r="A386" s="50" t="inlineStr">
        <is>
          <t>717690427573</t>
        </is>
      </c>
      <c r="B386" s="51" t="inlineStr">
        <is>
          <t>27227</t>
        </is>
      </c>
      <c r="C386" s="156" t="inlineStr">
        <is>
          <t>Wrangler</t>
        </is>
      </c>
      <c r="D386" s="156" t="inlineStr">
        <is>
          <t>WG120-209RD</t>
        </is>
      </c>
      <c r="E386" s="156" t="inlineStr">
        <is>
          <t>WG120-209RD</t>
        </is>
      </c>
      <c r="F386" s="156" t="inlineStr">
        <is>
          <t>Talla única</t>
        </is>
      </c>
      <c r="G386" s="156" t="inlineStr">
        <is>
          <t>One Size</t>
        </is>
      </c>
      <c r="H386" s="156" t="inlineStr">
        <is>
          <t>Wrangler</t>
        </is>
      </c>
      <c r="I386" s="156" t="inlineStr">
        <is>
          <t>Bolsa Cruzada Wrangler De Doble Compartimento Con Cierre Rojo</t>
        </is>
      </c>
      <c r="J386" s="156" t="inlineStr">
        <is>
          <t>Accesorios</t>
        </is>
      </c>
      <c r="K386" s="156" t="inlineStr">
        <is>
          <t>Bolsos</t>
        </is>
      </c>
      <c r="L386" s="156" t="inlineStr">
        <is>
          <t>Unisex</t>
        </is>
      </c>
      <c r="M386" s="156" t="inlineStr">
        <is>
          <t>Wrangler</t>
        </is>
      </c>
      <c r="N386" s="156" t="n"/>
      <c r="O386" s="156" t="inlineStr">
        <is>
          <t>Core</t>
        </is>
      </c>
      <c r="P386" s="156" t="inlineStr">
        <is>
          <t>Rojo</t>
        </is>
      </c>
      <c r="Q386" s="156" t="n"/>
      <c r="R386" s="156" t="n"/>
      <c r="S386" s="156" t="n"/>
      <c r="T386" s="156" t="inlineStr">
        <is>
          <t>Bolsa Cruzada Wrangler. Modelo: De Doble Compartimento Con Cierre. Color: Rojo. Talla única. Unisex. Referencia: WG120-209RD.</t>
        </is>
      </c>
      <c r="U386" s="156" t="n"/>
      <c r="V386" s="156" t="inlineStr">
        <is>
          <t>PZS</t>
        </is>
      </c>
      <c r="W386" s="51" t="inlineStr">
        <is>
          <t>53121601</t>
        </is>
      </c>
      <c r="X386" s="156" t="inlineStr">
        <is>
          <t>https://cdn.shopify.com/s/files/1/0005/9015/1741/files/WG120-209RD2.webp?v=1762928091</t>
        </is>
      </c>
      <c r="Y386" s="54" t="n">
        <v>241.5</v>
      </c>
      <c r="Z386" s="54" t="n">
        <v>399</v>
      </c>
      <c r="AA386" s="55">
        <f>IF(AND(A386="", B386="", E386=""), "", IF(AB386="", "Válido", IF((LEN(AB386)-LEN(SUBSTITUTE(AB386,"; ","")))/2+1&gt;(LEN(AB386)-LEN(SUBSTITUTE(AB386,"[Aviso]","")))/7, "Con Incidencias", "Válido")))</f>
        <v/>
      </c>
      <c r="AB386" s="56">
        <f>IF(AND(A386="", B386="", E386=""), "", TEXTJOIN("; ", TRUE, IF(OR(TRIM(A386&amp;"")="", ISNUMBER(SEARCH("FALTA", A386))), "UPC faltante/inválido", ""), IF(AND(A386&lt;&gt;"", IFERROR(_xlfn.XMATCH(A386,$A$2:$A$1063,0,1)&lt;&gt;_xlfn.XMATCH(A386,$A$2:$A$1063,0,-1),FALSE)), "Código de barras duplicado", ""), IF(AND(E386&lt;&gt;"", COUNTIF($E$2:$E$1063, E386)&gt;1), "SKU duplicado", ""), IF(OR(J386="", J386=""), "[Aviso] División no capturada ()", IF(ISNA(MATCH(J386, Criterios!$A$123:$A$126, 0)), "División no válida", "")), IF(OR(K386="", K386=""), "[Aviso] Categoría no capturada ()", IF(ISNA(MATCH(K386, Criterios!$A$81:$A$120, 0)), "Categoría no válida", IF(AND(J386&lt;&gt;"", J386&lt;&gt;"", J386&lt;&gt;VLOOKUP(K386, Criterios!$A$81:$B$120, 2, FALSE)), "División no coincide con Categoría", ""))), IF(OR(L386="", L386=""), "[Aviso] Género no capturado ()", IF(ISNA(MATCH(L386, Criterios!$B$123:$B$127, 0)), "Género no válido", "")), IF(OR(N386="", N386=""), "[Aviso] Temporada no capturada ()", IF(ISNA(MATCH(N386, Criterios!$C$123:$C$128, 0)), "Temporada no válida", "")), IF(OR(O386="", O386=""), "[Aviso] Ciclo de vida no capturado ()", IF(ISNA(MATCH(O386, Criterios!$D$123:$D$124, 0)), "Ciclo de vida no válido", ""))))</f>
        <v/>
      </c>
      <c r="AC386" s="56" t="n"/>
      <c r="AD386" s="51" t="n"/>
      <c r="AE386" s="156" t="n"/>
      <c r="AF386" s="51" t="n"/>
      <c r="AG386" s="156" t="inlineStr">
        <is>
          <t>Nuevo – Carga Hoja2 01/10/2026</t>
        </is>
      </c>
      <c r="AH386" s="156" t="inlineStr">
        <is>
          <t>Alta 01/10/2026 desde Hoja2 (fila 185) | 01/10/2026: Odoo Universal Unique Brands trae Marca «Montana West» — se conservó el valor de Productos | Homologación G1522 06/10/2026: Enlace de imagen: «» → «https://cdn.shopify.com/s/files/1/0005/9015/1741/files/WG120-209RD2.webp?v=1762928091» (Completado por investigación en línea) · Validador Shopify: WB: precio con IVA no termina en 9</t>
        </is>
      </c>
      <c r="AI386" s="156" t="n"/>
      <c r="AJ386" s="156" t="n"/>
      <c r="AK386" s="155" t="inlineStr">
        <is>
          <t>Hoja2: fila 185 | Odoo: producto 27227 / plantilla 33927 | Investigación en línea 06/10/2026: https://montanawestworld.com/products/wrangler-crossbody-bags-for-women-durable-stylish-dual-zipper</t>
        </is>
      </c>
      <c r="AL386" s="58" t="n"/>
      <c r="AM386" s="58" t="n"/>
      <c r="AN386" s="155" t="inlineStr">
        <is>
          <t>Odoo Universal Unique Brands</t>
        </is>
      </c>
      <c r="AO386" s="59" t="n"/>
      <c r="AP386" s="59" t="n"/>
      <c r="AQ386" s="59" t="n">
        <v>3</v>
      </c>
      <c r="AR386" s="155" t="inlineStr">
        <is>
          <t>Odoo Universal Unique Brands › Bodega 25 › Bodega 25/General: 3</t>
        </is>
      </c>
    </row>
    <row r="387">
      <c r="A387" s="50" t="inlineStr">
        <is>
          <t>717325229558</t>
        </is>
      </c>
      <c r="B387" s="51" t="inlineStr">
        <is>
          <t>27228</t>
        </is>
      </c>
      <c r="C387" s="156" t="inlineStr">
        <is>
          <t>Wrangler</t>
        </is>
      </c>
      <c r="D387" s="156" t="inlineStr">
        <is>
          <t>WG130-3003GN</t>
        </is>
      </c>
      <c r="E387" s="156" t="inlineStr">
        <is>
          <t>WG130-3003GN</t>
        </is>
      </c>
      <c r="F387" s="156" t="inlineStr">
        <is>
          <t>Talla única</t>
        </is>
      </c>
      <c r="G387" s="156" t="inlineStr">
        <is>
          <t>One Size</t>
        </is>
      </c>
      <c r="H387" s="156" t="inlineStr">
        <is>
          <t>Wrangler</t>
        </is>
      </c>
      <c r="I387" s="156" t="inlineStr">
        <is>
          <t>Bolsa Wrangler Verde</t>
        </is>
      </c>
      <c r="J387" s="156" t="inlineStr">
        <is>
          <t>Accesorios</t>
        </is>
      </c>
      <c r="K387" s="156" t="inlineStr">
        <is>
          <t>Bolsos</t>
        </is>
      </c>
      <c r="L387" s="156" t="inlineStr">
        <is>
          <t>Unisex</t>
        </is>
      </c>
      <c r="M387" s="156" t="inlineStr">
        <is>
          <t>Wrangler</t>
        </is>
      </c>
      <c r="N387" s="156" t="n"/>
      <c r="O387" s="156" t="inlineStr">
        <is>
          <t>Core</t>
        </is>
      </c>
      <c r="P387" s="156" t="inlineStr">
        <is>
          <t>Verde</t>
        </is>
      </c>
      <c r="Q387" s="156" t="n"/>
      <c r="R387" s="156" t="n"/>
      <c r="S387" s="156" t="n"/>
      <c r="T387" s="156" t="inlineStr">
        <is>
          <t>Bolsa Wrangler. Color: Verde. Talla única. Unisex. Referencia: WG130-3003GN.</t>
        </is>
      </c>
      <c r="U387" s="156" t="n"/>
      <c r="V387" s="156" t="inlineStr">
        <is>
          <t>PZS</t>
        </is>
      </c>
      <c r="W387" s="51" t="inlineStr">
        <is>
          <t>53121601</t>
        </is>
      </c>
      <c r="X387" s="156" t="inlineStr">
        <is>
          <t>https://cdn.shopify.com/s/files/1/0005/9015/1741/files/Wrangler_Aztce_Dual_Sided_Print_Crossbody_Purse_Green3.webp?v=1750662856</t>
        </is>
      </c>
      <c r="Y387" s="54" t="n">
        <v>379.5</v>
      </c>
      <c r="Z387" s="54" t="n">
        <v>649</v>
      </c>
      <c r="AA387" s="55">
        <f>IF(AND(A387="", B387="", E387=""), "", IF(AB387="", "Válido", IF((LEN(AB387)-LEN(SUBSTITUTE(AB387,"; ","")))/2+1&gt;(LEN(AB387)-LEN(SUBSTITUTE(AB387,"[Aviso]","")))/7, "Con Incidencias", "Válido")))</f>
        <v/>
      </c>
      <c r="AB387" s="56">
        <f>IF(AND(A387="", B387="", E387=""), "", TEXTJOIN("; ", TRUE, IF(OR(TRIM(A387&amp;"")="", ISNUMBER(SEARCH("FALTA", A387))), "UPC faltante/inválido", ""), IF(AND(A387&lt;&gt;"", IFERROR(_xlfn.XMATCH(A387,$A$2:$A$1063,0,1)&lt;&gt;_xlfn.XMATCH(A387,$A$2:$A$1063,0,-1),FALSE)), "Código de barras duplicado", ""), IF(AND(E387&lt;&gt;"", COUNTIF($E$2:$E$1063, E387)&gt;1), "SKU duplicado", ""), IF(OR(J387="", J387=""), "[Aviso] División no capturada ()", IF(ISNA(MATCH(J387, Criterios!$A$123:$A$126, 0)), "División no válida", "")), IF(OR(K387="", K387=""), "[Aviso] Categoría no capturada ()", IF(ISNA(MATCH(K387, Criterios!$A$81:$A$120, 0)), "Categoría no válida", IF(AND(J387&lt;&gt;"", J387&lt;&gt;"", J387&lt;&gt;VLOOKUP(K387, Criterios!$A$81:$B$120, 2, FALSE)), "División no coincide con Categoría", ""))), IF(OR(L387="", L387=""), "[Aviso] Género no capturado ()", IF(ISNA(MATCH(L387, Criterios!$B$123:$B$127, 0)), "Género no válido", "")), IF(OR(N387="", N387=""), "[Aviso] Temporada no capturada ()", IF(ISNA(MATCH(N387, Criterios!$C$123:$C$128, 0)), "Temporada no válida", "")), IF(OR(O387="", O387=""), "[Aviso] Ciclo de vida no capturado ()", IF(ISNA(MATCH(O387, Criterios!$D$123:$D$124, 0)), "Ciclo de vida no válido", ""))))</f>
        <v/>
      </c>
      <c r="AC387" s="56" t="n"/>
      <c r="AD387" s="51" t="n"/>
      <c r="AE387" s="156" t="n"/>
      <c r="AF387" s="51" t="n"/>
      <c r="AG387" s="156" t="inlineStr">
        <is>
          <t>Nuevo – Carga Hoja2 01/10/2026</t>
        </is>
      </c>
      <c r="AH387" s="156" t="inlineStr">
        <is>
          <t>Alta 01/10/2026 desde Hoja2 (fila 186) | 01/10/2026: Odoo Universal Unique Brands trae Marca «Montana West» — se conservó el valor de Productos | Homologación G1522 06/10/2026: Enlace de imagen: «» → «https://cdn.shopify.com/s/files/1/0005/9015/1741/files/Wrangler_Aztce_Dual_Sided_Print_Crossbody_Purse_Green3.webp?v=1750662856» (Completado por investigación en línea) · Validador Shopify: WB: precio con IVA no termina en 9</t>
        </is>
      </c>
      <c r="AI387" s="156" t="n"/>
      <c r="AJ387" s="156" t="n"/>
      <c r="AK387" s="155" t="inlineStr">
        <is>
          <t>Hoja2: fila 186 | Odoo: producto 27228 / plantilla 33928 | Investigación en línea 06/10/2026: https://montanawestworld.com/products/wrangler-aztce-dual-sided-print-crossbody-purse</t>
        </is>
      </c>
      <c r="AL387" s="58" t="n"/>
      <c r="AM387" s="58" t="n"/>
      <c r="AN387" s="155" t="inlineStr">
        <is>
          <t>Odoo Universal Unique Brands</t>
        </is>
      </c>
      <c r="AO387" s="59" t="n"/>
      <c r="AP387" s="59" t="n"/>
      <c r="AQ387" s="59" t="n">
        <v>2</v>
      </c>
      <c r="AR387" s="155" t="inlineStr">
        <is>
          <t>Odoo Universal Unique Brands › Bodega 25 › Bodega 25/General: 2</t>
        </is>
      </c>
    </row>
    <row r="388">
      <c r="A388" s="50" t="n"/>
      <c r="B388" s="51" t="inlineStr">
        <is>
          <t>27229</t>
        </is>
      </c>
      <c r="C388" s="156" t="inlineStr">
        <is>
          <t>Montana West</t>
        </is>
      </c>
      <c r="D388" s="156" t="n"/>
      <c r="E388" s="156" t="inlineStr">
        <is>
          <t>WG130-3003LBR</t>
        </is>
      </c>
      <c r="F388" s="156" t="inlineStr">
        <is>
          <t>Talla única</t>
        </is>
      </c>
      <c r="G388" s="156" t="inlineStr">
        <is>
          <t>One Size</t>
        </is>
      </c>
      <c r="H388" s="156" t="inlineStr">
        <is>
          <t>Montana West</t>
        </is>
      </c>
      <c r="I388" s="156" t="inlineStr">
        <is>
          <t>WB BAG</t>
        </is>
      </c>
      <c r="J388" s="156" t="inlineStr">
        <is>
          <t>Accesorios</t>
        </is>
      </c>
      <c r="K388" s="156" t="inlineStr">
        <is>
          <t>Bolsos</t>
        </is>
      </c>
      <c r="L388" s="156" t="inlineStr">
        <is>
          <t>Unisex</t>
        </is>
      </c>
      <c r="M388" s="156" t="n"/>
      <c r="N388" s="156" t="n"/>
      <c r="O388" s="156" t="n"/>
      <c r="P388" s="156" t="inlineStr">
        <is>
          <t>Cafe</t>
        </is>
      </c>
      <c r="Q388" s="156" t="n"/>
      <c r="R388" s="156" t="n"/>
      <c r="S388" s="156" t="n"/>
      <c r="T388" s="156" t="n"/>
      <c r="U388" s="156" t="n"/>
      <c r="V388" s="156" t="inlineStr">
        <is>
          <t>PZS</t>
        </is>
      </c>
      <c r="W388" s="51" t="inlineStr">
        <is>
          <t>53121601</t>
        </is>
      </c>
      <c r="X388" s="156" t="inlineStr">
        <is>
          <t>https://cdn.shopify.com/s/files/1/0005/9015/1741/files/Wrangler_Aztce_Dual_Sided_Print_Crossbody_Purse_Light_Brown3.webp?v=1750662696</t>
        </is>
      </c>
      <c r="Y388" s="54" t="n">
        <v>379.5</v>
      </c>
      <c r="Z388" s="54" t="n">
        <v>649</v>
      </c>
      <c r="AA388" s="55">
        <f>IF(AND(A388="", B388="", E388=""), "", IF(AB388="", "Válido", IF((LEN(AB388)-LEN(SUBSTITUTE(AB388,"; ","")))/2+1&gt;(LEN(AB388)-LEN(SUBSTITUTE(AB388,"[Aviso]","")))/7, "Con Incidencias", "Válido")))</f>
        <v/>
      </c>
      <c r="AB388" s="56">
        <f>IF(AND(A388="", B388="", E388=""), "", TEXTJOIN("; ", TRUE, IF(OR(TRIM(A388&amp;"")="", ISNUMBER(SEARCH("FALTA", A388))), "UPC faltante/inválido", ""), IF(AND(A388&lt;&gt;"", IFERROR(_xlfn.XMATCH(A388,$A$2:$A$1063,0,1)&lt;&gt;_xlfn.XMATCH(A388,$A$2:$A$1063,0,-1),FALSE)), "Código de barras duplicado", ""), IF(AND(E388&lt;&gt;"", COUNTIF($E$2:$E$1063, E388)&gt;1), "SKU duplicado", ""), IF(OR(J388="", J388=""), "[Aviso] División no capturada ()", IF(ISNA(MATCH(J388, Criterios!$A$123:$A$126, 0)), "División no válida", "")), IF(OR(K388="", K388=""), "[Aviso] Categoría no capturada ()", IF(ISNA(MATCH(K388, Criterios!$A$81:$A$120, 0)), "Categoría no válida", IF(AND(J388&lt;&gt;"", J388&lt;&gt;"", J388&lt;&gt;VLOOKUP(K388, Criterios!$A$81:$B$120, 2, FALSE)), "División no coincide con Categoría", ""))), IF(OR(L388="", L388=""), "[Aviso] Género no capturado ()", IF(ISNA(MATCH(L388, Criterios!$B$123:$B$127, 0)), "Género no válido", "")), IF(OR(N388="", N388=""), "[Aviso] Temporada no capturada ()", IF(ISNA(MATCH(N388, Criterios!$C$123:$C$128, 0)), "Temporada no válida", "")), IF(OR(O388="", O388=""), "[Aviso] Ciclo de vida no capturado ()", IF(ISNA(MATCH(O388, Criterios!$D$123:$D$124, 0)), "Ciclo de vida no válido", ""))))</f>
        <v/>
      </c>
      <c r="AC388" s="56" t="n"/>
      <c r="AD388" s="51" t="n"/>
      <c r="AE388" s="156" t="n"/>
      <c r="AF388" s="51" t="n"/>
      <c r="AG388" s="156" t="inlineStr">
        <is>
          <t>Nuevo – Carga Hoja2 01/10/2026</t>
        </is>
      </c>
      <c r="AH388" s="156" t="inlineStr">
        <is>
          <t>Alta 01/10/2026 desde Hoja2 (fila 187) | 01/10/2026: complementado desde Odoo Universal Unique Brands (match por SKU): WB Talla, WB Talla de EE. UU., WB Género | Homologación G1522 06/10/2026: Enlace de imagen: «» → «https://cdn.shopify.com/s/files/1/0005/9015/1741/files/Wrangler_Aztce_Dual_Sided_Print_Crossbody_Purse_Light_Brown3.webp?v=1750662696» (Completado por investigación en línea) · WB Color: «» → «Cafe»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388" s="156" t="n"/>
      <c r="AJ388" s="156" t="n"/>
      <c r="AK388" s="155" t="inlineStr">
        <is>
          <t>Hoja2: fila 187 | Odoo: producto 27229 / plantilla 33929 | Investigación en línea 06/10/2026: https://montanawestworld.com/products/wrangler-aztce-dual-sided-print-crossbody-purse</t>
        </is>
      </c>
      <c r="AL388" s="58" t="n"/>
      <c r="AM388" s="58" t="n"/>
      <c r="AN388" s="155" t="inlineStr">
        <is>
          <t>Odoo Universal Unique Brands</t>
        </is>
      </c>
      <c r="AO388" s="59" t="n"/>
      <c r="AP388" s="59" t="n"/>
      <c r="AQ388" s="59" t="n">
        <v>1</v>
      </c>
      <c r="AR388" s="155" t="inlineStr">
        <is>
          <t>Odoo Universal Unique Brands › Bodega 25 › Bodega 25/General: 1</t>
        </is>
      </c>
    </row>
    <row r="389">
      <c r="A389" s="50" t="inlineStr">
        <is>
          <t>717325229503</t>
        </is>
      </c>
      <c r="B389" s="51" t="inlineStr">
        <is>
          <t>27231</t>
        </is>
      </c>
      <c r="C389" s="156" t="inlineStr">
        <is>
          <t>Wrangler</t>
        </is>
      </c>
      <c r="D389" s="156" t="inlineStr">
        <is>
          <t>WG130-3003NY</t>
        </is>
      </c>
      <c r="E389" s="156" t="inlineStr">
        <is>
          <t>WG130-3003NY</t>
        </is>
      </c>
      <c r="F389" s="156" t="inlineStr">
        <is>
          <t>Talla única</t>
        </is>
      </c>
      <c r="G389" s="156" t="inlineStr">
        <is>
          <t>One Size</t>
        </is>
      </c>
      <c r="H389" s="156" t="inlineStr">
        <is>
          <t>Wrangler</t>
        </is>
      </c>
      <c r="I389" s="156" t="inlineStr">
        <is>
          <t>Bolsa Wrangler Azul Marino</t>
        </is>
      </c>
      <c r="J389" s="156" t="inlineStr">
        <is>
          <t>Accesorios</t>
        </is>
      </c>
      <c r="K389" s="156" t="inlineStr">
        <is>
          <t>Bolsos</t>
        </is>
      </c>
      <c r="L389" s="156" t="inlineStr">
        <is>
          <t>Unisex</t>
        </is>
      </c>
      <c r="M389" s="156" t="inlineStr">
        <is>
          <t>Wrangler</t>
        </is>
      </c>
      <c r="N389" s="156" t="n"/>
      <c r="O389" s="156" t="inlineStr">
        <is>
          <t>Core</t>
        </is>
      </c>
      <c r="P389" s="156" t="inlineStr">
        <is>
          <t>Azul</t>
        </is>
      </c>
      <c r="Q389" s="156" t="n"/>
      <c r="R389" s="156" t="n"/>
      <c r="S389" s="156" t="n"/>
      <c r="T389" s="156" t="inlineStr">
        <is>
          <t>Bolsa Wrangler. Color: Azul Marino. Talla única. Unisex. Referencia: WG130-3003NY.</t>
        </is>
      </c>
      <c r="U389" s="156" t="n"/>
      <c r="V389" s="156" t="inlineStr">
        <is>
          <t>PZS</t>
        </is>
      </c>
      <c r="W389" s="51" t="inlineStr">
        <is>
          <t>53121601</t>
        </is>
      </c>
      <c r="X389" s="156" t="inlineStr">
        <is>
          <t>https://cdn.shopify.com/s/files/1/0005/9015/1741/files/Wrangler_Aztce_Dual_Sided_Print_Crossbody_Purse_Navy3.webp?v=1750662896</t>
        </is>
      </c>
      <c r="Y389" s="54" t="n">
        <v>379.5</v>
      </c>
      <c r="Z389" s="54" t="n">
        <v>649</v>
      </c>
      <c r="AA389" s="55">
        <f>IF(AND(A389="", B389="", E389=""), "", IF(AB389="", "Válido", IF((LEN(AB389)-LEN(SUBSTITUTE(AB389,"; ","")))/2+1&gt;(LEN(AB389)-LEN(SUBSTITUTE(AB389,"[Aviso]","")))/7, "Con Incidencias", "Válido")))</f>
        <v/>
      </c>
      <c r="AB389" s="56">
        <f>IF(AND(A389="", B389="", E389=""), "", TEXTJOIN("; ", TRUE, IF(OR(TRIM(A389&amp;"")="", ISNUMBER(SEARCH("FALTA", A389))), "UPC faltante/inválido", ""), IF(AND(A389&lt;&gt;"", IFERROR(_xlfn.XMATCH(A389,$A$2:$A$1063,0,1)&lt;&gt;_xlfn.XMATCH(A389,$A$2:$A$1063,0,-1),FALSE)), "Código de barras duplicado", ""), IF(AND(E389&lt;&gt;"", COUNTIF($E$2:$E$1063, E389)&gt;1), "SKU duplicado", ""), IF(OR(J389="", J389=""), "[Aviso] División no capturada ()", IF(ISNA(MATCH(J389, Criterios!$A$123:$A$126, 0)), "División no válida", "")), IF(OR(K389="", K389=""), "[Aviso] Categoría no capturada ()", IF(ISNA(MATCH(K389, Criterios!$A$81:$A$120, 0)), "Categoría no válida", IF(AND(J389&lt;&gt;"", J389&lt;&gt;"", J389&lt;&gt;VLOOKUP(K389, Criterios!$A$81:$B$120, 2, FALSE)), "División no coincide con Categoría", ""))), IF(OR(L389="", L389=""), "[Aviso] Género no capturado ()", IF(ISNA(MATCH(L389, Criterios!$B$123:$B$127, 0)), "Género no válido", "")), IF(OR(N389="", N389=""), "[Aviso] Temporada no capturada ()", IF(ISNA(MATCH(N389, Criterios!$C$123:$C$128, 0)), "Temporada no válida", "")), IF(OR(O389="", O389=""), "[Aviso] Ciclo de vida no capturado ()", IF(ISNA(MATCH(O389, Criterios!$D$123:$D$124, 0)), "Ciclo de vida no válido", ""))))</f>
        <v/>
      </c>
      <c r="AC389" s="56" t="n"/>
      <c r="AD389" s="51" t="n"/>
      <c r="AE389" s="156" t="n"/>
      <c r="AF389" s="51" t="n"/>
      <c r="AG389" s="156" t="inlineStr">
        <is>
          <t>Nuevo – Carga Hoja2 01/10/2026</t>
        </is>
      </c>
      <c r="AH389" s="156" t="inlineStr">
        <is>
          <t>Alta 01/10/2026 desde Hoja2 (fila 188) | 01/10/2026: Odoo Universal Unique Brands trae Marca «Montana West» — se conservó el valor de Productos | Homologación G1522 06/10/2026: Enlace de imagen: «» → «https://cdn.shopify.com/s/files/1/0005/9015/1741/files/Wrangler_Aztce_Dual_Sided_Print_Crossbody_Purse_Navy3.webp?v=1750662896» (Completado por investigación en línea) · Validador Shopify: WB: precio con IVA no termina en 9</t>
        </is>
      </c>
      <c r="AI389" s="156" t="n"/>
      <c r="AJ389" s="156" t="n"/>
      <c r="AK389" s="155" t="inlineStr">
        <is>
          <t>Hoja2: fila 188 | Odoo: producto 27231 / plantilla 33931 | Investigación en línea 06/10/2026: https://montanawestworld.com/products/wrangler-aztce-dual-sided-print-crossbody-purse</t>
        </is>
      </c>
      <c r="AL389" s="58" t="n"/>
      <c r="AM389" s="58" t="n"/>
      <c r="AN389" s="155" t="inlineStr">
        <is>
          <t>Odoo Universal Unique Brands</t>
        </is>
      </c>
      <c r="AO389" s="59" t="n"/>
      <c r="AP389" s="59" t="n"/>
      <c r="AQ389" s="59" t="n">
        <v>-2</v>
      </c>
      <c r="AR389" s="155" t="n"/>
    </row>
    <row r="390">
      <c r="A390" s="50" t="n"/>
      <c r="B390" s="51" t="inlineStr">
        <is>
          <t>27232</t>
        </is>
      </c>
      <c r="C390" s="156" t="inlineStr">
        <is>
          <t>Montana West</t>
        </is>
      </c>
      <c r="D390" s="156" t="n"/>
      <c r="E390" s="156" t="inlineStr">
        <is>
          <t>WG133-194BK</t>
        </is>
      </c>
      <c r="F390" s="156" t="inlineStr">
        <is>
          <t>Talla única</t>
        </is>
      </c>
      <c r="G390" s="156" t="inlineStr">
        <is>
          <t>One Size</t>
        </is>
      </c>
      <c r="H390" s="156" t="inlineStr">
        <is>
          <t>Montana West</t>
        </is>
      </c>
      <c r="I390" s="156" t="inlineStr">
        <is>
          <t>WG Handbag</t>
        </is>
      </c>
      <c r="J390" s="156" t="inlineStr">
        <is>
          <t>Accesorios</t>
        </is>
      </c>
      <c r="K390" s="156" t="inlineStr">
        <is>
          <t>Bolsos</t>
        </is>
      </c>
      <c r="L390" s="156" t="inlineStr">
        <is>
          <t>Unisex</t>
        </is>
      </c>
      <c r="M390" s="156" t="n"/>
      <c r="N390" s="156" t="n"/>
      <c r="O390" s="156" t="n"/>
      <c r="P390" s="156" t="n"/>
      <c r="Q390" s="156" t="n"/>
      <c r="R390" s="156" t="n"/>
      <c r="S390" s="156" t="n"/>
      <c r="T390" s="156" t="n"/>
      <c r="U390" s="156" t="n"/>
      <c r="V390" s="156" t="inlineStr">
        <is>
          <t>PZS</t>
        </is>
      </c>
      <c r="W390" s="51" t="inlineStr">
        <is>
          <t>53121601</t>
        </is>
      </c>
      <c r="X390" s="156" t="n"/>
      <c r="Y390" s="54" t="n">
        <v>345</v>
      </c>
      <c r="Z390" s="54" t="n">
        <v>599</v>
      </c>
      <c r="AA390" s="55">
        <f>IF(AND(A390="", B390="", E390=""), "", IF(AB390="", "Válido", IF((LEN(AB390)-LEN(SUBSTITUTE(AB390,"; ","")))/2+1&gt;(LEN(AB390)-LEN(SUBSTITUTE(AB390,"[Aviso]","")))/7, "Con Incidencias", "Válido")))</f>
        <v/>
      </c>
      <c r="AB390" s="56">
        <f>IF(AND(A390="", B390="", E390=""), "", TEXTJOIN("; ", TRUE, IF(OR(TRIM(A390&amp;"")="", ISNUMBER(SEARCH("FALTA", A390))), "UPC faltante/inválido", ""), IF(AND(A390&lt;&gt;"", IFERROR(_xlfn.XMATCH(A390,$A$2:$A$1063,0,1)&lt;&gt;_xlfn.XMATCH(A390,$A$2:$A$1063,0,-1),FALSE)), "Código de barras duplicado", ""), IF(AND(E390&lt;&gt;"", COUNTIF($E$2:$E$1063, E390)&gt;1), "SKU duplicado", ""), IF(OR(J390="", J390=""), "[Aviso] División no capturada ()", IF(ISNA(MATCH(J390, Criterios!$A$123:$A$126, 0)), "División no válida", "")), IF(OR(K390="", K390=""), "[Aviso] Categoría no capturada ()", IF(ISNA(MATCH(K390, Criterios!$A$81:$A$120, 0)), "Categoría no válida", IF(AND(J390&lt;&gt;"", J390&lt;&gt;"", J390&lt;&gt;VLOOKUP(K390, Criterios!$A$81:$B$120, 2, FALSE)), "División no coincide con Categoría", ""))), IF(OR(L390="", L390=""), "[Aviso] Género no capturado ()", IF(ISNA(MATCH(L390, Criterios!$B$123:$B$127, 0)), "Género no válido", "")), IF(OR(N390="", N390=""), "[Aviso] Temporada no capturada ()", IF(ISNA(MATCH(N390, Criterios!$C$123:$C$128, 0)), "Temporada no válida", "")), IF(OR(O390="", O390=""), "[Aviso] Ciclo de vida no capturado ()", IF(ISNA(MATCH(O390, Criterios!$D$123:$D$124, 0)), "Ciclo de vida no válido", ""))))</f>
        <v/>
      </c>
      <c r="AC390" s="56" t="n"/>
      <c r="AD390" s="51" t="n"/>
      <c r="AE390" s="156" t="n"/>
      <c r="AF390" s="51" t="n"/>
      <c r="AG390" s="156" t="inlineStr">
        <is>
          <t>Nuevo – Carga Hoja2 01/10/2026</t>
        </is>
      </c>
      <c r="AH390" s="156" t="inlineStr">
        <is>
          <t>Alta 01/10/2026 desde Hoja2 (fila 189) | 01/10/2026: complementado desde Odoo Universal Unique Brands (match por SKU): WB Talla, WB Talla de EE. UU., WB Género | Homologación G1522 06/10/2026: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390" s="156" t="n"/>
      <c r="AJ390" s="156" t="n"/>
      <c r="AK390" s="155" t="inlineStr">
        <is>
          <t>Hoja2: fila 189 | Odoo: producto 12506 / plantilla 16083 | Odoo: producto 27232 / plantilla 33932</t>
        </is>
      </c>
      <c r="AL390" s="58" t="n"/>
      <c r="AM390" s="58" t="n"/>
      <c r="AN390" s="155" t="inlineStr">
        <is>
          <t>Odoo Universal Unique Brands</t>
        </is>
      </c>
      <c r="AO390" s="59" t="n"/>
      <c r="AP390" s="59" t="n"/>
      <c r="AQ390" s="59" t="n">
        <v>22</v>
      </c>
      <c r="AR390" s="155" t="inlineStr">
        <is>
          <t>Odoo Universal Unique Brands › Bodega 25 › Bodega 25/General: 16 | Odoo Universal Unique Brands › Bodega 25 › Bodega 25/General: 6</t>
        </is>
      </c>
    </row>
    <row r="391">
      <c r="A391" s="50" t="n"/>
      <c r="B391" s="51" t="inlineStr">
        <is>
          <t>27235</t>
        </is>
      </c>
      <c r="C391" s="156" t="inlineStr">
        <is>
          <t>Montana West</t>
        </is>
      </c>
      <c r="D391" s="156" t="inlineStr">
        <is>
          <t>WG133-8120SBR</t>
        </is>
      </c>
      <c r="E391" s="156" t="inlineStr">
        <is>
          <t>WG133-8120SBR</t>
        </is>
      </c>
      <c r="F391" s="156" t="inlineStr">
        <is>
          <t>Talla única</t>
        </is>
      </c>
      <c r="G391" s="156" t="inlineStr">
        <is>
          <t>One Size</t>
        </is>
      </c>
      <c r="H391" s="156" t="inlineStr">
        <is>
          <t>Montana West</t>
        </is>
      </c>
      <c r="I391" s="156" t="inlineStr">
        <is>
          <t>Bolsa Tote Cruzada Wrangler Estampado De Vaca Con Compartimento Oculto</t>
        </is>
      </c>
      <c r="J391" s="156" t="inlineStr">
        <is>
          <t>Accesorios</t>
        </is>
      </c>
      <c r="K391" s="156" t="inlineStr">
        <is>
          <t>Bolsos</t>
        </is>
      </c>
      <c r="L391" s="156" t="inlineStr">
        <is>
          <t>Unisex</t>
        </is>
      </c>
      <c r="M391" s="156" t="inlineStr">
        <is>
          <t>Wrangler</t>
        </is>
      </c>
      <c r="N391" s="156" t="n"/>
      <c r="O391" s="156" t="n"/>
      <c r="P391" s="156" t="inlineStr">
        <is>
          <t>Cafe</t>
        </is>
      </c>
      <c r="Q391" s="156" t="n"/>
      <c r="R391" s="156" t="n"/>
      <c r="S391" s="156" t="n"/>
      <c r="T391" s="156" t="inlineStr">
        <is>
          <t>Bolsa Tote Cruzada</t>
        </is>
      </c>
      <c r="U391" s="156" t="inlineStr">
        <is>
          <t>México</t>
        </is>
      </c>
      <c r="V391" s="156" t="inlineStr">
        <is>
          <t>PZS</t>
        </is>
      </c>
      <c r="W391" s="51" t="inlineStr">
        <is>
          <t>53121601</t>
        </is>
      </c>
      <c r="X391" s="156" t="inlineStr">
        <is>
          <t>https://cdn.shopify.com/s/files/1/0005/9015/1741/files/WG133-8120SBR.webp?v=1787711315</t>
        </is>
      </c>
      <c r="Y391" s="54" t="n">
        <v>483</v>
      </c>
      <c r="Z391" s="54" t="n">
        <v>799</v>
      </c>
      <c r="AA391" s="55">
        <f>IF(AND(A391="", B391="", E391=""), "", IF(AB391="", "Válido", IF((LEN(AB391)-LEN(SUBSTITUTE(AB391,"; ","")))/2+1&gt;(LEN(AB391)-LEN(SUBSTITUTE(AB391,"[Aviso]","")))/7, "Con Incidencias", "Válido")))</f>
        <v/>
      </c>
      <c r="AB391" s="56">
        <f>IF(AND(A391="", B391="", E391=""), "", TEXTJOIN("; ", TRUE, IF(OR(TRIM(A391&amp;"")="", ISNUMBER(SEARCH("FALTA", A391))), "UPC faltante/inválido", ""), IF(AND(A391&lt;&gt;"", IFERROR(_xlfn.XMATCH(A391,$A$2:$A$1063,0,1)&lt;&gt;_xlfn.XMATCH(A391,$A$2:$A$1063,0,-1),FALSE)), "Código de barras duplicado", ""), IF(AND(E391&lt;&gt;"", COUNTIF($E$2:$E$1063, E391)&gt;1), "SKU duplicado", ""), IF(OR(J391="", J391=""), "[Aviso] División no capturada ()", IF(ISNA(MATCH(J391, Criterios!$A$123:$A$126, 0)), "División no válida", "")), IF(OR(K391="", K391=""), "[Aviso] Categoría no capturada ()", IF(ISNA(MATCH(K391, Criterios!$A$81:$A$120, 0)), "Categoría no válida", IF(AND(J391&lt;&gt;"", J391&lt;&gt;"", J391&lt;&gt;VLOOKUP(K391, Criterios!$A$81:$B$120, 2, FALSE)), "División no coincide con Categoría", ""))), IF(OR(L391="", L391=""), "[Aviso] Género no capturado ()", IF(ISNA(MATCH(L391, Criterios!$B$123:$B$127, 0)), "Género no válido", "")), IF(OR(N391="", N391=""), "[Aviso] Temporada no capturada ()", IF(ISNA(MATCH(N391, Criterios!$C$123:$C$128, 0)), "Temporada no válida", "")), IF(OR(O391="", O391=""), "[Aviso] Ciclo de vida no capturado ()", IF(ISNA(MATCH(O391, Criterios!$D$123:$D$124, 0)), "Ciclo de vida no válido", ""))))</f>
        <v/>
      </c>
      <c r="AC391" s="56" t="n"/>
      <c r="AD391" s="51" t="n"/>
      <c r="AE391" s="156" t="n"/>
      <c r="AF391" s="51" t="n"/>
      <c r="AG391" s="156" t="inlineStr">
        <is>
          <t>Nuevo – Carga Hoja2 01/10/2026</t>
        </is>
      </c>
      <c r="AH391" s="156" t="inlineStr">
        <is>
          <t>Alta 01/10/2026 desde Hoja2 (fila 190) | 01/10/2026: complementado desde Odoo Universal Unique Brands (match por SKU): WB N.º de estilo, WB Talla, WB Talla de EE. UU., WB Descripcion (antes «WG BAG»), WB Género, WB Licencia, WB Color, WB Descripción larga, WB País de origen | 01/10/2026: Odoo Universal Unique Brands trae Marca «Wrangler» — se conservó el valor de Productos | Homologación G1522 06/10/2026: Enlace de imagen: «» → «https://cdn.shopify.com/s/files/1/0005/9015/1741/files/WG133-8120SBR.webp?v=1787711315» (Completado por investigación en línea)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391" s="156" t="n"/>
      <c r="AJ391" s="156" t="n"/>
      <c r="AK391" s="155" t="inlineStr">
        <is>
          <t>Hoja2: fila 190 | Odoo: producto 11195 / plantilla 14630 | Odoo: producto 27235 / plantilla 33935 | Investigación en línea 06/10/2026: https://montanawestworld.com/products/wrangler-cow-print-concealed-carry-crossbody-bag</t>
        </is>
      </c>
      <c r="AL391" s="58" t="n"/>
      <c r="AM391" s="58" t="n"/>
      <c r="AN391" s="155" t="inlineStr">
        <is>
          <t>Odoo Universal Unique Brands</t>
        </is>
      </c>
      <c r="AO391" s="59" t="n"/>
      <c r="AP391" s="59" t="n"/>
      <c r="AQ391" s="59" t="n">
        <v>87</v>
      </c>
      <c r="AR391" s="155" t="inlineStr">
        <is>
          <t>Odoo Universal Unique Brands › Bodega 25 › Bodega 25/General: 87</t>
        </is>
      </c>
    </row>
    <row r="392">
      <c r="A392" s="50" t="inlineStr">
        <is>
          <t>717019710058</t>
        </is>
      </c>
      <c r="B392" s="51" t="inlineStr">
        <is>
          <t>27237</t>
        </is>
      </c>
      <c r="C392" s="156" t="inlineStr">
        <is>
          <t>Wrangler</t>
        </is>
      </c>
      <c r="D392" s="156" t="inlineStr">
        <is>
          <t>WG133-8603PK</t>
        </is>
      </c>
      <c r="E392" s="156" t="inlineStr">
        <is>
          <t>WG133-8603PK</t>
        </is>
      </c>
      <c r="F392" s="156" t="inlineStr">
        <is>
          <t>Talla única</t>
        </is>
      </c>
      <c r="G392" s="156" t="inlineStr">
        <is>
          <t>One Size</t>
        </is>
      </c>
      <c r="H392" s="156" t="inlineStr">
        <is>
          <t>Wrangler</t>
        </is>
      </c>
      <c r="I392" s="156" t="inlineStr">
        <is>
          <t>Mochila Wrangler Rosa</t>
        </is>
      </c>
      <c r="J392" s="156" t="inlineStr">
        <is>
          <t>Accesorios</t>
        </is>
      </c>
      <c r="K392" s="156" t="inlineStr">
        <is>
          <t>Mochilas</t>
        </is>
      </c>
      <c r="L392" s="156" t="inlineStr">
        <is>
          <t>Unisex</t>
        </is>
      </c>
      <c r="M392" s="156" t="inlineStr">
        <is>
          <t>Wrangler</t>
        </is>
      </c>
      <c r="N392" s="156" t="n"/>
      <c r="O392" s="156" t="inlineStr">
        <is>
          <t>Core</t>
        </is>
      </c>
      <c r="P392" s="156" t="inlineStr">
        <is>
          <t>Rosa</t>
        </is>
      </c>
      <c r="Q392" s="156" t="n"/>
      <c r="R392" s="156" t="n"/>
      <c r="S392" s="156" t="n"/>
      <c r="T392" s="156" t="inlineStr">
        <is>
          <t>Mochila Wrangler. Color: Rosa. Talla única. Unisex. Referencia: WG133-8603PK.</t>
        </is>
      </c>
      <c r="U392" s="156" t="n"/>
      <c r="V392" s="156" t="inlineStr">
        <is>
          <t>PZS</t>
        </is>
      </c>
      <c r="W392" s="51" t="inlineStr">
        <is>
          <t>53121601</t>
        </is>
      </c>
      <c r="X392" s="156" t="inlineStr">
        <is>
          <t>https://cdn.shopify.com/s/files/1/0005/9015/1741/files/Wrangler_Cow_Print_Backpack_MP.webp?v=1760583712</t>
        </is>
      </c>
      <c r="Y392" s="54" t="n">
        <v>379.5</v>
      </c>
      <c r="Z392" s="54" t="n">
        <v>649</v>
      </c>
      <c r="AA392" s="55">
        <f>IF(AND(A392="", B392="", E392=""), "", IF(AB392="", "Válido", IF((LEN(AB392)-LEN(SUBSTITUTE(AB392,"; ","")))/2+1&gt;(LEN(AB392)-LEN(SUBSTITUTE(AB392,"[Aviso]","")))/7, "Con Incidencias", "Válido")))</f>
        <v/>
      </c>
      <c r="AB392" s="56">
        <f>IF(AND(A392="", B392="", E392=""), "", TEXTJOIN("; ", TRUE, IF(OR(TRIM(A392&amp;"")="", ISNUMBER(SEARCH("FALTA", A392))), "UPC faltante/inválido", ""), IF(AND(A392&lt;&gt;"", IFERROR(_xlfn.XMATCH(A392,$A$2:$A$1063,0,1)&lt;&gt;_xlfn.XMATCH(A392,$A$2:$A$1063,0,-1),FALSE)), "Código de barras duplicado", ""), IF(AND(E392&lt;&gt;"", COUNTIF($E$2:$E$1063, E392)&gt;1), "SKU duplicado", ""), IF(OR(J392="", J392=""), "[Aviso] División no capturada ()", IF(ISNA(MATCH(J392, Criterios!$A$123:$A$126, 0)), "División no válida", "")), IF(OR(K392="", K392=""), "[Aviso] Categoría no capturada ()", IF(ISNA(MATCH(K392, Criterios!$A$81:$A$120, 0)), "Categoría no válida", IF(AND(J392&lt;&gt;"", J392&lt;&gt;"", J392&lt;&gt;VLOOKUP(K392, Criterios!$A$81:$B$120, 2, FALSE)), "División no coincide con Categoría", ""))), IF(OR(L392="", L392=""), "[Aviso] Género no capturado ()", IF(ISNA(MATCH(L392, Criterios!$B$123:$B$127, 0)), "Género no válido", "")), IF(OR(N392="", N392=""), "[Aviso] Temporada no capturada ()", IF(ISNA(MATCH(N392, Criterios!$C$123:$C$128, 0)), "Temporada no válida", "")), IF(OR(O392="", O392=""), "[Aviso] Ciclo de vida no capturado ()", IF(ISNA(MATCH(O392, Criterios!$D$123:$D$124, 0)), "Ciclo de vida no válido", ""))))</f>
        <v/>
      </c>
      <c r="AC392" s="56" t="n"/>
      <c r="AD392" s="51" t="n"/>
      <c r="AE392" s="156" t="n"/>
      <c r="AF392" s="51" t="n"/>
      <c r="AG392" s="156" t="inlineStr">
        <is>
          <t>Nuevo – Carga Hoja2 01/10/2026</t>
        </is>
      </c>
      <c r="AH392" s="156" t="inlineStr">
        <is>
          <t>Alta 01/10/2026 desde Hoja2 (fila 191) | 01/10/2026: Odoo Universal Unique Brands trae Marca «Montana West» — se conservó el valor de Productos | Homologación G1522 06/10/2026: Enlace de imagen: «» → «https://cdn.shopify.com/s/files/1/0005/9015/1741/files/Wrangler_Cow_Print_Backpack_MP.webp?v=1760583712» (Completado por investigación en línea) · Validador Shopify: WB: precio con IVA no termina en 9</t>
        </is>
      </c>
      <c r="AI392" s="156" t="n"/>
      <c r="AJ392" s="156" t="n"/>
      <c r="AK392" s="155" t="inlineStr">
        <is>
          <t>Hoja2: fila 191 | Odoo: producto 27237 / plantilla 33937 | Investigación en línea 06/10/2026: https://montanawestworld.com/products/wrangler-cow-print-backpack</t>
        </is>
      </c>
      <c r="AL392" s="58" t="n"/>
      <c r="AM392" s="58" t="n"/>
      <c r="AN392" s="155" t="inlineStr">
        <is>
          <t>Odoo Universal Unique Brands</t>
        </is>
      </c>
      <c r="AO392" s="59" t="n"/>
      <c r="AP392" s="59" t="n"/>
      <c r="AQ392" s="59" t="n">
        <v>6</v>
      </c>
      <c r="AR392" s="155" t="inlineStr">
        <is>
          <t>Odoo Universal Unique Brands › Bodega 25 › Bodega 25/General: 6</t>
        </is>
      </c>
    </row>
    <row r="393">
      <c r="A393" s="50" t="inlineStr">
        <is>
          <t>717325228964</t>
        </is>
      </c>
      <c r="B393" s="51" t="inlineStr">
        <is>
          <t>27243</t>
        </is>
      </c>
      <c r="C393" s="156" t="inlineStr">
        <is>
          <t>Wrangler</t>
        </is>
      </c>
      <c r="D393" s="156" t="inlineStr">
        <is>
          <t>WG137-W0092BR</t>
        </is>
      </c>
      <c r="E393" s="156" t="inlineStr">
        <is>
          <t>WG137-W0092BR</t>
        </is>
      </c>
      <c r="F393" s="156" t="inlineStr">
        <is>
          <t>Talla única</t>
        </is>
      </c>
      <c r="G393" s="156" t="inlineStr">
        <is>
          <t>One Size</t>
        </is>
      </c>
      <c r="H393" s="156" t="inlineStr">
        <is>
          <t>Wrangler</t>
        </is>
      </c>
      <c r="I393" s="156" t="inlineStr">
        <is>
          <t>Cartera Tarjetero Muñequera Con Llavero Wrangler Estampado De Leopardo Café</t>
        </is>
      </c>
      <c r="J393" s="156" t="inlineStr">
        <is>
          <t>Accesorios</t>
        </is>
      </c>
      <c r="K393" s="156" t="inlineStr">
        <is>
          <t>Carteras</t>
        </is>
      </c>
      <c r="L393" s="156" t="inlineStr">
        <is>
          <t>Unisex</t>
        </is>
      </c>
      <c r="M393" s="156" t="inlineStr">
        <is>
          <t>Wrangler</t>
        </is>
      </c>
      <c r="N393" s="156" t="n"/>
      <c r="O393" s="156" t="inlineStr">
        <is>
          <t>Core</t>
        </is>
      </c>
      <c r="P393" s="156" t="inlineStr">
        <is>
          <t>Cafe</t>
        </is>
      </c>
      <c r="Q393" s="156" t="n"/>
      <c r="R393" s="156" t="n"/>
      <c r="S393" s="156" t="n"/>
      <c r="T393" s="156" t="inlineStr">
        <is>
          <t>Cartera Tarjetero Muñequera Con Llavero Wrangler. Modelo: Estampado De Leopardo. Color: Café. Talla única. Unisex. Referencia: WG137-W0092BR.</t>
        </is>
      </c>
      <c r="U393" s="156" t="n"/>
      <c r="V393" s="156" t="inlineStr">
        <is>
          <t>PZS</t>
        </is>
      </c>
      <c r="W393" s="51" t="inlineStr">
        <is>
          <t>53121700</t>
        </is>
      </c>
      <c r="X393" s="156" t="n"/>
      <c r="Y393" s="54" t="n">
        <v>189.75</v>
      </c>
      <c r="Z393" s="54" t="n">
        <v>349</v>
      </c>
      <c r="AA393" s="55">
        <f>IF(AND(A393="", B393="", E393=""), "", IF(AB393="", "Válido", IF((LEN(AB393)-LEN(SUBSTITUTE(AB393,"; ","")))/2+1&gt;(LEN(AB393)-LEN(SUBSTITUTE(AB393,"[Aviso]","")))/7, "Con Incidencias", "Válido")))</f>
        <v/>
      </c>
      <c r="AB393" s="56">
        <f>IF(AND(A393="", B393="", E393=""), "", TEXTJOIN("; ", TRUE, IF(OR(TRIM(A393&amp;"")="", ISNUMBER(SEARCH("FALTA", A393))), "UPC faltante/inválido", ""), IF(AND(A393&lt;&gt;"", IFERROR(_xlfn.XMATCH(A393,$A$2:$A$1063,0,1)&lt;&gt;_xlfn.XMATCH(A393,$A$2:$A$1063,0,-1),FALSE)), "Código de barras duplicado", ""), IF(AND(E393&lt;&gt;"", COUNTIF($E$2:$E$1063, E393)&gt;1), "SKU duplicado", ""), IF(OR(J393="", J393=""), "[Aviso] División no capturada ()", IF(ISNA(MATCH(J393, Criterios!$A$123:$A$126, 0)), "División no válida", "")), IF(OR(K393="", K393=""), "[Aviso] Categoría no capturada ()", IF(ISNA(MATCH(K393, Criterios!$A$81:$A$120, 0)), "Categoría no válida", IF(AND(J393&lt;&gt;"", J393&lt;&gt;"", J393&lt;&gt;VLOOKUP(K393, Criterios!$A$81:$B$120, 2, FALSE)), "División no coincide con Categoría", ""))), IF(OR(L393="", L393=""), "[Aviso] Género no capturado ()", IF(ISNA(MATCH(L393, Criterios!$B$123:$B$127, 0)), "Género no válido", "")), IF(OR(N393="", N393=""), "[Aviso] Temporada no capturada ()", IF(ISNA(MATCH(N393, Criterios!$C$123:$C$128, 0)), "Temporada no válida", "")), IF(OR(O393="", O393=""), "[Aviso] Ciclo de vida no capturado ()", IF(ISNA(MATCH(O393, Criterios!$D$123:$D$124, 0)), "Ciclo de vida no válido", ""))))</f>
        <v/>
      </c>
      <c r="AC393" s="56" t="n"/>
      <c r="AD393" s="51" t="n"/>
      <c r="AE393" s="156" t="n"/>
      <c r="AF393" s="51" t="n"/>
      <c r="AG393" s="156" t="inlineStr">
        <is>
          <t>Nuevo – Carga Hoja2 01/10/2026</t>
        </is>
      </c>
      <c r="AH393" s="156" t="inlineStr">
        <is>
          <t>Alta 01/10/2026 desde Hoja2 (fila 192) | 01/10/2026: Odoo Universal Unique Brands trae Marca «Montana West» — se conservó el valor de Productos | Homologación G1522 06/10/2026: Validador Shopify: WB: precio con IVA no termina en 9</t>
        </is>
      </c>
      <c r="AI393" s="156" t="n"/>
      <c r="AJ393" s="156" t="n"/>
      <c r="AK393" s="155" t="inlineStr">
        <is>
          <t>Hoja2: fila 192 | Odoo: producto 27243 / plantilla 33943</t>
        </is>
      </c>
      <c r="AL393" s="58" t="n"/>
      <c r="AM393" s="58" t="n"/>
      <c r="AN393" s="155" t="inlineStr">
        <is>
          <t>Odoo Universal Unique Brands</t>
        </is>
      </c>
      <c r="AO393" s="59" t="n"/>
      <c r="AP393" s="59" t="n"/>
      <c r="AQ393" s="59" t="n">
        <v>0</v>
      </c>
      <c r="AR393" s="155" t="n"/>
    </row>
    <row r="394">
      <c r="A394" s="50" t="inlineStr">
        <is>
          <t>717325229077</t>
        </is>
      </c>
      <c r="B394" s="51" t="inlineStr">
        <is>
          <t>27246</t>
        </is>
      </c>
      <c r="C394" s="156" t="inlineStr">
        <is>
          <t>Wrangler</t>
        </is>
      </c>
      <c r="D394" s="156" t="inlineStr">
        <is>
          <t>WG137-W0092PP</t>
        </is>
      </c>
      <c r="E394" s="156" t="inlineStr">
        <is>
          <t>WG137-W0092PP</t>
        </is>
      </c>
      <c r="F394" s="156" t="inlineStr">
        <is>
          <t>Talla única</t>
        </is>
      </c>
      <c r="G394" s="156" t="inlineStr">
        <is>
          <t>One Size</t>
        </is>
      </c>
      <c r="H394" s="156" t="inlineStr">
        <is>
          <t>Wrangler</t>
        </is>
      </c>
      <c r="I394" s="156" t="inlineStr">
        <is>
          <t>Cartera Tarjetero Muñequera Con Llavero Wrangler Estampado De Leopardo Morado</t>
        </is>
      </c>
      <c r="J394" s="156" t="inlineStr">
        <is>
          <t>Accesorios</t>
        </is>
      </c>
      <c r="K394" s="156" t="inlineStr">
        <is>
          <t>Carteras</t>
        </is>
      </c>
      <c r="L394" s="156" t="inlineStr">
        <is>
          <t>Unisex</t>
        </is>
      </c>
      <c r="M394" s="156" t="inlineStr">
        <is>
          <t>Wrangler</t>
        </is>
      </c>
      <c r="N394" s="156" t="n"/>
      <c r="O394" s="156" t="inlineStr">
        <is>
          <t>Core</t>
        </is>
      </c>
      <c r="P394" s="156" t="inlineStr">
        <is>
          <t>Morado</t>
        </is>
      </c>
      <c r="Q394" s="156" t="n"/>
      <c r="R394" s="156" t="n"/>
      <c r="S394" s="156" t="n"/>
      <c r="T394" s="156" t="inlineStr">
        <is>
          <t>Cartera Tarjetero Muñequera Con Llavero Wrangler. Modelo: Estampado De Leopardo. Color: Morado. Talla única. Unisex. Referencia: WG137-W0092PP.</t>
        </is>
      </c>
      <c r="U394" s="156" t="n"/>
      <c r="V394" s="156" t="inlineStr">
        <is>
          <t>PZS</t>
        </is>
      </c>
      <c r="W394" s="51" t="inlineStr">
        <is>
          <t>53121700</t>
        </is>
      </c>
      <c r="X394" s="156" t="inlineStr">
        <is>
          <t>https://cdn.shopify.com/s/files/1/0005/9015/1741/files/Wrangler_Aztec_Print_Card_Case_Purple.webp?v=1751277973</t>
        </is>
      </c>
      <c r="Y394" s="54" t="n">
        <v>189.75</v>
      </c>
      <c r="Z394" s="54" t="n">
        <v>349</v>
      </c>
      <c r="AA394" s="55">
        <f>IF(AND(A394="", B394="", E394=""), "", IF(AB394="", "Válido", IF((LEN(AB394)-LEN(SUBSTITUTE(AB394,"; ","")))/2+1&gt;(LEN(AB394)-LEN(SUBSTITUTE(AB394,"[Aviso]","")))/7, "Con Incidencias", "Válido")))</f>
        <v/>
      </c>
      <c r="AB394" s="56">
        <f>IF(AND(A394="", B394="", E394=""), "", TEXTJOIN("; ", TRUE, IF(OR(TRIM(A394&amp;"")="", ISNUMBER(SEARCH("FALTA", A394))), "UPC faltante/inválido", ""), IF(AND(A394&lt;&gt;"", IFERROR(_xlfn.XMATCH(A394,$A$2:$A$1063,0,1)&lt;&gt;_xlfn.XMATCH(A394,$A$2:$A$1063,0,-1),FALSE)), "Código de barras duplicado", ""), IF(AND(E394&lt;&gt;"", COUNTIF($E$2:$E$1063, E394)&gt;1), "SKU duplicado", ""), IF(OR(J394="", J394=""), "[Aviso] División no capturada ()", IF(ISNA(MATCH(J394, Criterios!$A$123:$A$126, 0)), "División no válida", "")), IF(OR(K394="", K394=""), "[Aviso] Categoría no capturada ()", IF(ISNA(MATCH(K394, Criterios!$A$81:$A$120, 0)), "Categoría no válida", IF(AND(J394&lt;&gt;"", J394&lt;&gt;"", J394&lt;&gt;VLOOKUP(K394, Criterios!$A$81:$B$120, 2, FALSE)), "División no coincide con Categoría", ""))), IF(OR(L394="", L394=""), "[Aviso] Género no capturado ()", IF(ISNA(MATCH(L394, Criterios!$B$123:$B$127, 0)), "Género no válido", "")), IF(OR(N394="", N394=""), "[Aviso] Temporada no capturada ()", IF(ISNA(MATCH(N394, Criterios!$C$123:$C$128, 0)), "Temporada no válida", "")), IF(OR(O394="", O394=""), "[Aviso] Ciclo de vida no capturado ()", IF(ISNA(MATCH(O394, Criterios!$D$123:$D$124, 0)), "Ciclo de vida no válido", ""))))</f>
        <v/>
      </c>
      <c r="AC394" s="56" t="n"/>
      <c r="AD394" s="51" t="n"/>
      <c r="AE394" s="156" t="n"/>
      <c r="AF394" s="51" t="n"/>
      <c r="AG394" s="156" t="inlineStr">
        <is>
          <t>Nuevo – Carga Hoja2 01/10/2026</t>
        </is>
      </c>
      <c r="AH394" s="156" t="inlineStr">
        <is>
          <t>Alta 01/10/2026 desde Hoja2 (fila 193) | 01/10/2026: Odoo Universal Unique Brands trae Marca «Montana West» — se conservó el valor de Productos | Homologación G1522 06/10/2026: Enlace de imagen: «» → «https://cdn.shopify.com/s/files/1/0005/9015/1741/files/Wrangler_Aztec_Print_Card_Case_Purple.webp?v=1751277973» (Completado por investigación en línea) · Validador Shopify: WB: precio con IVA no termina en 9</t>
        </is>
      </c>
      <c r="AI394" s="156" t="n"/>
      <c r="AJ394" s="156" t="n"/>
      <c r="AK394" s="155" t="inlineStr">
        <is>
          <t>Hoja2: fila 193 | Odoo: producto 27246 / plantilla 33946 | Investigación en línea 06/10/2026: https://montanawestworld.com/products/wrangler-aztec-print-card-case</t>
        </is>
      </c>
      <c r="AL394" s="58" t="n"/>
      <c r="AM394" s="58" t="n"/>
      <c r="AN394" s="155" t="inlineStr">
        <is>
          <t>Odoo Universal Unique Brands</t>
        </is>
      </c>
      <c r="AO394" s="59" t="n"/>
      <c r="AP394" s="59" t="n"/>
      <c r="AQ394" s="59" t="n">
        <v>3</v>
      </c>
      <c r="AR394" s="155" t="inlineStr">
        <is>
          <t>Odoo Universal Unique Brands › Bodega 25 › Bodega 25/General: 3</t>
        </is>
      </c>
    </row>
    <row r="395">
      <c r="A395" s="50" t="inlineStr">
        <is>
          <t>717019693887</t>
        </is>
      </c>
      <c r="B395" s="51" t="inlineStr">
        <is>
          <t>27247</t>
        </is>
      </c>
      <c r="C395" s="156" t="inlineStr">
        <is>
          <t>Wrangler</t>
        </is>
      </c>
      <c r="D395" s="156" t="inlineStr">
        <is>
          <t>WG138-W006BR</t>
        </is>
      </c>
      <c r="E395" s="156" t="inlineStr">
        <is>
          <t>WG138-W006BR</t>
        </is>
      </c>
      <c r="F395" s="156" t="inlineStr">
        <is>
          <t>Talla única</t>
        </is>
      </c>
      <c r="G395" s="156" t="inlineStr">
        <is>
          <t>One Size</t>
        </is>
      </c>
      <c r="H395" s="156" t="inlineStr">
        <is>
          <t>Wrangler</t>
        </is>
      </c>
      <c r="I395" s="156" t="inlineStr">
        <is>
          <t>Cartera Wrangler Café</t>
        </is>
      </c>
      <c r="J395" s="156" t="inlineStr">
        <is>
          <t>Accesorios</t>
        </is>
      </c>
      <c r="K395" s="156" t="inlineStr">
        <is>
          <t>Carteras</t>
        </is>
      </c>
      <c r="L395" s="156" t="inlineStr">
        <is>
          <t>Unisex</t>
        </is>
      </c>
      <c r="M395" s="156" t="inlineStr">
        <is>
          <t>Wrangler</t>
        </is>
      </c>
      <c r="N395" s="156" t="n"/>
      <c r="O395" s="156" t="inlineStr">
        <is>
          <t>Core</t>
        </is>
      </c>
      <c r="P395" s="156" t="inlineStr">
        <is>
          <t>Cafe</t>
        </is>
      </c>
      <c r="Q395" s="156" t="n"/>
      <c r="R395" s="156" t="n"/>
      <c r="S395" s="156" t="n"/>
      <c r="T395" s="156" t="inlineStr">
        <is>
          <t>Cartera Wrangler. Color: Café. Talla única. Unisex. Referencia: WG138-W006BR.</t>
        </is>
      </c>
      <c r="U395" s="156" t="n"/>
      <c r="V395" s="156" t="inlineStr">
        <is>
          <t>PZS</t>
        </is>
      </c>
      <c r="W395" s="51" t="inlineStr">
        <is>
          <t>53121700</t>
        </is>
      </c>
      <c r="X395" s="156" t="n"/>
      <c r="Y395" s="54" t="n">
        <v>155.25</v>
      </c>
      <c r="Z395" s="54" t="n">
        <v>249</v>
      </c>
      <c r="AA395" s="55">
        <f>IF(AND(A395="", B395="", E395=""), "", IF(AB395="", "Válido", IF((LEN(AB395)-LEN(SUBSTITUTE(AB395,"; ","")))/2+1&gt;(LEN(AB395)-LEN(SUBSTITUTE(AB395,"[Aviso]","")))/7, "Con Incidencias", "Válido")))</f>
        <v/>
      </c>
      <c r="AB395" s="56">
        <f>IF(AND(A395="", B395="", E395=""), "", TEXTJOIN("; ", TRUE, IF(OR(TRIM(A395&amp;"")="", ISNUMBER(SEARCH("FALTA", A395))), "UPC faltante/inválido", ""), IF(AND(A395&lt;&gt;"", IFERROR(_xlfn.XMATCH(A395,$A$2:$A$1063,0,1)&lt;&gt;_xlfn.XMATCH(A395,$A$2:$A$1063,0,-1),FALSE)), "Código de barras duplicado", ""), IF(AND(E395&lt;&gt;"", COUNTIF($E$2:$E$1063, E395)&gt;1), "SKU duplicado", ""), IF(OR(J395="", J395=""), "[Aviso] División no capturada ()", IF(ISNA(MATCH(J395, Criterios!$A$123:$A$126, 0)), "División no válida", "")), IF(OR(K395="", K395=""), "[Aviso] Categoría no capturada ()", IF(ISNA(MATCH(K395, Criterios!$A$81:$A$120, 0)), "Categoría no válida", IF(AND(J395&lt;&gt;"", J395&lt;&gt;"", J395&lt;&gt;VLOOKUP(K395, Criterios!$A$81:$B$120, 2, FALSE)), "División no coincide con Categoría", ""))), IF(OR(L395="", L395=""), "[Aviso] Género no capturado ()", IF(ISNA(MATCH(L395, Criterios!$B$123:$B$127, 0)), "Género no válido", "")), IF(OR(N395="", N395=""), "[Aviso] Temporada no capturada ()", IF(ISNA(MATCH(N395, Criterios!$C$123:$C$128, 0)), "Temporada no válida", "")), IF(OR(O395="", O395=""), "[Aviso] Ciclo de vida no capturado ()", IF(ISNA(MATCH(O395, Criterios!$D$123:$D$124, 0)), "Ciclo de vida no válido", ""))))</f>
        <v/>
      </c>
      <c r="AC395" s="56" t="n"/>
      <c r="AD395" s="51" t="n"/>
      <c r="AE395" s="156" t="n"/>
      <c r="AF395" s="51" t="n"/>
      <c r="AG395" s="156" t="inlineStr">
        <is>
          <t>Nuevo – Carga Hoja2 01/10/2026</t>
        </is>
      </c>
      <c r="AH395" s="156" t="inlineStr">
        <is>
          <t>Alta 01/10/2026 desde Hoja2 (fila 194) | 01/10/2026: Odoo Universal Unique Brands trae Marca «Montana West» — se conservó el valor de Productos | Homologación G1522 06/10/2026: Validador Shopify: WB: precio con IVA no termina en 9</t>
        </is>
      </c>
      <c r="AI395" s="156" t="n"/>
      <c r="AJ395" s="156" t="n"/>
      <c r="AK395" s="155" t="inlineStr">
        <is>
          <t>Hoja2: fila 194 | Odoo: producto 27247 / plantilla 33947</t>
        </is>
      </c>
      <c r="AL395" s="58" t="n"/>
      <c r="AM395" s="58" t="n"/>
      <c r="AN395" s="155" t="inlineStr">
        <is>
          <t>Odoo Universal Unique Brands</t>
        </is>
      </c>
      <c r="AO395" s="59" t="n"/>
      <c r="AP395" s="59" t="n"/>
      <c r="AQ395" s="59" t="n">
        <v>1</v>
      </c>
      <c r="AR395" s="155" t="inlineStr">
        <is>
          <t>Odoo Universal Unique Brands › Bodega 25 › Bodega 25/General: 1</t>
        </is>
      </c>
    </row>
    <row r="396">
      <c r="A396" s="50" t="inlineStr">
        <is>
          <t>717019694488</t>
        </is>
      </c>
      <c r="B396" s="51" t="inlineStr">
        <is>
          <t>27249</t>
        </is>
      </c>
      <c r="C396" s="156" t="inlineStr">
        <is>
          <t>Wrangler</t>
        </is>
      </c>
      <c r="D396" s="156" t="inlineStr">
        <is>
          <t>WG142-W006JN</t>
        </is>
      </c>
      <c r="E396" s="156" t="inlineStr">
        <is>
          <t>WG142-W006JN</t>
        </is>
      </c>
      <c r="F396" s="156" t="inlineStr">
        <is>
          <t>Talla única</t>
        </is>
      </c>
      <c r="G396" s="156" t="inlineStr">
        <is>
          <t>One Size</t>
        </is>
      </c>
      <c r="H396" s="156" t="inlineStr">
        <is>
          <t>Wrangler</t>
        </is>
      </c>
      <c r="I396" s="156" t="inlineStr">
        <is>
          <t>Cartera Muñequera Wrangler Con Logo Mezclilla</t>
        </is>
      </c>
      <c r="J396" s="156" t="inlineStr">
        <is>
          <t>Accesorios</t>
        </is>
      </c>
      <c r="K396" s="156" t="inlineStr">
        <is>
          <t>Carteras</t>
        </is>
      </c>
      <c r="L396" s="156" t="inlineStr">
        <is>
          <t>Unisex</t>
        </is>
      </c>
      <c r="M396" s="156" t="inlineStr">
        <is>
          <t>Wrangler</t>
        </is>
      </c>
      <c r="N396" s="156" t="n"/>
      <c r="O396" s="156" t="inlineStr">
        <is>
          <t>Core</t>
        </is>
      </c>
      <c r="P396" s="156" t="inlineStr">
        <is>
          <t>Varios</t>
        </is>
      </c>
      <c r="Q396" s="156" t="n"/>
      <c r="R396" s="156" t="n"/>
      <c r="S396" s="156" t="n"/>
      <c r="T396" s="156" t="inlineStr">
        <is>
          <t>Cartera Muñequera Wrangler. Modelo: Con Logo. Color: Mezclilla. Talla única. Unisex. Referencia: WG142-W006JN.</t>
        </is>
      </c>
      <c r="U396" s="156" t="n"/>
      <c r="V396" s="156" t="inlineStr">
        <is>
          <t>PZS</t>
        </is>
      </c>
      <c r="W396" s="51" t="inlineStr">
        <is>
          <t>53121700</t>
        </is>
      </c>
      <c r="X396" s="156" t="inlineStr">
        <is>
          <t>https://cdn.shopify.com/s/files/1/0005/9015/1741/files/Wrangler_Leather_Trim_Canvas_Wallet_Jean.jpg?v=1755573133</t>
        </is>
      </c>
      <c r="Y396" s="54" t="n">
        <v>207</v>
      </c>
      <c r="Z396" s="54" t="n">
        <v>349</v>
      </c>
      <c r="AA396" s="55">
        <f>IF(AND(A396="", B396="", E396=""), "", IF(AB396="", "Válido", IF((LEN(AB396)-LEN(SUBSTITUTE(AB396,"; ","")))/2+1&gt;(LEN(AB396)-LEN(SUBSTITUTE(AB396,"[Aviso]","")))/7, "Con Incidencias", "Válido")))</f>
        <v/>
      </c>
      <c r="AB396" s="56">
        <f>IF(AND(A396="", B396="", E396=""), "", TEXTJOIN("; ", TRUE, IF(OR(TRIM(A396&amp;"")="", ISNUMBER(SEARCH("FALTA", A396))), "UPC faltante/inválido", ""), IF(AND(A396&lt;&gt;"", IFERROR(_xlfn.XMATCH(A396,$A$2:$A$1063,0,1)&lt;&gt;_xlfn.XMATCH(A396,$A$2:$A$1063,0,-1),FALSE)), "Código de barras duplicado", ""), IF(AND(E396&lt;&gt;"", COUNTIF($E$2:$E$1063, E396)&gt;1), "SKU duplicado", ""), IF(OR(J396="", J396=""), "[Aviso] División no capturada ()", IF(ISNA(MATCH(J396, Criterios!$A$123:$A$126, 0)), "División no válida", "")), IF(OR(K396="", K396=""), "[Aviso] Categoría no capturada ()", IF(ISNA(MATCH(K396, Criterios!$A$81:$A$120, 0)), "Categoría no válida", IF(AND(J396&lt;&gt;"", J396&lt;&gt;"", J396&lt;&gt;VLOOKUP(K396, Criterios!$A$81:$B$120, 2, FALSE)), "División no coincide con Categoría", ""))), IF(OR(L396="", L396=""), "[Aviso] Género no capturado ()", IF(ISNA(MATCH(L396, Criterios!$B$123:$B$127, 0)), "Género no válido", "")), IF(OR(N396="", N396=""), "[Aviso] Temporada no capturada ()", IF(ISNA(MATCH(N396, Criterios!$C$123:$C$128, 0)), "Temporada no válida", "")), IF(OR(O396="", O396=""), "[Aviso] Ciclo de vida no capturado ()", IF(ISNA(MATCH(O396, Criterios!$D$123:$D$124, 0)), "Ciclo de vida no válido", ""))))</f>
        <v/>
      </c>
      <c r="AC396" s="56" t="n"/>
      <c r="AD396" s="51" t="n"/>
      <c r="AE396" s="156" t="n"/>
      <c r="AF396" s="51" t="n"/>
      <c r="AG396" s="156" t="inlineStr">
        <is>
          <t>Nuevo – Carga Hoja2 01/10/2026</t>
        </is>
      </c>
      <c r="AH396" s="156" t="inlineStr">
        <is>
          <t>Alta 01/10/2026 desde Hoja2 (fila 195) | 01/10/2026: Odoo Universal Unique Brands trae Marca «Montana West» — se conservó el valor de Productos | Homologación G1522 06/10/2026: Enlace de imagen: «» → «https://cdn.shopify.com/s/files/1/0005/9015/1741/files/Wrangler_Leather_Trim_Canvas_Wallet_Jean.jpg?v=1755573133» (Completado por investigación en línea) · Validador Shopify: WB: precio con IVA no termina en 9</t>
        </is>
      </c>
      <c r="AI396" s="156" t="n"/>
      <c r="AJ396" s="156" t="n"/>
      <c r="AK396" s="155" t="inlineStr">
        <is>
          <t>Hoja2: fila 195 | Odoo: producto 27249 / plantilla 33949 | Investigación en línea 06/10/2026: https://montanawestworld.com/products/wrangler-leather-trim-canvas-crossbody-purse-collection</t>
        </is>
      </c>
      <c r="AL396" s="58" t="n"/>
      <c r="AM396" s="58" t="n"/>
      <c r="AN396" s="155" t="inlineStr">
        <is>
          <t>Odoo Universal Unique Brands</t>
        </is>
      </c>
      <c r="AO396" s="59" t="n"/>
      <c r="AP396" s="59" t="n"/>
      <c r="AQ396" s="59" t="n">
        <v>3</v>
      </c>
      <c r="AR396" s="155" t="inlineStr">
        <is>
          <t>Odoo Universal Unique Brands › Bodega 25 › Bodega 25/General: 3</t>
        </is>
      </c>
    </row>
    <row r="397">
      <c r="A397" s="50" t="inlineStr">
        <is>
          <t>717019692262</t>
        </is>
      </c>
      <c r="B397" s="51" t="inlineStr">
        <is>
          <t>27250</t>
        </is>
      </c>
      <c r="C397" s="156" t="inlineStr">
        <is>
          <t>Wrangler</t>
        </is>
      </c>
      <c r="D397" s="156" t="inlineStr">
        <is>
          <t>WG145-212BK</t>
        </is>
      </c>
      <c r="E397" s="156" t="inlineStr">
        <is>
          <t>WG145-212BK</t>
        </is>
      </c>
      <c r="F397" s="156" t="inlineStr">
        <is>
          <t>Talla única</t>
        </is>
      </c>
      <c r="G397" s="156" t="inlineStr">
        <is>
          <t>One Size</t>
        </is>
      </c>
      <c r="H397" s="156" t="inlineStr">
        <is>
          <t>Wrangler</t>
        </is>
      </c>
      <c r="I397" s="156" t="inlineStr">
        <is>
          <t>Cartera Bifold Wrangler Bordada Negro</t>
        </is>
      </c>
      <c r="J397" s="156" t="inlineStr">
        <is>
          <t>Accesorios</t>
        </is>
      </c>
      <c r="K397" s="156" t="inlineStr">
        <is>
          <t>Carteras</t>
        </is>
      </c>
      <c r="L397" s="156" t="inlineStr">
        <is>
          <t>Unisex</t>
        </is>
      </c>
      <c r="M397" s="156" t="inlineStr">
        <is>
          <t>Wrangler</t>
        </is>
      </c>
      <c r="N397" s="156" t="n"/>
      <c r="O397" s="156" t="inlineStr">
        <is>
          <t>Core</t>
        </is>
      </c>
      <c r="P397" s="156" t="inlineStr">
        <is>
          <t>Negro</t>
        </is>
      </c>
      <c r="Q397" s="156" t="n"/>
      <c r="R397" s="156" t="n"/>
      <c r="S397" s="156" t="n"/>
      <c r="T397" s="156" t="inlineStr">
        <is>
          <t>Cartera Bifold Wrangler. Modelo: Bordada. Color: Negro. Talla única. Unisex. Referencia: WG145-212BK.</t>
        </is>
      </c>
      <c r="U397" s="156" t="n"/>
      <c r="V397" s="156" t="inlineStr">
        <is>
          <t>PZS</t>
        </is>
      </c>
      <c r="W397" s="51" t="inlineStr">
        <is>
          <t>53121700</t>
        </is>
      </c>
      <c r="X397" s="156" t="inlineStr">
        <is>
          <t>https://cdn.shopify.com/s/files/1/0005/9015/1741/files/Wrangler_Embroidered_Boot_Scroll_Wallet_Black.webp?v=1751958582</t>
        </is>
      </c>
      <c r="Y397" s="54" t="n">
        <v>276</v>
      </c>
      <c r="Z397" s="54" t="n">
        <v>449</v>
      </c>
      <c r="AA397" s="55">
        <f>IF(AND(A397="", B397="", E397=""), "", IF(AB397="", "Válido", IF((LEN(AB397)-LEN(SUBSTITUTE(AB397,"; ","")))/2+1&gt;(LEN(AB397)-LEN(SUBSTITUTE(AB397,"[Aviso]","")))/7, "Con Incidencias", "Válido")))</f>
        <v/>
      </c>
      <c r="AB397" s="56">
        <f>IF(AND(A397="", B397="", E397=""), "", TEXTJOIN("; ", TRUE, IF(OR(TRIM(A397&amp;"")="", ISNUMBER(SEARCH("FALTA", A397))), "UPC faltante/inválido", ""), IF(AND(A397&lt;&gt;"", IFERROR(_xlfn.XMATCH(A397,$A$2:$A$1063,0,1)&lt;&gt;_xlfn.XMATCH(A397,$A$2:$A$1063,0,-1),FALSE)), "Código de barras duplicado", ""), IF(AND(E397&lt;&gt;"", COUNTIF($E$2:$E$1063, E397)&gt;1), "SKU duplicado", ""), IF(OR(J397="", J397=""), "[Aviso] División no capturada ()", IF(ISNA(MATCH(J397, Criterios!$A$123:$A$126, 0)), "División no válida", "")), IF(OR(K397="", K397=""), "[Aviso] Categoría no capturada ()", IF(ISNA(MATCH(K397, Criterios!$A$81:$A$120, 0)), "Categoría no válida", IF(AND(J397&lt;&gt;"", J397&lt;&gt;"", J397&lt;&gt;VLOOKUP(K397, Criterios!$A$81:$B$120, 2, FALSE)), "División no coincide con Categoría", ""))), IF(OR(L397="", L397=""), "[Aviso] Género no capturado ()", IF(ISNA(MATCH(L397, Criterios!$B$123:$B$127, 0)), "Género no válido", "")), IF(OR(N397="", N397=""), "[Aviso] Temporada no capturada ()", IF(ISNA(MATCH(N397, Criterios!$C$123:$C$128, 0)), "Temporada no válida", "")), IF(OR(O397="", O397=""), "[Aviso] Ciclo de vida no capturado ()", IF(ISNA(MATCH(O397, Criterios!$D$123:$D$124, 0)), "Ciclo de vida no válido", ""))))</f>
        <v/>
      </c>
      <c r="AC397" s="56" t="n"/>
      <c r="AD397" s="51" t="n"/>
      <c r="AE397" s="156" t="n"/>
      <c r="AF397" s="51" t="n"/>
      <c r="AG397" s="156" t="inlineStr">
        <is>
          <t>Nuevo – Carga Hoja2 01/10/2026</t>
        </is>
      </c>
      <c r="AH397" s="156" t="inlineStr">
        <is>
          <t>Alta 01/10/2026 desde Hoja2 (fila 196) | 01/10/2026: Odoo Universal Unique Brands trae Marca «Montana West» — se conservó el valor de Productos | Homologación G1522 06/10/2026: Enlace de imagen: «» → «https://cdn.shopify.com/s/files/1/0005/9015/1741/files/Wrangler_Embroidered_Boot_Scroll_Wallet_Black.webp?v=1751958582» (Completado por investigación en línea) · Validador Shopify: WB: precio con IVA no termina en 9</t>
        </is>
      </c>
      <c r="AI397" s="156" t="n"/>
      <c r="AJ397" s="156" t="n"/>
      <c r="AK397" s="155" t="inlineStr">
        <is>
          <t>Hoja2: fila 196 | Odoo: producto 27250 / plantilla 33950 | Investigación en línea 06/10/2026: https://montanawestworld.com/products/wrangler-embroidered-boot-scroll-tote-bag-collection</t>
        </is>
      </c>
      <c r="AL397" s="58" t="n"/>
      <c r="AM397" s="58" t="n"/>
      <c r="AN397" s="155" t="inlineStr">
        <is>
          <t>Odoo Universal Unique Brands</t>
        </is>
      </c>
      <c r="AO397" s="59" t="n"/>
      <c r="AP397" s="59" t="n"/>
      <c r="AQ397" s="59" t="n">
        <v>-1</v>
      </c>
      <c r="AR397" s="155" t="n"/>
    </row>
    <row r="398">
      <c r="A398" s="50" t="inlineStr">
        <is>
          <t>717019692323</t>
        </is>
      </c>
      <c r="B398" s="51" t="inlineStr">
        <is>
          <t>27252</t>
        </is>
      </c>
      <c r="C398" s="156" t="inlineStr">
        <is>
          <t>Wrangler</t>
        </is>
      </c>
      <c r="D398" s="156" t="inlineStr">
        <is>
          <t>WG145-212KH</t>
        </is>
      </c>
      <c r="E398" s="156" t="inlineStr">
        <is>
          <t>WG145-212KH</t>
        </is>
      </c>
      <c r="F398" s="156" t="inlineStr">
        <is>
          <t>Talla única</t>
        </is>
      </c>
      <c r="G398" s="156" t="inlineStr">
        <is>
          <t>One Size</t>
        </is>
      </c>
      <c r="H398" s="156" t="inlineStr">
        <is>
          <t>Wrangler</t>
        </is>
      </c>
      <c r="I398" s="156" t="inlineStr">
        <is>
          <t>Cartera Bifold Wrangler Bordada Caqui</t>
        </is>
      </c>
      <c r="J398" s="156" t="inlineStr">
        <is>
          <t>Accesorios</t>
        </is>
      </c>
      <c r="K398" s="156" t="inlineStr">
        <is>
          <t>Carteras</t>
        </is>
      </c>
      <c r="L398" s="156" t="inlineStr">
        <is>
          <t>Unisex</t>
        </is>
      </c>
      <c r="M398" s="156" t="inlineStr">
        <is>
          <t>Wrangler</t>
        </is>
      </c>
      <c r="N398" s="156" t="n"/>
      <c r="O398" s="156" t="inlineStr">
        <is>
          <t>Core</t>
        </is>
      </c>
      <c r="P398" s="156" t="inlineStr">
        <is>
          <t>Beige</t>
        </is>
      </c>
      <c r="Q398" s="156" t="n"/>
      <c r="R398" s="156" t="n"/>
      <c r="S398" s="156" t="n"/>
      <c r="T398" s="156" t="inlineStr">
        <is>
          <t>Cartera Bifold Wrangler. Modelo: Bordada. Color: Caqui. Talla única. Unisex. Referencia: WG145-212KH.</t>
        </is>
      </c>
      <c r="U398" s="156" t="n"/>
      <c r="V398" s="156" t="inlineStr">
        <is>
          <t>PZS</t>
        </is>
      </c>
      <c r="W398" s="51" t="inlineStr">
        <is>
          <t>53121700</t>
        </is>
      </c>
      <c r="X398" s="156" t="inlineStr">
        <is>
          <t>https://cdn.shopify.com/s/files/1/0005/9015/1741/files/Wrangler_Embroidered_Boot_Scroll_Wallet_Khaki.webp?v=1745981386</t>
        </is>
      </c>
      <c r="Y398" s="54" t="n">
        <v>276</v>
      </c>
      <c r="Z398" s="54" t="n">
        <v>449</v>
      </c>
      <c r="AA398" s="55">
        <f>IF(AND(A398="", B398="", E398=""), "", IF(AB398="", "Válido", IF((LEN(AB398)-LEN(SUBSTITUTE(AB398,"; ","")))/2+1&gt;(LEN(AB398)-LEN(SUBSTITUTE(AB398,"[Aviso]","")))/7, "Con Incidencias", "Válido")))</f>
        <v/>
      </c>
      <c r="AB398" s="56">
        <f>IF(AND(A398="", B398="", E398=""), "", TEXTJOIN("; ", TRUE, IF(OR(TRIM(A398&amp;"")="", ISNUMBER(SEARCH("FALTA", A398))), "UPC faltante/inválido", ""), IF(AND(A398&lt;&gt;"", IFERROR(_xlfn.XMATCH(A398,$A$2:$A$1063,0,1)&lt;&gt;_xlfn.XMATCH(A398,$A$2:$A$1063,0,-1),FALSE)), "Código de barras duplicado", ""), IF(AND(E398&lt;&gt;"", COUNTIF($E$2:$E$1063, E398)&gt;1), "SKU duplicado", ""), IF(OR(J398="", J398=""), "[Aviso] División no capturada ()", IF(ISNA(MATCH(J398, Criterios!$A$123:$A$126, 0)), "División no válida", "")), IF(OR(K398="", K398=""), "[Aviso] Categoría no capturada ()", IF(ISNA(MATCH(K398, Criterios!$A$81:$A$120, 0)), "Categoría no válida", IF(AND(J398&lt;&gt;"", J398&lt;&gt;"", J398&lt;&gt;VLOOKUP(K398, Criterios!$A$81:$B$120, 2, FALSE)), "División no coincide con Categoría", ""))), IF(OR(L398="", L398=""), "[Aviso] Género no capturado ()", IF(ISNA(MATCH(L398, Criterios!$B$123:$B$127, 0)), "Género no válido", "")), IF(OR(N398="", N398=""), "[Aviso] Temporada no capturada ()", IF(ISNA(MATCH(N398, Criterios!$C$123:$C$128, 0)), "Temporada no válida", "")), IF(OR(O398="", O398=""), "[Aviso] Ciclo de vida no capturado ()", IF(ISNA(MATCH(O398, Criterios!$D$123:$D$124, 0)), "Ciclo de vida no válido", ""))))</f>
        <v/>
      </c>
      <c r="AC398" s="56" t="n"/>
      <c r="AD398" s="51" t="n"/>
      <c r="AE398" s="156" t="n"/>
      <c r="AF398" s="51" t="n"/>
      <c r="AG398" s="156" t="inlineStr">
        <is>
          <t>Nuevo – Carga Hoja2 01/10/2026</t>
        </is>
      </c>
      <c r="AH398" s="156" t="inlineStr">
        <is>
          <t>Alta 01/10/2026 desde Hoja2 (fila 197) | 01/10/2026: Odoo Universal Unique Brands trae Marca «Montana West» — se conservó el valor de Productos | Homologación G1522 06/10/2026: Enlace de imagen: «» → «https://cdn.shopify.com/s/files/1/0005/9015/1741/files/Wrangler_Embroidered_Boot_Scroll_Wallet_Khaki.webp?v=1745981386» (Completado por investigación en línea) · Validador Shopify: WB: precio con IVA no termina en 9</t>
        </is>
      </c>
      <c r="AI398" s="156" t="n"/>
      <c r="AJ398" s="156" t="n"/>
      <c r="AK398" s="155" t="inlineStr">
        <is>
          <t>Hoja2: fila 197 | Odoo: producto 27252 / plantilla 33952 | Investigación en línea 06/10/2026: https://montanawestworld.com/products/wrangler-embroidered-boot-scroll-tote-bag-collection</t>
        </is>
      </c>
      <c r="AL398" s="58" t="n"/>
      <c r="AM398" s="58" t="n"/>
      <c r="AN398" s="155" t="inlineStr">
        <is>
          <t>Odoo Universal Unique Brands</t>
        </is>
      </c>
      <c r="AO398" s="59" t="n"/>
      <c r="AP398" s="59" t="n"/>
      <c r="AQ398" s="59" t="n">
        <v>6</v>
      </c>
      <c r="AR398" s="155" t="inlineStr">
        <is>
          <t>Odoo Universal Unique Brands › Bodega 25 › Bodega 25/General: 6</t>
        </is>
      </c>
    </row>
    <row r="399">
      <c r="A399" s="50" t="n"/>
      <c r="B399" s="51" t="inlineStr">
        <is>
          <t>27253</t>
        </is>
      </c>
      <c r="C399" s="156" t="inlineStr">
        <is>
          <t>Montana West</t>
        </is>
      </c>
      <c r="D399" s="156" t="inlineStr">
        <is>
          <t>WG145-8300KH</t>
        </is>
      </c>
      <c r="E399" s="156" t="inlineStr">
        <is>
          <t>WG145-8300KH</t>
        </is>
      </c>
      <c r="F399" s="156" t="inlineStr">
        <is>
          <t>Talla única</t>
        </is>
      </c>
      <c r="G399" s="156" t="inlineStr">
        <is>
          <t>One Size</t>
        </is>
      </c>
      <c r="H399" s="156" t="inlineStr">
        <is>
          <t>Montana West</t>
        </is>
      </c>
      <c r="I399" s="156" t="inlineStr">
        <is>
          <t>Bolsa Tote Cruzada Wrangler Bordada Trapezoidal Con Compartimento Oculto</t>
        </is>
      </c>
      <c r="J399" s="156" t="inlineStr">
        <is>
          <t>Accesorios</t>
        </is>
      </c>
      <c r="K399" s="156" t="inlineStr">
        <is>
          <t>Bolsos</t>
        </is>
      </c>
      <c r="L399" s="156" t="inlineStr">
        <is>
          <t>Unisex</t>
        </is>
      </c>
      <c r="M399" s="156" t="inlineStr">
        <is>
          <t>Wrangler</t>
        </is>
      </c>
      <c r="N399" s="156" t="n"/>
      <c r="O399" s="156" t="n"/>
      <c r="P399" s="156" t="inlineStr">
        <is>
          <t>Beige</t>
        </is>
      </c>
      <c r="Q399" s="156" t="n"/>
      <c r="R399" s="156" t="n"/>
      <c r="S399" s="156" t="n"/>
      <c r="T399" s="156" t="inlineStr">
        <is>
          <t>Bolsa Tote Cruzada</t>
        </is>
      </c>
      <c r="U399" s="156" t="inlineStr">
        <is>
          <t>México</t>
        </is>
      </c>
      <c r="V399" s="156" t="inlineStr">
        <is>
          <t>PZS</t>
        </is>
      </c>
      <c r="W399" s="51" t="inlineStr">
        <is>
          <t>53121601</t>
        </is>
      </c>
      <c r="X399" s="156" t="n"/>
      <c r="Y399" s="54" t="n">
        <v>517.5</v>
      </c>
      <c r="Z399" s="54" t="n">
        <v>849</v>
      </c>
      <c r="AA399" s="55">
        <f>IF(AND(A399="", B399="", E399=""), "", IF(AB399="", "Válido", IF((LEN(AB399)-LEN(SUBSTITUTE(AB399,"; ","")))/2+1&gt;(LEN(AB399)-LEN(SUBSTITUTE(AB399,"[Aviso]","")))/7, "Con Incidencias", "Válido")))</f>
        <v/>
      </c>
      <c r="AB399" s="56">
        <f>IF(AND(A399="", B399="", E399=""), "", TEXTJOIN("; ", TRUE, IF(OR(TRIM(A399&amp;"")="", ISNUMBER(SEARCH("FALTA", A399))), "UPC faltante/inválido", ""), IF(AND(A399&lt;&gt;"", IFERROR(_xlfn.XMATCH(A399,$A$2:$A$1063,0,1)&lt;&gt;_xlfn.XMATCH(A399,$A$2:$A$1063,0,-1),FALSE)), "Código de barras duplicado", ""), IF(AND(E399&lt;&gt;"", COUNTIF($E$2:$E$1063, E399)&gt;1), "SKU duplicado", ""), IF(OR(J399="", J399=""), "[Aviso] División no capturada ()", IF(ISNA(MATCH(J399, Criterios!$A$123:$A$126, 0)), "División no válida", "")), IF(OR(K399="", K399=""), "[Aviso] Categoría no capturada ()", IF(ISNA(MATCH(K399, Criterios!$A$81:$A$120, 0)), "Categoría no válida", IF(AND(J399&lt;&gt;"", J399&lt;&gt;"", J399&lt;&gt;VLOOKUP(K399, Criterios!$A$81:$B$120, 2, FALSE)), "División no coincide con Categoría", ""))), IF(OR(L399="", L399=""), "[Aviso] Género no capturado ()", IF(ISNA(MATCH(L399, Criterios!$B$123:$B$127, 0)), "Género no válido", "")), IF(OR(N399="", N399=""), "[Aviso] Temporada no capturada ()", IF(ISNA(MATCH(N399, Criterios!$C$123:$C$128, 0)), "Temporada no válida", "")), IF(OR(O399="", O399=""), "[Aviso] Ciclo de vida no capturado ()", IF(ISNA(MATCH(O399, Criterios!$D$123:$D$124, 0)), "Ciclo de vida no válido", ""))))</f>
        <v/>
      </c>
      <c r="AC399" s="56" t="n"/>
      <c r="AD399" s="51" t="n"/>
      <c r="AE399" s="156" t="n"/>
      <c r="AF399" s="51" t="n"/>
      <c r="AG399" s="156" t="inlineStr">
        <is>
          <t>Nuevo – Carga Hoja2 01/10/2026</t>
        </is>
      </c>
      <c r="AH399" s="156" t="inlineStr">
        <is>
          <t>Alta 01/10/2026 desde Hoja2 (fila 198) | 01/10/2026: complementado desde Odoo Universal Unique Brands (match por SKU): WB N.º de estilo, WB Talla, WB Talla de EE. UU., WB Descripcion (antes «WG BAG»), WB Género, WB Licencia, WB Color, WB Descripción larga, WB País de origen | 01/10/2026: Odoo Universal Unique Brands trae Marca «Wrangler» — se conservó el valor de Productos | Homologación G1522 06/10/2026: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399" s="156" t="n"/>
      <c r="AJ399" s="156" t="n"/>
      <c r="AK399" s="155" t="inlineStr">
        <is>
          <t>Hoja2: fila 198 | Odoo: producto 11510 / plantilla 14945 | Odoo: producto 27253 / plantilla 33953</t>
        </is>
      </c>
      <c r="AL399" s="58" t="n"/>
      <c r="AM399" s="58" t="n"/>
      <c r="AN399" s="155" t="inlineStr">
        <is>
          <t>Odoo Universal Unique Brands</t>
        </is>
      </c>
      <c r="AO399" s="59" t="n"/>
      <c r="AP399" s="59" t="n"/>
      <c r="AQ399" s="59" t="n">
        <v>12</v>
      </c>
      <c r="AR399" s="155" t="inlineStr">
        <is>
          <t>Odoo Universal Unique Brands › Bodega 25 › Bodega 25/General: 12</t>
        </is>
      </c>
    </row>
    <row r="400">
      <c r="A400" s="50" t="n"/>
      <c r="B400" s="51" t="inlineStr">
        <is>
          <t>27254</t>
        </is>
      </c>
      <c r="C400" s="156" t="inlineStr">
        <is>
          <t>Montana West</t>
        </is>
      </c>
      <c r="D400" s="156" t="n"/>
      <c r="E400" s="156" t="inlineStr">
        <is>
          <t>WG145-8300RD</t>
        </is>
      </c>
      <c r="F400" s="156" t="inlineStr">
        <is>
          <t>Talla única</t>
        </is>
      </c>
      <c r="G400" s="156" t="inlineStr">
        <is>
          <t>One Size</t>
        </is>
      </c>
      <c r="H400" s="156" t="inlineStr">
        <is>
          <t>Montana West</t>
        </is>
      </c>
      <c r="I400" s="156" t="inlineStr">
        <is>
          <t>WG BAG</t>
        </is>
      </c>
      <c r="J400" s="156" t="inlineStr">
        <is>
          <t>Accesorios</t>
        </is>
      </c>
      <c r="K400" s="156" t="inlineStr">
        <is>
          <t>Bolsos</t>
        </is>
      </c>
      <c r="L400" s="156" t="inlineStr">
        <is>
          <t>Unisex</t>
        </is>
      </c>
      <c r="M400" s="156" t="n"/>
      <c r="N400" s="156" t="n"/>
      <c r="O400" s="156" t="n"/>
      <c r="P400" s="156" t="inlineStr">
        <is>
          <t>Rojo</t>
        </is>
      </c>
      <c r="Q400" s="156" t="n"/>
      <c r="R400" s="156" t="n"/>
      <c r="S400" s="156" t="n"/>
      <c r="T400" s="156" t="n"/>
      <c r="U400" s="156" t="n"/>
      <c r="V400" s="156" t="inlineStr">
        <is>
          <t>PZS</t>
        </is>
      </c>
      <c r="W400" s="51" t="inlineStr">
        <is>
          <t>53121601</t>
        </is>
      </c>
      <c r="X400" s="156" t="inlineStr">
        <is>
          <t>https://cdn.shopify.com/s/files/1/0005/9015/1741/files/Wrangler_Embroidered_Boot_Scroll_Tote_Bag_Red.webp?v=1733899213</t>
        </is>
      </c>
      <c r="Y400" s="54" t="n">
        <v>517.5</v>
      </c>
      <c r="Z400" s="54" t="n">
        <v>849</v>
      </c>
      <c r="AA400" s="55">
        <f>IF(AND(A400="", B400="", E400=""), "", IF(AB400="", "Válido", IF((LEN(AB400)-LEN(SUBSTITUTE(AB400,"; ","")))/2+1&gt;(LEN(AB400)-LEN(SUBSTITUTE(AB400,"[Aviso]","")))/7, "Con Incidencias", "Válido")))</f>
        <v/>
      </c>
      <c r="AB400" s="56">
        <f>IF(AND(A400="", B400="", E400=""), "", TEXTJOIN("; ", TRUE, IF(OR(TRIM(A400&amp;"")="", ISNUMBER(SEARCH("FALTA", A400))), "UPC faltante/inválido", ""), IF(AND(A400&lt;&gt;"", IFERROR(_xlfn.XMATCH(A400,$A$2:$A$1063,0,1)&lt;&gt;_xlfn.XMATCH(A400,$A$2:$A$1063,0,-1),FALSE)), "Código de barras duplicado", ""), IF(AND(E400&lt;&gt;"", COUNTIF($E$2:$E$1063, E400)&gt;1), "SKU duplicado", ""), IF(OR(J400="", J400=""), "[Aviso] División no capturada ()", IF(ISNA(MATCH(J400, Criterios!$A$123:$A$126, 0)), "División no válida", "")), IF(OR(K400="", K400=""), "[Aviso] Categoría no capturada ()", IF(ISNA(MATCH(K400, Criterios!$A$81:$A$120, 0)), "Categoría no válida", IF(AND(J400&lt;&gt;"", J400&lt;&gt;"", J400&lt;&gt;VLOOKUP(K400, Criterios!$A$81:$B$120, 2, FALSE)), "División no coincide con Categoría", ""))), IF(OR(L400="", L400=""), "[Aviso] Género no capturado ()", IF(ISNA(MATCH(L400, Criterios!$B$123:$B$127, 0)), "Género no válido", "")), IF(OR(N400="", N400=""), "[Aviso] Temporada no capturada ()", IF(ISNA(MATCH(N400, Criterios!$C$123:$C$128, 0)), "Temporada no válida", "")), IF(OR(O400="", O400=""), "[Aviso] Ciclo de vida no capturado ()", IF(ISNA(MATCH(O400, Criterios!$D$123:$D$124, 0)), "Ciclo de vida no válido", ""))))</f>
        <v/>
      </c>
      <c r="AC400" s="56" t="n"/>
      <c r="AD400" s="51" t="n"/>
      <c r="AE400" s="156" t="n"/>
      <c r="AF400" s="51" t="n"/>
      <c r="AG400" s="156" t="inlineStr">
        <is>
          <t>Nuevo – Carga Hoja2 01/10/2026</t>
        </is>
      </c>
      <c r="AH400" s="156" t="inlineStr">
        <is>
          <t>Alta 01/10/2026 desde Hoja2 (fila 199) | 01/10/2026: complementado desde Odoo Universal Unique Brands (match por SKU): WB Talla, WB Talla de EE. UU., WB Género | Homologación G1522 06/10/2026: Enlace de imagen: «» → «https://cdn.shopify.com/s/files/1/0005/9015/1741/files/Wrangler_Embroidered_Boot_Scroll_Tote_Bag_Red.webp?v=1733899213» (Completado por investigación en línea) · WB Color: «» → «Rojo»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400" s="156" t="n"/>
      <c r="AJ400" s="156" t="n"/>
      <c r="AK400" s="155" t="inlineStr">
        <is>
          <t>Hoja2: fila 199 | Odoo: producto 27254 / plantilla 33954 | Investigación en línea 06/10/2026: https://montanawestworld.com/products/wrangler-embroidered-boot-scroll-tote-bag-collection</t>
        </is>
      </c>
      <c r="AL400" s="58" t="n"/>
      <c r="AM400" s="58" t="n"/>
      <c r="AN400" s="155" t="inlineStr">
        <is>
          <t>Odoo Universal Unique Brands</t>
        </is>
      </c>
      <c r="AO400" s="59" t="n"/>
      <c r="AP400" s="59" t="n"/>
      <c r="AQ400" s="59" t="n">
        <v>0</v>
      </c>
      <c r="AR400" s="155" t="n"/>
    </row>
    <row r="401">
      <c r="A401" s="50" t="n"/>
      <c r="B401" s="51" t="inlineStr">
        <is>
          <t>27255</t>
        </is>
      </c>
      <c r="C401" s="156" t="inlineStr">
        <is>
          <t>Montana West</t>
        </is>
      </c>
      <c r="D401" s="156" t="n"/>
      <c r="E401" s="156" t="inlineStr">
        <is>
          <t>WG160-60102BK</t>
        </is>
      </c>
      <c r="F401" s="156" t="inlineStr">
        <is>
          <t>Talla única</t>
        </is>
      </c>
      <c r="G401" s="156" t="inlineStr">
        <is>
          <t>One Size</t>
        </is>
      </c>
      <c r="H401" s="156" t="inlineStr">
        <is>
          <t>Montana West</t>
        </is>
      </c>
      <c r="I401" s="156" t="inlineStr">
        <is>
          <t>WG Handbag</t>
        </is>
      </c>
      <c r="J401" s="156" t="inlineStr">
        <is>
          <t>Accesorios</t>
        </is>
      </c>
      <c r="K401" s="156" t="inlineStr">
        <is>
          <t>Bolsos</t>
        </is>
      </c>
      <c r="L401" s="156" t="inlineStr">
        <is>
          <t>Unisex</t>
        </is>
      </c>
      <c r="M401" s="156" t="n"/>
      <c r="N401" s="156" t="n"/>
      <c r="O401" s="156" t="n"/>
      <c r="P401" s="156" t="n"/>
      <c r="Q401" s="156" t="n"/>
      <c r="R401" s="156" t="n"/>
      <c r="S401" s="156" t="n"/>
      <c r="T401" s="156" t="n"/>
      <c r="U401" s="156" t="n"/>
      <c r="V401" s="156" t="inlineStr">
        <is>
          <t>PZS</t>
        </is>
      </c>
      <c r="W401" s="51" t="inlineStr">
        <is>
          <t>53121601</t>
        </is>
      </c>
      <c r="X401" s="156" t="n"/>
      <c r="Y401" s="54" t="n">
        <v>362.25</v>
      </c>
      <c r="Z401" s="54" t="n">
        <v>599</v>
      </c>
      <c r="AA401" s="55">
        <f>IF(AND(A401="", B401="", E401=""), "", IF(AB401="", "Válido", IF((LEN(AB401)-LEN(SUBSTITUTE(AB401,"; ","")))/2+1&gt;(LEN(AB401)-LEN(SUBSTITUTE(AB401,"[Aviso]","")))/7, "Con Incidencias", "Válido")))</f>
        <v/>
      </c>
      <c r="AB401" s="56">
        <f>IF(AND(A401="", B401="", E401=""), "", TEXTJOIN("; ", TRUE, IF(OR(TRIM(A401&amp;"")="", ISNUMBER(SEARCH("FALTA", A401))), "UPC faltante/inválido", ""), IF(AND(A401&lt;&gt;"", IFERROR(_xlfn.XMATCH(A401,$A$2:$A$1063,0,1)&lt;&gt;_xlfn.XMATCH(A401,$A$2:$A$1063,0,-1),FALSE)), "Código de barras duplicado", ""), IF(AND(E401&lt;&gt;"", COUNTIF($E$2:$E$1063, E401)&gt;1), "SKU duplicado", ""), IF(OR(J401="", J401=""), "[Aviso] División no capturada ()", IF(ISNA(MATCH(J401, Criterios!$A$123:$A$126, 0)), "División no válida", "")), IF(OR(K401="", K401=""), "[Aviso] Categoría no capturada ()", IF(ISNA(MATCH(K401, Criterios!$A$81:$A$120, 0)), "Categoría no válida", IF(AND(J401&lt;&gt;"", J401&lt;&gt;"", J401&lt;&gt;VLOOKUP(K401, Criterios!$A$81:$B$120, 2, FALSE)), "División no coincide con Categoría", ""))), IF(OR(L401="", L401=""), "[Aviso] Género no capturado ()", IF(ISNA(MATCH(L401, Criterios!$B$123:$B$127, 0)), "Género no válido", "")), IF(OR(N401="", N401=""), "[Aviso] Temporada no capturada ()", IF(ISNA(MATCH(N401, Criterios!$C$123:$C$128, 0)), "Temporada no válida", "")), IF(OR(O401="", O401=""), "[Aviso] Ciclo de vida no capturado ()", IF(ISNA(MATCH(O401, Criterios!$D$123:$D$124, 0)), "Ciclo de vida no válido", ""))))</f>
        <v/>
      </c>
      <c r="AC401" s="56" t="n"/>
      <c r="AD401" s="51" t="n"/>
      <c r="AE401" s="156" t="n"/>
      <c r="AF401" s="51" t="n"/>
      <c r="AG401" s="156" t="inlineStr">
        <is>
          <t>Nuevo – Carga Hoja2 01/10/2026</t>
        </is>
      </c>
      <c r="AH401" s="156" t="inlineStr">
        <is>
          <t>Alta 01/10/2026 desde Hoja2 (fila 200)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01" s="156" t="n"/>
      <c r="AJ401" s="156" t="n"/>
      <c r="AK401" s="155" t="inlineStr">
        <is>
          <t>Hoja2: fila 200 | Odoo: producto 27255 / plantilla 33955</t>
        </is>
      </c>
      <c r="AL401" s="58" t="n"/>
      <c r="AM401" s="58" t="n"/>
      <c r="AN401" s="155" t="inlineStr">
        <is>
          <t>Odoo Universal Unique Brands</t>
        </is>
      </c>
      <c r="AO401" s="59" t="n"/>
      <c r="AP401" s="59" t="n"/>
      <c r="AQ401" s="59" t="n">
        <v>0</v>
      </c>
      <c r="AR401" s="155" t="n"/>
    </row>
    <row r="402">
      <c r="A402" s="50" t="inlineStr">
        <is>
          <t>717325211737</t>
        </is>
      </c>
      <c r="B402" s="51" t="inlineStr">
        <is>
          <t>27257</t>
        </is>
      </c>
      <c r="C402" s="156" t="inlineStr">
        <is>
          <t>Wrangler</t>
        </is>
      </c>
      <c r="D402" s="156" t="inlineStr">
        <is>
          <t>WG160-60102CF</t>
        </is>
      </c>
      <c r="E402" s="156" t="inlineStr">
        <is>
          <t>WG160-60102CF</t>
        </is>
      </c>
      <c r="F402" s="156" t="inlineStr">
        <is>
          <t>Talla única</t>
        </is>
      </c>
      <c r="G402" s="156" t="inlineStr">
        <is>
          <t>One Size</t>
        </is>
      </c>
      <c r="H402" s="156" t="inlineStr">
        <is>
          <t>Wrangler</t>
        </is>
      </c>
      <c r="I402" s="156" t="inlineStr">
        <is>
          <t>Bolsa de Mano Wrangler Café Oscuro</t>
        </is>
      </c>
      <c r="J402" s="156" t="inlineStr">
        <is>
          <t>Accesorios</t>
        </is>
      </c>
      <c r="K402" s="156" t="inlineStr">
        <is>
          <t>Bolsos</t>
        </is>
      </c>
      <c r="L402" s="156" t="inlineStr">
        <is>
          <t>Unisex</t>
        </is>
      </c>
      <c r="M402" s="156" t="inlineStr">
        <is>
          <t>Wrangler</t>
        </is>
      </c>
      <c r="N402" s="156" t="n"/>
      <c r="O402" s="156" t="inlineStr">
        <is>
          <t>Core</t>
        </is>
      </c>
      <c r="P402" s="156" t="inlineStr">
        <is>
          <t>Cafe</t>
        </is>
      </c>
      <c r="Q402" s="156" t="n"/>
      <c r="R402" s="156" t="n"/>
      <c r="S402" s="156" t="n"/>
      <c r="T402" s="156" t="inlineStr">
        <is>
          <t>Bolsa de Mano Wrangler. Color: Café Oscuro. Talla única. Unisex. Referencia: WG160-60102CF.</t>
        </is>
      </c>
      <c r="U402" s="156" t="n"/>
      <c r="V402" s="156" t="inlineStr">
        <is>
          <t>PZS</t>
        </is>
      </c>
      <c r="W402" s="51" t="inlineStr">
        <is>
          <t>53121601</t>
        </is>
      </c>
      <c r="X402" s="156" t="n"/>
      <c r="Y402" s="54" t="n">
        <v>362.25</v>
      </c>
      <c r="Z402" s="54" t="n">
        <v>599</v>
      </c>
      <c r="AA402" s="55">
        <f>IF(AND(A402="", B402="", E402=""), "", IF(AB402="", "Válido", IF((LEN(AB402)-LEN(SUBSTITUTE(AB402,"; ","")))/2+1&gt;(LEN(AB402)-LEN(SUBSTITUTE(AB402,"[Aviso]","")))/7, "Con Incidencias", "Válido")))</f>
        <v/>
      </c>
      <c r="AB402" s="56">
        <f>IF(AND(A402="", B402="", E402=""), "", TEXTJOIN("; ", TRUE, IF(OR(TRIM(A402&amp;"")="", ISNUMBER(SEARCH("FALTA", A402))), "UPC faltante/inválido", ""), IF(AND(A402&lt;&gt;"", IFERROR(_xlfn.XMATCH(A402,$A$2:$A$1063,0,1)&lt;&gt;_xlfn.XMATCH(A402,$A$2:$A$1063,0,-1),FALSE)), "Código de barras duplicado", ""), IF(AND(E402&lt;&gt;"", COUNTIF($E$2:$E$1063, E402)&gt;1), "SKU duplicado", ""), IF(OR(J402="", J402=""), "[Aviso] División no capturada ()", IF(ISNA(MATCH(J402, Criterios!$A$123:$A$126, 0)), "División no válida", "")), IF(OR(K402="", K402=""), "[Aviso] Categoría no capturada ()", IF(ISNA(MATCH(K402, Criterios!$A$81:$A$120, 0)), "Categoría no válida", IF(AND(J402&lt;&gt;"", J402&lt;&gt;"", J402&lt;&gt;VLOOKUP(K402, Criterios!$A$81:$B$120, 2, FALSE)), "División no coincide con Categoría", ""))), IF(OR(L402="", L402=""), "[Aviso] Género no capturado ()", IF(ISNA(MATCH(L402, Criterios!$B$123:$B$127, 0)), "Género no válido", "")), IF(OR(N402="", N402=""), "[Aviso] Temporada no capturada ()", IF(ISNA(MATCH(N402, Criterios!$C$123:$C$128, 0)), "Temporada no válida", "")), IF(OR(O402="", O402=""), "[Aviso] Ciclo de vida no capturado ()", IF(ISNA(MATCH(O402, Criterios!$D$123:$D$124, 0)), "Ciclo de vida no válido", ""))))</f>
        <v/>
      </c>
      <c r="AC402" s="56" t="n"/>
      <c r="AD402" s="51" t="n"/>
      <c r="AE402" s="156" t="n"/>
      <c r="AF402" s="51" t="n"/>
      <c r="AG402" s="156" t="inlineStr">
        <is>
          <t>Nuevo – Carga Hoja2 01/10/2026</t>
        </is>
      </c>
      <c r="AH402" s="156" t="inlineStr">
        <is>
          <t>Alta 01/10/2026 desde Hoja2 (fila 201) | 01/10/2026: Odoo Universal Unique Brands trae Marca «Montana West» — se conservó el valor de Productos | Homologación G1522 06/10/2026: Validador Shopify: WB: precio con IVA no termina en 9</t>
        </is>
      </c>
      <c r="AI402" s="156" t="n"/>
      <c r="AJ402" s="156" t="n"/>
      <c r="AK402" s="155" t="inlineStr">
        <is>
          <t>Hoja2: fila 201 | Odoo: producto 27257 / plantilla 33957</t>
        </is>
      </c>
      <c r="AL402" s="58" t="n"/>
      <c r="AM402" s="58" t="n"/>
      <c r="AN402" s="155" t="inlineStr">
        <is>
          <t>Odoo Universal Unique Brands</t>
        </is>
      </c>
      <c r="AO402" s="59" t="n"/>
      <c r="AP402" s="59" t="n"/>
      <c r="AQ402" s="59" t="n">
        <v>3</v>
      </c>
      <c r="AR402" s="155" t="inlineStr">
        <is>
          <t>Odoo Universal Unique Brands › Bodega 25 › Bodega 25/General: 3</t>
        </is>
      </c>
    </row>
    <row r="403">
      <c r="A403" s="50" t="inlineStr">
        <is>
          <t>717325211584</t>
        </is>
      </c>
      <c r="B403" s="51" t="inlineStr">
        <is>
          <t>27260</t>
        </is>
      </c>
      <c r="C403" s="156" t="inlineStr">
        <is>
          <t>Wrangler</t>
        </is>
      </c>
      <c r="D403" s="156" t="inlineStr">
        <is>
          <t>WG160-6011CF</t>
        </is>
      </c>
      <c r="E403" s="156" t="inlineStr">
        <is>
          <t>WG160-6011CF</t>
        </is>
      </c>
      <c r="F403" s="156" t="inlineStr">
        <is>
          <t>Talla única</t>
        </is>
      </c>
      <c r="G403" s="156" t="inlineStr">
        <is>
          <t>One Size</t>
        </is>
      </c>
      <c r="H403" s="156" t="inlineStr">
        <is>
          <t>Wrangler</t>
        </is>
      </c>
      <c r="I403" s="156" t="inlineStr">
        <is>
          <t>Bolsa Tote Cruzada Wrangler Sherpa Café Oscuro</t>
        </is>
      </c>
      <c r="J403" s="156" t="inlineStr">
        <is>
          <t>Accesorios</t>
        </is>
      </c>
      <c r="K403" s="156" t="inlineStr">
        <is>
          <t>Bolsos</t>
        </is>
      </c>
      <c r="L403" s="156" t="inlineStr">
        <is>
          <t>Unisex</t>
        </is>
      </c>
      <c r="M403" s="156" t="inlineStr">
        <is>
          <t>Wrangler</t>
        </is>
      </c>
      <c r="N403" s="156" t="n"/>
      <c r="O403" s="156" t="inlineStr">
        <is>
          <t>Core</t>
        </is>
      </c>
      <c r="P403" s="156" t="inlineStr">
        <is>
          <t>Cafe</t>
        </is>
      </c>
      <c r="Q403" s="156" t="n"/>
      <c r="R403" s="156" t="n"/>
      <c r="S403" s="156" t="n"/>
      <c r="T403" s="156" t="inlineStr">
        <is>
          <t>Bolsa Tote Cruzada Wrangler. Modelo: Sherpa. Color: Café Oscuro. Talla única. Unisex. Referencia: WG160-6011CF.</t>
        </is>
      </c>
      <c r="U403" s="156" t="n"/>
      <c r="V403" s="156" t="inlineStr">
        <is>
          <t>PZS</t>
        </is>
      </c>
      <c r="W403" s="51" t="inlineStr">
        <is>
          <t>53121601</t>
        </is>
      </c>
      <c r="X403" s="156" t="n"/>
      <c r="Y403" s="54" t="n">
        <v>327.75</v>
      </c>
      <c r="Z403" s="54" t="n">
        <v>549</v>
      </c>
      <c r="AA403" s="55">
        <f>IF(AND(A403="", B403="", E403=""), "", IF(AB403="", "Válido", IF((LEN(AB403)-LEN(SUBSTITUTE(AB403,"; ","")))/2+1&gt;(LEN(AB403)-LEN(SUBSTITUTE(AB403,"[Aviso]","")))/7, "Con Incidencias", "Válido")))</f>
        <v/>
      </c>
      <c r="AB403" s="56">
        <f>IF(AND(A403="", B403="", E403=""), "", TEXTJOIN("; ", TRUE, IF(OR(TRIM(A403&amp;"")="", ISNUMBER(SEARCH("FALTA", A403))), "UPC faltante/inválido", ""), IF(AND(A403&lt;&gt;"", IFERROR(_xlfn.XMATCH(A403,$A$2:$A$1063,0,1)&lt;&gt;_xlfn.XMATCH(A403,$A$2:$A$1063,0,-1),FALSE)), "Código de barras duplicado", ""), IF(AND(E403&lt;&gt;"", COUNTIF($E$2:$E$1063, E403)&gt;1), "SKU duplicado", ""), IF(OR(J403="", J403=""), "[Aviso] División no capturada ()", IF(ISNA(MATCH(J403, Criterios!$A$123:$A$126, 0)), "División no válida", "")), IF(OR(K403="", K403=""), "[Aviso] Categoría no capturada ()", IF(ISNA(MATCH(K403, Criterios!$A$81:$A$120, 0)), "Categoría no válida", IF(AND(J403&lt;&gt;"", J403&lt;&gt;"", J403&lt;&gt;VLOOKUP(K403, Criterios!$A$81:$B$120, 2, FALSE)), "División no coincide con Categoría", ""))), IF(OR(L403="", L403=""), "[Aviso] Género no capturado ()", IF(ISNA(MATCH(L403, Criterios!$B$123:$B$127, 0)), "Género no válido", "")), IF(OR(N403="", N403=""), "[Aviso] Temporada no capturada ()", IF(ISNA(MATCH(N403, Criterios!$C$123:$C$128, 0)), "Temporada no válida", "")), IF(OR(O403="", O403=""), "[Aviso] Ciclo de vida no capturado ()", IF(ISNA(MATCH(O403, Criterios!$D$123:$D$124, 0)), "Ciclo de vida no válido", ""))))</f>
        <v/>
      </c>
      <c r="AC403" s="56" t="n"/>
      <c r="AD403" s="51" t="n"/>
      <c r="AE403" s="156" t="n"/>
      <c r="AF403" s="51" t="n"/>
      <c r="AG403" s="156" t="inlineStr">
        <is>
          <t>Nuevo – Carga Hoja2 01/10/2026</t>
        </is>
      </c>
      <c r="AH403" s="156" t="inlineStr">
        <is>
          <t>Alta 01/10/2026 desde Hoja2 (fila 202) | 01/10/2026: Odoo Universal Unique Brands trae Marca «Montana West» — se conservó el valor de Productos | Homologación G1522 06/10/2026: Validador Shopify: WB: precio con IVA no termina en 9</t>
        </is>
      </c>
      <c r="AI403" s="156" t="n"/>
      <c r="AJ403" s="156" t="n"/>
      <c r="AK403" s="155" t="inlineStr">
        <is>
          <t>Hoja2: fila 202 | Odoo: producto 27260 / plantilla 33960</t>
        </is>
      </c>
      <c r="AL403" s="58" t="n"/>
      <c r="AM403" s="58" t="n"/>
      <c r="AN403" s="155" t="inlineStr">
        <is>
          <t>Odoo Universal Unique Brands</t>
        </is>
      </c>
      <c r="AO403" s="59" t="n"/>
      <c r="AP403" s="59" t="n"/>
      <c r="AQ403" s="59" t="n">
        <v>4</v>
      </c>
      <c r="AR403" s="155" t="inlineStr">
        <is>
          <t>Odoo Universal Unique Brands › Bodega 25 › Bodega 25/General: 4</t>
        </is>
      </c>
    </row>
    <row r="404">
      <c r="A404" s="50" t="inlineStr">
        <is>
          <t>717325211850</t>
        </is>
      </c>
      <c r="B404" s="51" t="inlineStr">
        <is>
          <t>27261</t>
        </is>
      </c>
      <c r="C404" s="156" t="inlineStr">
        <is>
          <t>Wrangler</t>
        </is>
      </c>
      <c r="D404" s="156" t="inlineStr">
        <is>
          <t>WG160-W0142BR</t>
        </is>
      </c>
      <c r="E404" s="156" t="inlineStr">
        <is>
          <t>WG160-W0142BR</t>
        </is>
      </c>
      <c r="F404" s="156" t="inlineStr">
        <is>
          <t>Talla única</t>
        </is>
      </c>
      <c r="G404" s="156" t="inlineStr">
        <is>
          <t>One Size</t>
        </is>
      </c>
      <c r="H404" s="156" t="inlineStr">
        <is>
          <t>Wrangler</t>
        </is>
      </c>
      <c r="I404" s="156" t="inlineStr">
        <is>
          <t>Cartera Bifold Wrangler Grabada Western Café</t>
        </is>
      </c>
      <c r="J404" s="156" t="inlineStr">
        <is>
          <t>Accesorios</t>
        </is>
      </c>
      <c r="K404" s="156" t="inlineStr">
        <is>
          <t>Carteras</t>
        </is>
      </c>
      <c r="L404" s="156" t="inlineStr">
        <is>
          <t>Unisex</t>
        </is>
      </c>
      <c r="M404" s="156" t="inlineStr">
        <is>
          <t>Wrangler</t>
        </is>
      </c>
      <c r="N404" s="156" t="n"/>
      <c r="O404" s="156" t="inlineStr">
        <is>
          <t>Core</t>
        </is>
      </c>
      <c r="P404" s="156" t="inlineStr">
        <is>
          <t>Cafe</t>
        </is>
      </c>
      <c r="Q404" s="156" t="n"/>
      <c r="R404" s="156" t="n"/>
      <c r="S404" s="156" t="n"/>
      <c r="T404" s="156" t="inlineStr">
        <is>
          <t>Cartera Bifold Wrangler. Modelo: Grabada Western. Color: Café. Talla única. Unisex. Referencia: WG160-W0142BR.</t>
        </is>
      </c>
      <c r="U404" s="156" t="n"/>
      <c r="V404" s="156" t="inlineStr">
        <is>
          <t>PZS</t>
        </is>
      </c>
      <c r="W404" s="51" t="inlineStr">
        <is>
          <t>53121700</t>
        </is>
      </c>
      <c r="X404" s="156" t="n"/>
      <c r="Y404" s="54" t="n">
        <v>207</v>
      </c>
      <c r="Z404" s="54" t="n">
        <v>349</v>
      </c>
      <c r="AA404" s="55">
        <f>IF(AND(A404="", B404="", E404=""), "", IF(AB404="", "Válido", IF((LEN(AB404)-LEN(SUBSTITUTE(AB404,"; ","")))/2+1&gt;(LEN(AB404)-LEN(SUBSTITUTE(AB404,"[Aviso]","")))/7, "Con Incidencias", "Válido")))</f>
        <v/>
      </c>
      <c r="AB404" s="56">
        <f>IF(AND(A404="", B404="", E404=""), "", TEXTJOIN("; ", TRUE, IF(OR(TRIM(A404&amp;"")="", ISNUMBER(SEARCH("FALTA", A404))), "UPC faltante/inválido", ""), IF(AND(A404&lt;&gt;"", IFERROR(_xlfn.XMATCH(A404,$A$2:$A$1063,0,1)&lt;&gt;_xlfn.XMATCH(A404,$A$2:$A$1063,0,-1),FALSE)), "Código de barras duplicado", ""), IF(AND(E404&lt;&gt;"", COUNTIF($E$2:$E$1063, E404)&gt;1), "SKU duplicado", ""), IF(OR(J404="", J404=""), "[Aviso] División no capturada ()", IF(ISNA(MATCH(J404, Criterios!$A$123:$A$126, 0)), "División no válida", "")), IF(OR(K404="", K404=""), "[Aviso] Categoría no capturada ()", IF(ISNA(MATCH(K404, Criterios!$A$81:$A$120, 0)), "Categoría no válida", IF(AND(J404&lt;&gt;"", J404&lt;&gt;"", J404&lt;&gt;VLOOKUP(K404, Criterios!$A$81:$B$120, 2, FALSE)), "División no coincide con Categoría", ""))), IF(OR(L404="", L404=""), "[Aviso] Género no capturado ()", IF(ISNA(MATCH(L404, Criterios!$B$123:$B$127, 0)), "Género no válido", "")), IF(OR(N404="", N404=""), "[Aviso] Temporada no capturada ()", IF(ISNA(MATCH(N404, Criterios!$C$123:$C$128, 0)), "Temporada no válida", "")), IF(OR(O404="", O404=""), "[Aviso] Ciclo de vida no capturado ()", IF(ISNA(MATCH(O404, Criterios!$D$123:$D$124, 0)), "Ciclo de vida no válido", ""))))</f>
        <v/>
      </c>
      <c r="AC404" s="56" t="n"/>
      <c r="AD404" s="51" t="n"/>
      <c r="AE404" s="156" t="n"/>
      <c r="AF404" s="51" t="n"/>
      <c r="AG404" s="156" t="inlineStr">
        <is>
          <t>Nuevo – Carga Hoja2 01/10/2026</t>
        </is>
      </c>
      <c r="AH404" s="156" t="inlineStr">
        <is>
          <t>Alta 01/10/2026 desde Hoja2 (fila 203) | 01/10/2026: Odoo Universal Unique Brands trae Marca «Montana West» — se conservó el valor de Productos | Homologación G1522 06/10/2026: Validador Shopify: WB: precio con IVA no termina en 9</t>
        </is>
      </c>
      <c r="AI404" s="156" t="n"/>
      <c r="AJ404" s="156" t="n"/>
      <c r="AK404" s="155" t="inlineStr">
        <is>
          <t>Hoja2: fila 203 | Odoo: producto 27261 / plantilla 33961</t>
        </is>
      </c>
      <c r="AL404" s="58" t="n"/>
      <c r="AM404" s="58" t="n"/>
      <c r="AN404" s="155" t="inlineStr">
        <is>
          <t>Odoo Universal Unique Brands</t>
        </is>
      </c>
      <c r="AO404" s="59" t="n"/>
      <c r="AP404" s="59" t="n"/>
      <c r="AQ404" s="59" t="n">
        <v>-3</v>
      </c>
      <c r="AR404" s="155" t="n"/>
    </row>
    <row r="405">
      <c r="A405" s="50" t="inlineStr">
        <is>
          <t>717325211621</t>
        </is>
      </c>
      <c r="B405" s="51" t="inlineStr">
        <is>
          <t>27263</t>
        </is>
      </c>
      <c r="C405" s="156" t="inlineStr">
        <is>
          <t>Wrangler</t>
        </is>
      </c>
      <c r="D405" s="156" t="inlineStr">
        <is>
          <t>WG160-W014BR</t>
        </is>
      </c>
      <c r="E405" s="156" t="inlineStr">
        <is>
          <t>WG160-W014BR</t>
        </is>
      </c>
      <c r="F405" s="156" t="inlineStr">
        <is>
          <t>Talla única</t>
        </is>
      </c>
      <c r="G405" s="156" t="inlineStr">
        <is>
          <t>One Size</t>
        </is>
      </c>
      <c r="H405" s="156" t="inlineStr">
        <is>
          <t>Wrangler</t>
        </is>
      </c>
      <c r="I405" s="156" t="inlineStr">
        <is>
          <t>Cartera Wrangler Café</t>
        </is>
      </c>
      <c r="J405" s="156" t="inlineStr">
        <is>
          <t>Accesorios</t>
        </is>
      </c>
      <c r="K405" s="156" t="inlineStr">
        <is>
          <t>Carteras</t>
        </is>
      </c>
      <c r="L405" s="156" t="inlineStr">
        <is>
          <t>Unisex</t>
        </is>
      </c>
      <c r="M405" s="156" t="inlineStr">
        <is>
          <t>Wrangler</t>
        </is>
      </c>
      <c r="N405" s="156" t="n"/>
      <c r="O405" s="156" t="inlineStr">
        <is>
          <t>Core</t>
        </is>
      </c>
      <c r="P405" s="156" t="inlineStr">
        <is>
          <t>Cafe</t>
        </is>
      </c>
      <c r="Q405" s="156" t="n"/>
      <c r="R405" s="156" t="n"/>
      <c r="S405" s="156" t="n"/>
      <c r="T405" s="156" t="inlineStr">
        <is>
          <t>Cartera Wrangler. Color: Café. Talla única. Unisex. Referencia: WG160-W014BR.</t>
        </is>
      </c>
      <c r="U405" s="156" t="n"/>
      <c r="V405" s="156" t="inlineStr">
        <is>
          <t>PZS</t>
        </is>
      </c>
      <c r="W405" s="51" t="inlineStr">
        <is>
          <t>53121700</t>
        </is>
      </c>
      <c r="X405" s="156" t="n"/>
      <c r="Y405" s="54" t="n">
        <v>207</v>
      </c>
      <c r="Z405" s="54" t="n">
        <v>349</v>
      </c>
      <c r="AA405" s="55">
        <f>IF(AND(A405="", B405="", E405=""), "", IF(AB405="", "Válido", IF((LEN(AB405)-LEN(SUBSTITUTE(AB405,"; ","")))/2+1&gt;(LEN(AB405)-LEN(SUBSTITUTE(AB405,"[Aviso]","")))/7, "Con Incidencias", "Válido")))</f>
        <v/>
      </c>
      <c r="AB405" s="56">
        <f>IF(AND(A405="", B405="", E405=""), "", TEXTJOIN("; ", TRUE, IF(OR(TRIM(A405&amp;"")="", ISNUMBER(SEARCH("FALTA", A405))), "UPC faltante/inválido", ""), IF(AND(A405&lt;&gt;"", IFERROR(_xlfn.XMATCH(A405,$A$2:$A$1063,0,1)&lt;&gt;_xlfn.XMATCH(A405,$A$2:$A$1063,0,-1),FALSE)), "Código de barras duplicado", ""), IF(AND(E405&lt;&gt;"", COUNTIF($E$2:$E$1063, E405)&gt;1), "SKU duplicado", ""), IF(OR(J405="", J405=""), "[Aviso] División no capturada ()", IF(ISNA(MATCH(J405, Criterios!$A$123:$A$126, 0)), "División no válida", "")), IF(OR(K405="", K405=""), "[Aviso] Categoría no capturada ()", IF(ISNA(MATCH(K405, Criterios!$A$81:$A$120, 0)), "Categoría no válida", IF(AND(J405&lt;&gt;"", J405&lt;&gt;"", J405&lt;&gt;VLOOKUP(K405, Criterios!$A$81:$B$120, 2, FALSE)), "División no coincide con Categoría", ""))), IF(OR(L405="", L405=""), "[Aviso] Género no capturado ()", IF(ISNA(MATCH(L405, Criterios!$B$123:$B$127, 0)), "Género no válido", "")), IF(OR(N405="", N405=""), "[Aviso] Temporada no capturada ()", IF(ISNA(MATCH(N405, Criterios!$C$123:$C$128, 0)), "Temporada no válida", "")), IF(OR(O405="", O405=""), "[Aviso] Ciclo de vida no capturado ()", IF(ISNA(MATCH(O405, Criterios!$D$123:$D$124, 0)), "Ciclo de vida no válido", ""))))</f>
        <v/>
      </c>
      <c r="AC405" s="56" t="n"/>
      <c r="AD405" s="51" t="n"/>
      <c r="AE405" s="156" t="n"/>
      <c r="AF405" s="51" t="n"/>
      <c r="AG405" s="156" t="inlineStr">
        <is>
          <t>Nuevo – Carga Hoja2 01/10/2026</t>
        </is>
      </c>
      <c r="AH405" s="156" t="inlineStr">
        <is>
          <t>Alta 01/10/2026 desde Hoja2 (fila 204) | 01/10/2026: Odoo Universal Unique Brands trae Marca «Montana West» — se conservó el valor de Productos | Homologación G1522 06/10/2026: Validador Shopify: WB: precio con IVA no termina en 9</t>
        </is>
      </c>
      <c r="AI405" s="156" t="n"/>
      <c r="AJ405" s="156" t="n"/>
      <c r="AK405" s="155" t="inlineStr">
        <is>
          <t>Hoja2: fila 204 | Odoo: producto 27263 / plantilla 33963</t>
        </is>
      </c>
      <c r="AL405" s="58" t="n"/>
      <c r="AM405" s="58" t="n"/>
      <c r="AN405" s="155" t="inlineStr">
        <is>
          <t>Odoo Universal Unique Brands</t>
        </is>
      </c>
      <c r="AO405" s="59" t="n"/>
      <c r="AP405" s="59" t="n"/>
      <c r="AQ405" s="59" t="n">
        <v>6</v>
      </c>
      <c r="AR405" s="155" t="inlineStr">
        <is>
          <t>Odoo Universal Unique Brands › Bodega 25 › Bodega 25/General: 6</t>
        </is>
      </c>
    </row>
    <row r="406">
      <c r="A406" s="50" t="inlineStr">
        <is>
          <t>717019709069</t>
        </is>
      </c>
      <c r="B406" s="51" t="inlineStr">
        <is>
          <t>27264</t>
        </is>
      </c>
      <c r="C406" s="156" t="inlineStr">
        <is>
          <t>Wrangler</t>
        </is>
      </c>
      <c r="D406" s="156" t="inlineStr">
        <is>
          <t>WG162-8012TN</t>
        </is>
      </c>
      <c r="E406" s="156" t="inlineStr">
        <is>
          <t>WG162-8012TN</t>
        </is>
      </c>
      <c r="F406" s="156" t="inlineStr">
        <is>
          <t>Talla única</t>
        </is>
      </c>
      <c r="G406" s="156" t="inlineStr">
        <is>
          <t>One Size</t>
        </is>
      </c>
      <c r="H406" s="156" t="inlineStr">
        <is>
          <t>Wrangler</t>
        </is>
      </c>
      <c r="I406" s="156" t="inlineStr">
        <is>
          <t>Bolsa de Mano Wrangler Camel</t>
        </is>
      </c>
      <c r="J406" s="156" t="inlineStr">
        <is>
          <t>Accesorios</t>
        </is>
      </c>
      <c r="K406" s="156" t="inlineStr">
        <is>
          <t>Bolsos</t>
        </is>
      </c>
      <c r="L406" s="156" t="inlineStr">
        <is>
          <t>Unisex</t>
        </is>
      </c>
      <c r="M406" s="156" t="inlineStr">
        <is>
          <t>Wrangler</t>
        </is>
      </c>
      <c r="N406" s="156" t="n"/>
      <c r="O406" s="156" t="inlineStr">
        <is>
          <t>Core</t>
        </is>
      </c>
      <c r="P406" s="156" t="inlineStr">
        <is>
          <t>Beige</t>
        </is>
      </c>
      <c r="Q406" s="156" t="n"/>
      <c r="R406" s="156" t="n"/>
      <c r="S406" s="156" t="n"/>
      <c r="T406" s="156" t="inlineStr">
        <is>
          <t>Bolsa de Mano Wrangler. Color: Camel. Talla única. Unisex. Referencia: WG162-8012TN.</t>
        </is>
      </c>
      <c r="U406" s="156" t="n"/>
      <c r="V406" s="156" t="inlineStr">
        <is>
          <t>PZS</t>
        </is>
      </c>
      <c r="W406" s="51" t="inlineStr">
        <is>
          <t>53121601</t>
        </is>
      </c>
      <c r="X406" s="156" t="n"/>
      <c r="Y406" s="54" t="n">
        <v>483</v>
      </c>
      <c r="Z406" s="54" t="n">
        <v>799</v>
      </c>
      <c r="AA406" s="55">
        <f>IF(AND(A406="", B406="", E406=""), "", IF(AB406="", "Válido", IF((LEN(AB406)-LEN(SUBSTITUTE(AB406,"; ","")))/2+1&gt;(LEN(AB406)-LEN(SUBSTITUTE(AB406,"[Aviso]","")))/7, "Con Incidencias", "Válido")))</f>
        <v/>
      </c>
      <c r="AB406" s="56">
        <f>IF(AND(A406="", B406="", E406=""), "", TEXTJOIN("; ", TRUE, IF(OR(TRIM(A406&amp;"")="", ISNUMBER(SEARCH("FALTA", A406))), "UPC faltante/inválido", ""), IF(AND(A406&lt;&gt;"", IFERROR(_xlfn.XMATCH(A406,$A$2:$A$1063,0,1)&lt;&gt;_xlfn.XMATCH(A406,$A$2:$A$1063,0,-1),FALSE)), "Código de barras duplicado", ""), IF(AND(E406&lt;&gt;"", COUNTIF($E$2:$E$1063, E406)&gt;1), "SKU duplicado", ""), IF(OR(J406="", J406=""), "[Aviso] División no capturada ()", IF(ISNA(MATCH(J406, Criterios!$A$123:$A$126, 0)), "División no válida", "")), IF(OR(K406="", K406=""), "[Aviso] Categoría no capturada ()", IF(ISNA(MATCH(K406, Criterios!$A$81:$A$120, 0)), "Categoría no válida", IF(AND(J406&lt;&gt;"", J406&lt;&gt;"", J406&lt;&gt;VLOOKUP(K406, Criterios!$A$81:$B$120, 2, FALSE)), "División no coincide con Categoría", ""))), IF(OR(L406="", L406=""), "[Aviso] Género no capturado ()", IF(ISNA(MATCH(L406, Criterios!$B$123:$B$127, 0)), "Género no válido", "")), IF(OR(N406="", N406=""), "[Aviso] Temporada no capturada ()", IF(ISNA(MATCH(N406, Criterios!$C$123:$C$128, 0)), "Temporada no válida", "")), IF(OR(O406="", O406=""), "[Aviso] Ciclo de vida no capturado ()", IF(ISNA(MATCH(O406, Criterios!$D$123:$D$124, 0)), "Ciclo de vida no válido", ""))))</f>
        <v/>
      </c>
      <c r="AC406" s="56" t="n"/>
      <c r="AD406" s="51" t="n"/>
      <c r="AE406" s="156" t="n"/>
      <c r="AF406" s="51" t="n"/>
      <c r="AG406" s="156" t="inlineStr">
        <is>
          <t>Nuevo – Carga Hoja2 01/10/2026</t>
        </is>
      </c>
      <c r="AH406" s="156" t="inlineStr">
        <is>
          <t>Alta 01/10/2026 desde Hoja2 (fila 205) | 01/10/2026: Odoo Universal Unique Brands trae Marca «Montana West» — se conservó el valor de Productos | Homologación G1522 06/10/2026: Validador Shopify: WB: precio con IVA no termina en 9</t>
        </is>
      </c>
      <c r="AI406" s="156" t="n"/>
      <c r="AJ406" s="156" t="n"/>
      <c r="AK406" s="155" t="inlineStr">
        <is>
          <t>Hoja2: fila 205 | Odoo: producto 27264 / plantilla 33964</t>
        </is>
      </c>
      <c r="AL406" s="58" t="n"/>
      <c r="AM406" s="58" t="n"/>
      <c r="AN406" s="155" t="inlineStr">
        <is>
          <t>Odoo Universal Unique Brands</t>
        </is>
      </c>
      <c r="AO406" s="59" t="n"/>
      <c r="AP406" s="59" t="n"/>
      <c r="AQ406" s="59" t="n">
        <v>4</v>
      </c>
      <c r="AR406" s="155" t="inlineStr">
        <is>
          <t>Odoo Universal Unique Brands › Bodega 25 › Bodega 25/General: 4</t>
        </is>
      </c>
    </row>
    <row r="407">
      <c r="A407" s="50" t="n"/>
      <c r="B407" s="51" t="inlineStr">
        <is>
          <t>27265</t>
        </is>
      </c>
      <c r="C407" s="156" t="inlineStr">
        <is>
          <t>Montana West</t>
        </is>
      </c>
      <c r="D407" s="156" t="n"/>
      <c r="E407" s="156" t="inlineStr">
        <is>
          <t>WG162-8136CF</t>
        </is>
      </c>
      <c r="F407" s="156" t="inlineStr">
        <is>
          <t>Talla única</t>
        </is>
      </c>
      <c r="G407" s="156" t="inlineStr">
        <is>
          <t>One Size</t>
        </is>
      </c>
      <c r="H407" s="156" t="inlineStr">
        <is>
          <t>Montana West</t>
        </is>
      </c>
      <c r="I407" s="156" t="inlineStr">
        <is>
          <t>WG Handbag</t>
        </is>
      </c>
      <c r="J407" s="156" t="inlineStr">
        <is>
          <t>Accesorios</t>
        </is>
      </c>
      <c r="K407" s="156" t="inlineStr">
        <is>
          <t>Bolsos</t>
        </is>
      </c>
      <c r="L407" s="156" t="inlineStr">
        <is>
          <t>Unisex</t>
        </is>
      </c>
      <c r="M407" s="156" t="n"/>
      <c r="N407" s="156" t="n"/>
      <c r="O407" s="156" t="n"/>
      <c r="P407" s="156" t="n"/>
      <c r="Q407" s="156" t="n"/>
      <c r="R407" s="156" t="n"/>
      <c r="S407" s="156" t="n"/>
      <c r="T407" s="156" t="n"/>
      <c r="U407" s="156" t="n"/>
      <c r="V407" s="156" t="inlineStr">
        <is>
          <t>PZS</t>
        </is>
      </c>
      <c r="W407" s="51" t="inlineStr">
        <is>
          <t>53121601</t>
        </is>
      </c>
      <c r="X407" s="156" t="n"/>
      <c r="Y407" s="54" t="n">
        <v>431.25</v>
      </c>
      <c r="Z407" s="54" t="n">
        <v>699</v>
      </c>
      <c r="AA407" s="55">
        <f>IF(AND(A407="", B407="", E407=""), "", IF(AB407="", "Válido", IF((LEN(AB407)-LEN(SUBSTITUTE(AB407,"; ","")))/2+1&gt;(LEN(AB407)-LEN(SUBSTITUTE(AB407,"[Aviso]","")))/7, "Con Incidencias", "Válido")))</f>
        <v/>
      </c>
      <c r="AB407" s="56">
        <f>IF(AND(A407="", B407="", E407=""), "", TEXTJOIN("; ", TRUE, IF(OR(TRIM(A407&amp;"")="", ISNUMBER(SEARCH("FALTA", A407))), "UPC faltante/inválido", ""), IF(AND(A407&lt;&gt;"", IFERROR(_xlfn.XMATCH(A407,$A$2:$A$1063,0,1)&lt;&gt;_xlfn.XMATCH(A407,$A$2:$A$1063,0,-1),FALSE)), "Código de barras duplicado", ""), IF(AND(E407&lt;&gt;"", COUNTIF($E$2:$E$1063, E407)&gt;1), "SKU duplicado", ""), IF(OR(J407="", J407=""), "[Aviso] División no capturada ()", IF(ISNA(MATCH(J407, Criterios!$A$123:$A$126, 0)), "División no válida", "")), IF(OR(K407="", K407=""), "[Aviso] Categoría no capturada ()", IF(ISNA(MATCH(K407, Criterios!$A$81:$A$120, 0)), "Categoría no válida", IF(AND(J407&lt;&gt;"", J407&lt;&gt;"", J407&lt;&gt;VLOOKUP(K407, Criterios!$A$81:$B$120, 2, FALSE)), "División no coincide con Categoría", ""))), IF(OR(L407="", L407=""), "[Aviso] Género no capturado ()", IF(ISNA(MATCH(L407, Criterios!$B$123:$B$127, 0)), "Género no válido", "")), IF(OR(N407="", N407=""), "[Aviso] Temporada no capturada ()", IF(ISNA(MATCH(N407, Criterios!$C$123:$C$128, 0)), "Temporada no válida", "")), IF(OR(O407="", O407=""), "[Aviso] Ciclo de vida no capturado ()", IF(ISNA(MATCH(O407, Criterios!$D$123:$D$124, 0)), "Ciclo de vida no válido", ""))))</f>
        <v/>
      </c>
      <c r="AC407" s="56" t="n"/>
      <c r="AD407" s="51" t="n"/>
      <c r="AE407" s="156" t="n"/>
      <c r="AF407" s="51" t="n"/>
      <c r="AG407" s="156" t="inlineStr">
        <is>
          <t>Nuevo – Carga Hoja2 01/10/2026</t>
        </is>
      </c>
      <c r="AH407" s="156" t="inlineStr">
        <is>
          <t>Alta 01/10/2026 desde Hoja2 (fila 206) | 01/10/2026: complementado desde Odoo Universal Unique Brands (match por SKU): WB Talla, WB Talla de EE. UU., WB Género | Homologación G1522 06/10/2026: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07" s="156" t="n"/>
      <c r="AJ407" s="156" t="n"/>
      <c r="AK407" s="155" t="inlineStr">
        <is>
          <t>Hoja2: fila 206 | Odoo: producto 27265 / plantilla 33965</t>
        </is>
      </c>
      <c r="AL407" s="58" t="n"/>
      <c r="AM407" s="58" t="n"/>
      <c r="AN407" s="155" t="inlineStr">
        <is>
          <t>Odoo Universal Unique Brands</t>
        </is>
      </c>
      <c r="AO407" s="59" t="n"/>
      <c r="AP407" s="59" t="n"/>
      <c r="AQ407" s="59" t="n">
        <v>6</v>
      </c>
      <c r="AR407" s="155" t="inlineStr">
        <is>
          <t>Odoo Universal Unique Brands › Bodega 25 › Bodega 25/General: 6</t>
        </is>
      </c>
    </row>
    <row r="408">
      <c r="A408" s="50" t="inlineStr">
        <is>
          <t>717325204883</t>
        </is>
      </c>
      <c r="B408" s="51" t="inlineStr">
        <is>
          <t>27269</t>
        </is>
      </c>
      <c r="C408" s="156" t="inlineStr">
        <is>
          <t>Wrangler</t>
        </is>
      </c>
      <c r="D408" s="156" t="inlineStr">
        <is>
          <t>WG162-W0331BK</t>
        </is>
      </c>
      <c r="E408" s="156" t="inlineStr">
        <is>
          <t>WG162-W0331BK</t>
        </is>
      </c>
      <c r="F408" s="156" t="inlineStr">
        <is>
          <t>Talla única</t>
        </is>
      </c>
      <c r="G408" s="156" t="inlineStr">
        <is>
          <t>One Size</t>
        </is>
      </c>
      <c r="H408" s="156" t="inlineStr">
        <is>
          <t>Wrangler</t>
        </is>
      </c>
      <c r="I408" s="156" t="inlineStr">
        <is>
          <t>Cartera Bifold Tarjetero Wrangler Floral Grabada Negro</t>
        </is>
      </c>
      <c r="J408" s="156" t="inlineStr">
        <is>
          <t>Accesorios</t>
        </is>
      </c>
      <c r="K408" s="156" t="inlineStr">
        <is>
          <t>Carteras</t>
        </is>
      </c>
      <c r="L408" s="156" t="inlineStr">
        <is>
          <t>Unisex</t>
        </is>
      </c>
      <c r="M408" s="156" t="inlineStr">
        <is>
          <t>Wrangler</t>
        </is>
      </c>
      <c r="N408" s="156" t="n"/>
      <c r="O408" s="156" t="inlineStr">
        <is>
          <t>Core</t>
        </is>
      </c>
      <c r="P408" s="156" t="inlineStr">
        <is>
          <t>Negro</t>
        </is>
      </c>
      <c r="Q408" s="156" t="n"/>
      <c r="R408" s="156" t="n"/>
      <c r="S408" s="156" t="n"/>
      <c r="T408" s="156" t="inlineStr">
        <is>
          <t>Cartera Bifold Tarjetero Wrangler. Modelo: Floral Grabada. Color: Negro. Talla única. Unisex. Referencia: WG162-W0331BK.</t>
        </is>
      </c>
      <c r="U408" s="156" t="n"/>
      <c r="V408" s="156" t="inlineStr">
        <is>
          <t>PZS</t>
        </is>
      </c>
      <c r="W408" s="51" t="inlineStr">
        <is>
          <t>53121700</t>
        </is>
      </c>
      <c r="X408" s="156" t="n"/>
      <c r="Y408" s="54" t="n">
        <v>250.125</v>
      </c>
      <c r="Z408" s="54" t="n">
        <v>449</v>
      </c>
      <c r="AA408" s="55">
        <f>IF(AND(A408="", B408="", E408=""), "", IF(AB408="", "Válido", IF((LEN(AB408)-LEN(SUBSTITUTE(AB408,"; ","")))/2+1&gt;(LEN(AB408)-LEN(SUBSTITUTE(AB408,"[Aviso]","")))/7, "Con Incidencias", "Válido")))</f>
        <v/>
      </c>
      <c r="AB408" s="56">
        <f>IF(AND(A408="", B408="", E408=""), "", TEXTJOIN("; ", TRUE, IF(OR(TRIM(A408&amp;"")="", ISNUMBER(SEARCH("FALTA", A408))), "UPC faltante/inválido", ""), IF(AND(A408&lt;&gt;"", IFERROR(_xlfn.XMATCH(A408,$A$2:$A$1063,0,1)&lt;&gt;_xlfn.XMATCH(A408,$A$2:$A$1063,0,-1),FALSE)), "Código de barras duplicado", ""), IF(AND(E408&lt;&gt;"", COUNTIF($E$2:$E$1063, E408)&gt;1), "SKU duplicado", ""), IF(OR(J408="", J408=""), "[Aviso] División no capturada ()", IF(ISNA(MATCH(J408, Criterios!$A$123:$A$126, 0)), "División no válida", "")), IF(OR(K408="", K408=""), "[Aviso] Categoría no capturada ()", IF(ISNA(MATCH(K408, Criterios!$A$81:$A$120, 0)), "Categoría no válida", IF(AND(J408&lt;&gt;"", J408&lt;&gt;"", J408&lt;&gt;VLOOKUP(K408, Criterios!$A$81:$B$120, 2, FALSE)), "División no coincide con Categoría", ""))), IF(OR(L408="", L408=""), "[Aviso] Género no capturado ()", IF(ISNA(MATCH(L408, Criterios!$B$123:$B$127, 0)), "Género no válido", "")), IF(OR(N408="", N408=""), "[Aviso] Temporada no capturada ()", IF(ISNA(MATCH(N408, Criterios!$C$123:$C$128, 0)), "Temporada no válida", "")), IF(OR(O408="", O408=""), "[Aviso] Ciclo de vida no capturado ()", IF(ISNA(MATCH(O408, Criterios!$D$123:$D$124, 0)), "Ciclo de vida no válido", ""))))</f>
        <v/>
      </c>
      <c r="AC408" s="56" t="n"/>
      <c r="AD408" s="51" t="n"/>
      <c r="AE408" s="156" t="n"/>
      <c r="AF408" s="51" t="n"/>
      <c r="AG408" s="156" t="inlineStr">
        <is>
          <t>Nuevo – Carga Hoja2 01/10/2026</t>
        </is>
      </c>
      <c r="AH408" s="156" t="inlineStr">
        <is>
          <t>Alta 01/10/2026 desde Hoja2 (fila 207) | 01/10/2026: Odoo Universal Unique Brands trae Marca «Montana West» — se conservó el valor de Productos | Homologación G1522 06/10/2026: Validador Shopify: WB: precio con IVA no termina en 9</t>
        </is>
      </c>
      <c r="AI408" s="156" t="n"/>
      <c r="AJ408" s="156" t="n"/>
      <c r="AK408" s="155" t="inlineStr">
        <is>
          <t>Hoja2: fila 207 | Odoo: producto 27269 / plantilla 33969</t>
        </is>
      </c>
      <c r="AL408" s="58" t="n"/>
      <c r="AM408" s="58" t="n"/>
      <c r="AN408" s="155" t="inlineStr">
        <is>
          <t>Odoo Universal Unique Brands</t>
        </is>
      </c>
      <c r="AO408" s="59" t="n"/>
      <c r="AP408" s="59" t="n"/>
      <c r="AQ408" s="59" t="n">
        <v>2</v>
      </c>
      <c r="AR408" s="155" t="inlineStr">
        <is>
          <t>Odoo Universal Unique Brands › Bodega 25 › Bodega 25/General: 2</t>
        </is>
      </c>
    </row>
    <row r="409">
      <c r="A409" s="50" t="inlineStr">
        <is>
          <t>717325204869</t>
        </is>
      </c>
      <c r="B409" s="51" t="inlineStr">
        <is>
          <t>27271</t>
        </is>
      </c>
      <c r="C409" s="156" t="inlineStr">
        <is>
          <t>Wrangler</t>
        </is>
      </c>
      <c r="D409" s="156" t="inlineStr">
        <is>
          <t>WG162-W0332BR</t>
        </is>
      </c>
      <c r="E409" s="156" t="inlineStr">
        <is>
          <t>WG162-W0332BR</t>
        </is>
      </c>
      <c r="F409" s="156" t="inlineStr">
        <is>
          <t>Talla única</t>
        </is>
      </c>
      <c r="G409" s="156" t="inlineStr">
        <is>
          <t>One Size</t>
        </is>
      </c>
      <c r="H409" s="156" t="inlineStr">
        <is>
          <t>Wrangler</t>
        </is>
      </c>
      <c r="I409" s="156" t="inlineStr">
        <is>
          <t>Cartera Bifold Tarjetero Wrangler Piel De Vaca Genuina Con Pelo Café</t>
        </is>
      </c>
      <c r="J409" s="156" t="inlineStr">
        <is>
          <t>Accesorios</t>
        </is>
      </c>
      <c r="K409" s="156" t="inlineStr">
        <is>
          <t>Carteras</t>
        </is>
      </c>
      <c r="L409" s="156" t="inlineStr">
        <is>
          <t>Unisex</t>
        </is>
      </c>
      <c r="M409" s="156" t="inlineStr">
        <is>
          <t>Wrangler</t>
        </is>
      </c>
      <c r="N409" s="156" t="n"/>
      <c r="O409" s="156" t="inlineStr">
        <is>
          <t>Core</t>
        </is>
      </c>
      <c r="P409" s="156" t="inlineStr">
        <is>
          <t>Cafe</t>
        </is>
      </c>
      <c r="Q409" s="156" t="n"/>
      <c r="R409" s="156" t="n"/>
      <c r="S409" s="156" t="n"/>
      <c r="T409" s="156" t="inlineStr">
        <is>
          <t>Cartera Bifold Tarjetero Wrangler. Modelo: Piel De Vaca Genuina Con Pelo. Color: Café. Talla única. Unisex. Referencia: WG162-W0332BR.</t>
        </is>
      </c>
      <c r="U409" s="156" t="n"/>
      <c r="V409" s="156" t="inlineStr">
        <is>
          <t>PZS</t>
        </is>
      </c>
      <c r="W409" s="51" t="inlineStr">
        <is>
          <t>53121700</t>
        </is>
      </c>
      <c r="X409" s="156" t="n"/>
      <c r="Y409" s="54" t="n">
        <v>250.125</v>
      </c>
      <c r="Z409" s="54" t="n">
        <v>449</v>
      </c>
      <c r="AA409" s="55">
        <f>IF(AND(A409="", B409="", E409=""), "", IF(AB409="", "Válido", IF((LEN(AB409)-LEN(SUBSTITUTE(AB409,"; ","")))/2+1&gt;(LEN(AB409)-LEN(SUBSTITUTE(AB409,"[Aviso]","")))/7, "Con Incidencias", "Válido")))</f>
        <v/>
      </c>
      <c r="AB409" s="56">
        <f>IF(AND(A409="", B409="", E409=""), "", TEXTJOIN("; ", TRUE, IF(OR(TRIM(A409&amp;"")="", ISNUMBER(SEARCH("FALTA", A409))), "UPC faltante/inválido", ""), IF(AND(A409&lt;&gt;"", IFERROR(_xlfn.XMATCH(A409,$A$2:$A$1063,0,1)&lt;&gt;_xlfn.XMATCH(A409,$A$2:$A$1063,0,-1),FALSE)), "Código de barras duplicado", ""), IF(AND(E409&lt;&gt;"", COUNTIF($E$2:$E$1063, E409)&gt;1), "SKU duplicado", ""), IF(OR(J409="", J409=""), "[Aviso] División no capturada ()", IF(ISNA(MATCH(J409, Criterios!$A$123:$A$126, 0)), "División no válida", "")), IF(OR(K409="", K409=""), "[Aviso] Categoría no capturada ()", IF(ISNA(MATCH(K409, Criterios!$A$81:$A$120, 0)), "Categoría no válida", IF(AND(J409&lt;&gt;"", J409&lt;&gt;"", J409&lt;&gt;VLOOKUP(K409, Criterios!$A$81:$B$120, 2, FALSE)), "División no coincide con Categoría", ""))), IF(OR(L409="", L409=""), "[Aviso] Género no capturado ()", IF(ISNA(MATCH(L409, Criterios!$B$123:$B$127, 0)), "Género no válido", "")), IF(OR(N409="", N409=""), "[Aviso] Temporada no capturada ()", IF(ISNA(MATCH(N409, Criterios!$C$123:$C$128, 0)), "Temporada no válida", "")), IF(OR(O409="", O409=""), "[Aviso] Ciclo de vida no capturado ()", IF(ISNA(MATCH(O409, Criterios!$D$123:$D$124, 0)), "Ciclo de vida no válido", ""))))</f>
        <v/>
      </c>
      <c r="AC409" s="56" t="n"/>
      <c r="AD409" s="51" t="n"/>
      <c r="AE409" s="156" t="n"/>
      <c r="AF409" s="51" t="n"/>
      <c r="AG409" s="156" t="inlineStr">
        <is>
          <t>Nuevo – Carga Hoja2 01/10/2026</t>
        </is>
      </c>
      <c r="AH409" s="156" t="inlineStr">
        <is>
          <t>Alta 01/10/2026 desde Hoja2 (fila 208) | 01/10/2026: Odoo Universal Unique Brands trae Marca «Montana West» — se conservó el valor de Productos | Homologación G1522 06/10/2026: Validador Shopify: WB: precio con IVA no termina en 9</t>
        </is>
      </c>
      <c r="AI409" s="156" t="n"/>
      <c r="AJ409" s="156" t="n"/>
      <c r="AK409" s="155" t="inlineStr">
        <is>
          <t>Hoja2: fila 208 | Odoo: producto 27271 / plantilla 33971</t>
        </is>
      </c>
      <c r="AL409" s="58" t="n"/>
      <c r="AM409" s="58" t="n"/>
      <c r="AN409" s="155" t="inlineStr">
        <is>
          <t>Odoo Universal Unique Brands</t>
        </is>
      </c>
      <c r="AO409" s="59" t="n"/>
      <c r="AP409" s="59" t="n"/>
      <c r="AQ409" s="59" t="n">
        <v>13</v>
      </c>
      <c r="AR409" s="155" t="inlineStr">
        <is>
          <t>Odoo Universal Unique Brands › Bodega 25 › Bodega 25/General: 13</t>
        </is>
      </c>
    </row>
    <row r="410">
      <c r="A410" s="50" t="inlineStr">
        <is>
          <t>717019713530</t>
        </is>
      </c>
      <c r="B410" s="51" t="inlineStr">
        <is>
          <t>27272</t>
        </is>
      </c>
      <c r="C410" s="156" t="inlineStr">
        <is>
          <t>Wrangler</t>
        </is>
      </c>
      <c r="D410" s="156" t="inlineStr">
        <is>
          <t>WG164-W006BK</t>
        </is>
      </c>
      <c r="E410" s="156" t="inlineStr">
        <is>
          <t>WG164-W006BK</t>
        </is>
      </c>
      <c r="F410" s="156" t="inlineStr">
        <is>
          <t>Talla única</t>
        </is>
      </c>
      <c r="G410" s="156" t="inlineStr">
        <is>
          <t>One Size</t>
        </is>
      </c>
      <c r="H410" s="156" t="inlineStr">
        <is>
          <t>Wrangler</t>
        </is>
      </c>
      <c r="I410" s="156" t="inlineStr">
        <is>
          <t>Cartera Wrangler Patchwork De Mezclilla Negro</t>
        </is>
      </c>
      <c r="J410" s="156" t="inlineStr">
        <is>
          <t>Accesorios</t>
        </is>
      </c>
      <c r="K410" s="156" t="inlineStr">
        <is>
          <t>Carteras</t>
        </is>
      </c>
      <c r="L410" s="156" t="inlineStr">
        <is>
          <t>Unisex</t>
        </is>
      </c>
      <c r="M410" s="156" t="inlineStr">
        <is>
          <t>Wrangler</t>
        </is>
      </c>
      <c r="N410" s="156" t="n"/>
      <c r="O410" s="156" t="inlineStr">
        <is>
          <t>Core</t>
        </is>
      </c>
      <c r="P410" s="156" t="inlineStr">
        <is>
          <t>Negro</t>
        </is>
      </c>
      <c r="Q410" s="156" t="n"/>
      <c r="R410" s="156" t="n"/>
      <c r="S410" s="156" t="n"/>
      <c r="T410" s="156" t="inlineStr">
        <is>
          <t>Cartera Wrangler. Modelo: Patchwork De Mezclilla. Color: Negro. Talla única. Unisex. Referencia: WG164-W006BK.</t>
        </is>
      </c>
      <c r="U410" s="156" t="n"/>
      <c r="V410" s="156" t="inlineStr">
        <is>
          <t>PZS</t>
        </is>
      </c>
      <c r="W410" s="51" t="inlineStr">
        <is>
          <t>53121700</t>
        </is>
      </c>
      <c r="X410" s="156" t="n"/>
      <c r="Y410" s="54" t="n">
        <v>276</v>
      </c>
      <c r="Z410" s="54" t="n">
        <v>449</v>
      </c>
      <c r="AA410" s="55">
        <f>IF(AND(A410="", B410="", E410=""), "", IF(AB410="", "Válido", IF((LEN(AB410)-LEN(SUBSTITUTE(AB410,"; ","")))/2+1&gt;(LEN(AB410)-LEN(SUBSTITUTE(AB410,"[Aviso]","")))/7, "Con Incidencias", "Válido")))</f>
        <v/>
      </c>
      <c r="AB410" s="56">
        <f>IF(AND(A410="", B410="", E410=""), "", TEXTJOIN("; ", TRUE, IF(OR(TRIM(A410&amp;"")="", ISNUMBER(SEARCH("FALTA", A410))), "UPC faltante/inválido", ""), IF(AND(A410&lt;&gt;"", IFERROR(_xlfn.XMATCH(A410,$A$2:$A$1063,0,1)&lt;&gt;_xlfn.XMATCH(A410,$A$2:$A$1063,0,-1),FALSE)), "Código de barras duplicado", ""), IF(AND(E410&lt;&gt;"", COUNTIF($E$2:$E$1063, E410)&gt;1), "SKU duplicado", ""), IF(OR(J410="", J410=""), "[Aviso] División no capturada ()", IF(ISNA(MATCH(J410, Criterios!$A$123:$A$126, 0)), "División no válida", "")), IF(OR(K410="", K410=""), "[Aviso] Categoría no capturada ()", IF(ISNA(MATCH(K410, Criterios!$A$81:$A$120, 0)), "Categoría no válida", IF(AND(J410&lt;&gt;"", J410&lt;&gt;"", J410&lt;&gt;VLOOKUP(K410, Criterios!$A$81:$B$120, 2, FALSE)), "División no coincide con Categoría", ""))), IF(OR(L410="", L410=""), "[Aviso] Género no capturado ()", IF(ISNA(MATCH(L410, Criterios!$B$123:$B$127, 0)), "Género no válido", "")), IF(OR(N410="", N410=""), "[Aviso] Temporada no capturada ()", IF(ISNA(MATCH(N410, Criterios!$C$123:$C$128, 0)), "Temporada no válida", "")), IF(OR(O410="", O410=""), "[Aviso] Ciclo de vida no capturado ()", IF(ISNA(MATCH(O410, Criterios!$D$123:$D$124, 0)), "Ciclo de vida no válido", ""))))</f>
        <v/>
      </c>
      <c r="AC410" s="56" t="n"/>
      <c r="AD410" s="51" t="n"/>
      <c r="AE410" s="156" t="n"/>
      <c r="AF410" s="51" t="n"/>
      <c r="AG410" s="156" t="inlineStr">
        <is>
          <t>Nuevo – Carga Hoja2 01/10/2026</t>
        </is>
      </c>
      <c r="AH410" s="156" t="inlineStr">
        <is>
          <t>Alta 01/10/2026 desde Hoja2 (fila 209) | 01/10/2026: Odoo Universal Unique Brands trae Marca «Montana West» — se conservó el valor de Productos | Homologación G1522 06/10/2026: Validador Shopify: WB: precio con IVA no termina en 9</t>
        </is>
      </c>
      <c r="AI410" s="156" t="n"/>
      <c r="AJ410" s="156" t="n"/>
      <c r="AK410" s="155" t="inlineStr">
        <is>
          <t>Hoja2: fila 209 | Odoo: producto 27272 / plantilla 33972</t>
        </is>
      </c>
      <c r="AL410" s="58" t="n"/>
      <c r="AM410" s="58" t="n"/>
      <c r="AN410" s="155" t="inlineStr">
        <is>
          <t>Odoo Universal Unique Brands</t>
        </is>
      </c>
      <c r="AO410" s="59" t="n"/>
      <c r="AP410" s="59" t="n"/>
      <c r="AQ410" s="59" t="n">
        <v>2</v>
      </c>
      <c r="AR410" s="155" t="inlineStr">
        <is>
          <t>Odoo Universal Unique Brands › Bodega 25 › Bodega 25/General: 2</t>
        </is>
      </c>
    </row>
    <row r="411">
      <c r="A411" s="50" t="inlineStr">
        <is>
          <t>717019713561</t>
        </is>
      </c>
      <c r="B411" s="51" t="inlineStr">
        <is>
          <t>27273</t>
        </is>
      </c>
      <c r="C411" s="156" t="inlineStr">
        <is>
          <t>Wrangler</t>
        </is>
      </c>
      <c r="D411" s="156" t="inlineStr">
        <is>
          <t>WG164-W006BR</t>
        </is>
      </c>
      <c r="E411" s="156" t="inlineStr">
        <is>
          <t>WG164-W006BR</t>
        </is>
      </c>
      <c r="F411" s="156" t="inlineStr">
        <is>
          <t>Talla única</t>
        </is>
      </c>
      <c r="G411" s="156" t="inlineStr">
        <is>
          <t>One Size</t>
        </is>
      </c>
      <c r="H411" s="156" t="inlineStr">
        <is>
          <t>Wrangler</t>
        </is>
      </c>
      <c r="I411" s="156" t="inlineStr">
        <is>
          <t>Cartera Wrangler Patchwork De Mezclilla Café</t>
        </is>
      </c>
      <c r="J411" s="156" t="inlineStr">
        <is>
          <t>Accesorios</t>
        </is>
      </c>
      <c r="K411" s="156" t="inlineStr">
        <is>
          <t>Carteras</t>
        </is>
      </c>
      <c r="L411" s="156" t="inlineStr">
        <is>
          <t>Unisex</t>
        </is>
      </c>
      <c r="M411" s="156" t="inlineStr">
        <is>
          <t>Wrangler</t>
        </is>
      </c>
      <c r="N411" s="156" t="n"/>
      <c r="O411" s="156" t="inlineStr">
        <is>
          <t>Core</t>
        </is>
      </c>
      <c r="P411" s="156" t="inlineStr">
        <is>
          <t>Cafe</t>
        </is>
      </c>
      <c r="Q411" s="156" t="n"/>
      <c r="R411" s="156" t="n"/>
      <c r="S411" s="156" t="n"/>
      <c r="T411" s="156" t="inlineStr">
        <is>
          <t>Cartera Wrangler. Modelo: Patchwork De Mezclilla. Color: Café. Talla única. Unisex. Referencia: WG164-W006BR.</t>
        </is>
      </c>
      <c r="U411" s="156" t="n"/>
      <c r="V411" s="156" t="inlineStr">
        <is>
          <t>PZS</t>
        </is>
      </c>
      <c r="W411" s="51" t="inlineStr">
        <is>
          <t>53121700</t>
        </is>
      </c>
      <c r="X411" s="156" t="n"/>
      <c r="Y411" s="54" t="n">
        <v>276</v>
      </c>
      <c r="Z411" s="54" t="n">
        <v>449</v>
      </c>
      <c r="AA411" s="55">
        <f>IF(AND(A411="", B411="", E411=""), "", IF(AB411="", "Válido", IF((LEN(AB411)-LEN(SUBSTITUTE(AB411,"; ","")))/2+1&gt;(LEN(AB411)-LEN(SUBSTITUTE(AB411,"[Aviso]","")))/7, "Con Incidencias", "Válido")))</f>
        <v/>
      </c>
      <c r="AB411" s="56">
        <f>IF(AND(A411="", B411="", E411=""), "", TEXTJOIN("; ", TRUE, IF(OR(TRIM(A411&amp;"")="", ISNUMBER(SEARCH("FALTA", A411))), "UPC faltante/inválido", ""), IF(AND(A411&lt;&gt;"", IFERROR(_xlfn.XMATCH(A411,$A$2:$A$1063,0,1)&lt;&gt;_xlfn.XMATCH(A411,$A$2:$A$1063,0,-1),FALSE)), "Código de barras duplicado", ""), IF(AND(E411&lt;&gt;"", COUNTIF($E$2:$E$1063, E411)&gt;1), "SKU duplicado", ""), IF(OR(J411="", J411=""), "[Aviso] División no capturada ()", IF(ISNA(MATCH(J411, Criterios!$A$123:$A$126, 0)), "División no válida", "")), IF(OR(K411="", K411=""), "[Aviso] Categoría no capturada ()", IF(ISNA(MATCH(K411, Criterios!$A$81:$A$120, 0)), "Categoría no válida", IF(AND(J411&lt;&gt;"", J411&lt;&gt;"", J411&lt;&gt;VLOOKUP(K411, Criterios!$A$81:$B$120, 2, FALSE)), "División no coincide con Categoría", ""))), IF(OR(L411="", L411=""), "[Aviso] Género no capturado ()", IF(ISNA(MATCH(L411, Criterios!$B$123:$B$127, 0)), "Género no válido", "")), IF(OR(N411="", N411=""), "[Aviso] Temporada no capturada ()", IF(ISNA(MATCH(N411, Criterios!$C$123:$C$128, 0)), "Temporada no válida", "")), IF(OR(O411="", O411=""), "[Aviso] Ciclo de vida no capturado ()", IF(ISNA(MATCH(O411, Criterios!$D$123:$D$124, 0)), "Ciclo de vida no válido", ""))))</f>
        <v/>
      </c>
      <c r="AC411" s="56" t="n"/>
      <c r="AD411" s="51" t="n"/>
      <c r="AE411" s="156" t="n"/>
      <c r="AF411" s="51" t="n"/>
      <c r="AG411" s="156" t="inlineStr">
        <is>
          <t>Nuevo – Carga Hoja2 01/10/2026</t>
        </is>
      </c>
      <c r="AH411" s="156" t="inlineStr">
        <is>
          <t>Alta 01/10/2026 desde Hoja2 (fila 210) | 01/10/2026: Odoo Universal Unique Brands trae Marca «Montana West» — se conservó el valor de Productos | Homologación G1522 06/10/2026: Validador Shopify: WB: precio con IVA no termina en 9</t>
        </is>
      </c>
      <c r="AI411" s="156" t="n"/>
      <c r="AJ411" s="156" t="n"/>
      <c r="AK411" s="155" t="inlineStr">
        <is>
          <t>Hoja2: fila 210 | Odoo: producto 27273 / plantilla 33973</t>
        </is>
      </c>
      <c r="AL411" s="58" t="n"/>
      <c r="AM411" s="58" t="n"/>
      <c r="AN411" s="155" t="inlineStr">
        <is>
          <t>Odoo Universal Unique Brands</t>
        </is>
      </c>
      <c r="AO411" s="59" t="n"/>
      <c r="AP411" s="59" t="n"/>
      <c r="AQ411" s="59" t="n">
        <v>4</v>
      </c>
      <c r="AR411" s="155" t="inlineStr">
        <is>
          <t>Odoo Universal Unique Brands › Bodega 25 › Bodega 25/General: 4</t>
        </is>
      </c>
    </row>
    <row r="412">
      <c r="A412" s="50" t="n"/>
      <c r="B412" s="51" t="inlineStr">
        <is>
          <t>27274</t>
        </is>
      </c>
      <c r="C412" s="156" t="inlineStr">
        <is>
          <t>Montana West</t>
        </is>
      </c>
      <c r="D412" s="156" t="inlineStr">
        <is>
          <t>WG164-W006JN</t>
        </is>
      </c>
      <c r="E412" s="156" t="inlineStr">
        <is>
          <t>WG164-W006JN</t>
        </is>
      </c>
      <c r="F412" s="156" t="inlineStr">
        <is>
          <t>Talla única</t>
        </is>
      </c>
      <c r="G412" s="156" t="inlineStr">
        <is>
          <t>One Size</t>
        </is>
      </c>
      <c r="H412" s="156" t="inlineStr">
        <is>
          <t>Montana West</t>
        </is>
      </c>
      <c r="I412" s="156" t="inlineStr">
        <is>
          <t>Cartera Wrangler Patchwork De Mezclilla</t>
        </is>
      </c>
      <c r="J412" s="156" t="inlineStr">
        <is>
          <t>Accesorios</t>
        </is>
      </c>
      <c r="K412" s="156" t="inlineStr">
        <is>
          <t>Carteras</t>
        </is>
      </c>
      <c r="L412" s="156" t="inlineStr">
        <is>
          <t>Unisex</t>
        </is>
      </c>
      <c r="M412" s="156" t="inlineStr">
        <is>
          <t>Wrangler</t>
        </is>
      </c>
      <c r="N412" s="156" t="n"/>
      <c r="O412" s="156" t="n"/>
      <c r="P412" s="156" t="inlineStr">
        <is>
          <t>Varios</t>
        </is>
      </c>
      <c r="Q412" s="156" t="n"/>
      <c r="R412" s="156" t="n"/>
      <c r="S412" s="156" t="n"/>
      <c r="T412" s="156" t="inlineStr">
        <is>
          <t>Cartera</t>
        </is>
      </c>
      <c r="U412" s="156" t="inlineStr">
        <is>
          <t>México</t>
        </is>
      </c>
      <c r="V412" s="156" t="inlineStr">
        <is>
          <t>PZS</t>
        </is>
      </c>
      <c r="W412" s="51" t="inlineStr">
        <is>
          <t>53121601</t>
        </is>
      </c>
      <c r="X412" s="156" t="n"/>
      <c r="Y412" s="54" t="n">
        <v>276</v>
      </c>
      <c r="Z412" s="54" t="n">
        <v>449</v>
      </c>
      <c r="AA412" s="55">
        <f>IF(AND(A412="", B412="", E412=""), "", IF(AB412="", "Válido", IF((LEN(AB412)-LEN(SUBSTITUTE(AB412,"; ","")))/2+1&gt;(LEN(AB412)-LEN(SUBSTITUTE(AB412,"[Aviso]","")))/7, "Con Incidencias", "Válido")))</f>
        <v/>
      </c>
      <c r="AB412" s="56">
        <f>IF(AND(A412="", B412="", E412=""), "", TEXTJOIN("; ", TRUE, IF(OR(TRIM(A412&amp;"")="", ISNUMBER(SEARCH("FALTA", A412))), "UPC faltante/inválido", ""), IF(AND(A412&lt;&gt;"", IFERROR(_xlfn.XMATCH(A412,$A$2:$A$1063,0,1)&lt;&gt;_xlfn.XMATCH(A412,$A$2:$A$1063,0,-1),FALSE)), "Código de barras duplicado", ""), IF(AND(E412&lt;&gt;"", COUNTIF($E$2:$E$1063, E412)&gt;1), "SKU duplicado", ""), IF(OR(J412="", J412=""), "[Aviso] División no capturada ()", IF(ISNA(MATCH(J412, Criterios!$A$123:$A$126, 0)), "División no válida", "")), IF(OR(K412="", K412=""), "[Aviso] Categoría no capturada ()", IF(ISNA(MATCH(K412, Criterios!$A$81:$A$120, 0)), "Categoría no válida", IF(AND(J412&lt;&gt;"", J412&lt;&gt;"", J412&lt;&gt;VLOOKUP(K412, Criterios!$A$81:$B$120, 2, FALSE)), "División no coincide con Categoría", ""))), IF(OR(L412="", L412=""), "[Aviso] Género no capturado ()", IF(ISNA(MATCH(L412, Criterios!$B$123:$B$127, 0)), "Género no válido", "")), IF(OR(N412="", N412=""), "[Aviso] Temporada no capturada ()", IF(ISNA(MATCH(N412, Criterios!$C$123:$C$128, 0)), "Temporada no válida", "")), IF(OR(O412="", O412=""), "[Aviso] Ciclo de vida no capturado ()", IF(ISNA(MATCH(O412, Criterios!$D$123:$D$124, 0)), "Ciclo de vida no válido", ""))))</f>
        <v/>
      </c>
      <c r="AC412" s="56" t="n"/>
      <c r="AD412" s="51" t="n"/>
      <c r="AE412" s="156" t="n"/>
      <c r="AF412" s="51" t="n"/>
      <c r="AG412" s="156" t="inlineStr">
        <is>
          <t>Nuevo – Carga Hoja2 01/10/2026</t>
        </is>
      </c>
      <c r="AH412" s="156" t="inlineStr">
        <is>
          <t>Alta 01/10/2026 desde Hoja2 (fila 211) | 01/10/2026: complementado desde Odoo Universal Unique Brands (match por SKU): WB N.º de estilo, WB Talla, WB Talla de EE. UU., WB Descripcion (antes «WG Wallet»), WB Género, WB Licencia, WB Color, WB Descripción larga, WB País de origen | 01/10/2026: Odoo Universal Unique Brands trae Marca «Wrangler» — se conservó el valor de Productos | Homologación G1522 06/10/2026: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12" s="156" t="n"/>
      <c r="AJ412" s="156" t="n"/>
      <c r="AK412" s="155" t="inlineStr">
        <is>
          <t>Hoja2: fila 211 | Odoo: producto 11242 / plantilla 14677 | Odoo: producto 27274 / plantilla 33974</t>
        </is>
      </c>
      <c r="AL412" s="58" t="n"/>
      <c r="AM412" s="58" t="n"/>
      <c r="AN412" s="155" t="inlineStr">
        <is>
          <t>Odoo Universal Unique Brands</t>
        </is>
      </c>
      <c r="AO412" s="59" t="n"/>
      <c r="AP412" s="59" t="n"/>
      <c r="AQ412" s="59" t="n">
        <v>26</v>
      </c>
      <c r="AR412" s="155" t="inlineStr">
        <is>
          <t>Odoo Universal Unique Brands › Bodega 25 › Bodega 25/General: 20 | Odoo Universal Unique Brands › Bodega 25 › Bodega 25/General: 6</t>
        </is>
      </c>
    </row>
    <row r="413">
      <c r="A413" s="50" t="inlineStr">
        <is>
          <t>717019702558</t>
        </is>
      </c>
      <c r="B413" s="51" t="inlineStr">
        <is>
          <t>27276</t>
        </is>
      </c>
      <c r="C413" s="156" t="inlineStr">
        <is>
          <t>Wrangler</t>
        </is>
      </c>
      <c r="D413" s="156" t="inlineStr">
        <is>
          <t>WG166-W0051BK</t>
        </is>
      </c>
      <c r="E413" s="156" t="inlineStr">
        <is>
          <t>WG166-W0051BK</t>
        </is>
      </c>
      <c r="F413" s="156" t="inlineStr">
        <is>
          <t>Talla única</t>
        </is>
      </c>
      <c r="G413" s="156" t="inlineStr">
        <is>
          <t>One Size</t>
        </is>
      </c>
      <c r="H413" s="156" t="inlineStr">
        <is>
          <t>Wrangler</t>
        </is>
      </c>
      <c r="I413" s="156" t="inlineStr">
        <is>
          <t>Muñequera De Doble Compartimento Wrangler Sherpa Estampado Artístico Suroeste Negro</t>
        </is>
      </c>
      <c r="J413" s="156" t="inlineStr">
        <is>
          <t>Accesorios</t>
        </is>
      </c>
      <c r="K413" s="156" t="inlineStr">
        <is>
          <t>Carteras</t>
        </is>
      </c>
      <c r="L413" s="156" t="inlineStr">
        <is>
          <t>Unisex</t>
        </is>
      </c>
      <c r="M413" s="156" t="inlineStr">
        <is>
          <t>Wrangler</t>
        </is>
      </c>
      <c r="N413" s="156" t="n"/>
      <c r="O413" s="156" t="inlineStr">
        <is>
          <t>Core</t>
        </is>
      </c>
      <c r="P413" s="156" t="inlineStr">
        <is>
          <t>Negro</t>
        </is>
      </c>
      <c r="Q413" s="156" t="n"/>
      <c r="R413" s="156" t="n"/>
      <c r="S413" s="156" t="n"/>
      <c r="T413" s="156" t="inlineStr">
        <is>
          <t>Muñequera De Doble Compartimento Wrangler. Modelo: Sherpa Estampado Artístico Suroeste. Color: Negro. Talla única. Unisex. Referencia: WG166-W0051BK.</t>
        </is>
      </c>
      <c r="U413" s="156" t="n"/>
      <c r="V413" s="156" t="inlineStr">
        <is>
          <t>PZS</t>
        </is>
      </c>
      <c r="W413" s="51" t="inlineStr">
        <is>
          <t>53121700</t>
        </is>
      </c>
      <c r="X413" s="156" t="n"/>
      <c r="Y413" s="54" t="n">
        <v>138</v>
      </c>
      <c r="Z413" s="54" t="n">
        <v>249</v>
      </c>
      <c r="AA413" s="55">
        <f>IF(AND(A413="", B413="", E413=""), "", IF(AB413="", "Válido", IF((LEN(AB413)-LEN(SUBSTITUTE(AB413,"; ","")))/2+1&gt;(LEN(AB413)-LEN(SUBSTITUTE(AB413,"[Aviso]","")))/7, "Con Incidencias", "Válido")))</f>
        <v/>
      </c>
      <c r="AB413" s="56">
        <f>IF(AND(A413="", B413="", E413=""), "", TEXTJOIN("; ", TRUE, IF(OR(TRIM(A413&amp;"")="", ISNUMBER(SEARCH("FALTA", A413))), "UPC faltante/inválido", ""), IF(AND(A413&lt;&gt;"", IFERROR(_xlfn.XMATCH(A413,$A$2:$A$1063,0,1)&lt;&gt;_xlfn.XMATCH(A413,$A$2:$A$1063,0,-1),FALSE)), "Código de barras duplicado", ""), IF(AND(E413&lt;&gt;"", COUNTIF($E$2:$E$1063, E413)&gt;1), "SKU duplicado", ""), IF(OR(J413="", J413=""), "[Aviso] División no capturada ()", IF(ISNA(MATCH(J413, Criterios!$A$123:$A$126, 0)), "División no válida", "")), IF(OR(K413="", K413=""), "[Aviso] Categoría no capturada ()", IF(ISNA(MATCH(K413, Criterios!$A$81:$A$120, 0)), "Categoría no válida", IF(AND(J413&lt;&gt;"", J413&lt;&gt;"", J413&lt;&gt;VLOOKUP(K413, Criterios!$A$81:$B$120, 2, FALSE)), "División no coincide con Categoría", ""))), IF(OR(L413="", L413=""), "[Aviso] Género no capturado ()", IF(ISNA(MATCH(L413, Criterios!$B$123:$B$127, 0)), "Género no válido", "")), IF(OR(N413="", N413=""), "[Aviso] Temporada no capturada ()", IF(ISNA(MATCH(N413, Criterios!$C$123:$C$128, 0)), "Temporada no válida", "")), IF(OR(O413="", O413=""), "[Aviso] Ciclo de vida no capturado ()", IF(ISNA(MATCH(O413, Criterios!$D$123:$D$124, 0)), "Ciclo de vida no válido", ""))))</f>
        <v/>
      </c>
      <c r="AC413" s="56" t="n"/>
      <c r="AD413" s="51" t="n"/>
      <c r="AE413" s="156" t="n"/>
      <c r="AF413" s="51" t="n"/>
      <c r="AG413" s="156" t="inlineStr">
        <is>
          <t>Nuevo – Carga Hoja2 01/10/2026</t>
        </is>
      </c>
      <c r="AH413" s="156" t="inlineStr">
        <is>
          <t>Alta 01/10/2026 desde Hoja2 (fila 212) | 01/10/2026: Odoo Universal Unique Brands trae Marca «Montana West» — se conservó el valor de Productos | Homologación G1522 06/10/2026: Validador Shopify: WB: precio con IVA no termina en 9</t>
        </is>
      </c>
      <c r="AI413" s="156" t="n"/>
      <c r="AJ413" s="156" t="n"/>
      <c r="AK413" s="155" t="inlineStr">
        <is>
          <t>Hoja2: fila 212 | Odoo: producto 27276 / plantilla 33976</t>
        </is>
      </c>
      <c r="AL413" s="58" t="n"/>
      <c r="AM413" s="58" t="n"/>
      <c r="AN413" s="155" t="inlineStr">
        <is>
          <t>Odoo Universal Unique Brands</t>
        </is>
      </c>
      <c r="AO413" s="59" t="n"/>
      <c r="AP413" s="59" t="n"/>
      <c r="AQ413" s="59" t="n">
        <v>2</v>
      </c>
      <c r="AR413" s="155" t="inlineStr">
        <is>
          <t>Odoo Universal Unique Brands › Bodega 25 › Bodega 25/General: 2</t>
        </is>
      </c>
    </row>
    <row r="414">
      <c r="A414" s="50" t="inlineStr">
        <is>
          <t>717019710591</t>
        </is>
      </c>
      <c r="B414" s="51" t="inlineStr">
        <is>
          <t>27280</t>
        </is>
      </c>
      <c r="C414" s="156" t="inlineStr">
        <is>
          <t>Wrangler</t>
        </is>
      </c>
      <c r="D414" s="156" t="inlineStr">
        <is>
          <t>WG168-W012CF</t>
        </is>
      </c>
      <c r="E414" s="156" t="inlineStr">
        <is>
          <t>WG168-W012CF</t>
        </is>
      </c>
      <c r="F414" s="156" t="inlineStr">
        <is>
          <t>Talla única</t>
        </is>
      </c>
      <c r="G414" s="156" t="inlineStr">
        <is>
          <t>One Size</t>
        </is>
      </c>
      <c r="H414" s="156" t="inlineStr">
        <is>
          <t>Wrangler</t>
        </is>
      </c>
      <c r="I414" s="156" t="inlineStr">
        <is>
          <t>Cartera Bolsa De Hombro Cruzada Wrangler Con Hebilla Café Oscuro</t>
        </is>
      </c>
      <c r="J414" s="156" t="inlineStr">
        <is>
          <t>Accesorios</t>
        </is>
      </c>
      <c r="K414" s="156" t="inlineStr">
        <is>
          <t>Carteras</t>
        </is>
      </c>
      <c r="L414" s="156" t="inlineStr">
        <is>
          <t>Unisex</t>
        </is>
      </c>
      <c r="M414" s="156" t="inlineStr">
        <is>
          <t>Wrangler</t>
        </is>
      </c>
      <c r="N414" s="156" t="n"/>
      <c r="O414" s="156" t="inlineStr">
        <is>
          <t>Core</t>
        </is>
      </c>
      <c r="P414" s="156" t="inlineStr">
        <is>
          <t>Cafe</t>
        </is>
      </c>
      <c r="Q414" s="156" t="n"/>
      <c r="R414" s="156" t="n"/>
      <c r="S414" s="156" t="n"/>
      <c r="T414" s="156" t="inlineStr">
        <is>
          <t>Cartera Bolsa De Hombro Cruzada Wrangler. Modelo: Con Hebilla. Color: Café Oscuro. Talla única. Unisex. Referencia: WG168-W012CF.</t>
        </is>
      </c>
      <c r="U414" s="156" t="n"/>
      <c r="V414" s="156" t="inlineStr">
        <is>
          <t>PZS</t>
        </is>
      </c>
      <c r="W414" s="51" t="inlineStr">
        <is>
          <t>53121700</t>
        </is>
      </c>
      <c r="X414" s="156" t="n"/>
      <c r="Y414" s="54" t="n">
        <v>276</v>
      </c>
      <c r="Z414" s="54" t="n">
        <v>449</v>
      </c>
      <c r="AA414" s="55">
        <f>IF(AND(A414="", B414="", E414=""), "", IF(AB414="", "Válido", IF((LEN(AB414)-LEN(SUBSTITUTE(AB414,"; ","")))/2+1&gt;(LEN(AB414)-LEN(SUBSTITUTE(AB414,"[Aviso]","")))/7, "Con Incidencias", "Válido")))</f>
        <v/>
      </c>
      <c r="AB414" s="56">
        <f>IF(AND(A414="", B414="", E414=""), "", TEXTJOIN("; ", TRUE, IF(OR(TRIM(A414&amp;"")="", ISNUMBER(SEARCH("FALTA", A414))), "UPC faltante/inválido", ""), IF(AND(A414&lt;&gt;"", IFERROR(_xlfn.XMATCH(A414,$A$2:$A$1063,0,1)&lt;&gt;_xlfn.XMATCH(A414,$A$2:$A$1063,0,-1),FALSE)), "Código de barras duplicado", ""), IF(AND(E414&lt;&gt;"", COUNTIF($E$2:$E$1063, E414)&gt;1), "SKU duplicado", ""), IF(OR(J414="", J414=""), "[Aviso] División no capturada ()", IF(ISNA(MATCH(J414, Criterios!$A$123:$A$126, 0)), "División no válida", "")), IF(OR(K414="", K414=""), "[Aviso] Categoría no capturada ()", IF(ISNA(MATCH(K414, Criterios!$A$81:$A$120, 0)), "Categoría no válida", IF(AND(J414&lt;&gt;"", J414&lt;&gt;"", J414&lt;&gt;VLOOKUP(K414, Criterios!$A$81:$B$120, 2, FALSE)), "División no coincide con Categoría", ""))), IF(OR(L414="", L414=""), "[Aviso] Género no capturado ()", IF(ISNA(MATCH(L414, Criterios!$B$123:$B$127, 0)), "Género no válido", "")), IF(OR(N414="", N414=""), "[Aviso] Temporada no capturada ()", IF(ISNA(MATCH(N414, Criterios!$C$123:$C$128, 0)), "Temporada no válida", "")), IF(OR(O414="", O414=""), "[Aviso] Ciclo de vida no capturado ()", IF(ISNA(MATCH(O414, Criterios!$D$123:$D$124, 0)), "Ciclo de vida no válido", ""))))</f>
        <v/>
      </c>
      <c r="AC414" s="56" t="n"/>
      <c r="AD414" s="51" t="n"/>
      <c r="AE414" s="156" t="n"/>
      <c r="AF414" s="51" t="n"/>
      <c r="AG414" s="156" t="inlineStr">
        <is>
          <t>Nuevo – Carga Hoja2 01/10/2026</t>
        </is>
      </c>
      <c r="AH414" s="156" t="inlineStr">
        <is>
          <t>Alta 01/10/2026 desde Hoja2 (fila 213) | 01/10/2026: Odoo Universal Unique Brands trae Marca «Montana West» — se conservó el valor de Productos | Homologación G1522 06/10/2026: Validador Shopify: WB: precio con IVA no termina en 9</t>
        </is>
      </c>
      <c r="AI414" s="156" t="n"/>
      <c r="AJ414" s="156" t="n"/>
      <c r="AK414" s="155" t="inlineStr">
        <is>
          <t>Hoja2: fila 213 | Odoo: producto 27280 / plantilla 33980</t>
        </is>
      </c>
      <c r="AL414" s="58" t="n"/>
      <c r="AM414" s="58" t="n"/>
      <c r="AN414" s="155" t="inlineStr">
        <is>
          <t>Odoo Universal Unique Brands</t>
        </is>
      </c>
      <c r="AO414" s="59" t="n"/>
      <c r="AP414" s="59" t="n"/>
      <c r="AQ414" s="59" t="n">
        <v>2</v>
      </c>
      <c r="AR414" s="155" t="inlineStr">
        <is>
          <t>Odoo Universal Unique Brands › Bodega 25 › Bodega 25/General: 2</t>
        </is>
      </c>
    </row>
    <row r="415">
      <c r="A415" s="50" t="inlineStr">
        <is>
          <t>717019710621</t>
        </is>
      </c>
      <c r="B415" s="51" t="inlineStr">
        <is>
          <t>27281</t>
        </is>
      </c>
      <c r="C415" s="156" t="inlineStr">
        <is>
          <t>Wrangler</t>
        </is>
      </c>
      <c r="D415" s="156" t="inlineStr">
        <is>
          <t>WG168-W012TN</t>
        </is>
      </c>
      <c r="E415" s="156" t="inlineStr">
        <is>
          <t>WG168-W012TN</t>
        </is>
      </c>
      <c r="F415" s="156" t="inlineStr">
        <is>
          <t>Talla única</t>
        </is>
      </c>
      <c r="G415" s="156" t="inlineStr">
        <is>
          <t>One Size</t>
        </is>
      </c>
      <c r="H415" s="156" t="inlineStr">
        <is>
          <t>Wrangler</t>
        </is>
      </c>
      <c r="I415" s="156" t="inlineStr">
        <is>
          <t>Cartera Bolsa De Hombro Cruzada Wrangler Con Hebilla Camel</t>
        </is>
      </c>
      <c r="J415" s="156" t="inlineStr">
        <is>
          <t>Accesorios</t>
        </is>
      </c>
      <c r="K415" s="156" t="inlineStr">
        <is>
          <t>Carteras</t>
        </is>
      </c>
      <c r="L415" s="156" t="inlineStr">
        <is>
          <t>Unisex</t>
        </is>
      </c>
      <c r="M415" s="156" t="inlineStr">
        <is>
          <t>Wrangler</t>
        </is>
      </c>
      <c r="N415" s="156" t="n"/>
      <c r="O415" s="156" t="inlineStr">
        <is>
          <t>Core</t>
        </is>
      </c>
      <c r="P415" s="156" t="inlineStr">
        <is>
          <t>Beige</t>
        </is>
      </c>
      <c r="Q415" s="156" t="n"/>
      <c r="R415" s="156" t="n"/>
      <c r="S415" s="156" t="n"/>
      <c r="T415" s="156" t="inlineStr">
        <is>
          <t>Cartera Bolsa De Hombro Cruzada Wrangler. Modelo: Con Hebilla. Color: Camel. Talla única. Unisex. Referencia: WG168-W012TN.</t>
        </is>
      </c>
      <c r="U415" s="156" t="n"/>
      <c r="V415" s="156" t="inlineStr">
        <is>
          <t>PZS</t>
        </is>
      </c>
      <c r="W415" s="51" t="inlineStr">
        <is>
          <t>53121700</t>
        </is>
      </c>
      <c r="X415" s="156" t="n"/>
      <c r="Y415" s="54" t="n">
        <v>276</v>
      </c>
      <c r="Z415" s="54" t="n">
        <v>449</v>
      </c>
      <c r="AA415" s="55">
        <f>IF(AND(A415="", B415="", E415=""), "", IF(AB415="", "Válido", IF((LEN(AB415)-LEN(SUBSTITUTE(AB415,"; ","")))/2+1&gt;(LEN(AB415)-LEN(SUBSTITUTE(AB415,"[Aviso]","")))/7, "Con Incidencias", "Válido")))</f>
        <v/>
      </c>
      <c r="AB415" s="56">
        <f>IF(AND(A415="", B415="", E415=""), "", TEXTJOIN("; ", TRUE, IF(OR(TRIM(A415&amp;"")="", ISNUMBER(SEARCH("FALTA", A415))), "UPC faltante/inválido", ""), IF(AND(A415&lt;&gt;"", IFERROR(_xlfn.XMATCH(A415,$A$2:$A$1063,0,1)&lt;&gt;_xlfn.XMATCH(A415,$A$2:$A$1063,0,-1),FALSE)), "Código de barras duplicado", ""), IF(AND(E415&lt;&gt;"", COUNTIF($E$2:$E$1063, E415)&gt;1), "SKU duplicado", ""), IF(OR(J415="", J415=""), "[Aviso] División no capturada ()", IF(ISNA(MATCH(J415, Criterios!$A$123:$A$126, 0)), "División no válida", "")), IF(OR(K415="", K415=""), "[Aviso] Categoría no capturada ()", IF(ISNA(MATCH(K415, Criterios!$A$81:$A$120, 0)), "Categoría no válida", IF(AND(J415&lt;&gt;"", J415&lt;&gt;"", J415&lt;&gt;VLOOKUP(K415, Criterios!$A$81:$B$120, 2, FALSE)), "División no coincide con Categoría", ""))), IF(OR(L415="", L415=""), "[Aviso] Género no capturado ()", IF(ISNA(MATCH(L415, Criterios!$B$123:$B$127, 0)), "Género no válido", "")), IF(OR(N415="", N415=""), "[Aviso] Temporada no capturada ()", IF(ISNA(MATCH(N415, Criterios!$C$123:$C$128, 0)), "Temporada no válida", "")), IF(OR(O415="", O415=""), "[Aviso] Ciclo de vida no capturado ()", IF(ISNA(MATCH(O415, Criterios!$D$123:$D$124, 0)), "Ciclo de vida no válido", ""))))</f>
        <v/>
      </c>
      <c r="AC415" s="56" t="n"/>
      <c r="AD415" s="51" t="n"/>
      <c r="AE415" s="156" t="n"/>
      <c r="AF415" s="51" t="n"/>
      <c r="AG415" s="156" t="inlineStr">
        <is>
          <t>Nuevo – Carga Hoja2 01/10/2026</t>
        </is>
      </c>
      <c r="AH415" s="156" t="inlineStr">
        <is>
          <t>Alta 01/10/2026 desde Hoja2 (fila 214) | 01/10/2026: Odoo Universal Unique Brands trae Marca «Montana West» — se conservó el valor de Productos | Homologación G1522 06/10/2026: Validador Shopify: WB: precio con IVA no termina en 9</t>
        </is>
      </c>
      <c r="AI415" s="156" t="n"/>
      <c r="AJ415" s="156" t="n"/>
      <c r="AK415" s="155" t="inlineStr">
        <is>
          <t>Hoja2: fila 214 | Odoo: producto 27281 / plantilla 33981</t>
        </is>
      </c>
      <c r="AL415" s="58" t="n"/>
      <c r="AM415" s="58" t="n"/>
      <c r="AN415" s="155" t="inlineStr">
        <is>
          <t>Odoo Universal Unique Brands</t>
        </is>
      </c>
      <c r="AO415" s="59" t="n"/>
      <c r="AP415" s="59" t="n"/>
      <c r="AQ415" s="59" t="n">
        <v>0</v>
      </c>
      <c r="AR415" s="155" t="n"/>
    </row>
    <row r="416">
      <c r="A416" s="50" t="inlineStr">
        <is>
          <t>717019743711</t>
        </is>
      </c>
      <c r="B416" s="51" t="inlineStr">
        <is>
          <t>27283</t>
        </is>
      </c>
      <c r="C416" s="156" t="inlineStr">
        <is>
          <t>Wrangler</t>
        </is>
      </c>
      <c r="D416" s="156" t="inlineStr">
        <is>
          <t>WG169-2022BK</t>
        </is>
      </c>
      <c r="E416" s="156" t="inlineStr">
        <is>
          <t>WG169-2022BK</t>
        </is>
      </c>
      <c r="F416" s="156" t="inlineStr">
        <is>
          <t>Talla única</t>
        </is>
      </c>
      <c r="G416" s="156" t="inlineStr">
        <is>
          <t>One Size</t>
        </is>
      </c>
      <c r="H416" s="156" t="inlineStr">
        <is>
          <t>Wrangler</t>
        </is>
      </c>
      <c r="I416" s="156" t="inlineStr">
        <is>
          <t>Bolsa Tote Cruzada Wrangler Piel De Vaca Genuina Con Pelo Negro</t>
        </is>
      </c>
      <c r="J416" s="156" t="inlineStr">
        <is>
          <t>Accesorios</t>
        </is>
      </c>
      <c r="K416" s="156" t="inlineStr">
        <is>
          <t>Bolsos</t>
        </is>
      </c>
      <c r="L416" s="156" t="inlineStr">
        <is>
          <t>Unisex</t>
        </is>
      </c>
      <c r="M416" s="156" t="inlineStr">
        <is>
          <t>Wrangler</t>
        </is>
      </c>
      <c r="N416" s="156" t="n"/>
      <c r="O416" s="156" t="inlineStr">
        <is>
          <t>Core</t>
        </is>
      </c>
      <c r="P416" s="156" t="inlineStr">
        <is>
          <t>Negro</t>
        </is>
      </c>
      <c r="Q416" s="156" t="n"/>
      <c r="R416" s="156" t="n"/>
      <c r="S416" s="156" t="n"/>
      <c r="T416" s="156" t="inlineStr">
        <is>
          <t>Bolsa Tote Cruzada Wrangler. Modelo: Piel De Vaca Genuina Con Pelo. Color: Negro. Talla única. Unisex. Referencia: WG169-2022BK.</t>
        </is>
      </c>
      <c r="U416" s="156" t="n"/>
      <c r="V416" s="156" t="inlineStr">
        <is>
          <t>PZS</t>
        </is>
      </c>
      <c r="W416" s="51" t="inlineStr">
        <is>
          <t>53121601</t>
        </is>
      </c>
      <c r="X416" s="156" t="n"/>
      <c r="Y416" s="54" t="n">
        <v>517.5</v>
      </c>
      <c r="Z416" s="54" t="n">
        <v>849</v>
      </c>
      <c r="AA416" s="55">
        <f>IF(AND(A416="", B416="", E416=""), "", IF(AB416="", "Válido", IF((LEN(AB416)-LEN(SUBSTITUTE(AB416,"; ","")))/2+1&gt;(LEN(AB416)-LEN(SUBSTITUTE(AB416,"[Aviso]","")))/7, "Con Incidencias", "Válido")))</f>
        <v/>
      </c>
      <c r="AB416" s="56">
        <f>IF(AND(A416="", B416="", E416=""), "", TEXTJOIN("; ", TRUE, IF(OR(TRIM(A416&amp;"")="", ISNUMBER(SEARCH("FALTA", A416))), "UPC faltante/inválido", ""), IF(AND(A416&lt;&gt;"", IFERROR(_xlfn.XMATCH(A416,$A$2:$A$1063,0,1)&lt;&gt;_xlfn.XMATCH(A416,$A$2:$A$1063,0,-1),FALSE)), "Código de barras duplicado", ""), IF(AND(E416&lt;&gt;"", COUNTIF($E$2:$E$1063, E416)&gt;1), "SKU duplicado", ""), IF(OR(J416="", J416=""), "[Aviso] División no capturada ()", IF(ISNA(MATCH(J416, Criterios!$A$123:$A$126, 0)), "División no válida", "")), IF(OR(K416="", K416=""), "[Aviso] Categoría no capturada ()", IF(ISNA(MATCH(K416, Criterios!$A$81:$A$120, 0)), "Categoría no válida", IF(AND(J416&lt;&gt;"", J416&lt;&gt;"", J416&lt;&gt;VLOOKUP(K416, Criterios!$A$81:$B$120, 2, FALSE)), "División no coincide con Categoría", ""))), IF(OR(L416="", L416=""), "[Aviso] Género no capturado ()", IF(ISNA(MATCH(L416, Criterios!$B$123:$B$127, 0)), "Género no válido", "")), IF(OR(N416="", N416=""), "[Aviso] Temporada no capturada ()", IF(ISNA(MATCH(N416, Criterios!$C$123:$C$128, 0)), "Temporada no válida", "")), IF(OR(O416="", O416=""), "[Aviso] Ciclo de vida no capturado ()", IF(ISNA(MATCH(O416, Criterios!$D$123:$D$124, 0)), "Ciclo de vida no válido", ""))))</f>
        <v/>
      </c>
      <c r="AC416" s="56" t="n"/>
      <c r="AD416" s="51" t="n"/>
      <c r="AE416" s="156" t="n"/>
      <c r="AF416" s="51" t="n"/>
      <c r="AG416" s="156" t="inlineStr">
        <is>
          <t>Nuevo – Carga Hoja2 01/10/2026</t>
        </is>
      </c>
      <c r="AH416" s="156" t="inlineStr">
        <is>
          <t>Alta 01/10/2026 desde Hoja2 (fila 215) | 01/10/2026: Odoo Universal Unique Brands trae Marca «Montana West» — se conservó el valor de Productos | Homologación G1522 06/10/2026: Validador Shopify: WB: precio con IVA no termina en 9</t>
        </is>
      </c>
      <c r="AI416" s="156" t="n"/>
      <c r="AJ416" s="156" t="n"/>
      <c r="AK416" s="155" t="inlineStr">
        <is>
          <t>Hoja2: fila 215 | Odoo: producto 27283 / plantilla 33983</t>
        </is>
      </c>
      <c r="AL416" s="58" t="n"/>
      <c r="AM416" s="58" t="n"/>
      <c r="AN416" s="155" t="inlineStr">
        <is>
          <t>Odoo Universal Unique Brands</t>
        </is>
      </c>
      <c r="AO416" s="59" t="n"/>
      <c r="AP416" s="59" t="n"/>
      <c r="AQ416" s="59" t="n">
        <v>0</v>
      </c>
      <c r="AR416" s="155" t="n"/>
    </row>
    <row r="417">
      <c r="A417" s="50" t="inlineStr">
        <is>
          <t>717019743865</t>
        </is>
      </c>
      <c r="B417" s="51" t="inlineStr">
        <is>
          <t>27286</t>
        </is>
      </c>
      <c r="C417" s="156" t="inlineStr">
        <is>
          <t>Wrangler</t>
        </is>
      </c>
      <c r="D417" s="156" t="inlineStr">
        <is>
          <t>WG169-W030CF</t>
        </is>
      </c>
      <c r="E417" s="156" t="inlineStr">
        <is>
          <t>WG169-W030CF</t>
        </is>
      </c>
      <c r="F417" s="156" t="inlineStr">
        <is>
          <t>Talla única</t>
        </is>
      </c>
      <c r="G417" s="156" t="inlineStr">
        <is>
          <t>One Size</t>
        </is>
      </c>
      <c r="H417" s="156" t="inlineStr">
        <is>
          <t>Wrangler</t>
        </is>
      </c>
      <c r="I417" s="156" t="inlineStr">
        <is>
          <t>Cartera Cruzada Wrangler Piel De Vaca Genuina Con Pelo Café Oscuro</t>
        </is>
      </c>
      <c r="J417" s="156" t="inlineStr">
        <is>
          <t>Accesorios</t>
        </is>
      </c>
      <c r="K417" s="156" t="inlineStr">
        <is>
          <t>Carteras</t>
        </is>
      </c>
      <c r="L417" s="156" t="inlineStr">
        <is>
          <t>Unisex</t>
        </is>
      </c>
      <c r="M417" s="156" t="inlineStr">
        <is>
          <t>Wrangler</t>
        </is>
      </c>
      <c r="N417" s="156" t="n"/>
      <c r="O417" s="156" t="inlineStr">
        <is>
          <t>Core</t>
        </is>
      </c>
      <c r="P417" s="156" t="inlineStr">
        <is>
          <t>Cafe</t>
        </is>
      </c>
      <c r="Q417" s="156" t="n"/>
      <c r="R417" s="156" t="n"/>
      <c r="S417" s="156" t="n"/>
      <c r="T417" s="156" t="inlineStr">
        <is>
          <t>Cartera Cruzada Wrangler. Modelo: Piel De Vaca Genuina Con Pelo. Color: Café Oscuro. Talla única. Unisex. Referencia: WG169-W030CF.</t>
        </is>
      </c>
      <c r="U417" s="156" t="n"/>
      <c r="V417" s="156" t="inlineStr">
        <is>
          <t>PZS</t>
        </is>
      </c>
      <c r="W417" s="51" t="inlineStr">
        <is>
          <t>53121700</t>
        </is>
      </c>
      <c r="X417" s="156" t="n"/>
      <c r="Y417" s="54" t="n">
        <v>310.5</v>
      </c>
      <c r="Z417" s="54" t="n">
        <v>499</v>
      </c>
      <c r="AA417" s="55">
        <f>IF(AND(A417="", B417="", E417=""), "", IF(AB417="", "Válido", IF((LEN(AB417)-LEN(SUBSTITUTE(AB417,"; ","")))/2+1&gt;(LEN(AB417)-LEN(SUBSTITUTE(AB417,"[Aviso]","")))/7, "Con Incidencias", "Válido")))</f>
        <v/>
      </c>
      <c r="AB417" s="56">
        <f>IF(AND(A417="", B417="", E417=""), "", TEXTJOIN("; ", TRUE, IF(OR(TRIM(A417&amp;"")="", ISNUMBER(SEARCH("FALTA", A417))), "UPC faltante/inválido", ""), IF(AND(A417&lt;&gt;"", IFERROR(_xlfn.XMATCH(A417,$A$2:$A$1063,0,1)&lt;&gt;_xlfn.XMATCH(A417,$A$2:$A$1063,0,-1),FALSE)), "Código de barras duplicado", ""), IF(AND(E417&lt;&gt;"", COUNTIF($E$2:$E$1063, E417)&gt;1), "SKU duplicado", ""), IF(OR(J417="", J417=""), "[Aviso] División no capturada ()", IF(ISNA(MATCH(J417, Criterios!$A$123:$A$126, 0)), "División no válida", "")), IF(OR(K417="", K417=""), "[Aviso] Categoría no capturada ()", IF(ISNA(MATCH(K417, Criterios!$A$81:$A$120, 0)), "Categoría no válida", IF(AND(J417&lt;&gt;"", J417&lt;&gt;"", J417&lt;&gt;VLOOKUP(K417, Criterios!$A$81:$B$120, 2, FALSE)), "División no coincide con Categoría", ""))), IF(OR(L417="", L417=""), "[Aviso] Género no capturado ()", IF(ISNA(MATCH(L417, Criterios!$B$123:$B$127, 0)), "Género no válido", "")), IF(OR(N417="", N417=""), "[Aviso] Temporada no capturada ()", IF(ISNA(MATCH(N417, Criterios!$C$123:$C$128, 0)), "Temporada no válida", "")), IF(OR(O417="", O417=""), "[Aviso] Ciclo de vida no capturado ()", IF(ISNA(MATCH(O417, Criterios!$D$123:$D$124, 0)), "Ciclo de vida no válido", ""))))</f>
        <v/>
      </c>
      <c r="AC417" s="56" t="n"/>
      <c r="AD417" s="51" t="n"/>
      <c r="AE417" s="156" t="n"/>
      <c r="AF417" s="51" t="n"/>
      <c r="AG417" s="156" t="inlineStr">
        <is>
          <t>Nuevo – Carga Hoja2 01/10/2026</t>
        </is>
      </c>
      <c r="AH417" s="156" t="inlineStr">
        <is>
          <t>Alta 01/10/2026 desde Hoja2 (fila 216) | 01/10/2026: Odoo Universal Unique Brands trae Marca «Montana West» — se conservó el valor de Productos | Homologación G1522 06/10/2026: Validador Shopify: WB: precio con IVA no termina en 9</t>
        </is>
      </c>
      <c r="AI417" s="156" t="n"/>
      <c r="AJ417" s="156" t="n"/>
      <c r="AK417" s="155" t="inlineStr">
        <is>
          <t>Hoja2: fila 216 | Odoo: producto 27286 / plantilla 33986</t>
        </is>
      </c>
      <c r="AL417" s="58" t="n"/>
      <c r="AM417" s="58" t="n"/>
      <c r="AN417" s="155" t="inlineStr">
        <is>
          <t>Odoo Universal Unique Brands</t>
        </is>
      </c>
      <c r="AO417" s="59" t="n"/>
      <c r="AP417" s="59" t="n"/>
      <c r="AQ417" s="59" t="n">
        <v>0</v>
      </c>
      <c r="AR417" s="155" t="n"/>
    </row>
    <row r="418">
      <c r="A418" s="50" t="inlineStr">
        <is>
          <t>717325212574</t>
        </is>
      </c>
      <c r="B418" s="51" t="inlineStr">
        <is>
          <t>27287</t>
        </is>
      </c>
      <c r="C418" s="156" t="inlineStr">
        <is>
          <t>Wrangler</t>
        </is>
      </c>
      <c r="D418" s="156" t="inlineStr">
        <is>
          <t>WG171-1833JN</t>
        </is>
      </c>
      <c r="E418" s="156" t="inlineStr">
        <is>
          <t>WG171-1833JN</t>
        </is>
      </c>
      <c r="F418" s="156" t="inlineStr">
        <is>
          <t>Talla única</t>
        </is>
      </c>
      <c r="G418" s="156" t="inlineStr">
        <is>
          <t>One Size</t>
        </is>
      </c>
      <c r="H418" s="156" t="inlineStr">
        <is>
          <t>Wrangler</t>
        </is>
      </c>
      <c r="I418" s="156" t="inlineStr">
        <is>
          <t>Bolsa Wrangler Mezclilla</t>
        </is>
      </c>
      <c r="J418" s="156" t="inlineStr">
        <is>
          <t>Accesorios</t>
        </is>
      </c>
      <c r="K418" s="156" t="inlineStr">
        <is>
          <t>Bolsos</t>
        </is>
      </c>
      <c r="L418" s="156" t="inlineStr">
        <is>
          <t>Unisex</t>
        </is>
      </c>
      <c r="M418" s="156" t="inlineStr">
        <is>
          <t>Wrangler</t>
        </is>
      </c>
      <c r="N418" s="156" t="n"/>
      <c r="O418" s="156" t="inlineStr">
        <is>
          <t>Core</t>
        </is>
      </c>
      <c r="P418" s="156" t="inlineStr">
        <is>
          <t>Varios</t>
        </is>
      </c>
      <c r="Q418" s="156" t="n"/>
      <c r="R418" s="156" t="n"/>
      <c r="S418" s="156" t="n"/>
      <c r="T418" s="156" t="inlineStr">
        <is>
          <t>Bolsa Wrangler. Color: Mezclilla. Talla única. Unisex. Referencia: WG171-1833JN.</t>
        </is>
      </c>
      <c r="U418" s="156" t="n"/>
      <c r="V418" s="156" t="inlineStr">
        <is>
          <t>PZS</t>
        </is>
      </c>
      <c r="W418" s="51" t="inlineStr">
        <is>
          <t>53121601</t>
        </is>
      </c>
      <c r="X418" s="156" t="n"/>
      <c r="Y418" s="54" t="n">
        <v>293.25</v>
      </c>
      <c r="Z418" s="54" t="n">
        <v>499</v>
      </c>
      <c r="AA418" s="55">
        <f>IF(AND(A418="", B418="", E418=""), "", IF(AB418="", "Válido", IF((LEN(AB418)-LEN(SUBSTITUTE(AB418,"; ","")))/2+1&gt;(LEN(AB418)-LEN(SUBSTITUTE(AB418,"[Aviso]","")))/7, "Con Incidencias", "Válido")))</f>
        <v/>
      </c>
      <c r="AB418" s="56">
        <f>IF(AND(A418="", B418="", E418=""), "", TEXTJOIN("; ", TRUE, IF(OR(TRIM(A418&amp;"")="", ISNUMBER(SEARCH("FALTA", A418))), "UPC faltante/inválido", ""), IF(AND(A418&lt;&gt;"", IFERROR(_xlfn.XMATCH(A418,$A$2:$A$1063,0,1)&lt;&gt;_xlfn.XMATCH(A418,$A$2:$A$1063,0,-1),FALSE)), "Código de barras duplicado", ""), IF(AND(E418&lt;&gt;"", COUNTIF($E$2:$E$1063, E418)&gt;1), "SKU duplicado", ""), IF(OR(J418="", J418=""), "[Aviso] División no capturada ()", IF(ISNA(MATCH(J418, Criterios!$A$123:$A$126, 0)), "División no válida", "")), IF(OR(K418="", K418=""), "[Aviso] Categoría no capturada ()", IF(ISNA(MATCH(K418, Criterios!$A$81:$A$120, 0)), "Categoría no válida", IF(AND(J418&lt;&gt;"", J418&lt;&gt;"", J418&lt;&gt;VLOOKUP(K418, Criterios!$A$81:$B$120, 2, FALSE)), "División no coincide con Categoría", ""))), IF(OR(L418="", L418=""), "[Aviso] Género no capturado ()", IF(ISNA(MATCH(L418, Criterios!$B$123:$B$127, 0)), "Género no válido", "")), IF(OR(N418="", N418=""), "[Aviso] Temporada no capturada ()", IF(ISNA(MATCH(N418, Criterios!$C$123:$C$128, 0)), "Temporada no válida", "")), IF(OR(O418="", O418=""), "[Aviso] Ciclo de vida no capturado ()", IF(ISNA(MATCH(O418, Criterios!$D$123:$D$124, 0)), "Ciclo de vida no válido", ""))))</f>
        <v/>
      </c>
      <c r="AC418" s="56" t="n"/>
      <c r="AD418" s="51" t="n"/>
      <c r="AE418" s="156" t="n"/>
      <c r="AF418" s="51" t="n"/>
      <c r="AG418" s="156" t="inlineStr">
        <is>
          <t>Nuevo – Carga Hoja2 01/10/2026</t>
        </is>
      </c>
      <c r="AH418" s="156" t="inlineStr">
        <is>
          <t>Alta 01/10/2026 desde Hoja2 (fila 217) | 01/10/2026: Odoo Universal Unique Brands trae Marca «Montana West» — se conservó el valor de Productos | Homologación G1522 06/10/2026: Validador Shopify: WB: precio con IVA no termina en 9</t>
        </is>
      </c>
      <c r="AI418" s="156" t="n"/>
      <c r="AJ418" s="156" t="n"/>
      <c r="AK418" s="155" t="inlineStr">
        <is>
          <t>Hoja2: fila 217 | Odoo: producto 27287 / plantilla 33987</t>
        </is>
      </c>
      <c r="AL418" s="58" t="n"/>
      <c r="AM418" s="58" t="n"/>
      <c r="AN418" s="155" t="inlineStr">
        <is>
          <t>Odoo Universal Unique Brands</t>
        </is>
      </c>
      <c r="AO418" s="59" t="n"/>
      <c r="AP418" s="59" t="n"/>
      <c r="AQ418" s="59" t="n">
        <v>5</v>
      </c>
      <c r="AR418" s="155" t="inlineStr">
        <is>
          <t>Odoo Universal Unique Brands › Bodega 25 › Bodega 25/General: 5</t>
        </is>
      </c>
    </row>
    <row r="419">
      <c r="A419" s="50" t="n"/>
      <c r="B419" s="51" t="inlineStr">
        <is>
          <t>27288</t>
        </is>
      </c>
      <c r="C419" s="156" t="inlineStr">
        <is>
          <t>Montana West</t>
        </is>
      </c>
      <c r="D419" s="156" t="n"/>
      <c r="E419" s="156" t="inlineStr">
        <is>
          <t>WG171-1833KH</t>
        </is>
      </c>
      <c r="F419" s="156" t="inlineStr">
        <is>
          <t>Talla única</t>
        </is>
      </c>
      <c r="G419" s="156" t="inlineStr">
        <is>
          <t>One Size</t>
        </is>
      </c>
      <c r="H419" s="156" t="inlineStr">
        <is>
          <t>Montana West</t>
        </is>
      </c>
      <c r="I419" s="156" t="inlineStr">
        <is>
          <t>WG BAG</t>
        </is>
      </c>
      <c r="J419" s="156" t="inlineStr">
        <is>
          <t>Accesorios</t>
        </is>
      </c>
      <c r="K419" s="156" t="inlineStr">
        <is>
          <t>Bolsos</t>
        </is>
      </c>
      <c r="L419" s="156" t="inlineStr">
        <is>
          <t>Unisex</t>
        </is>
      </c>
      <c r="M419" s="156" t="n"/>
      <c r="N419" s="156" t="n"/>
      <c r="O419" s="156" t="n"/>
      <c r="P419" s="156" t="n"/>
      <c r="Q419" s="156" t="n"/>
      <c r="R419" s="156" t="n"/>
      <c r="S419" s="156" t="n"/>
      <c r="T419" s="156" t="n"/>
      <c r="U419" s="156" t="n"/>
      <c r="V419" s="156" t="inlineStr">
        <is>
          <t>PZS</t>
        </is>
      </c>
      <c r="W419" s="51" t="inlineStr">
        <is>
          <t>53121601</t>
        </is>
      </c>
      <c r="X419" s="156" t="n"/>
      <c r="Y419" s="54" t="n">
        <v>293.25</v>
      </c>
      <c r="Z419" s="54" t="n">
        <v>499</v>
      </c>
      <c r="AA419" s="55">
        <f>IF(AND(A419="", B419="", E419=""), "", IF(AB419="", "Válido", IF((LEN(AB419)-LEN(SUBSTITUTE(AB419,"; ","")))/2+1&gt;(LEN(AB419)-LEN(SUBSTITUTE(AB419,"[Aviso]","")))/7, "Con Incidencias", "Válido")))</f>
        <v/>
      </c>
      <c r="AB419" s="56">
        <f>IF(AND(A419="", B419="", E419=""), "", TEXTJOIN("; ", TRUE, IF(OR(TRIM(A419&amp;"")="", ISNUMBER(SEARCH("FALTA", A419))), "UPC faltante/inválido", ""), IF(AND(A419&lt;&gt;"", IFERROR(_xlfn.XMATCH(A419,$A$2:$A$1063,0,1)&lt;&gt;_xlfn.XMATCH(A419,$A$2:$A$1063,0,-1),FALSE)), "Código de barras duplicado", ""), IF(AND(E419&lt;&gt;"", COUNTIF($E$2:$E$1063, E419)&gt;1), "SKU duplicado", ""), IF(OR(J419="", J419=""), "[Aviso] División no capturada ()", IF(ISNA(MATCH(J419, Criterios!$A$123:$A$126, 0)), "División no válida", "")), IF(OR(K419="", K419=""), "[Aviso] Categoría no capturada ()", IF(ISNA(MATCH(K419, Criterios!$A$81:$A$120, 0)), "Categoría no válida", IF(AND(J419&lt;&gt;"", J419&lt;&gt;"", J419&lt;&gt;VLOOKUP(K419, Criterios!$A$81:$B$120, 2, FALSE)), "División no coincide con Categoría", ""))), IF(OR(L419="", L419=""), "[Aviso] Género no capturado ()", IF(ISNA(MATCH(L419, Criterios!$B$123:$B$127, 0)), "Género no válido", "")), IF(OR(N419="", N419=""), "[Aviso] Temporada no capturada ()", IF(ISNA(MATCH(N419, Criterios!$C$123:$C$128, 0)), "Temporada no válida", "")), IF(OR(O419="", O419=""), "[Aviso] Ciclo de vida no capturado ()", IF(ISNA(MATCH(O419, Criterios!$D$123:$D$124, 0)), "Ciclo de vida no válido", ""))))</f>
        <v/>
      </c>
      <c r="AC419" s="56" t="n"/>
      <c r="AD419" s="51" t="n"/>
      <c r="AE419" s="156" t="n"/>
      <c r="AF419" s="51" t="n"/>
      <c r="AG419" s="156" t="inlineStr">
        <is>
          <t>Nuevo – Carga Hoja2 01/10/2026</t>
        </is>
      </c>
      <c r="AH419" s="156" t="inlineStr">
        <is>
          <t>Alta 01/10/2026 desde Hoja2 (fila 218)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19" s="156" t="n"/>
      <c r="AJ419" s="156" t="n"/>
      <c r="AK419" s="155" t="inlineStr">
        <is>
          <t>Hoja2: fila 218 | Odoo: producto 27288 / plantilla 33988</t>
        </is>
      </c>
      <c r="AL419" s="58" t="n"/>
      <c r="AM419" s="58" t="n"/>
      <c r="AN419" s="155" t="inlineStr">
        <is>
          <t>Odoo Universal Unique Brands</t>
        </is>
      </c>
      <c r="AO419" s="59" t="n"/>
      <c r="AP419" s="59" t="n"/>
      <c r="AQ419" s="59" t="n">
        <v>2</v>
      </c>
      <c r="AR419" s="155" t="inlineStr">
        <is>
          <t>Odoo Universal Unique Brands › Bodega 25 › Bodega 25/General: 2</t>
        </is>
      </c>
    </row>
    <row r="420">
      <c r="A420" s="50" t="inlineStr">
        <is>
          <t>717325212611</t>
        </is>
      </c>
      <c r="B420" s="51" t="inlineStr">
        <is>
          <t>27289</t>
        </is>
      </c>
      <c r="C420" s="156" t="inlineStr">
        <is>
          <t>Wrangler</t>
        </is>
      </c>
      <c r="D420" s="156" t="inlineStr">
        <is>
          <t>WG171-1833PK</t>
        </is>
      </c>
      <c r="E420" s="156" t="inlineStr">
        <is>
          <t>WG171-1833PK</t>
        </is>
      </c>
      <c r="F420" s="156" t="inlineStr">
        <is>
          <t>Talla única</t>
        </is>
      </c>
      <c r="G420" s="156" t="inlineStr">
        <is>
          <t>One Size</t>
        </is>
      </c>
      <c r="H420" s="156" t="inlineStr">
        <is>
          <t>Wrangler</t>
        </is>
      </c>
      <c r="I420" s="156" t="inlineStr">
        <is>
          <t>Bolsa Wrangler Rosa</t>
        </is>
      </c>
      <c r="J420" s="156" t="inlineStr">
        <is>
          <t>Accesorios</t>
        </is>
      </c>
      <c r="K420" s="156" t="inlineStr">
        <is>
          <t>Bolsos</t>
        </is>
      </c>
      <c r="L420" s="156" t="inlineStr">
        <is>
          <t>Unisex</t>
        </is>
      </c>
      <c r="M420" s="156" t="inlineStr">
        <is>
          <t>Wrangler</t>
        </is>
      </c>
      <c r="N420" s="156" t="n"/>
      <c r="O420" s="156" t="inlineStr">
        <is>
          <t>Core</t>
        </is>
      </c>
      <c r="P420" s="156" t="inlineStr">
        <is>
          <t>Rosa</t>
        </is>
      </c>
      <c r="Q420" s="156" t="n"/>
      <c r="R420" s="156" t="n"/>
      <c r="S420" s="156" t="n"/>
      <c r="T420" s="156" t="inlineStr">
        <is>
          <t>Bolsa Wrangler. Color: Rosa. Talla única. Unisex. Referencia: WG171-1833PK.</t>
        </is>
      </c>
      <c r="U420" s="156" t="n"/>
      <c r="V420" s="156" t="inlineStr">
        <is>
          <t>PZS</t>
        </is>
      </c>
      <c r="W420" s="51" t="inlineStr">
        <is>
          <t>53121601</t>
        </is>
      </c>
      <c r="X420" s="156" t="n"/>
      <c r="Y420" s="54" t="n">
        <v>293.25</v>
      </c>
      <c r="Z420" s="54" t="n">
        <v>499</v>
      </c>
      <c r="AA420" s="55">
        <f>IF(AND(A420="", B420="", E420=""), "", IF(AB420="", "Válido", IF((LEN(AB420)-LEN(SUBSTITUTE(AB420,"; ","")))/2+1&gt;(LEN(AB420)-LEN(SUBSTITUTE(AB420,"[Aviso]","")))/7, "Con Incidencias", "Válido")))</f>
        <v/>
      </c>
      <c r="AB420" s="56">
        <f>IF(AND(A420="", B420="", E420=""), "", TEXTJOIN("; ", TRUE, IF(OR(TRIM(A420&amp;"")="", ISNUMBER(SEARCH("FALTA", A420))), "UPC faltante/inválido", ""), IF(AND(A420&lt;&gt;"", IFERROR(_xlfn.XMATCH(A420,$A$2:$A$1063,0,1)&lt;&gt;_xlfn.XMATCH(A420,$A$2:$A$1063,0,-1),FALSE)), "Código de barras duplicado", ""), IF(AND(E420&lt;&gt;"", COUNTIF($E$2:$E$1063, E420)&gt;1), "SKU duplicado", ""), IF(OR(J420="", J420=""), "[Aviso] División no capturada ()", IF(ISNA(MATCH(J420, Criterios!$A$123:$A$126, 0)), "División no válida", "")), IF(OR(K420="", K420=""), "[Aviso] Categoría no capturada ()", IF(ISNA(MATCH(K420, Criterios!$A$81:$A$120, 0)), "Categoría no válida", IF(AND(J420&lt;&gt;"", J420&lt;&gt;"", J420&lt;&gt;VLOOKUP(K420, Criterios!$A$81:$B$120, 2, FALSE)), "División no coincide con Categoría", ""))), IF(OR(L420="", L420=""), "[Aviso] Género no capturado ()", IF(ISNA(MATCH(L420, Criterios!$B$123:$B$127, 0)), "Género no válido", "")), IF(OR(N420="", N420=""), "[Aviso] Temporada no capturada ()", IF(ISNA(MATCH(N420, Criterios!$C$123:$C$128, 0)), "Temporada no válida", "")), IF(OR(O420="", O420=""), "[Aviso] Ciclo de vida no capturado ()", IF(ISNA(MATCH(O420, Criterios!$D$123:$D$124, 0)), "Ciclo de vida no válido", ""))))</f>
        <v/>
      </c>
      <c r="AC420" s="56" t="n"/>
      <c r="AD420" s="51" t="n"/>
      <c r="AE420" s="156" t="n"/>
      <c r="AF420" s="51" t="n"/>
      <c r="AG420" s="156" t="inlineStr">
        <is>
          <t>Nuevo – Carga Hoja2 01/10/2026</t>
        </is>
      </c>
      <c r="AH420" s="156" t="inlineStr">
        <is>
          <t>Alta 01/10/2026 desde Hoja2 (fila 219) | 01/10/2026: Odoo Universal Unique Brands trae Marca «Montana West» — se conservó el valor de Productos | Homologación G1522 06/10/2026: Validador Shopify: WB: precio con IVA no termina en 9</t>
        </is>
      </c>
      <c r="AI420" s="156" t="n"/>
      <c r="AJ420" s="156" t="n"/>
      <c r="AK420" s="155" t="inlineStr">
        <is>
          <t>Hoja2: fila 219 | Odoo: producto 27289 / plantilla 33989</t>
        </is>
      </c>
      <c r="AL420" s="58" t="n"/>
      <c r="AM420" s="58" t="n"/>
      <c r="AN420" s="155" t="inlineStr">
        <is>
          <t>Odoo Universal Unique Brands</t>
        </is>
      </c>
      <c r="AO420" s="59" t="n"/>
      <c r="AP420" s="59" t="n"/>
      <c r="AQ420" s="59" t="n">
        <v>6</v>
      </c>
      <c r="AR420" s="155" t="inlineStr">
        <is>
          <t>Odoo Universal Unique Brands › Bodega 25 › Bodega 25/General: 6</t>
        </is>
      </c>
    </row>
    <row r="421">
      <c r="A421" s="50" t="inlineStr">
        <is>
          <t>717325212512</t>
        </is>
      </c>
      <c r="B421" s="51" t="inlineStr">
        <is>
          <t>27290</t>
        </is>
      </c>
      <c r="C421" s="156" t="inlineStr">
        <is>
          <t>Wrangler</t>
        </is>
      </c>
      <c r="D421" s="156" t="inlineStr">
        <is>
          <t>WG171-2008JN</t>
        </is>
      </c>
      <c r="E421" s="156" t="inlineStr">
        <is>
          <t>WG171-2008JN</t>
        </is>
      </c>
      <c r="F421" s="156" t="inlineStr">
        <is>
          <t>Talla única</t>
        </is>
      </c>
      <c r="G421" s="156" t="inlineStr">
        <is>
          <t>One Size</t>
        </is>
      </c>
      <c r="H421" s="156" t="inlineStr">
        <is>
          <t>Wrangler</t>
        </is>
      </c>
      <c r="I421" s="156" t="inlineStr">
        <is>
          <t>Bolsa Wrangler Mezclilla</t>
        </is>
      </c>
      <c r="J421" s="156" t="inlineStr">
        <is>
          <t>Accesorios</t>
        </is>
      </c>
      <c r="K421" s="156" t="inlineStr">
        <is>
          <t>Bolsos</t>
        </is>
      </c>
      <c r="L421" s="156" t="inlineStr">
        <is>
          <t>Unisex</t>
        </is>
      </c>
      <c r="M421" s="156" t="inlineStr">
        <is>
          <t>Wrangler</t>
        </is>
      </c>
      <c r="N421" s="156" t="n"/>
      <c r="O421" s="156" t="inlineStr">
        <is>
          <t>Core</t>
        </is>
      </c>
      <c r="P421" s="156" t="inlineStr">
        <is>
          <t>Varios</t>
        </is>
      </c>
      <c r="Q421" s="156" t="n"/>
      <c r="R421" s="156" t="n"/>
      <c r="S421" s="156" t="n"/>
      <c r="T421" s="156" t="inlineStr">
        <is>
          <t>Bolsa Wrangler. Color: Mezclilla. Talla única. Unisex. Referencia: WG171-2008JN.</t>
        </is>
      </c>
      <c r="U421" s="156" t="n"/>
      <c r="V421" s="156" t="inlineStr">
        <is>
          <t>PZS</t>
        </is>
      </c>
      <c r="W421" s="51" t="inlineStr">
        <is>
          <t>53121601</t>
        </is>
      </c>
      <c r="X421" s="156" t="n"/>
      <c r="Y421" s="54" t="n">
        <v>327.75</v>
      </c>
      <c r="Z421" s="54" t="n">
        <v>549</v>
      </c>
      <c r="AA421" s="55">
        <f>IF(AND(A421="", B421="", E421=""), "", IF(AB421="", "Válido", IF((LEN(AB421)-LEN(SUBSTITUTE(AB421,"; ","")))/2+1&gt;(LEN(AB421)-LEN(SUBSTITUTE(AB421,"[Aviso]","")))/7, "Con Incidencias", "Válido")))</f>
        <v/>
      </c>
      <c r="AB421" s="56">
        <f>IF(AND(A421="", B421="", E421=""), "", TEXTJOIN("; ", TRUE, IF(OR(TRIM(A421&amp;"")="", ISNUMBER(SEARCH("FALTA", A421))), "UPC faltante/inválido", ""), IF(AND(A421&lt;&gt;"", IFERROR(_xlfn.XMATCH(A421,$A$2:$A$1063,0,1)&lt;&gt;_xlfn.XMATCH(A421,$A$2:$A$1063,0,-1),FALSE)), "Código de barras duplicado", ""), IF(AND(E421&lt;&gt;"", COUNTIF($E$2:$E$1063, E421)&gt;1), "SKU duplicado", ""), IF(OR(J421="", J421=""), "[Aviso] División no capturada ()", IF(ISNA(MATCH(J421, Criterios!$A$123:$A$126, 0)), "División no válida", "")), IF(OR(K421="", K421=""), "[Aviso] Categoría no capturada ()", IF(ISNA(MATCH(K421, Criterios!$A$81:$A$120, 0)), "Categoría no válida", IF(AND(J421&lt;&gt;"", J421&lt;&gt;"", J421&lt;&gt;VLOOKUP(K421, Criterios!$A$81:$B$120, 2, FALSE)), "División no coincide con Categoría", ""))), IF(OR(L421="", L421=""), "[Aviso] Género no capturado ()", IF(ISNA(MATCH(L421, Criterios!$B$123:$B$127, 0)), "Género no válido", "")), IF(OR(N421="", N421=""), "[Aviso] Temporada no capturada ()", IF(ISNA(MATCH(N421, Criterios!$C$123:$C$128, 0)), "Temporada no válida", "")), IF(OR(O421="", O421=""), "[Aviso] Ciclo de vida no capturado ()", IF(ISNA(MATCH(O421, Criterios!$D$123:$D$124, 0)), "Ciclo de vida no válido", ""))))</f>
        <v/>
      </c>
      <c r="AC421" s="56" t="n"/>
      <c r="AD421" s="51" t="n"/>
      <c r="AE421" s="156" t="n"/>
      <c r="AF421" s="51" t="n"/>
      <c r="AG421" s="156" t="inlineStr">
        <is>
          <t>Nuevo – Carga Hoja2 01/10/2026</t>
        </is>
      </c>
      <c r="AH421" s="156" t="inlineStr">
        <is>
          <t>Alta 01/10/2026 desde Hoja2 (fila 220) | 01/10/2026: Odoo Universal Unique Brands trae Marca «Montana West» — se conservó el valor de Productos | Homologación G1522 06/10/2026: Validador Shopify: WB: precio con IVA no termina en 9</t>
        </is>
      </c>
      <c r="AI421" s="156" t="n"/>
      <c r="AJ421" s="156" t="n"/>
      <c r="AK421" s="155" t="inlineStr">
        <is>
          <t>Hoja2: fila 220 | Odoo: producto 27290 / plantilla 33990</t>
        </is>
      </c>
      <c r="AL421" s="58" t="n"/>
      <c r="AM421" s="58" t="n"/>
      <c r="AN421" s="155" t="inlineStr">
        <is>
          <t>Odoo Universal Unique Brands</t>
        </is>
      </c>
      <c r="AO421" s="59" t="n"/>
      <c r="AP421" s="59" t="n"/>
      <c r="AQ421" s="59" t="n">
        <v>-2</v>
      </c>
      <c r="AR421" s="155" t="n"/>
    </row>
    <row r="422">
      <c r="A422" s="50" t="inlineStr">
        <is>
          <t>717325212529</t>
        </is>
      </c>
      <c r="B422" s="51" t="inlineStr">
        <is>
          <t>27291</t>
        </is>
      </c>
      <c r="C422" s="156" t="inlineStr">
        <is>
          <t>Wrangler</t>
        </is>
      </c>
      <c r="D422" s="156" t="inlineStr">
        <is>
          <t>WG171-2008KH</t>
        </is>
      </c>
      <c r="E422" s="156" t="inlineStr">
        <is>
          <t>WG171-2008KH</t>
        </is>
      </c>
      <c r="F422" s="156" t="inlineStr">
        <is>
          <t>Talla única</t>
        </is>
      </c>
      <c r="G422" s="156" t="inlineStr">
        <is>
          <t>One Size</t>
        </is>
      </c>
      <c r="H422" s="156" t="inlineStr">
        <is>
          <t>Wrangler</t>
        </is>
      </c>
      <c r="I422" s="156" t="inlineStr">
        <is>
          <t>Bolsa Wrangler Caqui</t>
        </is>
      </c>
      <c r="J422" s="156" t="inlineStr">
        <is>
          <t>Accesorios</t>
        </is>
      </c>
      <c r="K422" s="156" t="inlineStr">
        <is>
          <t>Bolsos</t>
        </is>
      </c>
      <c r="L422" s="156" t="inlineStr">
        <is>
          <t>Unisex</t>
        </is>
      </c>
      <c r="M422" s="156" t="inlineStr">
        <is>
          <t>Wrangler</t>
        </is>
      </c>
      <c r="N422" s="156" t="n"/>
      <c r="O422" s="156" t="inlineStr">
        <is>
          <t>Core</t>
        </is>
      </c>
      <c r="P422" s="156" t="inlineStr">
        <is>
          <t>Beige</t>
        </is>
      </c>
      <c r="Q422" s="156" t="n"/>
      <c r="R422" s="156" t="n"/>
      <c r="S422" s="156" t="n"/>
      <c r="T422" s="156" t="inlineStr">
        <is>
          <t>Bolsa Wrangler. Color: Caqui. Talla única. Unisex. Referencia: WG171-2008KH.</t>
        </is>
      </c>
      <c r="U422" s="156" t="n"/>
      <c r="V422" s="156" t="inlineStr">
        <is>
          <t>PZS</t>
        </is>
      </c>
      <c r="W422" s="51" t="inlineStr">
        <is>
          <t>53121601</t>
        </is>
      </c>
      <c r="X422" s="156" t="n"/>
      <c r="Y422" s="54" t="n">
        <v>327.75</v>
      </c>
      <c r="Z422" s="54" t="n">
        <v>549</v>
      </c>
      <c r="AA422" s="55">
        <f>IF(AND(A422="", B422="", E422=""), "", IF(AB422="", "Válido", IF((LEN(AB422)-LEN(SUBSTITUTE(AB422,"; ","")))/2+1&gt;(LEN(AB422)-LEN(SUBSTITUTE(AB422,"[Aviso]","")))/7, "Con Incidencias", "Válido")))</f>
        <v/>
      </c>
      <c r="AB422" s="56">
        <f>IF(AND(A422="", B422="", E422=""), "", TEXTJOIN("; ", TRUE, IF(OR(TRIM(A422&amp;"")="", ISNUMBER(SEARCH("FALTA", A422))), "UPC faltante/inválido", ""), IF(AND(A422&lt;&gt;"", IFERROR(_xlfn.XMATCH(A422,$A$2:$A$1063,0,1)&lt;&gt;_xlfn.XMATCH(A422,$A$2:$A$1063,0,-1),FALSE)), "Código de barras duplicado", ""), IF(AND(E422&lt;&gt;"", COUNTIF($E$2:$E$1063, E422)&gt;1), "SKU duplicado", ""), IF(OR(J422="", J422=""), "[Aviso] División no capturada ()", IF(ISNA(MATCH(J422, Criterios!$A$123:$A$126, 0)), "División no válida", "")), IF(OR(K422="", K422=""), "[Aviso] Categoría no capturada ()", IF(ISNA(MATCH(K422, Criterios!$A$81:$A$120, 0)), "Categoría no válida", IF(AND(J422&lt;&gt;"", J422&lt;&gt;"", J422&lt;&gt;VLOOKUP(K422, Criterios!$A$81:$B$120, 2, FALSE)), "División no coincide con Categoría", ""))), IF(OR(L422="", L422=""), "[Aviso] Género no capturado ()", IF(ISNA(MATCH(L422, Criterios!$B$123:$B$127, 0)), "Género no válido", "")), IF(OR(N422="", N422=""), "[Aviso] Temporada no capturada ()", IF(ISNA(MATCH(N422, Criterios!$C$123:$C$128, 0)), "Temporada no válida", "")), IF(OR(O422="", O422=""), "[Aviso] Ciclo de vida no capturado ()", IF(ISNA(MATCH(O422, Criterios!$D$123:$D$124, 0)), "Ciclo de vida no válido", ""))))</f>
        <v/>
      </c>
      <c r="AC422" s="56" t="n"/>
      <c r="AD422" s="51" t="n"/>
      <c r="AE422" s="156" t="n"/>
      <c r="AF422" s="51" t="n"/>
      <c r="AG422" s="156" t="inlineStr">
        <is>
          <t>Nuevo – Carga Hoja2 01/10/2026</t>
        </is>
      </c>
      <c r="AH422" s="156" t="inlineStr">
        <is>
          <t>Alta 01/10/2026 desde Hoja2 (fila 221) | 01/10/2026: Odoo Universal Unique Brands trae Marca «Montana West» — se conservó el valor de Productos | Homologación G1522 06/10/2026: Validador Shopify: WB: precio con IVA no termina en 9</t>
        </is>
      </c>
      <c r="AI422" s="156" t="n"/>
      <c r="AJ422" s="156" t="n"/>
      <c r="AK422" s="155" t="inlineStr">
        <is>
          <t>Hoja2: fila 221 | Odoo: producto 27291 / plantilla 33991</t>
        </is>
      </c>
      <c r="AL422" s="58" t="n"/>
      <c r="AM422" s="58" t="n"/>
      <c r="AN422" s="155" t="inlineStr">
        <is>
          <t>Odoo Universal Unique Brands</t>
        </is>
      </c>
      <c r="AO422" s="59" t="n"/>
      <c r="AP422" s="59" t="n"/>
      <c r="AQ422" s="59" t="n">
        <v>-2</v>
      </c>
      <c r="AR422" s="155" t="n"/>
    </row>
    <row r="423">
      <c r="A423" s="50" t="inlineStr">
        <is>
          <t>717325212550</t>
        </is>
      </c>
      <c r="B423" s="51" t="inlineStr">
        <is>
          <t>27292</t>
        </is>
      </c>
      <c r="C423" s="156" t="inlineStr">
        <is>
          <t>Wrangler</t>
        </is>
      </c>
      <c r="D423" s="156" t="inlineStr">
        <is>
          <t>WG171-2008PK</t>
        </is>
      </c>
      <c r="E423" s="156" t="inlineStr">
        <is>
          <t>WG171-2008PK</t>
        </is>
      </c>
      <c r="F423" s="156" t="inlineStr">
        <is>
          <t>Talla única</t>
        </is>
      </c>
      <c r="G423" s="156" t="inlineStr">
        <is>
          <t>One Size</t>
        </is>
      </c>
      <c r="H423" s="156" t="inlineStr">
        <is>
          <t>Wrangler</t>
        </is>
      </c>
      <c r="I423" s="156" t="inlineStr">
        <is>
          <t>Bolsa Wrangler Rosa</t>
        </is>
      </c>
      <c r="J423" s="156" t="inlineStr">
        <is>
          <t>Accesorios</t>
        </is>
      </c>
      <c r="K423" s="156" t="inlineStr">
        <is>
          <t>Bolsos</t>
        </is>
      </c>
      <c r="L423" s="156" t="inlineStr">
        <is>
          <t>Unisex</t>
        </is>
      </c>
      <c r="M423" s="156" t="inlineStr">
        <is>
          <t>Wrangler</t>
        </is>
      </c>
      <c r="N423" s="156" t="n"/>
      <c r="O423" s="156" t="inlineStr">
        <is>
          <t>Core</t>
        </is>
      </c>
      <c r="P423" s="156" t="inlineStr">
        <is>
          <t>Rosa</t>
        </is>
      </c>
      <c r="Q423" s="156" t="n"/>
      <c r="R423" s="156" t="n"/>
      <c r="S423" s="156" t="n"/>
      <c r="T423" s="156" t="inlineStr">
        <is>
          <t>Bolsa Wrangler. Color: Rosa. Talla única. Unisex. Referencia: WG171-2008PK.</t>
        </is>
      </c>
      <c r="U423" s="156" t="n"/>
      <c r="V423" s="156" t="inlineStr">
        <is>
          <t>PZS</t>
        </is>
      </c>
      <c r="W423" s="51" t="inlineStr">
        <is>
          <t>53121601</t>
        </is>
      </c>
      <c r="X423" s="156" t="n"/>
      <c r="Y423" s="54" t="n">
        <v>327.75</v>
      </c>
      <c r="Z423" s="54" t="n">
        <v>549</v>
      </c>
      <c r="AA423" s="55">
        <f>IF(AND(A423="", B423="", E423=""), "", IF(AB423="", "Válido", IF((LEN(AB423)-LEN(SUBSTITUTE(AB423,"; ","")))/2+1&gt;(LEN(AB423)-LEN(SUBSTITUTE(AB423,"[Aviso]","")))/7, "Con Incidencias", "Válido")))</f>
        <v/>
      </c>
      <c r="AB423" s="56">
        <f>IF(AND(A423="", B423="", E423=""), "", TEXTJOIN("; ", TRUE, IF(OR(TRIM(A423&amp;"")="", ISNUMBER(SEARCH("FALTA", A423))), "UPC faltante/inválido", ""), IF(AND(A423&lt;&gt;"", IFERROR(_xlfn.XMATCH(A423,$A$2:$A$1063,0,1)&lt;&gt;_xlfn.XMATCH(A423,$A$2:$A$1063,0,-1),FALSE)), "Código de barras duplicado", ""), IF(AND(E423&lt;&gt;"", COUNTIF($E$2:$E$1063, E423)&gt;1), "SKU duplicado", ""), IF(OR(J423="", J423=""), "[Aviso] División no capturada ()", IF(ISNA(MATCH(J423, Criterios!$A$123:$A$126, 0)), "División no válida", "")), IF(OR(K423="", K423=""), "[Aviso] Categoría no capturada ()", IF(ISNA(MATCH(K423, Criterios!$A$81:$A$120, 0)), "Categoría no válida", IF(AND(J423&lt;&gt;"", J423&lt;&gt;"", J423&lt;&gt;VLOOKUP(K423, Criterios!$A$81:$B$120, 2, FALSE)), "División no coincide con Categoría", ""))), IF(OR(L423="", L423=""), "[Aviso] Género no capturado ()", IF(ISNA(MATCH(L423, Criterios!$B$123:$B$127, 0)), "Género no válido", "")), IF(OR(N423="", N423=""), "[Aviso] Temporada no capturada ()", IF(ISNA(MATCH(N423, Criterios!$C$123:$C$128, 0)), "Temporada no válida", "")), IF(OR(O423="", O423=""), "[Aviso] Ciclo de vida no capturado ()", IF(ISNA(MATCH(O423, Criterios!$D$123:$D$124, 0)), "Ciclo de vida no válido", ""))))</f>
        <v/>
      </c>
      <c r="AC423" s="56" t="n"/>
      <c r="AD423" s="51" t="n"/>
      <c r="AE423" s="156" t="n"/>
      <c r="AF423" s="51" t="n"/>
      <c r="AG423" s="156" t="inlineStr">
        <is>
          <t>Nuevo – Carga Hoja2 01/10/2026</t>
        </is>
      </c>
      <c r="AH423" s="156" t="inlineStr">
        <is>
          <t>Alta 01/10/2026 desde Hoja2 (fila 222) | 01/10/2026: Odoo Universal Unique Brands trae Marca «Montana West» — se conservó el valor de Productos | Homologación G1522 06/10/2026: Validador Shopify: WB: precio con IVA no termina en 9</t>
        </is>
      </c>
      <c r="AI423" s="156" t="n"/>
      <c r="AJ423" s="156" t="n"/>
      <c r="AK423" s="155" t="inlineStr">
        <is>
          <t>Hoja2: fila 222 | Odoo: producto 27292 / plantilla 33992</t>
        </is>
      </c>
      <c r="AL423" s="58" t="n"/>
      <c r="AM423" s="58" t="n"/>
      <c r="AN423" s="155" t="inlineStr">
        <is>
          <t>Odoo Universal Unique Brands</t>
        </is>
      </c>
      <c r="AO423" s="59" t="n"/>
      <c r="AP423" s="59" t="n"/>
      <c r="AQ423" s="59" t="n">
        <v>-2</v>
      </c>
      <c r="AR423" s="155" t="n"/>
    </row>
    <row r="424">
      <c r="A424" s="50" t="inlineStr">
        <is>
          <t>717325212406</t>
        </is>
      </c>
      <c r="B424" s="51" t="inlineStr">
        <is>
          <t>27293</t>
        </is>
      </c>
      <c r="C424" s="156" t="inlineStr">
        <is>
          <t>Wrangler</t>
        </is>
      </c>
      <c r="D424" s="156" t="inlineStr">
        <is>
          <t>WG171G-2002KH</t>
        </is>
      </c>
      <c r="E424" s="156" t="inlineStr">
        <is>
          <t>WG171G-2002KH</t>
        </is>
      </c>
      <c r="F424" s="156" t="inlineStr">
        <is>
          <t>Talla única</t>
        </is>
      </c>
      <c r="G424" s="156" t="inlineStr">
        <is>
          <t>One Size</t>
        </is>
      </c>
      <c r="H424" s="156" t="inlineStr">
        <is>
          <t>Wrangler</t>
        </is>
      </c>
      <c r="I424" s="156" t="inlineStr">
        <is>
          <t>Bolsa Wrangler Caqui</t>
        </is>
      </c>
      <c r="J424" s="156" t="inlineStr">
        <is>
          <t>Accesorios</t>
        </is>
      </c>
      <c r="K424" s="156" t="inlineStr">
        <is>
          <t>Bolsos</t>
        </is>
      </c>
      <c r="L424" s="156" t="inlineStr">
        <is>
          <t>Unisex</t>
        </is>
      </c>
      <c r="M424" s="156" t="inlineStr">
        <is>
          <t>Wrangler</t>
        </is>
      </c>
      <c r="N424" s="156" t="n"/>
      <c r="O424" s="156" t="inlineStr">
        <is>
          <t>Core</t>
        </is>
      </c>
      <c r="P424" s="156" t="inlineStr">
        <is>
          <t>Beige</t>
        </is>
      </c>
      <c r="Q424" s="156" t="n"/>
      <c r="R424" s="156" t="n"/>
      <c r="S424" s="156" t="n"/>
      <c r="T424" s="156" t="inlineStr">
        <is>
          <t>Bolsa Wrangler. Color: Caqui. Talla única. Unisex. Referencia: WG171G-2002KH.</t>
        </is>
      </c>
      <c r="U424" s="156" t="n"/>
      <c r="V424" s="156" t="inlineStr">
        <is>
          <t>PZS</t>
        </is>
      </c>
      <c r="W424" s="51" t="inlineStr">
        <is>
          <t>53121601</t>
        </is>
      </c>
      <c r="X424" s="156" t="n"/>
      <c r="Y424" s="54" t="n">
        <v>414</v>
      </c>
      <c r="Z424" s="54" t="n">
        <v>699</v>
      </c>
      <c r="AA424" s="55">
        <f>IF(AND(A424="", B424="", E424=""), "", IF(AB424="", "Válido", IF((LEN(AB424)-LEN(SUBSTITUTE(AB424,"; ","")))/2+1&gt;(LEN(AB424)-LEN(SUBSTITUTE(AB424,"[Aviso]","")))/7, "Con Incidencias", "Válido")))</f>
        <v/>
      </c>
      <c r="AB424" s="56">
        <f>IF(AND(A424="", B424="", E424=""), "", TEXTJOIN("; ", TRUE, IF(OR(TRIM(A424&amp;"")="", ISNUMBER(SEARCH("FALTA", A424))), "UPC faltante/inválido", ""), IF(AND(A424&lt;&gt;"", IFERROR(_xlfn.XMATCH(A424,$A$2:$A$1063,0,1)&lt;&gt;_xlfn.XMATCH(A424,$A$2:$A$1063,0,-1),FALSE)), "Código de barras duplicado", ""), IF(AND(E424&lt;&gt;"", COUNTIF($E$2:$E$1063, E424)&gt;1), "SKU duplicado", ""), IF(OR(J424="", J424=""), "[Aviso] División no capturada ()", IF(ISNA(MATCH(J424, Criterios!$A$123:$A$126, 0)), "División no válida", "")), IF(OR(K424="", K424=""), "[Aviso] Categoría no capturada ()", IF(ISNA(MATCH(K424, Criterios!$A$81:$A$120, 0)), "Categoría no válida", IF(AND(J424&lt;&gt;"", J424&lt;&gt;"", J424&lt;&gt;VLOOKUP(K424, Criterios!$A$81:$B$120, 2, FALSE)), "División no coincide con Categoría", ""))), IF(OR(L424="", L424=""), "[Aviso] Género no capturado ()", IF(ISNA(MATCH(L424, Criterios!$B$123:$B$127, 0)), "Género no válido", "")), IF(OR(N424="", N424=""), "[Aviso] Temporada no capturada ()", IF(ISNA(MATCH(N424, Criterios!$C$123:$C$128, 0)), "Temporada no válida", "")), IF(OR(O424="", O424=""), "[Aviso] Ciclo de vida no capturado ()", IF(ISNA(MATCH(O424, Criterios!$D$123:$D$124, 0)), "Ciclo de vida no válido", ""))))</f>
        <v/>
      </c>
      <c r="AC424" s="56" t="n"/>
      <c r="AD424" s="51" t="n"/>
      <c r="AE424" s="156" t="n"/>
      <c r="AF424" s="51" t="n"/>
      <c r="AG424" s="156" t="inlineStr">
        <is>
          <t>Nuevo – Carga Hoja2 01/10/2026</t>
        </is>
      </c>
      <c r="AH424" s="156" t="inlineStr">
        <is>
          <t>Alta 01/10/2026 desde Hoja2 (fila 223) | 01/10/2026: Odoo Universal Unique Brands trae Marca «Montana West» — se conservó el valor de Productos | Homologación G1522 06/10/2026: Validador Shopify: WB: precio con IVA no termina en 9</t>
        </is>
      </c>
      <c r="AI424" s="156" t="n"/>
      <c r="AJ424" s="156" t="n"/>
      <c r="AK424" s="155" t="inlineStr">
        <is>
          <t>Hoja2: fila 223 | Odoo: producto 27293 / plantilla 33993</t>
        </is>
      </c>
      <c r="AL424" s="58" t="n"/>
      <c r="AM424" s="58" t="n"/>
      <c r="AN424" s="155" t="inlineStr">
        <is>
          <t>Odoo Universal Unique Brands</t>
        </is>
      </c>
      <c r="AO424" s="59" t="n"/>
      <c r="AP424" s="59" t="n"/>
      <c r="AQ424" s="59" t="n">
        <v>3</v>
      </c>
      <c r="AR424" s="155" t="inlineStr">
        <is>
          <t>Odoo Universal Unique Brands › Bodega 25 › Bodega 25/General: 3</t>
        </is>
      </c>
    </row>
    <row r="425">
      <c r="A425" s="50" t="n"/>
      <c r="B425" s="51" t="inlineStr">
        <is>
          <t>27294</t>
        </is>
      </c>
      <c r="C425" s="156" t="inlineStr">
        <is>
          <t>Montana West</t>
        </is>
      </c>
      <c r="D425" s="156" t="n"/>
      <c r="E425" s="156" t="inlineStr">
        <is>
          <t>WG174-1832BK</t>
        </is>
      </c>
      <c r="F425" s="156" t="inlineStr">
        <is>
          <t>Talla única</t>
        </is>
      </c>
      <c r="G425" s="156" t="inlineStr">
        <is>
          <t>One Size</t>
        </is>
      </c>
      <c r="H425" s="156" t="inlineStr">
        <is>
          <t>Montana West</t>
        </is>
      </c>
      <c r="I425" s="156" t="inlineStr">
        <is>
          <t>Bolsa Cruzada Wrangler Tejida Suroeste</t>
        </is>
      </c>
      <c r="J425" s="156" t="inlineStr">
        <is>
          <t>Accesorios</t>
        </is>
      </c>
      <c r="K425" s="156" t="inlineStr">
        <is>
          <t>Bolsos</t>
        </is>
      </c>
      <c r="L425" s="156" t="inlineStr">
        <is>
          <t>Unisex</t>
        </is>
      </c>
      <c r="M425" s="156" t="inlineStr">
        <is>
          <t>Wrangler</t>
        </is>
      </c>
      <c r="N425" s="156" t="n"/>
      <c r="O425" s="156" t="n"/>
      <c r="P425" s="156" t="inlineStr">
        <is>
          <t>Negro</t>
        </is>
      </c>
      <c r="Q425" s="156" t="n"/>
      <c r="R425" s="156" t="n"/>
      <c r="S425" s="156" t="n"/>
      <c r="T425" s="156" t="inlineStr">
        <is>
          <t>Bolsa Cruzada</t>
        </is>
      </c>
      <c r="U425" s="156" t="inlineStr">
        <is>
          <t>México</t>
        </is>
      </c>
      <c r="V425" s="156" t="inlineStr">
        <is>
          <t>PZS</t>
        </is>
      </c>
      <c r="W425" s="51" t="inlineStr">
        <is>
          <t>53121601</t>
        </is>
      </c>
      <c r="X425" s="156" t="n"/>
      <c r="Y425" s="54" t="n">
        <v>414</v>
      </c>
      <c r="Z425" s="54" t="n">
        <v>699</v>
      </c>
      <c r="AA425" s="55">
        <f>IF(AND(A425="", B425="", E425=""), "", IF(AB425="", "Válido", IF((LEN(AB425)-LEN(SUBSTITUTE(AB425,"; ","")))/2+1&gt;(LEN(AB425)-LEN(SUBSTITUTE(AB425,"[Aviso]","")))/7, "Con Incidencias", "Válido")))</f>
        <v/>
      </c>
      <c r="AB425" s="56">
        <f>IF(AND(A425="", B425="", E425=""), "", TEXTJOIN("; ", TRUE, IF(OR(TRIM(A425&amp;"")="", ISNUMBER(SEARCH("FALTA", A425))), "UPC faltante/inválido", ""), IF(AND(A425&lt;&gt;"", IFERROR(_xlfn.XMATCH(A425,$A$2:$A$1063,0,1)&lt;&gt;_xlfn.XMATCH(A425,$A$2:$A$1063,0,-1),FALSE)), "Código de barras duplicado", ""), IF(AND(E425&lt;&gt;"", COUNTIF($E$2:$E$1063, E425)&gt;1), "SKU duplicado", ""), IF(OR(J425="", J425=""), "[Aviso] División no capturada ()", IF(ISNA(MATCH(J425, Criterios!$A$123:$A$126, 0)), "División no válida", "")), IF(OR(K425="", K425=""), "[Aviso] Categoría no capturada ()", IF(ISNA(MATCH(K425, Criterios!$A$81:$A$120, 0)), "Categoría no válida", IF(AND(J425&lt;&gt;"", J425&lt;&gt;"", J425&lt;&gt;VLOOKUP(K425, Criterios!$A$81:$B$120, 2, FALSE)), "División no coincide con Categoría", ""))), IF(OR(L425="", L425=""), "[Aviso] Género no capturado ()", IF(ISNA(MATCH(L425, Criterios!$B$123:$B$127, 0)), "Género no válido", "")), IF(OR(N425="", N425=""), "[Aviso] Temporada no capturada ()", IF(ISNA(MATCH(N425, Criterios!$C$123:$C$128, 0)), "Temporada no válida", "")), IF(OR(O425="", O425=""), "[Aviso] Ciclo de vida no capturado ()", IF(ISNA(MATCH(O425, Criterios!$D$123:$D$124, 0)), "Ciclo de vida no válido", ""))))</f>
        <v/>
      </c>
      <c r="AC425" s="56" t="n"/>
      <c r="AD425" s="51" t="n"/>
      <c r="AE425" s="156" t="n"/>
      <c r="AF425" s="51" t="n"/>
      <c r="AG425" s="156" t="inlineStr">
        <is>
          <t>Nuevo – Carga Hoja2 01/10/2026</t>
        </is>
      </c>
      <c r="AH425" s="156" t="inlineStr">
        <is>
          <t>Alta 01/10/2026 desde Hoja2 (fila 224) | 01/10/2026: complementado desde Odoo Universal Unique Brands (match por SKU): WB Talla, WB Talla de EE. UU., WB Género | 01/10/2026: complementado desde Odoo Universal Unique Brands (match por SKU): WB Descripcion (antes «WG Handbag»), WB Licencia, WB Color, WB Descripción larga, WB País de origen | 01/10/2026: Odoo Universal Unique Brands trae Marca «Wrangler» — se conservó el valor de Productos | Homologación G1522 06/10/2026: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25" s="156" t="n"/>
      <c r="AJ425" s="156" t="n"/>
      <c r="AK425" s="155" t="inlineStr">
        <is>
          <t>Hoja2: fila 224 | Odoo: producto 27294 / plantilla 33994 | Odoo: producto 31037 / plantilla 39676</t>
        </is>
      </c>
      <c r="AL425" s="58" t="n"/>
      <c r="AM425" s="58" t="n"/>
      <c r="AN425" s="155" t="inlineStr">
        <is>
          <t>Odoo Universal Unique Brands</t>
        </is>
      </c>
      <c r="AO425" s="59" t="n"/>
      <c r="AP425" s="59" t="n"/>
      <c r="AQ425" s="59" t="n">
        <v>47</v>
      </c>
      <c r="AR425" s="155" t="inlineStr">
        <is>
          <t>Odoo Universal Unique Brands › Bodega 25 › Bodega 25/General: 3 | Odoo Universal Unique Brands › Bodega 25 › Bodega 25/General: 44</t>
        </is>
      </c>
    </row>
    <row r="426">
      <c r="A426" s="50" t="n"/>
      <c r="B426" s="51" t="inlineStr">
        <is>
          <t>27295</t>
        </is>
      </c>
      <c r="C426" s="156" t="inlineStr">
        <is>
          <t>Montana West</t>
        </is>
      </c>
      <c r="D426" s="156" t="n"/>
      <c r="E426" s="156" t="inlineStr">
        <is>
          <t>WG174-1832BR</t>
        </is>
      </c>
      <c r="F426" s="156" t="inlineStr">
        <is>
          <t>Talla única</t>
        </is>
      </c>
      <c r="G426" s="156" t="inlineStr">
        <is>
          <t>One Size</t>
        </is>
      </c>
      <c r="H426" s="156" t="inlineStr">
        <is>
          <t>Montana West</t>
        </is>
      </c>
      <c r="I426" s="156" t="inlineStr">
        <is>
          <t>Bolsa Cruzada Wrangler Tejida Suroeste</t>
        </is>
      </c>
      <c r="J426" s="156" t="inlineStr">
        <is>
          <t>Accesorios</t>
        </is>
      </c>
      <c r="K426" s="156" t="inlineStr">
        <is>
          <t>Bolsos</t>
        </is>
      </c>
      <c r="L426" s="156" t="inlineStr">
        <is>
          <t>Unisex</t>
        </is>
      </c>
      <c r="M426" s="156" t="inlineStr">
        <is>
          <t>Wrangler</t>
        </is>
      </c>
      <c r="N426" s="156" t="n"/>
      <c r="O426" s="156" t="n"/>
      <c r="P426" s="156" t="inlineStr">
        <is>
          <t>Varios</t>
        </is>
      </c>
      <c r="Q426" s="156" t="n"/>
      <c r="R426" s="156" t="n"/>
      <c r="S426" s="156" t="n"/>
      <c r="T426" s="156" t="inlineStr">
        <is>
          <t>Bolsa Cruzada</t>
        </is>
      </c>
      <c r="U426" s="156" t="inlineStr">
        <is>
          <t>México</t>
        </is>
      </c>
      <c r="V426" s="156" t="inlineStr">
        <is>
          <t>PZS</t>
        </is>
      </c>
      <c r="W426" s="51" t="inlineStr">
        <is>
          <t>53121601</t>
        </is>
      </c>
      <c r="X426" s="156" t="n"/>
      <c r="Y426" s="54" t="n">
        <v>414</v>
      </c>
      <c r="Z426" s="54" t="n">
        <v>699</v>
      </c>
      <c r="AA426" s="55">
        <f>IF(AND(A426="", B426="", E426=""), "", IF(AB426="", "Válido", IF((LEN(AB426)-LEN(SUBSTITUTE(AB426,"; ","")))/2+1&gt;(LEN(AB426)-LEN(SUBSTITUTE(AB426,"[Aviso]","")))/7, "Con Incidencias", "Válido")))</f>
        <v/>
      </c>
      <c r="AB426" s="56">
        <f>IF(AND(A426="", B426="", E426=""), "", TEXTJOIN("; ", TRUE, IF(OR(TRIM(A426&amp;"")="", ISNUMBER(SEARCH("FALTA", A426))), "UPC faltante/inválido", ""), IF(AND(A426&lt;&gt;"", IFERROR(_xlfn.XMATCH(A426,$A$2:$A$1063,0,1)&lt;&gt;_xlfn.XMATCH(A426,$A$2:$A$1063,0,-1),FALSE)), "Código de barras duplicado", ""), IF(AND(E426&lt;&gt;"", COUNTIF($E$2:$E$1063, E426)&gt;1), "SKU duplicado", ""), IF(OR(J426="", J426=""), "[Aviso] División no capturada ()", IF(ISNA(MATCH(J426, Criterios!$A$123:$A$126, 0)), "División no válida", "")), IF(OR(K426="", K426=""), "[Aviso] Categoría no capturada ()", IF(ISNA(MATCH(K426, Criterios!$A$81:$A$120, 0)), "Categoría no válida", IF(AND(J426&lt;&gt;"", J426&lt;&gt;"", J426&lt;&gt;VLOOKUP(K426, Criterios!$A$81:$B$120, 2, FALSE)), "División no coincide con Categoría", ""))), IF(OR(L426="", L426=""), "[Aviso] Género no capturado ()", IF(ISNA(MATCH(L426, Criterios!$B$123:$B$127, 0)), "Género no válido", "")), IF(OR(N426="", N426=""), "[Aviso] Temporada no capturada ()", IF(ISNA(MATCH(N426, Criterios!$C$123:$C$128, 0)), "Temporada no válida", "")), IF(OR(O426="", O426=""), "[Aviso] Ciclo de vida no capturado ()", IF(ISNA(MATCH(O426, Criterios!$D$123:$D$124, 0)), "Ciclo de vida no válido", ""))))</f>
        <v/>
      </c>
      <c r="AC426" s="56" t="n"/>
      <c r="AD426" s="51" t="n"/>
      <c r="AE426" s="156" t="n"/>
      <c r="AF426" s="51" t="n"/>
      <c r="AG426" s="156" t="inlineStr">
        <is>
          <t>Nuevo – Carga Hoja2 01/10/2026</t>
        </is>
      </c>
      <c r="AH426" s="156" t="inlineStr">
        <is>
          <t>Alta 01/10/2026 desde Hoja2 (fila 225) | 01/10/2026: complementado desde Odoo Universal Unique Brands (match por SKU): WB Talla, WB Talla de EE. UU., WB Género | 01/10/2026: complementado desde Odoo Universal Unique Brands (match por SKU): WB Descripcion (antes «WG Handbag»), WB Licencia, WB Color, WB Descripción larga, WB País de origen | 01/10/2026: Odoo Universal Unique Brands trae Marca «Wrangler» — se conservó el valor de Productos | Homologación G1522 06/10/2026: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26" s="156" t="n"/>
      <c r="AJ426" s="156" t="n"/>
      <c r="AK426" s="155" t="inlineStr">
        <is>
          <t>Hoja2: fila 225 | Odoo: producto 27295 / plantilla 33995 | Odoo: producto 31036 / plantilla 39676</t>
        </is>
      </c>
      <c r="AL426" s="58" t="n"/>
      <c r="AM426" s="58" t="n"/>
      <c r="AN426" s="155" t="inlineStr">
        <is>
          <t>Odoo Universal Unique Brands</t>
        </is>
      </c>
      <c r="AO426" s="59" t="n"/>
      <c r="AP426" s="59" t="n"/>
      <c r="AQ426" s="59" t="n">
        <v>180</v>
      </c>
      <c r="AR426" s="155" t="inlineStr">
        <is>
          <t>Odoo Universal Unique Brands › Bodega 25 › Bodega 25/General: 3 | Odoo Universal Unique Brands › Bodega 25 › Bodega 25/General: 177</t>
        </is>
      </c>
    </row>
    <row r="427">
      <c r="A427" s="50" t="inlineStr">
        <is>
          <t>717019743322</t>
        </is>
      </c>
      <c r="B427" s="51" t="inlineStr">
        <is>
          <t>27296</t>
        </is>
      </c>
      <c r="C427" s="156" t="inlineStr">
        <is>
          <t>Wrangler</t>
        </is>
      </c>
      <c r="D427" s="156" t="inlineStr">
        <is>
          <t>WG174-1832JN</t>
        </is>
      </c>
      <c r="E427" s="156" t="inlineStr">
        <is>
          <t>WG174-1832JN</t>
        </is>
      </c>
      <c r="F427" s="156" t="inlineStr">
        <is>
          <t>Talla única</t>
        </is>
      </c>
      <c r="G427" s="156" t="inlineStr">
        <is>
          <t>One Size</t>
        </is>
      </c>
      <c r="H427" s="156" t="inlineStr">
        <is>
          <t>Wrangler</t>
        </is>
      </c>
      <c r="I427" s="156" t="inlineStr">
        <is>
          <t>Bolsa Cruzada Wrangler Tejida Suroeste Mezclilla</t>
        </is>
      </c>
      <c r="J427" s="156" t="inlineStr">
        <is>
          <t>Accesorios</t>
        </is>
      </c>
      <c r="K427" s="156" t="inlineStr">
        <is>
          <t>Bolsos</t>
        </is>
      </c>
      <c r="L427" s="156" t="inlineStr">
        <is>
          <t>Unisex</t>
        </is>
      </c>
      <c r="M427" s="156" t="inlineStr">
        <is>
          <t>Wrangler</t>
        </is>
      </c>
      <c r="N427" s="156" t="n"/>
      <c r="O427" s="156" t="inlineStr">
        <is>
          <t>Core</t>
        </is>
      </c>
      <c r="P427" s="156" t="inlineStr">
        <is>
          <t>Varios</t>
        </is>
      </c>
      <c r="Q427" s="156" t="n"/>
      <c r="R427" s="156" t="n"/>
      <c r="S427" s="156" t="n"/>
      <c r="T427" s="156" t="inlineStr">
        <is>
          <t>Bolsa Cruzada Wrangler. Modelo: Tejida Suroeste. Color: Mezclilla. Talla única. Unisex. Referencia: WG174-1832JN.</t>
        </is>
      </c>
      <c r="U427" s="156" t="n"/>
      <c r="V427" s="156" t="inlineStr">
        <is>
          <t>PZS</t>
        </is>
      </c>
      <c r="W427" s="51" t="inlineStr">
        <is>
          <t>53121601</t>
        </is>
      </c>
      <c r="X427" s="156" t="n"/>
      <c r="Y427" s="54" t="n">
        <v>414</v>
      </c>
      <c r="Z427" s="54" t="n">
        <v>699</v>
      </c>
      <c r="AA427" s="55">
        <f>IF(AND(A427="", B427="", E427=""), "", IF(AB427="", "Válido", IF((LEN(AB427)-LEN(SUBSTITUTE(AB427,"; ","")))/2+1&gt;(LEN(AB427)-LEN(SUBSTITUTE(AB427,"[Aviso]","")))/7, "Con Incidencias", "Válido")))</f>
        <v/>
      </c>
      <c r="AB427" s="56">
        <f>IF(AND(A427="", B427="", E427=""), "", TEXTJOIN("; ", TRUE, IF(OR(TRIM(A427&amp;"")="", ISNUMBER(SEARCH("FALTA", A427))), "UPC faltante/inválido", ""), IF(AND(A427&lt;&gt;"", IFERROR(_xlfn.XMATCH(A427,$A$2:$A$1063,0,1)&lt;&gt;_xlfn.XMATCH(A427,$A$2:$A$1063,0,-1),FALSE)), "Código de barras duplicado", ""), IF(AND(E427&lt;&gt;"", COUNTIF($E$2:$E$1063, E427)&gt;1), "SKU duplicado", ""), IF(OR(J427="", J427=""), "[Aviso] División no capturada ()", IF(ISNA(MATCH(J427, Criterios!$A$123:$A$126, 0)), "División no válida", "")), IF(OR(K427="", K427=""), "[Aviso] Categoría no capturada ()", IF(ISNA(MATCH(K427, Criterios!$A$81:$A$120, 0)), "Categoría no válida", IF(AND(J427&lt;&gt;"", J427&lt;&gt;"", J427&lt;&gt;VLOOKUP(K427, Criterios!$A$81:$B$120, 2, FALSE)), "División no coincide con Categoría", ""))), IF(OR(L427="", L427=""), "[Aviso] Género no capturado ()", IF(ISNA(MATCH(L427, Criterios!$B$123:$B$127, 0)), "Género no válido", "")), IF(OR(N427="", N427=""), "[Aviso] Temporada no capturada ()", IF(ISNA(MATCH(N427, Criterios!$C$123:$C$128, 0)), "Temporada no válida", "")), IF(OR(O427="", O427=""), "[Aviso] Ciclo de vida no capturado ()", IF(ISNA(MATCH(O427, Criterios!$D$123:$D$124, 0)), "Ciclo de vida no válido", ""))))</f>
        <v/>
      </c>
      <c r="AC427" s="56" t="n"/>
      <c r="AD427" s="51" t="n"/>
      <c r="AE427" s="156" t="n"/>
      <c r="AF427" s="51" t="n"/>
      <c r="AG427" s="156" t="inlineStr">
        <is>
          <t>Nuevo – Carga Hoja2 01/10/2026</t>
        </is>
      </c>
      <c r="AH427" s="156" t="inlineStr">
        <is>
          <t>Alta 01/10/2026 desde Hoja2 (fila 226) | 01/10/2026: Odoo Universal Unique Brands trae Marca «Montana West» — se conservó el valor de Productos | Homologación G1522 06/10/2026: Validador Shopify: WB: precio con IVA no termina en 9</t>
        </is>
      </c>
      <c r="AI427" s="156" t="n"/>
      <c r="AJ427" s="156" t="n"/>
      <c r="AK427" s="155" t="inlineStr">
        <is>
          <t>Hoja2: fila 226 | Odoo: producto 27296 / plantilla 33996</t>
        </is>
      </c>
      <c r="AL427" s="58" t="n"/>
      <c r="AM427" s="58" t="n"/>
      <c r="AN427" s="155" t="inlineStr">
        <is>
          <t>Odoo Universal Unique Brands</t>
        </is>
      </c>
      <c r="AO427" s="59" t="n"/>
      <c r="AP427" s="59" t="n"/>
      <c r="AQ427" s="59" t="n">
        <v>5</v>
      </c>
      <c r="AR427" s="155" t="inlineStr">
        <is>
          <t>Odoo Universal Unique Brands › Bodega 25 › Bodega 25/General: 5</t>
        </is>
      </c>
    </row>
    <row r="428">
      <c r="A428" s="50" t="inlineStr">
        <is>
          <t>717019743384</t>
        </is>
      </c>
      <c r="B428" s="51" t="inlineStr">
        <is>
          <t>27297</t>
        </is>
      </c>
      <c r="C428" s="156" t="inlineStr">
        <is>
          <t>Wrangler</t>
        </is>
      </c>
      <c r="D428" s="156" t="inlineStr">
        <is>
          <t>WG174-1833BK</t>
        </is>
      </c>
      <c r="E428" s="156" t="inlineStr">
        <is>
          <t>WG174-1833BK</t>
        </is>
      </c>
      <c r="F428" s="156" t="inlineStr">
        <is>
          <t>Talla única</t>
        </is>
      </c>
      <c r="G428" s="156" t="inlineStr">
        <is>
          <t>One Size</t>
        </is>
      </c>
      <c r="H428" s="156" t="inlineStr">
        <is>
          <t>Wrangler</t>
        </is>
      </c>
      <c r="I428" s="156" t="inlineStr">
        <is>
          <t>Bolsa de Mano Wrangler Negro</t>
        </is>
      </c>
      <c r="J428" s="156" t="inlineStr">
        <is>
          <t>Accesorios</t>
        </is>
      </c>
      <c r="K428" s="156" t="inlineStr">
        <is>
          <t>Bolsos</t>
        </is>
      </c>
      <c r="L428" s="156" t="inlineStr">
        <is>
          <t>Unisex</t>
        </is>
      </c>
      <c r="M428" s="156" t="inlineStr">
        <is>
          <t>Wrangler</t>
        </is>
      </c>
      <c r="N428" s="156" t="n"/>
      <c r="O428" s="156" t="inlineStr">
        <is>
          <t>Core</t>
        </is>
      </c>
      <c r="P428" s="156" t="inlineStr">
        <is>
          <t>Negro</t>
        </is>
      </c>
      <c r="Q428" s="156" t="n"/>
      <c r="R428" s="156" t="n"/>
      <c r="S428" s="156" t="n"/>
      <c r="T428" s="156" t="inlineStr">
        <is>
          <t>Bolsa de Mano Wrangler. Color: Negro. Talla única. Unisex. Referencia: WG174-1833BK.</t>
        </is>
      </c>
      <c r="U428" s="156" t="n"/>
      <c r="V428" s="156" t="inlineStr">
        <is>
          <t>PZS</t>
        </is>
      </c>
      <c r="W428" s="51" t="inlineStr">
        <is>
          <t>53121601</t>
        </is>
      </c>
      <c r="X428" s="156" t="inlineStr">
        <is>
          <t>https://cdn.shopify.com/s/files/1/0005/9015/1741/files/Wrangler_Aztec_Knitted_Wristlet_Black1.webp?v=1762135263</t>
        </is>
      </c>
      <c r="Y428" s="54" t="n">
        <v>207</v>
      </c>
      <c r="Z428" s="54" t="n">
        <v>349</v>
      </c>
      <c r="AA428" s="55">
        <f>IF(AND(A428="", B428="", E428=""), "", IF(AB428="", "Válido", IF((LEN(AB428)-LEN(SUBSTITUTE(AB428,"; ","")))/2+1&gt;(LEN(AB428)-LEN(SUBSTITUTE(AB428,"[Aviso]","")))/7, "Con Incidencias", "Válido")))</f>
        <v/>
      </c>
      <c r="AB428" s="56">
        <f>IF(AND(A428="", B428="", E428=""), "", TEXTJOIN("; ", TRUE, IF(OR(TRIM(A428&amp;"")="", ISNUMBER(SEARCH("FALTA", A428))), "UPC faltante/inválido", ""), IF(AND(A428&lt;&gt;"", IFERROR(_xlfn.XMATCH(A428,$A$2:$A$1063,0,1)&lt;&gt;_xlfn.XMATCH(A428,$A$2:$A$1063,0,-1),FALSE)), "Código de barras duplicado", ""), IF(AND(E428&lt;&gt;"", COUNTIF($E$2:$E$1063, E428)&gt;1), "SKU duplicado", ""), IF(OR(J428="", J428=""), "[Aviso] División no capturada ()", IF(ISNA(MATCH(J428, Criterios!$A$123:$A$126, 0)), "División no válida", "")), IF(OR(K428="", K428=""), "[Aviso] Categoría no capturada ()", IF(ISNA(MATCH(K428, Criterios!$A$81:$A$120, 0)), "Categoría no válida", IF(AND(J428&lt;&gt;"", J428&lt;&gt;"", J428&lt;&gt;VLOOKUP(K428, Criterios!$A$81:$B$120, 2, FALSE)), "División no coincide con Categoría", ""))), IF(OR(L428="", L428=""), "[Aviso] Género no capturado ()", IF(ISNA(MATCH(L428, Criterios!$B$123:$B$127, 0)), "Género no válido", "")), IF(OR(N428="", N428=""), "[Aviso] Temporada no capturada ()", IF(ISNA(MATCH(N428, Criterios!$C$123:$C$128, 0)), "Temporada no válida", "")), IF(OR(O428="", O428=""), "[Aviso] Ciclo de vida no capturado ()", IF(ISNA(MATCH(O428, Criterios!$D$123:$D$124, 0)), "Ciclo de vida no válido", ""))))</f>
        <v/>
      </c>
      <c r="AC428" s="56" t="n"/>
      <c r="AD428" s="51" t="n"/>
      <c r="AE428" s="156" t="n"/>
      <c r="AF428" s="51" t="n"/>
      <c r="AG428" s="156" t="inlineStr">
        <is>
          <t>Nuevo – Carga Hoja2 01/10/2026</t>
        </is>
      </c>
      <c r="AH428" s="156" t="inlineStr">
        <is>
          <t>Alta 01/10/2026 desde Hoja2 (fila 227) | 01/10/2026: Odoo Universal Unique Brands trae Marca «Montana West» — se conservó el valor de Productos | Homologación G1522 06/10/2026: Enlace de imagen: «» → «https://cdn.shopify.com/s/files/1/0005/9015/1741/files/Wrangler_Aztec_Knitted_Wristlet_Black1.webp?v=1762135263» (Completado por investigación en línea) · Validador Shopify: WB: precio con IVA no termina en 9</t>
        </is>
      </c>
      <c r="AI428" s="156" t="n"/>
      <c r="AJ428" s="156" t="n"/>
      <c r="AK428" s="155" t="inlineStr">
        <is>
          <t>Hoja2: fila 227 | Odoo: producto 27297 / plantilla 33997 | Investigación en línea 06/10/2026: https://montanawestworld.com/products/wrangler-aztec-knitted-mini-crossbody</t>
        </is>
      </c>
      <c r="AL428" s="58" t="n"/>
      <c r="AM428" s="58" t="n"/>
      <c r="AN428" s="155" t="inlineStr">
        <is>
          <t>Odoo Universal Unique Brands</t>
        </is>
      </c>
      <c r="AO428" s="59" t="n"/>
      <c r="AP428" s="59" t="n"/>
      <c r="AQ428" s="59" t="n">
        <v>5</v>
      </c>
      <c r="AR428" s="155" t="inlineStr">
        <is>
          <t>Odoo Universal Unique Brands › Bodega 25 › Bodega 25/General: 5</t>
        </is>
      </c>
    </row>
    <row r="429">
      <c r="A429" s="50" t="n"/>
      <c r="B429" s="51" t="inlineStr">
        <is>
          <t>27298</t>
        </is>
      </c>
      <c r="C429" s="156" t="inlineStr">
        <is>
          <t>Montana West</t>
        </is>
      </c>
      <c r="D429" s="156" t="n"/>
      <c r="E429" s="156" t="inlineStr">
        <is>
          <t>WG174-2029BR</t>
        </is>
      </c>
      <c r="F429" s="156" t="inlineStr">
        <is>
          <t>Talla única</t>
        </is>
      </c>
      <c r="G429" s="156" t="inlineStr">
        <is>
          <t>One Size</t>
        </is>
      </c>
      <c r="H429" s="156" t="inlineStr">
        <is>
          <t>Montana West</t>
        </is>
      </c>
      <c r="I429" s="156" t="inlineStr">
        <is>
          <t>WG BAG</t>
        </is>
      </c>
      <c r="J429" s="156" t="inlineStr">
        <is>
          <t>Accesorios</t>
        </is>
      </c>
      <c r="K429" s="156" t="inlineStr">
        <is>
          <t>Bolsos</t>
        </is>
      </c>
      <c r="L429" s="156" t="inlineStr">
        <is>
          <t>Unisex</t>
        </is>
      </c>
      <c r="M429" s="156" t="n"/>
      <c r="N429" s="156" t="n"/>
      <c r="O429" s="156" t="n"/>
      <c r="P429" s="156" t="n"/>
      <c r="Q429" s="156" t="n"/>
      <c r="R429" s="156" t="n"/>
      <c r="S429" s="156" t="n"/>
      <c r="T429" s="156" t="n"/>
      <c r="U429" s="156" t="n"/>
      <c r="V429" s="156" t="inlineStr">
        <is>
          <t>PZS</t>
        </is>
      </c>
      <c r="W429" s="51" t="inlineStr">
        <is>
          <t>53121601</t>
        </is>
      </c>
      <c r="X429" s="156" t="n"/>
      <c r="Y429" s="54" t="n">
        <v>500.25</v>
      </c>
      <c r="Z429" s="54" t="n">
        <v>849</v>
      </c>
      <c r="AA429" s="55">
        <f>IF(AND(A429="", B429="", E429=""), "", IF(AB429="", "Válido", IF((LEN(AB429)-LEN(SUBSTITUTE(AB429,"; ","")))/2+1&gt;(LEN(AB429)-LEN(SUBSTITUTE(AB429,"[Aviso]","")))/7, "Con Incidencias", "Válido")))</f>
        <v/>
      </c>
      <c r="AB429" s="56">
        <f>IF(AND(A429="", B429="", E429=""), "", TEXTJOIN("; ", TRUE, IF(OR(TRIM(A429&amp;"")="", ISNUMBER(SEARCH("FALTA", A429))), "UPC faltante/inválido", ""), IF(AND(A429&lt;&gt;"", IFERROR(_xlfn.XMATCH(A429,$A$2:$A$1063,0,1)&lt;&gt;_xlfn.XMATCH(A429,$A$2:$A$1063,0,-1),FALSE)), "Código de barras duplicado", ""), IF(AND(E429&lt;&gt;"", COUNTIF($E$2:$E$1063, E429)&gt;1), "SKU duplicado", ""), IF(OR(J429="", J429=""), "[Aviso] División no capturada ()", IF(ISNA(MATCH(J429, Criterios!$A$123:$A$126, 0)), "División no válida", "")), IF(OR(K429="", K429=""), "[Aviso] Categoría no capturada ()", IF(ISNA(MATCH(K429, Criterios!$A$81:$A$120, 0)), "Categoría no válida", IF(AND(J429&lt;&gt;"", J429&lt;&gt;"", J429&lt;&gt;VLOOKUP(K429, Criterios!$A$81:$B$120, 2, FALSE)), "División no coincide con Categoría", ""))), IF(OR(L429="", L429=""), "[Aviso] Género no capturado ()", IF(ISNA(MATCH(L429, Criterios!$B$123:$B$127, 0)), "Género no válido", "")), IF(OR(N429="", N429=""), "[Aviso] Temporada no capturada ()", IF(ISNA(MATCH(N429, Criterios!$C$123:$C$128, 0)), "Temporada no válida", "")), IF(OR(O429="", O429=""), "[Aviso] Ciclo de vida no capturado ()", IF(ISNA(MATCH(O429, Criterios!$D$123:$D$124, 0)), "Ciclo de vida no válido", ""))))</f>
        <v/>
      </c>
      <c r="AC429" s="56" t="n"/>
      <c r="AD429" s="51" t="n"/>
      <c r="AE429" s="156" t="n"/>
      <c r="AF429" s="51" t="n"/>
      <c r="AG429" s="156" t="inlineStr">
        <is>
          <t>Nuevo – Carga Hoja2 01/10/2026</t>
        </is>
      </c>
      <c r="AH429" s="156" t="inlineStr">
        <is>
          <t>Alta 01/10/2026 desde Hoja2 (fila 228)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29" s="156" t="n"/>
      <c r="AJ429" s="156" t="n"/>
      <c r="AK429" s="155" t="inlineStr">
        <is>
          <t>Hoja2: fila 228 | Odoo: producto 27298 / plantilla 33998</t>
        </is>
      </c>
      <c r="AL429" s="58" t="n"/>
      <c r="AM429" s="58" t="n"/>
      <c r="AN429" s="155" t="inlineStr">
        <is>
          <t>Odoo Universal Unique Brands</t>
        </is>
      </c>
      <c r="AO429" s="59" t="n"/>
      <c r="AP429" s="59" t="n"/>
      <c r="AQ429" s="59" t="n">
        <v>0</v>
      </c>
      <c r="AR429" s="155" t="n"/>
    </row>
    <row r="430">
      <c r="A430" s="50" t="inlineStr">
        <is>
          <t>717019742844</t>
        </is>
      </c>
      <c r="B430" s="51" t="inlineStr">
        <is>
          <t>27301</t>
        </is>
      </c>
      <c r="C430" s="156" t="inlineStr">
        <is>
          <t>Wrangler</t>
        </is>
      </c>
      <c r="D430" s="156" t="inlineStr">
        <is>
          <t>WG174-5110JN</t>
        </is>
      </c>
      <c r="E430" s="156" t="inlineStr">
        <is>
          <t>WG174-5110JN</t>
        </is>
      </c>
      <c r="F430" s="156" t="inlineStr">
        <is>
          <t>Talla única</t>
        </is>
      </c>
      <c r="G430" s="156" t="inlineStr">
        <is>
          <t>One Size</t>
        </is>
      </c>
      <c r="H430" s="156" t="inlineStr">
        <is>
          <t>Wrangler</t>
        </is>
      </c>
      <c r="I430" s="156" t="inlineStr">
        <is>
          <t>Maleta Duffle Wrangler Estampado Suroeste Mezclilla</t>
        </is>
      </c>
      <c r="J430" s="156" t="inlineStr">
        <is>
          <t>Accesorios</t>
        </is>
      </c>
      <c r="K430" s="156" t="inlineStr">
        <is>
          <t>Equipaje</t>
        </is>
      </c>
      <c r="L430" s="156" t="inlineStr">
        <is>
          <t>Unisex</t>
        </is>
      </c>
      <c r="M430" s="156" t="inlineStr">
        <is>
          <t>Wrangler</t>
        </is>
      </c>
      <c r="N430" s="156" t="n"/>
      <c r="O430" s="156" t="inlineStr">
        <is>
          <t>Core</t>
        </is>
      </c>
      <c r="P430" s="156" t="inlineStr">
        <is>
          <t>Varios</t>
        </is>
      </c>
      <c r="Q430" s="156" t="n"/>
      <c r="R430" s="156" t="n"/>
      <c r="S430" s="156" t="n"/>
      <c r="T430" s="156" t="inlineStr">
        <is>
          <t>Maleta Duffle Wrangler. Modelo: Estampado Suroeste. Color: Mezclilla. Talla única. Unisex. Referencia: WG174-5110JN.</t>
        </is>
      </c>
      <c r="U430" s="156" t="n"/>
      <c r="V430" s="156" t="inlineStr">
        <is>
          <t>PZS</t>
        </is>
      </c>
      <c r="W430" s="51" t="inlineStr">
        <is>
          <t>53121601</t>
        </is>
      </c>
      <c r="X430" s="156" t="inlineStr">
        <is>
          <t>https://cdn.shopify.com/s/files/1/0005/9015/1741/files/Wrangler_Aztec_Knitted_Duffle_Bag_Jean2.webp?v=1762135263</t>
        </is>
      </c>
      <c r="Y430" s="54" t="n">
        <v>586.5</v>
      </c>
      <c r="Z430" s="54" t="n">
        <v>949</v>
      </c>
      <c r="AA430" s="55">
        <f>IF(AND(A430="", B430="", E430=""), "", IF(AB430="", "Válido", IF((LEN(AB430)-LEN(SUBSTITUTE(AB430,"; ","")))/2+1&gt;(LEN(AB430)-LEN(SUBSTITUTE(AB430,"[Aviso]","")))/7, "Con Incidencias", "Válido")))</f>
        <v/>
      </c>
      <c r="AB430" s="56">
        <f>IF(AND(A430="", B430="", E430=""), "", TEXTJOIN("; ", TRUE, IF(OR(TRIM(A430&amp;"")="", ISNUMBER(SEARCH("FALTA", A430))), "UPC faltante/inválido", ""), IF(AND(A430&lt;&gt;"", IFERROR(_xlfn.XMATCH(A430,$A$2:$A$1063,0,1)&lt;&gt;_xlfn.XMATCH(A430,$A$2:$A$1063,0,-1),FALSE)), "Código de barras duplicado", ""), IF(AND(E430&lt;&gt;"", COUNTIF($E$2:$E$1063, E430)&gt;1), "SKU duplicado", ""), IF(OR(J430="", J430=""), "[Aviso] División no capturada ()", IF(ISNA(MATCH(J430, Criterios!$A$123:$A$126, 0)), "División no válida", "")), IF(OR(K430="", K430=""), "[Aviso] Categoría no capturada ()", IF(ISNA(MATCH(K430, Criterios!$A$81:$A$120, 0)), "Categoría no válida", IF(AND(J430&lt;&gt;"", J430&lt;&gt;"", J430&lt;&gt;VLOOKUP(K430, Criterios!$A$81:$B$120, 2, FALSE)), "División no coincide con Categoría", ""))), IF(OR(L430="", L430=""), "[Aviso] Género no capturado ()", IF(ISNA(MATCH(L430, Criterios!$B$123:$B$127, 0)), "Género no válido", "")), IF(OR(N430="", N430=""), "[Aviso] Temporada no capturada ()", IF(ISNA(MATCH(N430, Criterios!$C$123:$C$128, 0)), "Temporada no válida", "")), IF(OR(O430="", O430=""), "[Aviso] Ciclo de vida no capturado ()", IF(ISNA(MATCH(O430, Criterios!$D$123:$D$124, 0)), "Ciclo de vida no válido", ""))))</f>
        <v/>
      </c>
      <c r="AC430" s="56" t="n"/>
      <c r="AD430" s="51" t="n"/>
      <c r="AE430" s="156" t="n"/>
      <c r="AF430" s="51" t="n"/>
      <c r="AG430" s="156" t="inlineStr">
        <is>
          <t>Nuevo – Carga Hoja2 01/10/2026</t>
        </is>
      </c>
      <c r="AH430" s="156" t="inlineStr">
        <is>
          <t>Alta 01/10/2026 desde Hoja2 (fila 229) | 01/10/2026: Odoo Universal Unique Brands trae Marca «Montana West», Categoría «Bolsos» — se conservó el valor de Productos | Homologación G1522 06/10/2026: Enlace de imagen: «» → «https://cdn.shopify.com/s/files/1/0005/9015/1741/files/Wrangler_Aztec_Knitted_Duffle_Bag_Jean2.webp?v=1762135263» (Completado por investigación en línea) · Validador Shopify: WB: precio con IVA no termina en 9</t>
        </is>
      </c>
      <c r="AI430" s="156" t="n"/>
      <c r="AJ430" s="156" t="n"/>
      <c r="AK430" s="155" t="inlineStr">
        <is>
          <t>Hoja2: fila 229 | Odoo: producto 27301 / plantilla 34001 | Investigación en línea 06/10/2026: https://montanawestworld.com/products/wrangler-aztec-duffle-bag</t>
        </is>
      </c>
      <c r="AL430" s="58" t="n"/>
      <c r="AM430" s="58" t="n"/>
      <c r="AN430" s="155" t="inlineStr">
        <is>
          <t>Odoo Universal Unique Brands</t>
        </is>
      </c>
      <c r="AO430" s="59" t="n"/>
      <c r="AP430" s="59" t="n"/>
      <c r="AQ430" s="59" t="n">
        <v>11</v>
      </c>
      <c r="AR430" s="155" t="inlineStr">
        <is>
          <t>Odoo Universal Unique Brands › Bodega 25 › Bodega 25/General: 11</t>
        </is>
      </c>
    </row>
    <row r="431">
      <c r="A431" s="50" t="n"/>
      <c r="B431" s="51" t="inlineStr">
        <is>
          <t>27302</t>
        </is>
      </c>
      <c r="C431" s="156" t="inlineStr">
        <is>
          <t>Montana West</t>
        </is>
      </c>
      <c r="D431" s="156" t="n"/>
      <c r="E431" s="156" t="inlineStr">
        <is>
          <t>WG174-91152HPK</t>
        </is>
      </c>
      <c r="F431" s="156" t="inlineStr">
        <is>
          <t>Talla única</t>
        </is>
      </c>
      <c r="G431" s="156" t="inlineStr">
        <is>
          <t>One Size</t>
        </is>
      </c>
      <c r="H431" s="156" t="inlineStr">
        <is>
          <t>Montana West</t>
        </is>
      </c>
      <c r="I431" s="156" t="inlineStr">
        <is>
          <t>WG BACKPACK</t>
        </is>
      </c>
      <c r="J431" s="156" t="inlineStr">
        <is>
          <t>Accesorios</t>
        </is>
      </c>
      <c r="K431" s="156" t="inlineStr">
        <is>
          <t>Mochilas</t>
        </is>
      </c>
      <c r="L431" s="156" t="inlineStr">
        <is>
          <t>Unisex</t>
        </is>
      </c>
      <c r="M431" s="156" t="n"/>
      <c r="N431" s="156" t="n"/>
      <c r="O431" s="156" t="n"/>
      <c r="P431" s="156" t="n"/>
      <c r="Q431" s="156" t="n"/>
      <c r="R431" s="156" t="n"/>
      <c r="S431" s="156" t="n"/>
      <c r="T431" s="156" t="n"/>
      <c r="U431" s="156" t="n"/>
      <c r="V431" s="156" t="inlineStr">
        <is>
          <t>PZS</t>
        </is>
      </c>
      <c r="W431" s="51" t="inlineStr">
        <is>
          <t>53121601</t>
        </is>
      </c>
      <c r="X431" s="156" t="n"/>
      <c r="Y431" s="54" t="n">
        <v>517.5</v>
      </c>
      <c r="Z431" s="54" t="n">
        <v>849</v>
      </c>
      <c r="AA431" s="55">
        <f>IF(AND(A431="", B431="", E431=""), "", IF(AB431="", "Válido", IF((LEN(AB431)-LEN(SUBSTITUTE(AB431,"; ","")))/2+1&gt;(LEN(AB431)-LEN(SUBSTITUTE(AB431,"[Aviso]","")))/7, "Con Incidencias", "Válido")))</f>
        <v/>
      </c>
      <c r="AB431" s="56">
        <f>IF(AND(A431="", B431="", E431=""), "", TEXTJOIN("; ", TRUE, IF(OR(TRIM(A431&amp;"")="", ISNUMBER(SEARCH("FALTA", A431))), "UPC faltante/inválido", ""), IF(AND(A431&lt;&gt;"", IFERROR(_xlfn.XMATCH(A431,$A$2:$A$1063,0,1)&lt;&gt;_xlfn.XMATCH(A431,$A$2:$A$1063,0,-1),FALSE)), "Código de barras duplicado", ""), IF(AND(E431&lt;&gt;"", COUNTIF($E$2:$E$1063, E431)&gt;1), "SKU duplicado", ""), IF(OR(J431="", J431=""), "[Aviso] División no capturada ()", IF(ISNA(MATCH(J431, Criterios!$A$123:$A$126, 0)), "División no válida", "")), IF(OR(K431="", K431=""), "[Aviso] Categoría no capturada ()", IF(ISNA(MATCH(K431, Criterios!$A$81:$A$120, 0)), "Categoría no válida", IF(AND(J431&lt;&gt;"", J431&lt;&gt;"", J431&lt;&gt;VLOOKUP(K431, Criterios!$A$81:$B$120, 2, FALSE)), "División no coincide con Categoría", ""))), IF(OR(L431="", L431=""), "[Aviso] Género no capturado ()", IF(ISNA(MATCH(L431, Criterios!$B$123:$B$127, 0)), "Género no válido", "")), IF(OR(N431="", N431=""), "[Aviso] Temporada no capturada ()", IF(ISNA(MATCH(N431, Criterios!$C$123:$C$128, 0)), "Temporada no válida", "")), IF(OR(O431="", O431=""), "[Aviso] Ciclo de vida no capturado ()", IF(ISNA(MATCH(O431, Criterios!$D$123:$D$124, 0)), "Ciclo de vida no válido", ""))))</f>
        <v/>
      </c>
      <c r="AC431" s="56" t="n"/>
      <c r="AD431" s="51" t="n"/>
      <c r="AE431" s="156" t="n"/>
      <c r="AF431" s="51" t="n"/>
      <c r="AG431" s="156" t="inlineStr">
        <is>
          <t>Nuevo – Carga Hoja2 01/10/2026</t>
        </is>
      </c>
      <c r="AH431" s="156" t="inlineStr">
        <is>
          <t>Alta 01/10/2026 desde Hoja2 (fila 230)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31" s="156" t="n"/>
      <c r="AJ431" s="156" t="n"/>
      <c r="AK431" s="155" t="inlineStr">
        <is>
          <t>Hoja2: fila 230 | Odoo: producto 27302 / plantilla 34002</t>
        </is>
      </c>
      <c r="AL431" s="58" t="n"/>
      <c r="AM431" s="58" t="n"/>
      <c r="AN431" s="155" t="inlineStr">
        <is>
          <t>Odoo Universal Unique Brands</t>
        </is>
      </c>
      <c r="AO431" s="59" t="n"/>
      <c r="AP431" s="59" t="n"/>
      <c r="AQ431" s="59" t="n">
        <v>0</v>
      </c>
      <c r="AR431" s="155" t="n"/>
    </row>
    <row r="432">
      <c r="A432" s="50" t="inlineStr">
        <is>
          <t>717019742905</t>
        </is>
      </c>
      <c r="B432" s="51" t="inlineStr">
        <is>
          <t>27304</t>
        </is>
      </c>
      <c r="C432" s="156" t="inlineStr">
        <is>
          <t>Wrangler</t>
        </is>
      </c>
      <c r="D432" s="156" t="inlineStr">
        <is>
          <t>WG174-9115BK</t>
        </is>
      </c>
      <c r="E432" s="156" t="inlineStr">
        <is>
          <t>WG174-9115BK</t>
        </is>
      </c>
      <c r="F432" s="156" t="inlineStr">
        <is>
          <t>Talla única</t>
        </is>
      </c>
      <c r="G432" s="156" t="inlineStr">
        <is>
          <t>One Size</t>
        </is>
      </c>
      <c r="H432" s="156" t="inlineStr">
        <is>
          <t>Wrangler</t>
        </is>
      </c>
      <c r="I432" s="156" t="inlineStr">
        <is>
          <t>Mochila Wrangler Tejida Suroeste Negro</t>
        </is>
      </c>
      <c r="J432" s="156" t="inlineStr">
        <is>
          <t>Accesorios</t>
        </is>
      </c>
      <c r="K432" s="156" t="inlineStr">
        <is>
          <t>Mochilas</t>
        </is>
      </c>
      <c r="L432" s="156" t="inlineStr">
        <is>
          <t>Unisex</t>
        </is>
      </c>
      <c r="M432" s="156" t="inlineStr">
        <is>
          <t>Wrangler</t>
        </is>
      </c>
      <c r="N432" s="156" t="n"/>
      <c r="O432" s="156" t="inlineStr">
        <is>
          <t>Core</t>
        </is>
      </c>
      <c r="P432" s="156" t="inlineStr">
        <is>
          <t>Negro</t>
        </is>
      </c>
      <c r="Q432" s="156" t="n"/>
      <c r="R432" s="156" t="n"/>
      <c r="S432" s="156" t="n"/>
      <c r="T432" s="156" t="inlineStr">
        <is>
          <t>Mochila Wrangler. Modelo: Tejida Suroeste. Color: Negro. Talla única. Unisex. Referencia: WG174-9115BK.</t>
        </is>
      </c>
      <c r="U432" s="156" t="n"/>
      <c r="V432" s="156" t="inlineStr">
        <is>
          <t>PZS</t>
        </is>
      </c>
      <c r="W432" s="51" t="inlineStr">
        <is>
          <t>53121601</t>
        </is>
      </c>
      <c r="X432" s="156" t="inlineStr">
        <is>
          <t>https://cdn.shopify.com/s/files/1/0005/9015/1741/files/WG174-9115BK.webp?v=1787755673</t>
        </is>
      </c>
      <c r="Y432" s="54" t="n">
        <v>517.5</v>
      </c>
      <c r="Z432" s="54" t="n">
        <v>849</v>
      </c>
      <c r="AA432" s="55">
        <f>IF(AND(A432="", B432="", E432=""), "", IF(AB432="", "Válido", IF((LEN(AB432)-LEN(SUBSTITUTE(AB432,"; ","")))/2+1&gt;(LEN(AB432)-LEN(SUBSTITUTE(AB432,"[Aviso]","")))/7, "Con Incidencias", "Válido")))</f>
        <v/>
      </c>
      <c r="AB432" s="56">
        <f>IF(AND(A432="", B432="", E432=""), "", TEXTJOIN("; ", TRUE, IF(OR(TRIM(A432&amp;"")="", ISNUMBER(SEARCH("FALTA", A432))), "UPC faltante/inválido", ""), IF(AND(A432&lt;&gt;"", IFERROR(_xlfn.XMATCH(A432,$A$2:$A$1063,0,1)&lt;&gt;_xlfn.XMATCH(A432,$A$2:$A$1063,0,-1),FALSE)), "Código de barras duplicado", ""), IF(AND(E432&lt;&gt;"", COUNTIF($E$2:$E$1063, E432)&gt;1), "SKU duplicado", ""), IF(OR(J432="", J432=""), "[Aviso] División no capturada ()", IF(ISNA(MATCH(J432, Criterios!$A$123:$A$126, 0)), "División no válida", "")), IF(OR(K432="", K432=""), "[Aviso] Categoría no capturada ()", IF(ISNA(MATCH(K432, Criterios!$A$81:$A$120, 0)), "Categoría no válida", IF(AND(J432&lt;&gt;"", J432&lt;&gt;"", J432&lt;&gt;VLOOKUP(K432, Criterios!$A$81:$B$120, 2, FALSE)), "División no coincide con Categoría", ""))), IF(OR(L432="", L432=""), "[Aviso] Género no capturado ()", IF(ISNA(MATCH(L432, Criterios!$B$123:$B$127, 0)), "Género no válido", "")), IF(OR(N432="", N432=""), "[Aviso] Temporada no capturada ()", IF(ISNA(MATCH(N432, Criterios!$C$123:$C$128, 0)), "Temporada no válida", "")), IF(OR(O432="", O432=""), "[Aviso] Ciclo de vida no capturado ()", IF(ISNA(MATCH(O432, Criterios!$D$123:$D$124, 0)), "Ciclo de vida no válido", ""))))</f>
        <v/>
      </c>
      <c r="AC432" s="56" t="n"/>
      <c r="AD432" s="51" t="n"/>
      <c r="AE432" s="156" t="n"/>
      <c r="AF432" s="51" t="n"/>
      <c r="AG432" s="156" t="inlineStr">
        <is>
          <t>Nuevo – Carga Hoja2 01/10/2026</t>
        </is>
      </c>
      <c r="AH432" s="156" t="inlineStr">
        <is>
          <t>Alta 01/10/2026 desde Hoja2 (fila 231) | 01/10/2026: Odoo Universal Unique Brands trae Marca «Montana West» — se conservó el valor de Productos | Homologación G1522 06/10/2026: Enlace de imagen: «» → «https://cdn.shopify.com/s/files/1/0005/9015/1741/files/WG174-9115BK.webp?v=1787755673» (Completado por investigación en línea) · Validador Shopify: WB: precio con IVA no termina en 9</t>
        </is>
      </c>
      <c r="AI432" s="156" t="n"/>
      <c r="AJ432" s="156" t="n"/>
      <c r="AK432" s="155" t="inlineStr">
        <is>
          <t>Hoja2: fila 231 | Odoo: producto 27304 / plantilla 34004 | Investigación en línea 06/10/2026: https://montanawestworld.com/products/wrangler-aztec-knitted-backpack</t>
        </is>
      </c>
      <c r="AL432" s="58" t="n"/>
      <c r="AM432" s="58" t="n"/>
      <c r="AN432" s="155" t="inlineStr">
        <is>
          <t>Odoo Universal Unique Brands</t>
        </is>
      </c>
      <c r="AO432" s="59" t="n"/>
      <c r="AP432" s="59" t="n"/>
      <c r="AQ432" s="59" t="n">
        <v>0</v>
      </c>
      <c r="AR432" s="155" t="n"/>
    </row>
    <row r="433">
      <c r="A433" s="50" t="inlineStr">
        <is>
          <t>717019742967</t>
        </is>
      </c>
      <c r="B433" s="51" t="inlineStr">
        <is>
          <t>27305</t>
        </is>
      </c>
      <c r="C433" s="156" t="inlineStr">
        <is>
          <t>Wrangler</t>
        </is>
      </c>
      <c r="D433" s="156" t="inlineStr">
        <is>
          <t>WG174-9115JN</t>
        </is>
      </c>
      <c r="E433" s="156" t="inlineStr">
        <is>
          <t>WG174-9115JN</t>
        </is>
      </c>
      <c r="F433" s="156" t="inlineStr">
        <is>
          <t>Talla única</t>
        </is>
      </c>
      <c r="G433" s="156" t="inlineStr">
        <is>
          <t>One Size</t>
        </is>
      </c>
      <c r="H433" s="156" t="inlineStr">
        <is>
          <t>Wrangler</t>
        </is>
      </c>
      <c r="I433" s="156" t="inlineStr">
        <is>
          <t>Mochila Wrangler Tejida Suroeste Mezclilla</t>
        </is>
      </c>
      <c r="J433" s="156" t="inlineStr">
        <is>
          <t>Accesorios</t>
        </is>
      </c>
      <c r="K433" s="156" t="inlineStr">
        <is>
          <t>Mochilas</t>
        </is>
      </c>
      <c r="L433" s="156" t="inlineStr">
        <is>
          <t>Unisex</t>
        </is>
      </c>
      <c r="M433" s="156" t="inlineStr">
        <is>
          <t>Wrangler</t>
        </is>
      </c>
      <c r="N433" s="156" t="n"/>
      <c r="O433" s="156" t="inlineStr">
        <is>
          <t>Core</t>
        </is>
      </c>
      <c r="P433" s="156" t="inlineStr">
        <is>
          <t>Varios</t>
        </is>
      </c>
      <c r="Q433" s="156" t="n"/>
      <c r="R433" s="156" t="n"/>
      <c r="S433" s="156" t="n"/>
      <c r="T433" s="156" t="inlineStr">
        <is>
          <t>Mochila Wrangler. Modelo: Tejida Suroeste. Color: Mezclilla. Talla única. Unisex. Referencia: WG174-9115JN.</t>
        </is>
      </c>
      <c r="U433" s="156" t="n"/>
      <c r="V433" s="156" t="inlineStr">
        <is>
          <t>PZS</t>
        </is>
      </c>
      <c r="W433" s="51" t="inlineStr">
        <is>
          <t>53121601</t>
        </is>
      </c>
      <c r="X433" s="156" t="n"/>
      <c r="Y433" s="54" t="n">
        <v>517.5</v>
      </c>
      <c r="Z433" s="54" t="n">
        <v>849</v>
      </c>
      <c r="AA433" s="55">
        <f>IF(AND(A433="", B433="", E433=""), "", IF(AB433="", "Válido", IF((LEN(AB433)-LEN(SUBSTITUTE(AB433,"; ","")))/2+1&gt;(LEN(AB433)-LEN(SUBSTITUTE(AB433,"[Aviso]","")))/7, "Con Incidencias", "Válido")))</f>
        <v/>
      </c>
      <c r="AB433" s="56">
        <f>IF(AND(A433="", B433="", E433=""), "", TEXTJOIN("; ", TRUE, IF(OR(TRIM(A433&amp;"")="", ISNUMBER(SEARCH("FALTA", A433))), "UPC faltante/inválido", ""), IF(AND(A433&lt;&gt;"", IFERROR(_xlfn.XMATCH(A433,$A$2:$A$1063,0,1)&lt;&gt;_xlfn.XMATCH(A433,$A$2:$A$1063,0,-1),FALSE)), "Código de barras duplicado", ""), IF(AND(E433&lt;&gt;"", COUNTIF($E$2:$E$1063, E433)&gt;1), "SKU duplicado", ""), IF(OR(J433="", J433=""), "[Aviso] División no capturada ()", IF(ISNA(MATCH(J433, Criterios!$A$123:$A$126, 0)), "División no válida", "")), IF(OR(K433="", K433=""), "[Aviso] Categoría no capturada ()", IF(ISNA(MATCH(K433, Criterios!$A$81:$A$120, 0)), "Categoría no válida", IF(AND(J433&lt;&gt;"", J433&lt;&gt;"", J433&lt;&gt;VLOOKUP(K433, Criterios!$A$81:$B$120, 2, FALSE)), "División no coincide con Categoría", ""))), IF(OR(L433="", L433=""), "[Aviso] Género no capturado ()", IF(ISNA(MATCH(L433, Criterios!$B$123:$B$127, 0)), "Género no válido", "")), IF(OR(N433="", N433=""), "[Aviso] Temporada no capturada ()", IF(ISNA(MATCH(N433, Criterios!$C$123:$C$128, 0)), "Temporada no válida", "")), IF(OR(O433="", O433=""), "[Aviso] Ciclo de vida no capturado ()", IF(ISNA(MATCH(O433, Criterios!$D$123:$D$124, 0)), "Ciclo de vida no válido", ""))))</f>
        <v/>
      </c>
      <c r="AC433" s="56" t="n"/>
      <c r="AD433" s="51" t="n"/>
      <c r="AE433" s="156" t="n"/>
      <c r="AF433" s="51" t="n"/>
      <c r="AG433" s="156" t="inlineStr">
        <is>
          <t>Nuevo – Carga Hoja2 01/10/2026</t>
        </is>
      </c>
      <c r="AH433" s="156" t="inlineStr">
        <is>
          <t>Alta 01/10/2026 desde Hoja2 (fila 232) | 01/10/2026: Odoo Universal Unique Brands trae Marca «Montana West» — se conservó el valor de Productos | Homologación G1522 06/10/2026: Validador Shopify: WB: precio con IVA no termina en 9</t>
        </is>
      </c>
      <c r="AI433" s="156" t="n"/>
      <c r="AJ433" s="156" t="n"/>
      <c r="AK433" s="155" t="inlineStr">
        <is>
          <t>Hoja2: fila 232 | Odoo: producto 27305 / plantilla 34005</t>
        </is>
      </c>
      <c r="AL433" s="58" t="n"/>
      <c r="AM433" s="58" t="n"/>
      <c r="AN433" s="155" t="inlineStr">
        <is>
          <t>Odoo Universal Unique Brands</t>
        </is>
      </c>
      <c r="AO433" s="59" t="n"/>
      <c r="AP433" s="59" t="n"/>
      <c r="AQ433" s="59" t="n">
        <v>6</v>
      </c>
      <c r="AR433" s="155" t="inlineStr">
        <is>
          <t>Odoo Universal Unique Brands › Bodega 25 › Bodega 25/General: 6</t>
        </is>
      </c>
    </row>
    <row r="434">
      <c r="A434" s="50" t="inlineStr">
        <is>
          <t>717690431730</t>
        </is>
      </c>
      <c r="B434" s="51" t="inlineStr">
        <is>
          <t>27306</t>
        </is>
      </c>
      <c r="C434" s="156" t="inlineStr">
        <is>
          <t>Wrangler</t>
        </is>
      </c>
      <c r="D434" s="156" t="inlineStr">
        <is>
          <t>WG174-W006JN</t>
        </is>
      </c>
      <c r="E434" s="156" t="inlineStr">
        <is>
          <t>WG174-W006JN</t>
        </is>
      </c>
      <c r="F434" s="156" t="inlineStr">
        <is>
          <t>Talla única</t>
        </is>
      </c>
      <c r="G434" s="156" t="inlineStr">
        <is>
          <t>One Size</t>
        </is>
      </c>
      <c r="H434" s="156" t="inlineStr">
        <is>
          <t>Wrangler</t>
        </is>
      </c>
      <c r="I434" s="156" t="inlineStr">
        <is>
          <t>Cartera Muñequera Wrangler Tejida Suroeste Hot Pink Mezclilla</t>
        </is>
      </c>
      <c r="J434" s="156" t="inlineStr">
        <is>
          <t>Accesorios</t>
        </is>
      </c>
      <c r="K434" s="156" t="inlineStr">
        <is>
          <t>Carteras</t>
        </is>
      </c>
      <c r="L434" s="156" t="inlineStr">
        <is>
          <t>Unisex</t>
        </is>
      </c>
      <c r="M434" s="156" t="inlineStr">
        <is>
          <t>Wrangler</t>
        </is>
      </c>
      <c r="N434" s="156" t="n"/>
      <c r="O434" s="156" t="inlineStr">
        <is>
          <t>Core</t>
        </is>
      </c>
      <c r="P434" s="156" t="inlineStr">
        <is>
          <t>Varios</t>
        </is>
      </c>
      <c r="Q434" s="156" t="n"/>
      <c r="R434" s="156" t="n"/>
      <c r="S434" s="156" t="n"/>
      <c r="T434" s="156" t="inlineStr">
        <is>
          <t>Cartera Muñequera Wrangler. Modelo: Tejida Suroeste Hot Pink. Color: Mezclilla. Talla única. Unisex. Referencia: WG174-W006JN.</t>
        </is>
      </c>
      <c r="U434" s="156" t="n"/>
      <c r="V434" s="156" t="inlineStr">
        <is>
          <t>PZS</t>
        </is>
      </c>
      <c r="W434" s="51" t="inlineStr">
        <is>
          <t>53121700</t>
        </is>
      </c>
      <c r="X434" s="156" t="inlineStr">
        <is>
          <t>https://cdn.shopify.com/s/files/1/0005/9015/1741/files/WG174-W006JN3.webp?v=1760585419</t>
        </is>
      </c>
      <c r="Y434" s="54" t="n">
        <v>276</v>
      </c>
      <c r="Z434" s="54" t="n">
        <v>449</v>
      </c>
      <c r="AA434" s="55">
        <f>IF(AND(A434="", B434="", E434=""), "", IF(AB434="", "Válido", IF((LEN(AB434)-LEN(SUBSTITUTE(AB434,"; ","")))/2+1&gt;(LEN(AB434)-LEN(SUBSTITUTE(AB434,"[Aviso]","")))/7, "Con Incidencias", "Válido")))</f>
        <v/>
      </c>
      <c r="AB434" s="56">
        <f>IF(AND(A434="", B434="", E434=""), "", TEXTJOIN("; ", TRUE, IF(OR(TRIM(A434&amp;"")="", ISNUMBER(SEARCH("FALTA", A434))), "UPC faltante/inválido", ""), IF(AND(A434&lt;&gt;"", IFERROR(_xlfn.XMATCH(A434,$A$2:$A$1063,0,1)&lt;&gt;_xlfn.XMATCH(A434,$A$2:$A$1063,0,-1),FALSE)), "Código de barras duplicado", ""), IF(AND(E434&lt;&gt;"", COUNTIF($E$2:$E$1063, E434)&gt;1), "SKU duplicado", ""), IF(OR(J434="", J434=""), "[Aviso] División no capturada ()", IF(ISNA(MATCH(J434, Criterios!$A$123:$A$126, 0)), "División no válida", "")), IF(OR(K434="", K434=""), "[Aviso] Categoría no capturada ()", IF(ISNA(MATCH(K434, Criterios!$A$81:$A$120, 0)), "Categoría no válida", IF(AND(J434&lt;&gt;"", J434&lt;&gt;"", J434&lt;&gt;VLOOKUP(K434, Criterios!$A$81:$B$120, 2, FALSE)), "División no coincide con Categoría", ""))), IF(OR(L434="", L434=""), "[Aviso] Género no capturado ()", IF(ISNA(MATCH(L434, Criterios!$B$123:$B$127, 0)), "Género no válido", "")), IF(OR(N434="", N434=""), "[Aviso] Temporada no capturada ()", IF(ISNA(MATCH(N434, Criterios!$C$123:$C$128, 0)), "Temporada no válida", "")), IF(OR(O434="", O434=""), "[Aviso] Ciclo de vida no capturado ()", IF(ISNA(MATCH(O434, Criterios!$D$123:$D$124, 0)), "Ciclo de vida no válido", ""))))</f>
        <v/>
      </c>
      <c r="AC434" s="56" t="n"/>
      <c r="AD434" s="51" t="n"/>
      <c r="AE434" s="156" t="n"/>
      <c r="AF434" s="51" t="n"/>
      <c r="AG434" s="156" t="inlineStr">
        <is>
          <t>Nuevo – Carga Hoja2 01/10/2026</t>
        </is>
      </c>
      <c r="AH434" s="156" t="inlineStr">
        <is>
          <t>Alta 01/10/2026 desde Hoja2 (fila 233) | 01/10/2026: Odoo Universal Unique Brands trae Marca «Montana West» — se conservó el valor de Productos | Homologación G1522 06/10/2026: Enlace de imagen: «» → «https://cdn.shopify.com/s/files/1/0005/9015/1741/files/WG174-W006JN3.webp?v=1760585419» (Completado por investigación en línea) · Validador Shopify: WB: precio con IVA no termina en 9</t>
        </is>
      </c>
      <c r="AI434" s="156" t="n"/>
      <c r="AJ434" s="156" t="n"/>
      <c r="AK434" s="155" t="inlineStr">
        <is>
          <t>Hoja2: fila 233 | Odoo: producto 27306 / plantilla 34006 | Investigación en línea 06/10/2026: https://montanawestworld.com/products/wrangler-aztec-knitted-wristlet-wallet</t>
        </is>
      </c>
      <c r="AL434" s="58" t="n"/>
      <c r="AM434" s="58" t="n"/>
      <c r="AN434" s="155" t="inlineStr">
        <is>
          <t>Odoo Universal Unique Brands</t>
        </is>
      </c>
      <c r="AO434" s="59" t="n"/>
      <c r="AP434" s="59" t="n"/>
      <c r="AQ434" s="59" t="n">
        <v>2</v>
      </c>
      <c r="AR434" s="155" t="inlineStr">
        <is>
          <t>Odoo Universal Unique Brands › Bodega 25 › Bodega 25/General: 2</t>
        </is>
      </c>
    </row>
    <row r="435">
      <c r="A435" s="50" t="n"/>
      <c r="B435" s="51" t="inlineStr">
        <is>
          <t>27307</t>
        </is>
      </c>
      <c r="C435" s="156" t="inlineStr">
        <is>
          <t>Montana West</t>
        </is>
      </c>
      <c r="D435" s="156" t="inlineStr">
        <is>
          <t>WG183-8312BK</t>
        </is>
      </c>
      <c r="E435" s="156" t="inlineStr">
        <is>
          <t>WG183-8312BK</t>
        </is>
      </c>
      <c r="F435" s="156" t="inlineStr">
        <is>
          <t>Talla única</t>
        </is>
      </c>
      <c r="G435" s="156" t="inlineStr">
        <is>
          <t>One Size</t>
        </is>
      </c>
      <c r="H435" s="156" t="inlineStr">
        <is>
          <t>Montana West</t>
        </is>
      </c>
      <c r="I435" s="156" t="inlineStr">
        <is>
          <t>Bolsa Hobo Cruzada Wrangler Trenzada Whipstitch Con Correa Trenzada Negro</t>
        </is>
      </c>
      <c r="J435" s="156" t="inlineStr">
        <is>
          <t>Accesorios</t>
        </is>
      </c>
      <c r="K435" s="156" t="inlineStr">
        <is>
          <t>Bolsos</t>
        </is>
      </c>
      <c r="L435" s="156" t="inlineStr">
        <is>
          <t>Unisex</t>
        </is>
      </c>
      <c r="M435" s="156" t="inlineStr">
        <is>
          <t>Wrangler</t>
        </is>
      </c>
      <c r="N435" s="156" t="n"/>
      <c r="O435" s="156" t="n"/>
      <c r="P435" s="156" t="inlineStr">
        <is>
          <t>Negro</t>
        </is>
      </c>
      <c r="Q435" s="156" t="n"/>
      <c r="R435" s="156" t="n"/>
      <c r="S435" s="156" t="n"/>
      <c r="T435" s="156" t="inlineStr">
        <is>
          <t>Bolsa Hobo Cruzada</t>
        </is>
      </c>
      <c r="U435" s="156" t="inlineStr">
        <is>
          <t>México</t>
        </is>
      </c>
      <c r="V435" s="156" t="inlineStr">
        <is>
          <t>PZS</t>
        </is>
      </c>
      <c r="W435" s="51" t="inlineStr">
        <is>
          <t>53121601</t>
        </is>
      </c>
      <c r="X435" s="156" t="n"/>
      <c r="Y435" s="54" t="n">
        <v>345</v>
      </c>
      <c r="Z435" s="54" t="n">
        <v>599</v>
      </c>
      <c r="AA435" s="55">
        <f>IF(AND(A435="", B435="", E435=""), "", IF(AB435="", "Válido", IF((LEN(AB435)-LEN(SUBSTITUTE(AB435,"; ","")))/2+1&gt;(LEN(AB435)-LEN(SUBSTITUTE(AB435,"[Aviso]","")))/7, "Con Incidencias", "Válido")))</f>
        <v/>
      </c>
      <c r="AB435" s="56">
        <f>IF(AND(A435="", B435="", E435=""), "", TEXTJOIN("; ", TRUE, IF(OR(TRIM(A435&amp;"")="", ISNUMBER(SEARCH("FALTA", A435))), "UPC faltante/inválido", ""), IF(AND(A435&lt;&gt;"", IFERROR(_xlfn.XMATCH(A435,$A$2:$A$1063,0,1)&lt;&gt;_xlfn.XMATCH(A435,$A$2:$A$1063,0,-1),FALSE)), "Código de barras duplicado", ""), IF(AND(E435&lt;&gt;"", COUNTIF($E$2:$E$1063, E435)&gt;1), "SKU duplicado", ""), IF(OR(J435="", J435=""), "[Aviso] División no capturada ()", IF(ISNA(MATCH(J435, Criterios!$A$123:$A$126, 0)), "División no válida", "")), IF(OR(K435="", K435=""), "[Aviso] Categoría no capturada ()", IF(ISNA(MATCH(K435, Criterios!$A$81:$A$120, 0)), "Categoría no válida", IF(AND(J435&lt;&gt;"", J435&lt;&gt;"", J435&lt;&gt;VLOOKUP(K435, Criterios!$A$81:$B$120, 2, FALSE)), "División no coincide con Categoría", ""))), IF(OR(L435="", L435=""), "[Aviso] Género no capturado ()", IF(ISNA(MATCH(L435, Criterios!$B$123:$B$127, 0)), "Género no válido", "")), IF(OR(N435="", N435=""), "[Aviso] Temporada no capturada ()", IF(ISNA(MATCH(N435, Criterios!$C$123:$C$128, 0)), "Temporada no válida", "")), IF(OR(O435="", O435=""), "[Aviso] Ciclo de vida no capturado ()", IF(ISNA(MATCH(O435, Criterios!$D$123:$D$124, 0)), "Ciclo de vida no válido", ""))))</f>
        <v/>
      </c>
      <c r="AC435" s="56" t="n"/>
      <c r="AD435" s="51" t="n"/>
      <c r="AE435" s="156" t="n"/>
      <c r="AF435" s="51" t="n"/>
      <c r="AG435" s="156" t="inlineStr">
        <is>
          <t>Nuevo – Carga Hoja2 01/10/2026</t>
        </is>
      </c>
      <c r="AH435" s="156" t="inlineStr">
        <is>
          <t>Alta 01/10/2026 desde Hoja2 (fila 234) | 01/10/2026: complementado desde Odoo Universal Unique Brands (match por SKU): WB N.º de estilo, WB Talla, WB Talla de EE. UU., WB Descripcion (antes «WG BAG»), WB Género, WB Licencia, WB Color, WB Descripción larga, WB País de origen | 01/10/2026: Odoo Universal Unique Brands trae Marca «Wrangler» — se conservó el valor de Productos | Homologación G1522 06/10/2026: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35" s="156" t="n"/>
      <c r="AJ435" s="156" t="n"/>
      <c r="AK435" s="155" t="inlineStr">
        <is>
          <t>Hoja2: fila 234 | Odoo: producto 11888 / plantilla 15323 | Odoo: producto 27307 / plantilla 34007</t>
        </is>
      </c>
      <c r="AL435" s="58" t="n"/>
      <c r="AM435" s="58" t="n"/>
      <c r="AN435" s="155" t="inlineStr">
        <is>
          <t>Odoo Universal Unique Brands</t>
        </is>
      </c>
      <c r="AO435" s="59" t="n"/>
      <c r="AP435" s="59" t="n"/>
      <c r="AQ435" s="59" t="n">
        <v>38</v>
      </c>
      <c r="AR435" s="155" t="inlineStr">
        <is>
          <t>Odoo Universal Unique Brands › Bodega 25 › Bodega 25/General: 23 | Odoo Universal Unique Brands › Bodega 25 › Bodega 25/General: 15</t>
        </is>
      </c>
    </row>
    <row r="436">
      <c r="A436" s="50" t="n"/>
      <c r="B436" s="51" t="inlineStr">
        <is>
          <t>27308</t>
        </is>
      </c>
      <c r="C436" s="156" t="inlineStr">
        <is>
          <t>Montana West</t>
        </is>
      </c>
      <c r="D436" s="156" t="inlineStr">
        <is>
          <t>WG183-8312BR</t>
        </is>
      </c>
      <c r="E436" s="156" t="inlineStr">
        <is>
          <t>WG183-8312BR</t>
        </is>
      </c>
      <c r="F436" s="156" t="inlineStr">
        <is>
          <t>Talla única</t>
        </is>
      </c>
      <c r="G436" s="156" t="inlineStr">
        <is>
          <t>One Size</t>
        </is>
      </c>
      <c r="H436" s="156" t="inlineStr">
        <is>
          <t>Montana West</t>
        </is>
      </c>
      <c r="I436" s="156" t="inlineStr">
        <is>
          <t>Bolsa Hobo Cruzada Wrangler Trenzada Whipstitch Con Correa Trenzada Café</t>
        </is>
      </c>
      <c r="J436" s="156" t="inlineStr">
        <is>
          <t>Accesorios</t>
        </is>
      </c>
      <c r="K436" s="156" t="inlineStr">
        <is>
          <t>Bolsos</t>
        </is>
      </c>
      <c r="L436" s="156" t="inlineStr">
        <is>
          <t>Unisex</t>
        </is>
      </c>
      <c r="M436" s="156" t="inlineStr">
        <is>
          <t>Wrangler</t>
        </is>
      </c>
      <c r="N436" s="156" t="n"/>
      <c r="O436" s="156" t="n"/>
      <c r="P436" s="156" t="inlineStr">
        <is>
          <t>Cafe</t>
        </is>
      </c>
      <c r="Q436" s="156" t="n"/>
      <c r="R436" s="156" t="n"/>
      <c r="S436" s="156" t="n"/>
      <c r="T436" s="156" t="inlineStr">
        <is>
          <t>Bolsa Hobo Cruzada</t>
        </is>
      </c>
      <c r="U436" s="156" t="inlineStr">
        <is>
          <t>México</t>
        </is>
      </c>
      <c r="V436" s="156" t="inlineStr">
        <is>
          <t>PZS</t>
        </is>
      </c>
      <c r="W436" s="51" t="inlineStr">
        <is>
          <t>53121601</t>
        </is>
      </c>
      <c r="X436" s="156" t="inlineStr">
        <is>
          <t>https://cdn.shopify.com/s/files/1/0005/9015/1741/files/WG183-8312BR1.webp?v=1735636749</t>
        </is>
      </c>
      <c r="Y436" s="54" t="n">
        <v>345</v>
      </c>
      <c r="Z436" s="54" t="n">
        <v>599</v>
      </c>
      <c r="AA436" s="55">
        <f>IF(AND(A436="", B436="", E436=""), "", IF(AB436="", "Válido", IF((LEN(AB436)-LEN(SUBSTITUTE(AB436,"; ","")))/2+1&gt;(LEN(AB436)-LEN(SUBSTITUTE(AB436,"[Aviso]","")))/7, "Con Incidencias", "Válido")))</f>
        <v/>
      </c>
      <c r="AB436" s="56">
        <f>IF(AND(A436="", B436="", E436=""), "", TEXTJOIN("; ", TRUE, IF(OR(TRIM(A436&amp;"")="", ISNUMBER(SEARCH("FALTA", A436))), "UPC faltante/inválido", ""), IF(AND(A436&lt;&gt;"", IFERROR(_xlfn.XMATCH(A436,$A$2:$A$1063,0,1)&lt;&gt;_xlfn.XMATCH(A436,$A$2:$A$1063,0,-1),FALSE)), "Código de barras duplicado", ""), IF(AND(E436&lt;&gt;"", COUNTIF($E$2:$E$1063, E436)&gt;1), "SKU duplicado", ""), IF(OR(J436="", J436=""), "[Aviso] División no capturada ()", IF(ISNA(MATCH(J436, Criterios!$A$123:$A$126, 0)), "División no válida", "")), IF(OR(K436="", K436=""), "[Aviso] Categoría no capturada ()", IF(ISNA(MATCH(K436, Criterios!$A$81:$A$120, 0)), "Categoría no válida", IF(AND(J436&lt;&gt;"", J436&lt;&gt;"", J436&lt;&gt;VLOOKUP(K436, Criterios!$A$81:$B$120, 2, FALSE)), "División no coincide con Categoría", ""))), IF(OR(L436="", L436=""), "[Aviso] Género no capturado ()", IF(ISNA(MATCH(L436, Criterios!$B$123:$B$127, 0)), "Género no válido", "")), IF(OR(N436="", N436=""), "[Aviso] Temporada no capturada ()", IF(ISNA(MATCH(N436, Criterios!$C$123:$C$128, 0)), "Temporada no válida", "")), IF(OR(O436="", O436=""), "[Aviso] Ciclo de vida no capturado ()", IF(ISNA(MATCH(O436, Criterios!$D$123:$D$124, 0)), "Ciclo de vida no válido", ""))))</f>
        <v/>
      </c>
      <c r="AC436" s="56" t="n"/>
      <c r="AD436" s="51" t="n"/>
      <c r="AE436" s="156" t="n"/>
      <c r="AF436" s="51" t="n"/>
      <c r="AG436" s="156" t="inlineStr">
        <is>
          <t>Nuevo – Carga Hoja2 01/10/2026</t>
        </is>
      </c>
      <c r="AH436" s="156" t="inlineStr">
        <is>
          <t>Alta 01/10/2026 desde Hoja2 (fila 235) | 01/10/2026: complementado desde Odoo Universal Unique Brands (match por SKU): WB N.º de estilo, WB Talla, WB Talla de EE. UU., WB Descripcion (antes «WG BAG»), WB Género, WB Licencia, WB Color, WB Descripción larga, WB País de origen | 01/10/2026: Odoo Universal Unique Brands trae Marca «Wrangler» — se conservó el valor de Productos | Homologación G1522 06/10/2026: Enlace de imagen: «» → «https://cdn.shopify.com/s/files/1/0005/9015/1741/files/WG183-8312BR1.webp?v=1735636749» (Completado por investigación en línea)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36" s="156" t="n"/>
      <c r="AJ436" s="156" t="n"/>
      <c r="AK436" s="155" t="inlineStr">
        <is>
          <t>Hoja2: fila 235 | Odoo: producto 11862 / plantilla 15297 | Odoo: producto 27308 / plantilla 34008 | Investigación en línea 06/10/2026: https://montanawestworld.com/products/wrangler-braided-crossbody-bag</t>
        </is>
      </c>
      <c r="AL436" s="58" t="n"/>
      <c r="AM436" s="58" t="n"/>
      <c r="AN436" s="155" t="inlineStr">
        <is>
          <t>Odoo Universal Unique Brands</t>
        </is>
      </c>
      <c r="AO436" s="59" t="n"/>
      <c r="AP436" s="59" t="n"/>
      <c r="AQ436" s="59" t="n">
        <v>34</v>
      </c>
      <c r="AR436" s="155" t="inlineStr">
        <is>
          <t>Odoo Universal Unique Brands › Bodega 25 › Bodega 25/General: 25 | Odoo Universal Unique Brands › Bodega 25 › Bodega 25/General: 9</t>
        </is>
      </c>
    </row>
    <row r="437">
      <c r="A437" s="50" t="inlineStr">
        <is>
          <t>717325207082</t>
        </is>
      </c>
      <c r="B437" s="51" t="inlineStr">
        <is>
          <t>27309</t>
        </is>
      </c>
      <c r="C437" s="156" t="inlineStr">
        <is>
          <t>Wrangler</t>
        </is>
      </c>
      <c r="D437" s="156" t="inlineStr">
        <is>
          <t>WG183-W048BK</t>
        </is>
      </c>
      <c r="E437" s="156" t="inlineStr">
        <is>
          <t>WG183-W048BK</t>
        </is>
      </c>
      <c r="F437" s="156" t="inlineStr">
        <is>
          <t>Talla única</t>
        </is>
      </c>
      <c r="G437" s="156" t="inlineStr">
        <is>
          <t>One Size</t>
        </is>
      </c>
      <c r="H437" s="156" t="inlineStr">
        <is>
          <t>Wrangler</t>
        </is>
      </c>
      <c r="I437" s="156" t="inlineStr">
        <is>
          <t>Cartera Muñequera Wrangler Trenzada Whipstitch Negro</t>
        </is>
      </c>
      <c r="J437" s="156" t="inlineStr">
        <is>
          <t>Accesorios</t>
        </is>
      </c>
      <c r="K437" s="156" t="inlineStr">
        <is>
          <t>Carteras</t>
        </is>
      </c>
      <c r="L437" s="156" t="inlineStr">
        <is>
          <t>Unisex</t>
        </is>
      </c>
      <c r="M437" s="156" t="inlineStr">
        <is>
          <t>Wrangler</t>
        </is>
      </c>
      <c r="N437" s="156" t="n"/>
      <c r="O437" s="156" t="inlineStr">
        <is>
          <t>Core</t>
        </is>
      </c>
      <c r="P437" s="156" t="inlineStr">
        <is>
          <t>Negro</t>
        </is>
      </c>
      <c r="Q437" s="156" t="n"/>
      <c r="R437" s="156" t="n"/>
      <c r="S437" s="156" t="n"/>
      <c r="T437" s="156" t="inlineStr">
        <is>
          <t>Cartera Muñequera Wrangler. Modelo: Trenzada Whipstitch. Color: Negro. Talla única. Unisex. Referencia: WG183-W048BK.</t>
        </is>
      </c>
      <c r="U437" s="156" t="n"/>
      <c r="V437" s="156" t="inlineStr">
        <is>
          <t>PZS</t>
        </is>
      </c>
      <c r="W437" s="51" t="inlineStr">
        <is>
          <t>53121700</t>
        </is>
      </c>
      <c r="X437" s="156" t="n"/>
      <c r="Y437" s="54" t="n">
        <v>258.75</v>
      </c>
      <c r="Z437" s="54" t="n">
        <v>449</v>
      </c>
      <c r="AA437" s="55">
        <f>IF(AND(A437="", B437="", E437=""), "", IF(AB437="", "Válido", IF((LEN(AB437)-LEN(SUBSTITUTE(AB437,"; ","")))/2+1&gt;(LEN(AB437)-LEN(SUBSTITUTE(AB437,"[Aviso]","")))/7, "Con Incidencias", "Válido")))</f>
        <v/>
      </c>
      <c r="AB437" s="56">
        <f>IF(AND(A437="", B437="", E437=""), "", TEXTJOIN("; ", TRUE, IF(OR(TRIM(A437&amp;"")="", ISNUMBER(SEARCH("FALTA", A437))), "UPC faltante/inválido", ""), IF(AND(A437&lt;&gt;"", IFERROR(_xlfn.XMATCH(A437,$A$2:$A$1063,0,1)&lt;&gt;_xlfn.XMATCH(A437,$A$2:$A$1063,0,-1),FALSE)), "Código de barras duplicado", ""), IF(AND(E437&lt;&gt;"", COUNTIF($E$2:$E$1063, E437)&gt;1), "SKU duplicado", ""), IF(OR(J437="", J437=""), "[Aviso] División no capturada ()", IF(ISNA(MATCH(J437, Criterios!$A$123:$A$126, 0)), "División no válida", "")), IF(OR(K437="", K437=""), "[Aviso] Categoría no capturada ()", IF(ISNA(MATCH(K437, Criterios!$A$81:$A$120, 0)), "Categoría no válida", IF(AND(J437&lt;&gt;"", J437&lt;&gt;"", J437&lt;&gt;VLOOKUP(K437, Criterios!$A$81:$B$120, 2, FALSE)), "División no coincide con Categoría", ""))), IF(OR(L437="", L437=""), "[Aviso] Género no capturado ()", IF(ISNA(MATCH(L437, Criterios!$B$123:$B$127, 0)), "Género no válido", "")), IF(OR(N437="", N437=""), "[Aviso] Temporada no capturada ()", IF(ISNA(MATCH(N437, Criterios!$C$123:$C$128, 0)), "Temporada no válida", "")), IF(OR(O437="", O437=""), "[Aviso] Ciclo de vida no capturado ()", IF(ISNA(MATCH(O437, Criterios!$D$123:$D$124, 0)), "Ciclo de vida no válido", ""))))</f>
        <v/>
      </c>
      <c r="AC437" s="56" t="n"/>
      <c r="AD437" s="51" t="n"/>
      <c r="AE437" s="156" t="n"/>
      <c r="AF437" s="51" t="n"/>
      <c r="AG437" s="156" t="inlineStr">
        <is>
          <t>Nuevo – Carga Hoja2 01/10/2026</t>
        </is>
      </c>
      <c r="AH437" s="156" t="inlineStr">
        <is>
          <t>Alta 01/10/2026 desde Hoja2 (fila 236) | 01/10/2026: Odoo Universal Unique Brands trae Marca «Montana West» — se conservó el valor de Productos | Homologación G1522 06/10/2026: Validador Shopify: WB: precio con IVA no termina en 9</t>
        </is>
      </c>
      <c r="AI437" s="156" t="n"/>
      <c r="AJ437" s="156" t="n"/>
      <c r="AK437" s="155" t="inlineStr">
        <is>
          <t>Hoja2: fila 236 | Odoo: producto 27309 / plantilla 34009</t>
        </is>
      </c>
      <c r="AL437" s="58" t="n"/>
      <c r="AM437" s="58" t="n"/>
      <c r="AN437" s="155" t="inlineStr">
        <is>
          <t>Odoo Universal Unique Brands</t>
        </is>
      </c>
      <c r="AO437" s="59" t="n"/>
      <c r="AP437" s="59" t="n"/>
      <c r="AQ437" s="59" t="n">
        <v>3</v>
      </c>
      <c r="AR437" s="155" t="inlineStr">
        <is>
          <t>Odoo Universal Unique Brands › Bodega 25 › Bodega 25/General: 3</t>
        </is>
      </c>
    </row>
    <row r="438">
      <c r="A438" s="50" t="inlineStr">
        <is>
          <t>717325211317</t>
        </is>
      </c>
      <c r="B438" s="51" t="inlineStr">
        <is>
          <t>27311</t>
        </is>
      </c>
      <c r="C438" s="156" t="inlineStr">
        <is>
          <t>Wrangler</t>
        </is>
      </c>
      <c r="D438" s="156" t="inlineStr">
        <is>
          <t>WG184-W049BG</t>
        </is>
      </c>
      <c r="E438" s="156" t="inlineStr">
        <is>
          <t>WG184-W049BG</t>
        </is>
      </c>
      <c r="F438" s="156" t="inlineStr">
        <is>
          <t>Talla única</t>
        </is>
      </c>
      <c r="G438" s="156" t="inlineStr">
        <is>
          <t>One Size</t>
        </is>
      </c>
      <c r="H438" s="156" t="inlineStr">
        <is>
          <t>Wrangler</t>
        </is>
      </c>
      <c r="I438" s="156" t="inlineStr">
        <is>
          <t>Cartera Wrangler Beige</t>
        </is>
      </c>
      <c r="J438" s="156" t="inlineStr">
        <is>
          <t>Accesorios</t>
        </is>
      </c>
      <c r="K438" s="156" t="inlineStr">
        <is>
          <t>Carteras</t>
        </is>
      </c>
      <c r="L438" s="156" t="inlineStr">
        <is>
          <t>Unisex</t>
        </is>
      </c>
      <c r="M438" s="156" t="inlineStr">
        <is>
          <t>Wrangler</t>
        </is>
      </c>
      <c r="N438" s="156" t="n"/>
      <c r="O438" s="156" t="inlineStr">
        <is>
          <t>Core</t>
        </is>
      </c>
      <c r="P438" s="156" t="inlineStr">
        <is>
          <t>Beige</t>
        </is>
      </c>
      <c r="Q438" s="156" t="n"/>
      <c r="R438" s="156" t="n"/>
      <c r="S438" s="156" t="n"/>
      <c r="T438" s="156" t="inlineStr">
        <is>
          <t>Cartera Wrangler. Color: Beige. Talla única. Unisex. Referencia: WG184-W049BG.</t>
        </is>
      </c>
      <c r="U438" s="156" t="n"/>
      <c r="V438" s="156" t="inlineStr">
        <is>
          <t>PZS</t>
        </is>
      </c>
      <c r="W438" s="51" t="inlineStr">
        <is>
          <t>53121700</t>
        </is>
      </c>
      <c r="X438" s="156" t="n"/>
      <c r="Y438" s="54" t="n">
        <v>172.5</v>
      </c>
      <c r="Z438" s="54" t="n">
        <v>299</v>
      </c>
      <c r="AA438" s="55">
        <f>IF(AND(A438="", B438="", E438=""), "", IF(AB438="", "Válido", IF((LEN(AB438)-LEN(SUBSTITUTE(AB438,"; ","")))/2+1&gt;(LEN(AB438)-LEN(SUBSTITUTE(AB438,"[Aviso]","")))/7, "Con Incidencias", "Válido")))</f>
        <v/>
      </c>
      <c r="AB438" s="56">
        <f>IF(AND(A438="", B438="", E438=""), "", TEXTJOIN("; ", TRUE, IF(OR(TRIM(A438&amp;"")="", ISNUMBER(SEARCH("FALTA", A438))), "UPC faltante/inválido", ""), IF(AND(A438&lt;&gt;"", IFERROR(_xlfn.XMATCH(A438,$A$2:$A$1063,0,1)&lt;&gt;_xlfn.XMATCH(A438,$A$2:$A$1063,0,-1),FALSE)), "Código de barras duplicado", ""), IF(AND(E438&lt;&gt;"", COUNTIF($E$2:$E$1063, E438)&gt;1), "SKU duplicado", ""), IF(OR(J438="", J438=""), "[Aviso] División no capturada ()", IF(ISNA(MATCH(J438, Criterios!$A$123:$A$126, 0)), "División no válida", "")), IF(OR(K438="", K438=""), "[Aviso] Categoría no capturada ()", IF(ISNA(MATCH(K438, Criterios!$A$81:$A$120, 0)), "Categoría no válida", IF(AND(J438&lt;&gt;"", J438&lt;&gt;"", J438&lt;&gt;VLOOKUP(K438, Criterios!$A$81:$B$120, 2, FALSE)), "División no coincide con Categoría", ""))), IF(OR(L438="", L438=""), "[Aviso] Género no capturado ()", IF(ISNA(MATCH(L438, Criterios!$B$123:$B$127, 0)), "Género no válido", "")), IF(OR(N438="", N438=""), "[Aviso] Temporada no capturada ()", IF(ISNA(MATCH(N438, Criterios!$C$123:$C$128, 0)), "Temporada no válida", "")), IF(OR(O438="", O438=""), "[Aviso] Ciclo de vida no capturado ()", IF(ISNA(MATCH(O438, Criterios!$D$123:$D$124, 0)), "Ciclo de vida no válido", ""))))</f>
        <v/>
      </c>
      <c r="AC438" s="56" t="n"/>
      <c r="AD438" s="51" t="n"/>
      <c r="AE438" s="156" t="n"/>
      <c r="AF438" s="51" t="n"/>
      <c r="AG438" s="156" t="inlineStr">
        <is>
          <t>Nuevo – Carga Hoja2 01/10/2026</t>
        </is>
      </c>
      <c r="AH438" s="156" t="inlineStr">
        <is>
          <t>Alta 01/10/2026 desde Hoja2 (fila 237) | 01/10/2026: Odoo Universal Unique Brands trae Marca «Montana West» — se conservó el valor de Productos | Homologación G1522 06/10/2026: Validador Shopify: WB: precio con IVA no termina en 9</t>
        </is>
      </c>
      <c r="AI438" s="156" t="n"/>
      <c r="AJ438" s="156" t="n"/>
      <c r="AK438" s="155" t="inlineStr">
        <is>
          <t>Hoja2: fila 237 | Odoo: producto 27311 / plantilla 34011</t>
        </is>
      </c>
      <c r="AL438" s="58" t="n"/>
      <c r="AM438" s="58" t="n"/>
      <c r="AN438" s="155" t="inlineStr">
        <is>
          <t>Odoo Universal Unique Brands</t>
        </is>
      </c>
      <c r="AO438" s="59" t="n"/>
      <c r="AP438" s="59" t="n"/>
      <c r="AQ438" s="59" t="n">
        <v>0</v>
      </c>
      <c r="AR438" s="155" t="n"/>
    </row>
    <row r="439">
      <c r="A439" s="50" t="inlineStr">
        <is>
          <t>717325211201</t>
        </is>
      </c>
      <c r="B439" s="51" t="inlineStr">
        <is>
          <t>27312</t>
        </is>
      </c>
      <c r="C439" s="156" t="inlineStr">
        <is>
          <t>Wrangler</t>
        </is>
      </c>
      <c r="D439" s="156" t="inlineStr">
        <is>
          <t>WG184-W049CF</t>
        </is>
      </c>
      <c r="E439" s="156" t="inlineStr">
        <is>
          <t>WG184-W049CF</t>
        </is>
      </c>
      <c r="F439" s="156" t="inlineStr">
        <is>
          <t>Talla única</t>
        </is>
      </c>
      <c r="G439" s="156" t="inlineStr">
        <is>
          <t>One Size</t>
        </is>
      </c>
      <c r="H439" s="156" t="inlineStr">
        <is>
          <t>Wrangler</t>
        </is>
      </c>
      <c r="I439" s="156" t="inlineStr">
        <is>
          <t>Cartera Wrangler Café Oscuro</t>
        </is>
      </c>
      <c r="J439" s="156" t="inlineStr">
        <is>
          <t>Accesorios</t>
        </is>
      </c>
      <c r="K439" s="156" t="inlineStr">
        <is>
          <t>Carteras</t>
        </is>
      </c>
      <c r="L439" s="156" t="inlineStr">
        <is>
          <t>Unisex</t>
        </is>
      </c>
      <c r="M439" s="156" t="inlineStr">
        <is>
          <t>Wrangler</t>
        </is>
      </c>
      <c r="N439" s="156" t="n"/>
      <c r="O439" s="156" t="inlineStr">
        <is>
          <t>Core</t>
        </is>
      </c>
      <c r="P439" s="156" t="inlineStr">
        <is>
          <t>Cafe</t>
        </is>
      </c>
      <c r="Q439" s="156" t="n"/>
      <c r="R439" s="156" t="n"/>
      <c r="S439" s="156" t="n"/>
      <c r="T439" s="156" t="inlineStr">
        <is>
          <t>Cartera Wrangler. Color: Café Oscuro. Talla única. Unisex. Referencia: WG184-W049CF.</t>
        </is>
      </c>
      <c r="U439" s="156" t="n"/>
      <c r="V439" s="156" t="inlineStr">
        <is>
          <t>PZS</t>
        </is>
      </c>
      <c r="W439" s="51" t="inlineStr">
        <is>
          <t>53121700</t>
        </is>
      </c>
      <c r="X439" s="156" t="n"/>
      <c r="Y439" s="54" t="n">
        <v>172.5</v>
      </c>
      <c r="Z439" s="54" t="n">
        <v>299</v>
      </c>
      <c r="AA439" s="55">
        <f>IF(AND(A439="", B439="", E439=""), "", IF(AB439="", "Válido", IF((LEN(AB439)-LEN(SUBSTITUTE(AB439,"; ","")))/2+1&gt;(LEN(AB439)-LEN(SUBSTITUTE(AB439,"[Aviso]","")))/7, "Con Incidencias", "Válido")))</f>
        <v/>
      </c>
      <c r="AB439" s="56">
        <f>IF(AND(A439="", B439="", E439=""), "", TEXTJOIN("; ", TRUE, IF(OR(TRIM(A439&amp;"")="", ISNUMBER(SEARCH("FALTA", A439))), "UPC faltante/inválido", ""), IF(AND(A439&lt;&gt;"", IFERROR(_xlfn.XMATCH(A439,$A$2:$A$1063,0,1)&lt;&gt;_xlfn.XMATCH(A439,$A$2:$A$1063,0,-1),FALSE)), "Código de barras duplicado", ""), IF(AND(E439&lt;&gt;"", COUNTIF($E$2:$E$1063, E439)&gt;1), "SKU duplicado", ""), IF(OR(J439="", J439=""), "[Aviso] División no capturada ()", IF(ISNA(MATCH(J439, Criterios!$A$123:$A$126, 0)), "División no válida", "")), IF(OR(K439="", K439=""), "[Aviso] Categoría no capturada ()", IF(ISNA(MATCH(K439, Criterios!$A$81:$A$120, 0)), "Categoría no válida", IF(AND(J439&lt;&gt;"", J439&lt;&gt;"", J439&lt;&gt;VLOOKUP(K439, Criterios!$A$81:$B$120, 2, FALSE)), "División no coincide con Categoría", ""))), IF(OR(L439="", L439=""), "[Aviso] Género no capturado ()", IF(ISNA(MATCH(L439, Criterios!$B$123:$B$127, 0)), "Género no válido", "")), IF(OR(N439="", N439=""), "[Aviso] Temporada no capturada ()", IF(ISNA(MATCH(N439, Criterios!$C$123:$C$128, 0)), "Temporada no válida", "")), IF(OR(O439="", O439=""), "[Aviso] Ciclo de vida no capturado ()", IF(ISNA(MATCH(O439, Criterios!$D$123:$D$124, 0)), "Ciclo de vida no válido", ""))))</f>
        <v/>
      </c>
      <c r="AC439" s="56" t="n"/>
      <c r="AD439" s="51" t="n"/>
      <c r="AE439" s="156" t="n"/>
      <c r="AF439" s="51" t="n"/>
      <c r="AG439" s="156" t="inlineStr">
        <is>
          <t>Nuevo – Carga Hoja2 01/10/2026</t>
        </is>
      </c>
      <c r="AH439" s="156" t="inlineStr">
        <is>
          <t>Alta 01/10/2026 desde Hoja2 (fila 238) | 01/10/2026: Odoo Universal Unique Brands trae Marca «Montana West» — se conservó el valor de Productos | Homologación G1522 06/10/2026: Validador Shopify: WB: precio con IVA no termina en 9</t>
        </is>
      </c>
      <c r="AI439" s="156" t="n"/>
      <c r="AJ439" s="156" t="n"/>
      <c r="AK439" s="155" t="inlineStr">
        <is>
          <t>Hoja2: fila 238 | Odoo: producto 27312 / plantilla 34012</t>
        </is>
      </c>
      <c r="AL439" s="58" t="n"/>
      <c r="AM439" s="58" t="n"/>
      <c r="AN439" s="155" t="inlineStr">
        <is>
          <t>Odoo Universal Unique Brands</t>
        </is>
      </c>
      <c r="AO439" s="59" t="n"/>
      <c r="AP439" s="59" t="n"/>
      <c r="AQ439" s="59" t="n">
        <v>3</v>
      </c>
      <c r="AR439" s="155" t="inlineStr">
        <is>
          <t>Odoo Universal Unique Brands › Bodega 25 › Bodega 25/General: 3</t>
        </is>
      </c>
    </row>
    <row r="440">
      <c r="A440" s="50" t="inlineStr">
        <is>
          <t>717325212697</t>
        </is>
      </c>
      <c r="B440" s="51" t="inlineStr">
        <is>
          <t>27313</t>
        </is>
      </c>
      <c r="C440" s="156" t="inlineStr">
        <is>
          <t>Wrangler</t>
        </is>
      </c>
      <c r="D440" s="156" t="inlineStr">
        <is>
          <t>WG185-5110BK</t>
        </is>
      </c>
      <c r="E440" s="156" t="inlineStr">
        <is>
          <t>WG185-5110BK</t>
        </is>
      </c>
      <c r="F440" s="156" t="inlineStr">
        <is>
          <t>Talla única</t>
        </is>
      </c>
      <c r="G440" s="156" t="inlineStr">
        <is>
          <t>One Size</t>
        </is>
      </c>
      <c r="H440" s="156" t="inlineStr">
        <is>
          <t>Wrangler</t>
        </is>
      </c>
      <c r="I440" s="156" t="inlineStr">
        <is>
          <t>Bolsa Wrangler Negro</t>
        </is>
      </c>
      <c r="J440" s="156" t="inlineStr">
        <is>
          <t>Accesorios</t>
        </is>
      </c>
      <c r="K440" s="156" t="inlineStr">
        <is>
          <t>Equipaje</t>
        </is>
      </c>
      <c r="L440" s="156" t="inlineStr">
        <is>
          <t>Unisex</t>
        </is>
      </c>
      <c r="M440" s="156" t="inlineStr">
        <is>
          <t>Wrangler</t>
        </is>
      </c>
      <c r="N440" s="156" t="n"/>
      <c r="O440" s="156" t="inlineStr">
        <is>
          <t>Core</t>
        </is>
      </c>
      <c r="P440" s="156" t="inlineStr">
        <is>
          <t>Negro</t>
        </is>
      </c>
      <c r="Q440" s="156" t="n"/>
      <c r="R440" s="156" t="n"/>
      <c r="S440" s="156" t="n"/>
      <c r="T440" s="156" t="inlineStr">
        <is>
          <t>Bolsa Wrangler. Color: Negro. Talla única. Unisex. Referencia: WG185-5110BK.</t>
        </is>
      </c>
      <c r="U440" s="156" t="n"/>
      <c r="V440" s="156" t="inlineStr">
        <is>
          <t>PZS</t>
        </is>
      </c>
      <c r="W440" s="51" t="inlineStr">
        <is>
          <t>53121601</t>
        </is>
      </c>
      <c r="X440" s="156" t="n"/>
      <c r="Y440" s="54" t="n">
        <v>586.5</v>
      </c>
      <c r="Z440" s="54" t="n">
        <v>949</v>
      </c>
      <c r="AA440" s="55">
        <f>IF(AND(A440="", B440="", E440=""), "", IF(AB440="", "Válido", IF((LEN(AB440)-LEN(SUBSTITUTE(AB440,"; ","")))/2+1&gt;(LEN(AB440)-LEN(SUBSTITUTE(AB440,"[Aviso]","")))/7, "Con Incidencias", "Válido")))</f>
        <v/>
      </c>
      <c r="AB440" s="56">
        <f>IF(AND(A440="", B440="", E440=""), "", TEXTJOIN("; ", TRUE, IF(OR(TRIM(A440&amp;"")="", ISNUMBER(SEARCH("FALTA", A440))), "UPC faltante/inválido", ""), IF(AND(A440&lt;&gt;"", IFERROR(_xlfn.XMATCH(A440,$A$2:$A$1063,0,1)&lt;&gt;_xlfn.XMATCH(A440,$A$2:$A$1063,0,-1),FALSE)), "Código de barras duplicado", ""), IF(AND(E440&lt;&gt;"", COUNTIF($E$2:$E$1063, E440)&gt;1), "SKU duplicado", ""), IF(OR(J440="", J440=""), "[Aviso] División no capturada ()", IF(ISNA(MATCH(J440, Criterios!$A$123:$A$126, 0)), "División no válida", "")), IF(OR(K440="", K440=""), "[Aviso] Categoría no capturada ()", IF(ISNA(MATCH(K440, Criterios!$A$81:$A$120, 0)), "Categoría no válida", IF(AND(J440&lt;&gt;"", J440&lt;&gt;"", J440&lt;&gt;VLOOKUP(K440, Criterios!$A$81:$B$120, 2, FALSE)), "División no coincide con Categoría", ""))), IF(OR(L440="", L440=""), "[Aviso] Género no capturado ()", IF(ISNA(MATCH(L440, Criterios!$B$123:$B$127, 0)), "Género no válido", "")), IF(OR(N440="", N440=""), "[Aviso] Temporada no capturada ()", IF(ISNA(MATCH(N440, Criterios!$C$123:$C$128, 0)), "Temporada no válida", "")), IF(OR(O440="", O440=""), "[Aviso] Ciclo de vida no capturado ()", IF(ISNA(MATCH(O440, Criterios!$D$123:$D$124, 0)), "Ciclo de vida no válido", ""))))</f>
        <v/>
      </c>
      <c r="AC440" s="56" t="n"/>
      <c r="AD440" s="51" t="n"/>
      <c r="AE440" s="156" t="n"/>
      <c r="AF440" s="51" t="n"/>
      <c r="AG440" s="156" t="inlineStr">
        <is>
          <t>Nuevo – Carga Hoja2 01/10/2026</t>
        </is>
      </c>
      <c r="AH440" s="156" t="inlineStr">
        <is>
          <t>Alta 01/10/2026 desde Hoja2 (fila 239) | 01/10/2026: Odoo Universal Unique Brands trae Marca «Montana West», Categoría «Bolsos» — se conservó el valor de Productos | Homologación G1522 06/10/2026: Validador Shopify: WB: precio con IVA no termina en 9</t>
        </is>
      </c>
      <c r="AI440" s="156" t="n"/>
      <c r="AJ440" s="156" t="n"/>
      <c r="AK440" s="155" t="inlineStr">
        <is>
          <t>Hoja2: fila 239 | Odoo: producto 27313 / plantilla 34013</t>
        </is>
      </c>
      <c r="AL440" s="58" t="n"/>
      <c r="AM440" s="58" t="n"/>
      <c r="AN440" s="155" t="inlineStr">
        <is>
          <t>Odoo Universal Unique Brands</t>
        </is>
      </c>
      <c r="AO440" s="59" t="n"/>
      <c r="AP440" s="59" t="n"/>
      <c r="AQ440" s="59" t="n">
        <v>9</v>
      </c>
      <c r="AR440" s="155" t="inlineStr">
        <is>
          <t>Odoo Universal Unique Brands › Bodega 25 › Bodega 25/General: 9</t>
        </is>
      </c>
    </row>
    <row r="441">
      <c r="A441" s="50" t="inlineStr">
        <is>
          <t>717325212635</t>
        </is>
      </c>
      <c r="B441" s="51" t="inlineStr">
        <is>
          <t>27314</t>
        </is>
      </c>
      <c r="C441" s="156" t="inlineStr">
        <is>
          <t>Wrangler</t>
        </is>
      </c>
      <c r="D441" s="156" t="inlineStr">
        <is>
          <t>WG185-5110TN</t>
        </is>
      </c>
      <c r="E441" s="156" t="inlineStr">
        <is>
          <t>WG185-5110TN</t>
        </is>
      </c>
      <c r="F441" s="156" t="inlineStr">
        <is>
          <t>Talla única</t>
        </is>
      </c>
      <c r="G441" s="156" t="inlineStr">
        <is>
          <t>One Size</t>
        </is>
      </c>
      <c r="H441" s="156" t="inlineStr">
        <is>
          <t>Wrangler</t>
        </is>
      </c>
      <c r="I441" s="156" t="inlineStr">
        <is>
          <t>Bolsa Wrangler Camel</t>
        </is>
      </c>
      <c r="J441" s="156" t="inlineStr">
        <is>
          <t>Accesorios</t>
        </is>
      </c>
      <c r="K441" s="156" t="inlineStr">
        <is>
          <t>Equipaje</t>
        </is>
      </c>
      <c r="L441" s="156" t="inlineStr">
        <is>
          <t>Unisex</t>
        </is>
      </c>
      <c r="M441" s="156" t="inlineStr">
        <is>
          <t>Wrangler</t>
        </is>
      </c>
      <c r="N441" s="156" t="n"/>
      <c r="O441" s="156" t="inlineStr">
        <is>
          <t>Core</t>
        </is>
      </c>
      <c r="P441" s="156" t="inlineStr">
        <is>
          <t>Beige</t>
        </is>
      </c>
      <c r="Q441" s="156" t="n"/>
      <c r="R441" s="156" t="n"/>
      <c r="S441" s="156" t="n"/>
      <c r="T441" s="156" t="inlineStr">
        <is>
          <t>Bolsa Wrangler. Color: Camel. Talla única. Unisex. Referencia: WG185-5110TN.</t>
        </is>
      </c>
      <c r="U441" s="156" t="n"/>
      <c r="V441" s="156" t="inlineStr">
        <is>
          <t>PZS</t>
        </is>
      </c>
      <c r="W441" s="51" t="inlineStr">
        <is>
          <t>53121601</t>
        </is>
      </c>
      <c r="X441" s="156" t="n"/>
      <c r="Y441" s="54" t="n">
        <v>586.5</v>
      </c>
      <c r="Z441" s="54" t="n">
        <v>949</v>
      </c>
      <c r="AA441" s="55">
        <f>IF(AND(A441="", B441="", E441=""), "", IF(AB441="", "Válido", IF((LEN(AB441)-LEN(SUBSTITUTE(AB441,"; ","")))/2+1&gt;(LEN(AB441)-LEN(SUBSTITUTE(AB441,"[Aviso]","")))/7, "Con Incidencias", "Válido")))</f>
        <v/>
      </c>
      <c r="AB441" s="56">
        <f>IF(AND(A441="", B441="", E441=""), "", TEXTJOIN("; ", TRUE, IF(OR(TRIM(A441&amp;"")="", ISNUMBER(SEARCH("FALTA", A441))), "UPC faltante/inválido", ""), IF(AND(A441&lt;&gt;"", IFERROR(_xlfn.XMATCH(A441,$A$2:$A$1063,0,1)&lt;&gt;_xlfn.XMATCH(A441,$A$2:$A$1063,0,-1),FALSE)), "Código de barras duplicado", ""), IF(AND(E441&lt;&gt;"", COUNTIF($E$2:$E$1063, E441)&gt;1), "SKU duplicado", ""), IF(OR(J441="", J441=""), "[Aviso] División no capturada ()", IF(ISNA(MATCH(J441, Criterios!$A$123:$A$126, 0)), "División no válida", "")), IF(OR(K441="", K441=""), "[Aviso] Categoría no capturada ()", IF(ISNA(MATCH(K441, Criterios!$A$81:$A$120, 0)), "Categoría no válida", IF(AND(J441&lt;&gt;"", J441&lt;&gt;"", J441&lt;&gt;VLOOKUP(K441, Criterios!$A$81:$B$120, 2, FALSE)), "División no coincide con Categoría", ""))), IF(OR(L441="", L441=""), "[Aviso] Género no capturado ()", IF(ISNA(MATCH(L441, Criterios!$B$123:$B$127, 0)), "Género no válido", "")), IF(OR(N441="", N441=""), "[Aviso] Temporada no capturada ()", IF(ISNA(MATCH(N441, Criterios!$C$123:$C$128, 0)), "Temporada no válida", "")), IF(OR(O441="", O441=""), "[Aviso] Ciclo de vida no capturado ()", IF(ISNA(MATCH(O441, Criterios!$D$123:$D$124, 0)), "Ciclo de vida no válido", ""))))</f>
        <v/>
      </c>
      <c r="AC441" s="56" t="n"/>
      <c r="AD441" s="51" t="n"/>
      <c r="AE441" s="156" t="n"/>
      <c r="AF441" s="51" t="n"/>
      <c r="AG441" s="156" t="inlineStr">
        <is>
          <t>Nuevo – Carga Hoja2 01/10/2026</t>
        </is>
      </c>
      <c r="AH441" s="156" t="inlineStr">
        <is>
          <t>Alta 01/10/2026 desde Hoja2 (fila 240) | 01/10/2026: Odoo Universal Unique Brands trae Marca «Montana West», Categoría «Bolsos» — se conservó el valor de Productos | Homologación G1522 06/10/2026: Validador Shopify: WB: precio con IVA no termina en 9</t>
        </is>
      </c>
      <c r="AI441" s="156" t="n"/>
      <c r="AJ441" s="156" t="n"/>
      <c r="AK441" s="155" t="inlineStr">
        <is>
          <t>Hoja2: fila 240 | Odoo: producto 27314 / plantilla 34014</t>
        </is>
      </c>
      <c r="AL441" s="58" t="n"/>
      <c r="AM441" s="58" t="n"/>
      <c r="AN441" s="155" t="inlineStr">
        <is>
          <t>Odoo Universal Unique Brands</t>
        </is>
      </c>
      <c r="AO441" s="59" t="n"/>
      <c r="AP441" s="59" t="n"/>
      <c r="AQ441" s="59" t="n">
        <v>10</v>
      </c>
      <c r="AR441" s="155" t="inlineStr">
        <is>
          <t>Odoo Universal Unique Brands › Bodega 25 › Bodega 25/General: 10</t>
        </is>
      </c>
    </row>
    <row r="442">
      <c r="A442" s="50" t="n"/>
      <c r="B442" s="51" t="inlineStr">
        <is>
          <t>27316</t>
        </is>
      </c>
      <c r="C442" s="156" t="inlineStr">
        <is>
          <t>Montana West</t>
        </is>
      </c>
      <c r="D442" s="156" t="n"/>
      <c r="E442" s="156" t="inlineStr">
        <is>
          <t>WG185-5112BR</t>
        </is>
      </c>
      <c r="F442" s="156" t="inlineStr">
        <is>
          <t>Talla única</t>
        </is>
      </c>
      <c r="G442" s="156" t="inlineStr">
        <is>
          <t>One Size</t>
        </is>
      </c>
      <c r="H442" s="156" t="inlineStr">
        <is>
          <t>Montana West</t>
        </is>
      </c>
      <c r="I442" s="156" t="inlineStr">
        <is>
          <t>WG BAG</t>
        </is>
      </c>
      <c r="J442" s="156" t="inlineStr">
        <is>
          <t>Accesorios</t>
        </is>
      </c>
      <c r="K442" s="156" t="inlineStr">
        <is>
          <t>Bolsos</t>
        </is>
      </c>
      <c r="L442" s="156" t="inlineStr">
        <is>
          <t>Unisex</t>
        </is>
      </c>
      <c r="M442" s="156" t="n"/>
      <c r="N442" s="156" t="n"/>
      <c r="O442" s="156" t="n"/>
      <c r="P442" s="156" t="n"/>
      <c r="Q442" s="156" t="n"/>
      <c r="R442" s="156" t="n"/>
      <c r="S442" s="156" t="n"/>
      <c r="T442" s="156" t="n"/>
      <c r="U442" s="156" t="n"/>
      <c r="V442" s="156" t="inlineStr">
        <is>
          <t>PZS</t>
        </is>
      </c>
      <c r="W442" s="51" t="inlineStr">
        <is>
          <t>53121601</t>
        </is>
      </c>
      <c r="X442" s="156" t="n"/>
      <c r="Y442" s="54" t="n">
        <v>379.5</v>
      </c>
      <c r="Z442" s="54" t="n">
        <v>649</v>
      </c>
      <c r="AA442" s="55">
        <f>IF(AND(A442="", B442="", E442=""), "", IF(AB442="", "Válido", IF((LEN(AB442)-LEN(SUBSTITUTE(AB442,"; ","")))/2+1&gt;(LEN(AB442)-LEN(SUBSTITUTE(AB442,"[Aviso]","")))/7, "Con Incidencias", "Válido")))</f>
        <v/>
      </c>
      <c r="AB442" s="56">
        <f>IF(AND(A442="", B442="", E442=""), "", TEXTJOIN("; ", TRUE, IF(OR(TRIM(A442&amp;"")="", ISNUMBER(SEARCH("FALTA", A442))), "UPC faltante/inválido", ""), IF(AND(A442&lt;&gt;"", IFERROR(_xlfn.XMATCH(A442,$A$2:$A$1063,0,1)&lt;&gt;_xlfn.XMATCH(A442,$A$2:$A$1063,0,-1),FALSE)), "Código de barras duplicado", ""), IF(AND(E442&lt;&gt;"", COUNTIF($E$2:$E$1063, E442)&gt;1), "SKU duplicado", ""), IF(OR(J442="", J442=""), "[Aviso] División no capturada ()", IF(ISNA(MATCH(J442, Criterios!$A$123:$A$126, 0)), "División no válida", "")), IF(OR(K442="", K442=""), "[Aviso] Categoría no capturada ()", IF(ISNA(MATCH(K442, Criterios!$A$81:$A$120, 0)), "Categoría no válida", IF(AND(J442&lt;&gt;"", J442&lt;&gt;"", J442&lt;&gt;VLOOKUP(K442, Criterios!$A$81:$B$120, 2, FALSE)), "División no coincide con Categoría", ""))), IF(OR(L442="", L442=""), "[Aviso] Género no capturado ()", IF(ISNA(MATCH(L442, Criterios!$B$123:$B$127, 0)), "Género no válido", "")), IF(OR(N442="", N442=""), "[Aviso] Temporada no capturada ()", IF(ISNA(MATCH(N442, Criterios!$C$123:$C$128, 0)), "Temporada no válida", "")), IF(OR(O442="", O442=""), "[Aviso] Ciclo de vida no capturado ()", IF(ISNA(MATCH(O442, Criterios!$D$123:$D$124, 0)), "Ciclo de vida no válido", ""))))</f>
        <v/>
      </c>
      <c r="AC442" s="56" t="n"/>
      <c r="AD442" s="51" t="n"/>
      <c r="AE442" s="156" t="n"/>
      <c r="AF442" s="51" t="n"/>
      <c r="AG442" s="156" t="inlineStr">
        <is>
          <t>Nuevo – Carga Hoja2 01/10/2026</t>
        </is>
      </c>
      <c r="AH442" s="156" t="inlineStr">
        <is>
          <t>Alta 01/10/2026 desde Hoja2 (fila 241) | 01/10/2026: complementado desde Odoo Universal Unique Brands (match por SKU): WB Talla, WB Talla de EE. UU., WB Género | Homologación G1522 06/10/2026: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42" s="156" t="n"/>
      <c r="AJ442" s="156" t="n"/>
      <c r="AK442" s="155" t="inlineStr">
        <is>
          <t>Hoja2: fila 241 | Odoo: producto 27316 / plantilla 34016</t>
        </is>
      </c>
      <c r="AL442" s="58" t="n"/>
      <c r="AM442" s="58" t="n"/>
      <c r="AN442" s="155" t="inlineStr">
        <is>
          <t>Odoo Universal Unique Brands</t>
        </is>
      </c>
      <c r="AO442" s="59" t="n"/>
      <c r="AP442" s="59" t="n"/>
      <c r="AQ442" s="59" t="n">
        <v>0</v>
      </c>
      <c r="AR442" s="155" t="n"/>
    </row>
    <row r="443">
      <c r="A443" s="50" t="n"/>
      <c r="B443" s="51" t="inlineStr">
        <is>
          <t>27318</t>
        </is>
      </c>
      <c r="C443" s="156" t="inlineStr">
        <is>
          <t>Montana West</t>
        </is>
      </c>
      <c r="D443" s="156" t="inlineStr">
        <is>
          <t>WG185-5112LGY</t>
        </is>
      </c>
      <c r="E443" s="156" t="inlineStr">
        <is>
          <t>WG185-5112LGY</t>
        </is>
      </c>
      <c r="F443" s="156" t="inlineStr">
        <is>
          <t>Talla única</t>
        </is>
      </c>
      <c r="G443" s="156" t="inlineStr">
        <is>
          <t>One Size</t>
        </is>
      </c>
      <c r="H443" s="156" t="inlineStr">
        <is>
          <t>Montana West</t>
        </is>
      </c>
      <c r="I443" s="156" t="inlineStr">
        <is>
          <t>Bolsa Satchel Cruzada Wrangler Colección Trenzada Whipstitch</t>
        </is>
      </c>
      <c r="J443" s="156" t="inlineStr">
        <is>
          <t>Accesorios</t>
        </is>
      </c>
      <c r="K443" s="156" t="inlineStr">
        <is>
          <t>Bolsos</t>
        </is>
      </c>
      <c r="L443" s="156" t="inlineStr">
        <is>
          <t>Unisex</t>
        </is>
      </c>
      <c r="M443" s="156" t="inlineStr">
        <is>
          <t>Wrangler</t>
        </is>
      </c>
      <c r="N443" s="156" t="n"/>
      <c r="O443" s="156" t="n"/>
      <c r="P443" s="156" t="inlineStr">
        <is>
          <t>Gris</t>
        </is>
      </c>
      <c r="Q443" s="156" t="n"/>
      <c r="R443" s="156" t="n"/>
      <c r="S443" s="156" t="n"/>
      <c r="T443" s="156" t="inlineStr">
        <is>
          <t>Bolsa Satchel Cruzada</t>
        </is>
      </c>
      <c r="U443" s="156" t="inlineStr">
        <is>
          <t>México</t>
        </is>
      </c>
      <c r="V443" s="156" t="inlineStr">
        <is>
          <t>PZS</t>
        </is>
      </c>
      <c r="W443" s="51" t="inlineStr">
        <is>
          <t>53121601</t>
        </is>
      </c>
      <c r="X443" s="156" t="n"/>
      <c r="Y443" s="54" t="n">
        <v>379.5</v>
      </c>
      <c r="Z443" s="54" t="n">
        <v>649</v>
      </c>
      <c r="AA443" s="55">
        <f>IF(AND(A443="", B443="", E443=""), "", IF(AB443="", "Válido", IF((LEN(AB443)-LEN(SUBSTITUTE(AB443,"; ","")))/2+1&gt;(LEN(AB443)-LEN(SUBSTITUTE(AB443,"[Aviso]","")))/7, "Con Incidencias", "Válido")))</f>
        <v/>
      </c>
      <c r="AB443" s="56">
        <f>IF(AND(A443="", B443="", E443=""), "", TEXTJOIN("; ", TRUE, IF(OR(TRIM(A443&amp;"")="", ISNUMBER(SEARCH("FALTA", A443))), "UPC faltante/inválido", ""), IF(AND(A443&lt;&gt;"", IFERROR(_xlfn.XMATCH(A443,$A$2:$A$1063,0,1)&lt;&gt;_xlfn.XMATCH(A443,$A$2:$A$1063,0,-1),FALSE)), "Código de barras duplicado", ""), IF(AND(E443&lt;&gt;"", COUNTIF($E$2:$E$1063, E443)&gt;1), "SKU duplicado", ""), IF(OR(J443="", J443=""), "[Aviso] División no capturada ()", IF(ISNA(MATCH(J443, Criterios!$A$123:$A$126, 0)), "División no válida", "")), IF(OR(K443="", K443=""), "[Aviso] Categoría no capturada ()", IF(ISNA(MATCH(K443, Criterios!$A$81:$A$120, 0)), "Categoría no válida", IF(AND(J443&lt;&gt;"", J443&lt;&gt;"", J443&lt;&gt;VLOOKUP(K443, Criterios!$A$81:$B$120, 2, FALSE)), "División no coincide con Categoría", ""))), IF(OR(L443="", L443=""), "[Aviso] Género no capturado ()", IF(ISNA(MATCH(L443, Criterios!$B$123:$B$127, 0)), "Género no válido", "")), IF(OR(N443="", N443=""), "[Aviso] Temporada no capturada ()", IF(ISNA(MATCH(N443, Criterios!$C$123:$C$128, 0)), "Temporada no válida", "")), IF(OR(O443="", O443=""), "[Aviso] Ciclo de vida no capturado ()", IF(ISNA(MATCH(O443, Criterios!$D$123:$D$124, 0)), "Ciclo de vida no válido", ""))))</f>
        <v/>
      </c>
      <c r="AC443" s="56" t="n"/>
      <c r="AD443" s="51" t="n"/>
      <c r="AE443" s="156" t="n"/>
      <c r="AF443" s="51" t="n"/>
      <c r="AG443" s="156" t="inlineStr">
        <is>
          <t>Nuevo – Carga Hoja2 01/10/2026</t>
        </is>
      </c>
      <c r="AH443" s="156" t="inlineStr">
        <is>
          <t>Alta 01/10/2026 desde Hoja2 (fila 242) | 01/10/2026: complementado desde Odoo Universal Unique Brands (match por SKU): WB N.º de estilo, WB Talla, WB Talla de EE. UU., WB Descripcion (antes «WG BAG»), WB Género, WB Licencia, WB Color, WB Descripción larga, WB País de origen | 01/10/2026: Odoo Universal Unique Brands trae Marca «Wrangler» — se conservó el valor de Productos | Homologación G1522 06/10/2026: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43" s="156" t="n"/>
      <c r="AJ443" s="156" t="n"/>
      <c r="AK443" s="155" t="inlineStr">
        <is>
          <t>Hoja2: fila 242 | Odoo: producto 15677 / plantilla 20030 | Odoo: producto 27318 / plantilla 34018</t>
        </is>
      </c>
      <c r="AL443" s="58" t="n"/>
      <c r="AM443" s="58" t="n"/>
      <c r="AN443" s="155" t="inlineStr">
        <is>
          <t>Odoo Universal Unique Brands</t>
        </is>
      </c>
      <c r="AO443" s="59" t="n"/>
      <c r="AP443" s="59" t="n"/>
      <c r="AQ443" s="59" t="n">
        <v>7</v>
      </c>
      <c r="AR443" s="155" t="inlineStr">
        <is>
          <t>Odoo Universal Unique Brands › Bodega 25 › Bodega 25/General: 4 | Odoo Universal Unique Brands › Bodega 25 › Bodega 25/General: 3</t>
        </is>
      </c>
    </row>
    <row r="444">
      <c r="A444" s="50" t="inlineStr">
        <is>
          <t>717325212963</t>
        </is>
      </c>
      <c r="B444" s="51" t="inlineStr">
        <is>
          <t>27319</t>
        </is>
      </c>
      <c r="C444" s="156" t="inlineStr">
        <is>
          <t>Wrangler</t>
        </is>
      </c>
      <c r="D444" s="156" t="inlineStr">
        <is>
          <t>WG185-W050LGY</t>
        </is>
      </c>
      <c r="E444" s="156" t="inlineStr">
        <is>
          <t>WG185-W050LGY</t>
        </is>
      </c>
      <c r="F444" s="156" t="inlineStr">
        <is>
          <t>Talla única</t>
        </is>
      </c>
      <c r="G444" s="156" t="inlineStr">
        <is>
          <t>One Size</t>
        </is>
      </c>
      <c r="H444" s="156" t="inlineStr">
        <is>
          <t>Wrangler</t>
        </is>
      </c>
      <c r="I444" s="156" t="inlineStr">
        <is>
          <t>Cartera Grande Wrangler De Doble Compartimento Con Cierre Gris Claro</t>
        </is>
      </c>
      <c r="J444" s="156" t="inlineStr">
        <is>
          <t>Accesorios</t>
        </is>
      </c>
      <c r="K444" s="156" t="inlineStr">
        <is>
          <t>Carteras</t>
        </is>
      </c>
      <c r="L444" s="156" t="inlineStr">
        <is>
          <t>Unisex</t>
        </is>
      </c>
      <c r="M444" s="156" t="inlineStr">
        <is>
          <t>Wrangler</t>
        </is>
      </c>
      <c r="N444" s="156" t="n"/>
      <c r="O444" s="156" t="inlineStr">
        <is>
          <t>Core</t>
        </is>
      </c>
      <c r="P444" s="156" t="inlineStr">
        <is>
          <t>Gris</t>
        </is>
      </c>
      <c r="Q444" s="156" t="n"/>
      <c r="R444" s="156" t="n"/>
      <c r="S444" s="156" t="n"/>
      <c r="T444" s="156" t="inlineStr">
        <is>
          <t>Cartera Grande Wrangler. Modelo: De Doble Compartimento Con Cierre. Color: Gris Claro. Talla única. Unisex. Referencia: WG185-W050LGY.</t>
        </is>
      </c>
      <c r="U444" s="156" t="n"/>
      <c r="V444" s="156" t="inlineStr">
        <is>
          <t>PZS</t>
        </is>
      </c>
      <c r="W444" s="51" t="inlineStr">
        <is>
          <t>53121700</t>
        </is>
      </c>
      <c r="X444" s="156" t="n"/>
      <c r="Y444" s="54" t="n">
        <v>310.5</v>
      </c>
      <c r="Z444" s="54" t="n">
        <v>499</v>
      </c>
      <c r="AA444" s="55">
        <f>IF(AND(A444="", B444="", E444=""), "", IF(AB444="", "Válido", IF((LEN(AB444)-LEN(SUBSTITUTE(AB444,"; ","")))/2+1&gt;(LEN(AB444)-LEN(SUBSTITUTE(AB444,"[Aviso]","")))/7, "Con Incidencias", "Válido")))</f>
        <v/>
      </c>
      <c r="AB444" s="56">
        <f>IF(AND(A444="", B444="", E444=""), "", TEXTJOIN("; ", TRUE, IF(OR(TRIM(A444&amp;"")="", ISNUMBER(SEARCH("FALTA", A444))), "UPC faltante/inválido", ""), IF(AND(A444&lt;&gt;"", IFERROR(_xlfn.XMATCH(A444,$A$2:$A$1063,0,1)&lt;&gt;_xlfn.XMATCH(A444,$A$2:$A$1063,0,-1),FALSE)), "Código de barras duplicado", ""), IF(AND(E444&lt;&gt;"", COUNTIF($E$2:$E$1063, E444)&gt;1), "SKU duplicado", ""), IF(OR(J444="", J444=""), "[Aviso] División no capturada ()", IF(ISNA(MATCH(J444, Criterios!$A$123:$A$126, 0)), "División no válida", "")), IF(OR(K444="", K444=""), "[Aviso] Categoría no capturada ()", IF(ISNA(MATCH(K444, Criterios!$A$81:$A$120, 0)), "Categoría no válida", IF(AND(J444&lt;&gt;"", J444&lt;&gt;"", J444&lt;&gt;VLOOKUP(K444, Criterios!$A$81:$B$120, 2, FALSE)), "División no coincide con Categoría", ""))), IF(OR(L444="", L444=""), "[Aviso] Género no capturado ()", IF(ISNA(MATCH(L444, Criterios!$B$123:$B$127, 0)), "Género no válido", "")), IF(OR(N444="", N444=""), "[Aviso] Temporada no capturada ()", IF(ISNA(MATCH(N444, Criterios!$C$123:$C$128, 0)), "Temporada no válida", "")), IF(OR(O444="", O444=""), "[Aviso] Ciclo de vida no capturado ()", IF(ISNA(MATCH(O444, Criterios!$D$123:$D$124, 0)), "Ciclo de vida no válido", ""))))</f>
        <v/>
      </c>
      <c r="AC444" s="56" t="n"/>
      <c r="AD444" s="51" t="n"/>
      <c r="AE444" s="156" t="n"/>
      <c r="AF444" s="51" t="n"/>
      <c r="AG444" s="156" t="inlineStr">
        <is>
          <t>Nuevo – Carga Hoja2 01/10/2026</t>
        </is>
      </c>
      <c r="AH444" s="156" t="inlineStr">
        <is>
          <t>Alta 01/10/2026 desde Hoja2 (fila 243) | 01/10/2026: Odoo Universal Unique Brands trae Marca «Montana West» — se conservó el valor de Productos | Homologación G1522 06/10/2026: Validador Shopify: WB: precio con IVA no termina en 9</t>
        </is>
      </c>
      <c r="AI444" s="156" t="n"/>
      <c r="AJ444" s="156" t="n"/>
      <c r="AK444" s="155" t="inlineStr">
        <is>
          <t>Hoja2: fila 243 | Odoo: producto 27319 / plantilla 34019</t>
        </is>
      </c>
      <c r="AL444" s="58" t="n"/>
      <c r="AM444" s="58" t="n"/>
      <c r="AN444" s="155" t="inlineStr">
        <is>
          <t>Odoo Universal Unique Brands</t>
        </is>
      </c>
      <c r="AO444" s="59" t="n"/>
      <c r="AP444" s="59" t="n"/>
      <c r="AQ444" s="59" t="n">
        <v>4</v>
      </c>
      <c r="AR444" s="155" t="inlineStr">
        <is>
          <t>Odoo Universal Unique Brands › Bodega 25 › Bodega 25/General: 4</t>
        </is>
      </c>
    </row>
    <row r="445">
      <c r="A445" s="50" t="n"/>
      <c r="B445" s="51" t="inlineStr">
        <is>
          <t>27322</t>
        </is>
      </c>
      <c r="C445" s="156" t="inlineStr">
        <is>
          <t>Montana West</t>
        </is>
      </c>
      <c r="D445" s="156" t="n"/>
      <c r="E445" s="156" t="inlineStr">
        <is>
          <t>WG187-8318CF</t>
        </is>
      </c>
      <c r="F445" s="156" t="inlineStr">
        <is>
          <t>Talla única</t>
        </is>
      </c>
      <c r="G445" s="156" t="inlineStr">
        <is>
          <t>One Size</t>
        </is>
      </c>
      <c r="H445" s="156" t="inlineStr">
        <is>
          <t>Montana West</t>
        </is>
      </c>
      <c r="I445" s="156" t="inlineStr">
        <is>
          <t>WG TOTE</t>
        </is>
      </c>
      <c r="J445" s="156" t="inlineStr">
        <is>
          <t>Accesorios</t>
        </is>
      </c>
      <c r="K445" s="156" t="inlineStr">
        <is>
          <t>Bolsos</t>
        </is>
      </c>
      <c r="L445" s="156" t="inlineStr">
        <is>
          <t>Unisex</t>
        </is>
      </c>
      <c r="M445" s="156" t="n"/>
      <c r="N445" s="156" t="n"/>
      <c r="O445" s="156" t="n"/>
      <c r="P445" s="156" t="n"/>
      <c r="Q445" s="156" t="n"/>
      <c r="R445" s="156" t="n"/>
      <c r="S445" s="156" t="n"/>
      <c r="T445" s="156" t="n"/>
      <c r="U445" s="156" t="n"/>
      <c r="V445" s="156" t="inlineStr">
        <is>
          <t>PZS</t>
        </is>
      </c>
      <c r="W445" s="51" t="inlineStr">
        <is>
          <t>53121601</t>
        </is>
      </c>
      <c r="X445" s="156" t="n"/>
      <c r="Y445" s="54" t="n">
        <v>345</v>
      </c>
      <c r="Z445" s="54" t="n">
        <v>599</v>
      </c>
      <c r="AA445" s="55">
        <f>IF(AND(A445="", B445="", E445=""), "", IF(AB445="", "Válido", IF((LEN(AB445)-LEN(SUBSTITUTE(AB445,"; ","")))/2+1&gt;(LEN(AB445)-LEN(SUBSTITUTE(AB445,"[Aviso]","")))/7, "Con Incidencias", "Válido")))</f>
        <v/>
      </c>
      <c r="AB445" s="56">
        <f>IF(AND(A445="", B445="", E445=""), "", TEXTJOIN("; ", TRUE, IF(OR(TRIM(A445&amp;"")="", ISNUMBER(SEARCH("FALTA", A445))), "UPC faltante/inválido", ""), IF(AND(A445&lt;&gt;"", IFERROR(_xlfn.XMATCH(A445,$A$2:$A$1063,0,1)&lt;&gt;_xlfn.XMATCH(A445,$A$2:$A$1063,0,-1),FALSE)), "Código de barras duplicado", ""), IF(AND(E445&lt;&gt;"", COUNTIF($E$2:$E$1063, E445)&gt;1), "SKU duplicado", ""), IF(OR(J445="", J445=""), "[Aviso] División no capturada ()", IF(ISNA(MATCH(J445, Criterios!$A$123:$A$126, 0)), "División no válida", "")), IF(OR(K445="", K445=""), "[Aviso] Categoría no capturada ()", IF(ISNA(MATCH(K445, Criterios!$A$81:$A$120, 0)), "Categoría no válida", IF(AND(J445&lt;&gt;"", J445&lt;&gt;"", J445&lt;&gt;VLOOKUP(K445, Criterios!$A$81:$B$120, 2, FALSE)), "División no coincide con Categoría", ""))), IF(OR(L445="", L445=""), "[Aviso] Género no capturado ()", IF(ISNA(MATCH(L445, Criterios!$B$123:$B$127, 0)), "Género no válido", "")), IF(OR(N445="", N445=""), "[Aviso] Temporada no capturada ()", IF(ISNA(MATCH(N445, Criterios!$C$123:$C$128, 0)), "Temporada no válida", "")), IF(OR(O445="", O445=""), "[Aviso] Ciclo de vida no capturado ()", IF(ISNA(MATCH(O445, Criterios!$D$123:$D$124, 0)), "Ciclo de vida no válido", ""))))</f>
        <v/>
      </c>
      <c r="AC445" s="56" t="n"/>
      <c r="AD445" s="51" t="n"/>
      <c r="AE445" s="156" t="n"/>
      <c r="AF445" s="51" t="n"/>
      <c r="AG445" s="156" t="inlineStr">
        <is>
          <t>Nuevo – Carga Hoja2 01/10/2026</t>
        </is>
      </c>
      <c r="AH445" s="156" t="inlineStr">
        <is>
          <t>Alta 01/10/2026 desde Hoja2 (fila 244)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45" s="156" t="n"/>
      <c r="AJ445" s="156" t="n"/>
      <c r="AK445" s="155" t="inlineStr">
        <is>
          <t>Hoja2: fila 244 | Odoo: producto 27322 / plantilla 34022</t>
        </is>
      </c>
      <c r="AL445" s="58" t="n"/>
      <c r="AM445" s="58" t="n"/>
      <c r="AN445" s="155" t="inlineStr">
        <is>
          <t>Odoo Universal Unique Brands</t>
        </is>
      </c>
      <c r="AO445" s="59" t="n"/>
      <c r="AP445" s="59" t="n"/>
      <c r="AQ445" s="59" t="n">
        <v>0</v>
      </c>
      <c r="AR445" s="155" t="n"/>
    </row>
    <row r="446">
      <c r="A446" s="50" t="inlineStr">
        <is>
          <t>717325216893</t>
        </is>
      </c>
      <c r="B446" s="51" t="inlineStr">
        <is>
          <t>27324</t>
        </is>
      </c>
      <c r="C446" s="156" t="inlineStr">
        <is>
          <t>Wrangler</t>
        </is>
      </c>
      <c r="D446" s="156" t="inlineStr">
        <is>
          <t>WG190-8319BG</t>
        </is>
      </c>
      <c r="E446" s="156" t="inlineStr">
        <is>
          <t>WG190-8319BG</t>
        </is>
      </c>
      <c r="F446" s="156" t="inlineStr">
        <is>
          <t>Talla única</t>
        </is>
      </c>
      <c r="G446" s="156" t="inlineStr">
        <is>
          <t>One Size</t>
        </is>
      </c>
      <c r="H446" s="156" t="inlineStr">
        <is>
          <t>Wrangler</t>
        </is>
      </c>
      <c r="I446" s="156" t="inlineStr">
        <is>
          <t>Bolsa Satchel Convertible Portalaptop Mochila Cruzada Wrangler Con Asa Superior Beige</t>
        </is>
      </c>
      <c r="J446" s="156" t="inlineStr">
        <is>
          <t>Accesorios</t>
        </is>
      </c>
      <c r="K446" s="156" t="inlineStr">
        <is>
          <t>Bolsos</t>
        </is>
      </c>
      <c r="L446" s="156" t="inlineStr">
        <is>
          <t>Unisex</t>
        </is>
      </c>
      <c r="M446" s="156" t="inlineStr">
        <is>
          <t>Wrangler</t>
        </is>
      </c>
      <c r="N446" s="156" t="n"/>
      <c r="O446" s="156" t="inlineStr">
        <is>
          <t>Core</t>
        </is>
      </c>
      <c r="P446" s="156" t="inlineStr">
        <is>
          <t>Beige</t>
        </is>
      </c>
      <c r="Q446" s="156" t="n"/>
      <c r="R446" s="156" t="n"/>
      <c r="S446" s="156" t="n"/>
      <c r="T446" s="156" t="inlineStr">
        <is>
          <t>Bolsa Satchel Convertible Portalaptop Mochila Cruzada Wrangler. Modelo: Con Asa Superior. Color: Beige. Talla única. Unisex. Referencia: WG190-8319BG.</t>
        </is>
      </c>
      <c r="U446" s="156" t="n"/>
      <c r="V446" s="156" t="inlineStr">
        <is>
          <t>PZS</t>
        </is>
      </c>
      <c r="W446" s="51" t="inlineStr">
        <is>
          <t>53121601</t>
        </is>
      </c>
      <c r="X446" s="156" t="inlineStr">
        <is>
          <t>https://cdn.shopify.com/s/files/1/0005/9015/1741/files/WG190-8319BG5.webp?v=1740972903</t>
        </is>
      </c>
      <c r="Y446" s="54" t="n">
        <v>370.875</v>
      </c>
      <c r="Z446" s="54" t="n">
        <v>599</v>
      </c>
      <c r="AA446" s="55">
        <f>IF(AND(A446="", B446="", E446=""), "", IF(AB446="", "Válido", IF((LEN(AB446)-LEN(SUBSTITUTE(AB446,"; ","")))/2+1&gt;(LEN(AB446)-LEN(SUBSTITUTE(AB446,"[Aviso]","")))/7, "Con Incidencias", "Válido")))</f>
        <v/>
      </c>
      <c r="AB446" s="56">
        <f>IF(AND(A446="", B446="", E446=""), "", TEXTJOIN("; ", TRUE, IF(OR(TRIM(A446&amp;"")="", ISNUMBER(SEARCH("FALTA", A446))), "UPC faltante/inválido", ""), IF(AND(A446&lt;&gt;"", IFERROR(_xlfn.XMATCH(A446,$A$2:$A$1063,0,1)&lt;&gt;_xlfn.XMATCH(A446,$A$2:$A$1063,0,-1),FALSE)), "Código de barras duplicado", ""), IF(AND(E446&lt;&gt;"", COUNTIF($E$2:$E$1063, E446)&gt;1), "SKU duplicado", ""), IF(OR(J446="", J446=""), "[Aviso] División no capturada ()", IF(ISNA(MATCH(J446, Criterios!$A$123:$A$126, 0)), "División no válida", "")), IF(OR(K446="", K446=""), "[Aviso] Categoría no capturada ()", IF(ISNA(MATCH(K446, Criterios!$A$81:$A$120, 0)), "Categoría no válida", IF(AND(J446&lt;&gt;"", J446&lt;&gt;"", J446&lt;&gt;VLOOKUP(K446, Criterios!$A$81:$B$120, 2, FALSE)), "División no coincide con Categoría", ""))), IF(OR(L446="", L446=""), "[Aviso] Género no capturado ()", IF(ISNA(MATCH(L446, Criterios!$B$123:$B$127, 0)), "Género no válido", "")), IF(OR(N446="", N446=""), "[Aviso] Temporada no capturada ()", IF(ISNA(MATCH(N446, Criterios!$C$123:$C$128, 0)), "Temporada no válida", "")), IF(OR(O446="", O446=""), "[Aviso] Ciclo de vida no capturado ()", IF(ISNA(MATCH(O446, Criterios!$D$123:$D$124, 0)), "Ciclo de vida no válido", ""))))</f>
        <v/>
      </c>
      <c r="AC446" s="56" t="n"/>
      <c r="AD446" s="51" t="n"/>
      <c r="AE446" s="156" t="n"/>
      <c r="AF446" s="51" t="n"/>
      <c r="AG446" s="156" t="inlineStr">
        <is>
          <t>Nuevo – Carga Hoja2 01/10/2026</t>
        </is>
      </c>
      <c r="AH446" s="156" t="inlineStr">
        <is>
          <t>Alta 01/10/2026 desde Hoja2 (fila 245) | 01/10/2026: Odoo Universal Unique Brands trae Marca «Montana West» — se conservó el valor de Productos | Homologación G1522 06/10/2026: Enlace de imagen: «» → «https://cdn.shopify.com/s/files/1/0005/9015/1741/files/WG190-8319BG5.webp?v=1740972903» (Completado por investigación en línea) · Validador Shopify: WB: precio con IVA no termina en 9</t>
        </is>
      </c>
      <c r="AI446" s="156" t="n"/>
      <c r="AJ446" s="156" t="n"/>
      <c r="AK446" s="155" t="inlineStr">
        <is>
          <t>Hoja2: fila 245 | Odoo: producto 27324 / plantilla 34024 | Investigación en línea 06/10/2026: https://montanawestworld.com/products/wrangler-vintage-convertible-backpack</t>
        </is>
      </c>
      <c r="AL446" s="58" t="n"/>
      <c r="AM446" s="58" t="n"/>
      <c r="AN446" s="155" t="inlineStr">
        <is>
          <t>Odoo Universal Unique Brands</t>
        </is>
      </c>
      <c r="AO446" s="59" t="n"/>
      <c r="AP446" s="59" t="n"/>
      <c r="AQ446" s="59" t="n">
        <v>4</v>
      </c>
      <c r="AR446" s="155" t="inlineStr">
        <is>
          <t>Odoo Universal Unique Brands › Bodega 25 › Bodega 25/General: 4</t>
        </is>
      </c>
    </row>
    <row r="447">
      <c r="A447" s="50" t="inlineStr">
        <is>
          <t>717325216886</t>
        </is>
      </c>
      <c r="B447" s="51" t="inlineStr">
        <is>
          <t>27325</t>
        </is>
      </c>
      <c r="C447" s="156" t="inlineStr">
        <is>
          <t>Wrangler</t>
        </is>
      </c>
      <c r="D447" s="156" t="inlineStr">
        <is>
          <t>WG190-8319DPK</t>
        </is>
      </c>
      <c r="E447" s="156" t="inlineStr">
        <is>
          <t>WG190-8319DPK</t>
        </is>
      </c>
      <c r="F447" s="156" t="inlineStr">
        <is>
          <t>Talla única</t>
        </is>
      </c>
      <c r="G447" s="156" t="inlineStr">
        <is>
          <t>One Size</t>
        </is>
      </c>
      <c r="H447" s="156" t="inlineStr">
        <is>
          <t>Wrangler</t>
        </is>
      </c>
      <c r="I447" s="156" t="inlineStr">
        <is>
          <t>Bolsa Satchel Convertible Portalaptop Mochila Cruzada Wrangler Con Asa Superior Rosa Oscuro</t>
        </is>
      </c>
      <c r="J447" s="156" t="inlineStr">
        <is>
          <t>Accesorios</t>
        </is>
      </c>
      <c r="K447" s="156" t="inlineStr">
        <is>
          <t>Bolsos</t>
        </is>
      </c>
      <c r="L447" s="156" t="inlineStr">
        <is>
          <t>Unisex</t>
        </is>
      </c>
      <c r="M447" s="156" t="inlineStr">
        <is>
          <t>Wrangler</t>
        </is>
      </c>
      <c r="N447" s="156" t="n"/>
      <c r="O447" s="156" t="inlineStr">
        <is>
          <t>Core</t>
        </is>
      </c>
      <c r="P447" s="156" t="inlineStr">
        <is>
          <t>Rosa</t>
        </is>
      </c>
      <c r="Q447" s="156" t="n"/>
      <c r="R447" s="156" t="n"/>
      <c r="S447" s="156" t="n"/>
      <c r="T447" s="156" t="inlineStr">
        <is>
          <t>Bolsa Satchel Convertible Portalaptop Mochila Cruzada Wrangler. Modelo: Con Asa Superior. Color: Rosa Oscuro. Talla única. Unisex. Referencia: WG190-8319DPK.</t>
        </is>
      </c>
      <c r="U447" s="156" t="n"/>
      <c r="V447" s="156" t="inlineStr">
        <is>
          <t>PZS</t>
        </is>
      </c>
      <c r="W447" s="51" t="inlineStr">
        <is>
          <t>53121601</t>
        </is>
      </c>
      <c r="X447" s="156" t="inlineStr">
        <is>
          <t>https://cdn.shopify.com/s/files/1/0005/9015/1741/files/WG190-8319DPK3.webp?v=1758190834</t>
        </is>
      </c>
      <c r="Y447" s="54" t="n">
        <v>370.875</v>
      </c>
      <c r="Z447" s="54" t="n">
        <v>599</v>
      </c>
      <c r="AA447" s="55">
        <f>IF(AND(A447="", B447="", E447=""), "", IF(AB447="", "Válido", IF((LEN(AB447)-LEN(SUBSTITUTE(AB447,"; ","")))/2+1&gt;(LEN(AB447)-LEN(SUBSTITUTE(AB447,"[Aviso]","")))/7, "Con Incidencias", "Válido")))</f>
        <v/>
      </c>
      <c r="AB447" s="56">
        <f>IF(AND(A447="", B447="", E447=""), "", TEXTJOIN("; ", TRUE, IF(OR(TRIM(A447&amp;"")="", ISNUMBER(SEARCH("FALTA", A447))), "UPC faltante/inválido", ""), IF(AND(A447&lt;&gt;"", IFERROR(_xlfn.XMATCH(A447,$A$2:$A$1063,0,1)&lt;&gt;_xlfn.XMATCH(A447,$A$2:$A$1063,0,-1),FALSE)), "Código de barras duplicado", ""), IF(AND(E447&lt;&gt;"", COUNTIF($E$2:$E$1063, E447)&gt;1), "SKU duplicado", ""), IF(OR(J447="", J447=""), "[Aviso] División no capturada ()", IF(ISNA(MATCH(J447, Criterios!$A$123:$A$126, 0)), "División no válida", "")), IF(OR(K447="", K447=""), "[Aviso] Categoría no capturada ()", IF(ISNA(MATCH(K447, Criterios!$A$81:$A$120, 0)), "Categoría no válida", IF(AND(J447&lt;&gt;"", J447&lt;&gt;"", J447&lt;&gt;VLOOKUP(K447, Criterios!$A$81:$B$120, 2, FALSE)), "División no coincide con Categoría", ""))), IF(OR(L447="", L447=""), "[Aviso] Género no capturado ()", IF(ISNA(MATCH(L447, Criterios!$B$123:$B$127, 0)), "Género no válido", "")), IF(OR(N447="", N447=""), "[Aviso] Temporada no capturada ()", IF(ISNA(MATCH(N447, Criterios!$C$123:$C$128, 0)), "Temporada no válida", "")), IF(OR(O447="", O447=""), "[Aviso] Ciclo de vida no capturado ()", IF(ISNA(MATCH(O447, Criterios!$D$123:$D$124, 0)), "Ciclo de vida no válido", ""))))</f>
        <v/>
      </c>
      <c r="AC447" s="56" t="n"/>
      <c r="AD447" s="51" t="n"/>
      <c r="AE447" s="156" t="n"/>
      <c r="AF447" s="51" t="n"/>
      <c r="AG447" s="156" t="inlineStr">
        <is>
          <t>Nuevo – Carga Hoja2 01/10/2026</t>
        </is>
      </c>
      <c r="AH447" s="156" t="inlineStr">
        <is>
          <t>Alta 01/10/2026 desde Hoja2 (fila 246) | 01/10/2026: Odoo Universal Unique Brands trae Marca «Montana West» — se conservó el valor de Productos | Homologación G1522 06/10/2026: Enlace de imagen: «» → «https://cdn.shopify.com/s/files/1/0005/9015/1741/files/WG190-8319DPK3.webp?v=1758190834» (Completado por investigación en línea) · Validador Shopify: WB: precio con IVA no termina en 9</t>
        </is>
      </c>
      <c r="AI447" s="156" t="n"/>
      <c r="AJ447" s="156" t="n"/>
      <c r="AK447" s="155" t="inlineStr">
        <is>
          <t>Hoja2: fila 246 | Odoo: producto 27325 / plantilla 34025 | Investigación en línea 06/10/2026: https://montanawestworld.com/products/wrangler-vintage-convertible-backpack</t>
        </is>
      </c>
      <c r="AL447" s="58" t="n"/>
      <c r="AM447" s="58" t="n"/>
      <c r="AN447" s="155" t="inlineStr">
        <is>
          <t>Odoo Universal Unique Brands</t>
        </is>
      </c>
      <c r="AO447" s="59" t="n"/>
      <c r="AP447" s="59" t="n"/>
      <c r="AQ447" s="59" t="n">
        <v>5</v>
      </c>
      <c r="AR447" s="155" t="inlineStr">
        <is>
          <t>Odoo Universal Unique Brands › Bodega 25 › Bodega 25/General: 5</t>
        </is>
      </c>
    </row>
    <row r="448">
      <c r="A448" s="50" t="inlineStr">
        <is>
          <t>717325216862</t>
        </is>
      </c>
      <c r="B448" s="51" t="inlineStr">
        <is>
          <t>27327</t>
        </is>
      </c>
      <c r="C448" s="156" t="inlineStr">
        <is>
          <t>Wrangler</t>
        </is>
      </c>
      <c r="D448" s="156" t="inlineStr">
        <is>
          <t>WG190-8319NY</t>
        </is>
      </c>
      <c r="E448" s="156" t="inlineStr">
        <is>
          <t>WG190-8319NY</t>
        </is>
      </c>
      <c r="F448" s="156" t="inlineStr">
        <is>
          <t>Talla única</t>
        </is>
      </c>
      <c r="G448" s="156" t="inlineStr">
        <is>
          <t>One Size</t>
        </is>
      </c>
      <c r="H448" s="156" t="inlineStr">
        <is>
          <t>Wrangler</t>
        </is>
      </c>
      <c r="I448" s="156" t="inlineStr">
        <is>
          <t>Bolsa Satchel Convertible Portalaptop Mochila Cruzada Wrangler Con Asa Superior Azul Marino</t>
        </is>
      </c>
      <c r="J448" s="156" t="inlineStr">
        <is>
          <t>Accesorios</t>
        </is>
      </c>
      <c r="K448" s="156" t="inlineStr">
        <is>
          <t>Bolsos</t>
        </is>
      </c>
      <c r="L448" s="156" t="inlineStr">
        <is>
          <t>Unisex</t>
        </is>
      </c>
      <c r="M448" s="156" t="inlineStr">
        <is>
          <t>Wrangler</t>
        </is>
      </c>
      <c r="N448" s="156" t="n"/>
      <c r="O448" s="156" t="inlineStr">
        <is>
          <t>Core</t>
        </is>
      </c>
      <c r="P448" s="156" t="inlineStr">
        <is>
          <t>Azul</t>
        </is>
      </c>
      <c r="Q448" s="156" t="n"/>
      <c r="R448" s="156" t="n"/>
      <c r="S448" s="156" t="n"/>
      <c r="T448" s="156" t="inlineStr">
        <is>
          <t>Bolsa Satchel Convertible Portalaptop Mochila Cruzada Wrangler. Modelo: Con Asa Superior. Color: Azul Marino. Talla única. Unisex. Referencia: WG190-8319NY.</t>
        </is>
      </c>
      <c r="U448" s="156" t="n"/>
      <c r="V448" s="156" t="inlineStr">
        <is>
          <t>PZS</t>
        </is>
      </c>
      <c r="W448" s="51" t="inlineStr">
        <is>
          <t>53121601</t>
        </is>
      </c>
      <c r="X448" s="156" t="n"/>
      <c r="Y448" s="54" t="n">
        <v>370.875</v>
      </c>
      <c r="Z448" s="54" t="n">
        <v>599</v>
      </c>
      <c r="AA448" s="55">
        <f>IF(AND(A448="", B448="", E448=""), "", IF(AB448="", "Válido", IF((LEN(AB448)-LEN(SUBSTITUTE(AB448,"; ","")))/2+1&gt;(LEN(AB448)-LEN(SUBSTITUTE(AB448,"[Aviso]","")))/7, "Con Incidencias", "Válido")))</f>
        <v/>
      </c>
      <c r="AB448" s="56">
        <f>IF(AND(A448="", B448="", E448=""), "", TEXTJOIN("; ", TRUE, IF(OR(TRIM(A448&amp;"")="", ISNUMBER(SEARCH("FALTA", A448))), "UPC faltante/inválido", ""), IF(AND(A448&lt;&gt;"", IFERROR(_xlfn.XMATCH(A448,$A$2:$A$1063,0,1)&lt;&gt;_xlfn.XMATCH(A448,$A$2:$A$1063,0,-1),FALSE)), "Código de barras duplicado", ""), IF(AND(E448&lt;&gt;"", COUNTIF($E$2:$E$1063, E448)&gt;1), "SKU duplicado", ""), IF(OR(J448="", J448=""), "[Aviso] División no capturada ()", IF(ISNA(MATCH(J448, Criterios!$A$123:$A$126, 0)), "División no válida", "")), IF(OR(K448="", K448=""), "[Aviso] Categoría no capturada ()", IF(ISNA(MATCH(K448, Criterios!$A$81:$A$120, 0)), "Categoría no válida", IF(AND(J448&lt;&gt;"", J448&lt;&gt;"", J448&lt;&gt;VLOOKUP(K448, Criterios!$A$81:$B$120, 2, FALSE)), "División no coincide con Categoría", ""))), IF(OR(L448="", L448=""), "[Aviso] Género no capturado ()", IF(ISNA(MATCH(L448, Criterios!$B$123:$B$127, 0)), "Género no válido", "")), IF(OR(N448="", N448=""), "[Aviso] Temporada no capturada ()", IF(ISNA(MATCH(N448, Criterios!$C$123:$C$128, 0)), "Temporada no válida", "")), IF(OR(O448="", O448=""), "[Aviso] Ciclo de vida no capturado ()", IF(ISNA(MATCH(O448, Criterios!$D$123:$D$124, 0)), "Ciclo de vida no válido", ""))))</f>
        <v/>
      </c>
      <c r="AC448" s="56" t="n"/>
      <c r="AD448" s="51" t="n"/>
      <c r="AE448" s="156" t="n"/>
      <c r="AF448" s="51" t="n"/>
      <c r="AG448" s="156" t="inlineStr">
        <is>
          <t>Nuevo – Carga Hoja2 01/10/2026</t>
        </is>
      </c>
      <c r="AH448" s="156" t="inlineStr">
        <is>
          <t>Alta 01/10/2026 desde Hoja2 (fila 247) | 01/10/2026: Odoo Universal Unique Brands trae Marca «Montana West» — se conservó el valor de Productos | Homologación G1522 06/10/2026: Validador Shopify: WB: precio con IVA no termina en 9</t>
        </is>
      </c>
      <c r="AI448" s="156" t="n"/>
      <c r="AJ448" s="156" t="n"/>
      <c r="AK448" s="155" t="inlineStr">
        <is>
          <t>Hoja2: fila 247 | Odoo: producto 27327 / plantilla 34027</t>
        </is>
      </c>
      <c r="AL448" s="58" t="n"/>
      <c r="AM448" s="58" t="n"/>
      <c r="AN448" s="155" t="inlineStr">
        <is>
          <t>Odoo Universal Unique Brands</t>
        </is>
      </c>
      <c r="AO448" s="59" t="n"/>
      <c r="AP448" s="59" t="n"/>
      <c r="AQ448" s="59" t="n">
        <v>5</v>
      </c>
      <c r="AR448" s="155" t="inlineStr">
        <is>
          <t>Odoo Universal Unique Brands › Bodega 25 › Bodega 25/General: 5</t>
        </is>
      </c>
    </row>
    <row r="449">
      <c r="A449" s="50" t="n"/>
      <c r="B449" s="51" t="inlineStr">
        <is>
          <t>27328</t>
        </is>
      </c>
      <c r="C449" s="156" t="inlineStr">
        <is>
          <t>Montana West</t>
        </is>
      </c>
      <c r="D449" s="156" t="n"/>
      <c r="E449" s="156" t="inlineStr">
        <is>
          <t>WG195-W054PK</t>
        </is>
      </c>
      <c r="F449" s="156" t="inlineStr">
        <is>
          <t>Talla única</t>
        </is>
      </c>
      <c r="G449" s="156" t="inlineStr">
        <is>
          <t>One Size</t>
        </is>
      </c>
      <c r="H449" s="156" t="inlineStr">
        <is>
          <t>Montana West</t>
        </is>
      </c>
      <c r="I449" s="156" t="inlineStr">
        <is>
          <t>WG BAG</t>
        </is>
      </c>
      <c r="J449" s="156" t="inlineStr">
        <is>
          <t>Accesorios</t>
        </is>
      </c>
      <c r="K449" s="156" t="inlineStr">
        <is>
          <t>Carteras</t>
        </is>
      </c>
      <c r="L449" s="156" t="inlineStr">
        <is>
          <t>Unisex</t>
        </is>
      </c>
      <c r="M449" s="156" t="n"/>
      <c r="N449" s="156" t="n"/>
      <c r="O449" s="156" t="n"/>
      <c r="P449" s="156" t="n"/>
      <c r="Q449" s="156" t="n"/>
      <c r="R449" s="156" t="n"/>
      <c r="S449" s="156" t="n"/>
      <c r="T449" s="156" t="n"/>
      <c r="U449" s="156" t="n"/>
      <c r="V449" s="156" t="inlineStr">
        <is>
          <t>PZS</t>
        </is>
      </c>
      <c r="W449" s="51" t="inlineStr">
        <is>
          <t>53121601</t>
        </is>
      </c>
      <c r="X449" s="156" t="n"/>
      <c r="Y449" s="54" t="n">
        <v>293.25</v>
      </c>
      <c r="Z449" s="54" t="n">
        <v>499</v>
      </c>
      <c r="AA449" s="55">
        <f>IF(AND(A449="", B449="", E449=""), "", IF(AB449="", "Válido", IF((LEN(AB449)-LEN(SUBSTITUTE(AB449,"; ","")))/2+1&gt;(LEN(AB449)-LEN(SUBSTITUTE(AB449,"[Aviso]","")))/7, "Con Incidencias", "Válido")))</f>
        <v/>
      </c>
      <c r="AB449" s="56">
        <f>IF(AND(A449="", B449="", E449=""), "", TEXTJOIN("; ", TRUE, IF(OR(TRIM(A449&amp;"")="", ISNUMBER(SEARCH("FALTA", A449))), "UPC faltante/inválido", ""), IF(AND(A449&lt;&gt;"", IFERROR(_xlfn.XMATCH(A449,$A$2:$A$1063,0,1)&lt;&gt;_xlfn.XMATCH(A449,$A$2:$A$1063,0,-1),FALSE)), "Código de barras duplicado", ""), IF(AND(E449&lt;&gt;"", COUNTIF($E$2:$E$1063, E449)&gt;1), "SKU duplicado", ""), IF(OR(J449="", J449=""), "[Aviso] División no capturada ()", IF(ISNA(MATCH(J449, Criterios!$A$123:$A$126, 0)), "División no válida", "")), IF(OR(K449="", K449=""), "[Aviso] Categoría no capturada ()", IF(ISNA(MATCH(K449, Criterios!$A$81:$A$120, 0)), "Categoría no válida", IF(AND(J449&lt;&gt;"", J449&lt;&gt;"", J449&lt;&gt;VLOOKUP(K449, Criterios!$A$81:$B$120, 2, FALSE)), "División no coincide con Categoría", ""))), IF(OR(L449="", L449=""), "[Aviso] Género no capturado ()", IF(ISNA(MATCH(L449, Criterios!$B$123:$B$127, 0)), "Género no válido", "")), IF(OR(N449="", N449=""), "[Aviso] Temporada no capturada ()", IF(ISNA(MATCH(N449, Criterios!$C$123:$C$128, 0)), "Temporada no válida", "")), IF(OR(O449="", O449=""), "[Aviso] Ciclo de vida no capturado ()", IF(ISNA(MATCH(O449, Criterios!$D$123:$D$124, 0)), "Ciclo de vida no válido", ""))))</f>
        <v/>
      </c>
      <c r="AC449" s="56" t="n"/>
      <c r="AD449" s="51" t="n"/>
      <c r="AE449" s="156" t="n"/>
      <c r="AF449" s="51" t="n"/>
      <c r="AG449" s="156" t="inlineStr">
        <is>
          <t>Nuevo – Carga Hoja2 01/10/2026</t>
        </is>
      </c>
      <c r="AH449" s="156" t="inlineStr">
        <is>
          <t>Alta 01/10/2026 desde Hoja2 (fila 248)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49" s="156" t="n"/>
      <c r="AJ449" s="156" t="n"/>
      <c r="AK449" s="155" t="inlineStr">
        <is>
          <t>Hoja2: fila 248 | Odoo: producto 27328 / plantilla 34028</t>
        </is>
      </c>
      <c r="AL449" s="58" t="n"/>
      <c r="AM449" s="58" t="n"/>
      <c r="AN449" s="155" t="inlineStr">
        <is>
          <t>Odoo Universal Unique Brands</t>
        </is>
      </c>
      <c r="AO449" s="59" t="n"/>
      <c r="AP449" s="59" t="n"/>
      <c r="AQ449" s="59" t="n">
        <v>0</v>
      </c>
      <c r="AR449" s="155" t="n"/>
    </row>
    <row r="450">
      <c r="A450" s="50" t="inlineStr">
        <is>
          <t>717325218354</t>
        </is>
      </c>
      <c r="B450" s="51" t="inlineStr">
        <is>
          <t>27329</t>
        </is>
      </c>
      <c r="C450" s="156" t="inlineStr">
        <is>
          <t>Wrangler</t>
        </is>
      </c>
      <c r="D450" s="156" t="inlineStr">
        <is>
          <t>WG195-W054TQ</t>
        </is>
      </c>
      <c r="E450" s="156" t="inlineStr">
        <is>
          <t>WG195-W054TQ</t>
        </is>
      </c>
      <c r="F450" s="156" t="inlineStr">
        <is>
          <t>Talla única</t>
        </is>
      </c>
      <c r="G450" s="156" t="inlineStr">
        <is>
          <t>One Size</t>
        </is>
      </c>
      <c r="H450" s="156" t="inlineStr">
        <is>
          <t>Wrangler</t>
        </is>
      </c>
      <c r="I450" s="156" t="inlineStr">
        <is>
          <t>Bolsa Wrangler Turquesa</t>
        </is>
      </c>
      <c r="J450" s="156" t="inlineStr">
        <is>
          <t>Accesorios</t>
        </is>
      </c>
      <c r="K450" s="156" t="inlineStr">
        <is>
          <t>Carteras</t>
        </is>
      </c>
      <c r="L450" s="156" t="inlineStr">
        <is>
          <t>Unisex</t>
        </is>
      </c>
      <c r="M450" s="156" t="inlineStr">
        <is>
          <t>Wrangler</t>
        </is>
      </c>
      <c r="N450" s="156" t="n"/>
      <c r="O450" s="156" t="inlineStr">
        <is>
          <t>Core</t>
        </is>
      </c>
      <c r="P450" s="156" t="inlineStr">
        <is>
          <t>Azul</t>
        </is>
      </c>
      <c r="Q450" s="156" t="n"/>
      <c r="R450" s="156" t="n"/>
      <c r="S450" s="156" t="n"/>
      <c r="T450" s="156" t="inlineStr">
        <is>
          <t>Bolsa Wrangler. Color: Turquesa. Talla única. Unisex. Referencia: WG195-W054TQ.</t>
        </is>
      </c>
      <c r="U450" s="156" t="n"/>
      <c r="V450" s="156" t="inlineStr">
        <is>
          <t>PZS</t>
        </is>
      </c>
      <c r="W450" s="51" t="inlineStr">
        <is>
          <t>53121700</t>
        </is>
      </c>
      <c r="X450" s="156" t="n"/>
      <c r="Y450" s="54" t="n">
        <v>293.25</v>
      </c>
      <c r="Z450" s="54" t="n">
        <v>499</v>
      </c>
      <c r="AA450" s="55">
        <f>IF(AND(A450="", B450="", E450=""), "", IF(AB450="", "Válido", IF((LEN(AB450)-LEN(SUBSTITUTE(AB450,"; ","")))/2+1&gt;(LEN(AB450)-LEN(SUBSTITUTE(AB450,"[Aviso]","")))/7, "Con Incidencias", "Válido")))</f>
        <v/>
      </c>
      <c r="AB450" s="56">
        <f>IF(AND(A450="", B450="", E450=""), "", TEXTJOIN("; ", TRUE, IF(OR(TRIM(A450&amp;"")="", ISNUMBER(SEARCH("FALTA", A450))), "UPC faltante/inválido", ""), IF(AND(A450&lt;&gt;"", IFERROR(_xlfn.XMATCH(A450,$A$2:$A$1063,0,1)&lt;&gt;_xlfn.XMATCH(A450,$A$2:$A$1063,0,-1),FALSE)), "Código de barras duplicado", ""), IF(AND(E450&lt;&gt;"", COUNTIF($E$2:$E$1063, E450)&gt;1), "SKU duplicado", ""), IF(OR(J450="", J450=""), "[Aviso] División no capturada ()", IF(ISNA(MATCH(J450, Criterios!$A$123:$A$126, 0)), "División no válida", "")), IF(OR(K450="", K450=""), "[Aviso] Categoría no capturada ()", IF(ISNA(MATCH(K450, Criterios!$A$81:$A$120, 0)), "Categoría no válida", IF(AND(J450&lt;&gt;"", J450&lt;&gt;"", J450&lt;&gt;VLOOKUP(K450, Criterios!$A$81:$B$120, 2, FALSE)), "División no coincide con Categoría", ""))), IF(OR(L450="", L450=""), "[Aviso] Género no capturado ()", IF(ISNA(MATCH(L450, Criterios!$B$123:$B$127, 0)), "Género no válido", "")), IF(OR(N450="", N450=""), "[Aviso] Temporada no capturada ()", IF(ISNA(MATCH(N450, Criterios!$C$123:$C$128, 0)), "Temporada no válida", "")), IF(OR(O450="", O450=""), "[Aviso] Ciclo de vida no capturado ()", IF(ISNA(MATCH(O450, Criterios!$D$123:$D$124, 0)), "Ciclo de vida no válido", ""))))</f>
        <v/>
      </c>
      <c r="AC450" s="56" t="n"/>
      <c r="AD450" s="51" t="n"/>
      <c r="AE450" s="156" t="n"/>
      <c r="AF450" s="51" t="n"/>
      <c r="AG450" s="156" t="inlineStr">
        <is>
          <t>Nuevo – Carga Hoja2 01/10/2026</t>
        </is>
      </c>
      <c r="AH450" s="156" t="inlineStr">
        <is>
          <t>Alta 01/10/2026 desde Hoja2 (fila 249) | 01/10/2026: Odoo Universal Unique Brands trae Marca «Montana West» — se conservó el valor de Productos | Homologación G1522 06/10/2026: Validador Shopify: WB: precio con IVA no termina en 9</t>
        </is>
      </c>
      <c r="AI450" s="156" t="n"/>
      <c r="AJ450" s="156" t="n"/>
      <c r="AK450" s="155" t="inlineStr">
        <is>
          <t>Hoja2: fila 249 | Odoo: producto 27329 / plantilla 34029</t>
        </is>
      </c>
      <c r="AL450" s="58" t="n"/>
      <c r="AM450" s="58" t="n"/>
      <c r="AN450" s="155" t="inlineStr">
        <is>
          <t>Odoo Universal Unique Brands</t>
        </is>
      </c>
      <c r="AO450" s="59" t="n"/>
      <c r="AP450" s="59" t="n"/>
      <c r="AQ450" s="59" t="n">
        <v>8</v>
      </c>
      <c r="AR450" s="155" t="inlineStr">
        <is>
          <t>Odoo Universal Unique Brands › Bodega 25 › Bodega 25/General: 8</t>
        </is>
      </c>
    </row>
    <row r="451">
      <c r="A451" s="50" t="inlineStr">
        <is>
          <t>717325218415</t>
        </is>
      </c>
      <c r="B451" s="51" t="inlineStr">
        <is>
          <t>27333</t>
        </is>
      </c>
      <c r="C451" s="156" t="inlineStr">
        <is>
          <t>Wrangler</t>
        </is>
      </c>
      <c r="D451" s="156" t="inlineStr">
        <is>
          <t>WG195-W055JN</t>
        </is>
      </c>
      <c r="E451" s="156" t="inlineStr">
        <is>
          <t>WG195-W055JN</t>
        </is>
      </c>
      <c r="F451" s="156" t="inlineStr">
        <is>
          <t>Talla única</t>
        </is>
      </c>
      <c r="G451" s="156" t="inlineStr">
        <is>
          <t>One Size</t>
        </is>
      </c>
      <c r="H451" s="156" t="inlineStr">
        <is>
          <t>Wrangler</t>
        </is>
      </c>
      <c r="I451" s="156" t="inlineStr">
        <is>
          <t>Cartera Trifold Muñequera RFID Wrangler Western Con Tarjetero Desmontable Mezclilla</t>
        </is>
      </c>
      <c r="J451" s="156" t="inlineStr">
        <is>
          <t>Accesorios</t>
        </is>
      </c>
      <c r="K451" s="156" t="inlineStr">
        <is>
          <t>Carteras</t>
        </is>
      </c>
      <c r="L451" s="156" t="inlineStr">
        <is>
          <t>Unisex</t>
        </is>
      </c>
      <c r="M451" s="156" t="inlineStr">
        <is>
          <t>Wrangler</t>
        </is>
      </c>
      <c r="N451" s="156" t="n"/>
      <c r="O451" s="156" t="inlineStr">
        <is>
          <t>Core</t>
        </is>
      </c>
      <c r="P451" s="156" t="inlineStr">
        <is>
          <t>Varios</t>
        </is>
      </c>
      <c r="Q451" s="156" t="n"/>
      <c r="R451" s="156" t="n"/>
      <c r="S451" s="156" t="n"/>
      <c r="T451" s="156" t="inlineStr">
        <is>
          <t>Cartera Trifold Muñequera RFID Wrangler. Modelo: Western Con Tarjetero Desmontable. Color: Mezclilla. Talla única. Unisex. Referencia: WG195-W055JN.</t>
        </is>
      </c>
      <c r="U451" s="156" t="n"/>
      <c r="V451" s="156" t="inlineStr">
        <is>
          <t>PZS</t>
        </is>
      </c>
      <c r="W451" s="51" t="inlineStr">
        <is>
          <t>53121700</t>
        </is>
      </c>
      <c r="X451" s="156" t="n"/>
      <c r="Y451" s="54" t="n">
        <v>276</v>
      </c>
      <c r="Z451" s="54" t="n">
        <v>449</v>
      </c>
      <c r="AA451" s="55">
        <f>IF(AND(A451="", B451="", E451=""), "", IF(AB451="", "Válido", IF((LEN(AB451)-LEN(SUBSTITUTE(AB451,"; ","")))/2+1&gt;(LEN(AB451)-LEN(SUBSTITUTE(AB451,"[Aviso]","")))/7, "Con Incidencias", "Válido")))</f>
        <v/>
      </c>
      <c r="AB451" s="56">
        <f>IF(AND(A451="", B451="", E451=""), "", TEXTJOIN("; ", TRUE, IF(OR(TRIM(A451&amp;"")="", ISNUMBER(SEARCH("FALTA", A451))), "UPC faltante/inválido", ""), IF(AND(A451&lt;&gt;"", IFERROR(_xlfn.XMATCH(A451,$A$2:$A$1063,0,1)&lt;&gt;_xlfn.XMATCH(A451,$A$2:$A$1063,0,-1),FALSE)), "Código de barras duplicado", ""), IF(AND(E451&lt;&gt;"", COUNTIF($E$2:$E$1063, E451)&gt;1), "SKU duplicado", ""), IF(OR(J451="", J451=""), "[Aviso] División no capturada ()", IF(ISNA(MATCH(J451, Criterios!$A$123:$A$126, 0)), "División no válida", "")), IF(OR(K451="", K451=""), "[Aviso] Categoría no capturada ()", IF(ISNA(MATCH(K451, Criterios!$A$81:$A$120, 0)), "Categoría no válida", IF(AND(J451&lt;&gt;"", J451&lt;&gt;"", J451&lt;&gt;VLOOKUP(K451, Criterios!$A$81:$B$120, 2, FALSE)), "División no coincide con Categoría", ""))), IF(OR(L451="", L451=""), "[Aviso] Género no capturado ()", IF(ISNA(MATCH(L451, Criterios!$B$123:$B$127, 0)), "Género no válido", "")), IF(OR(N451="", N451=""), "[Aviso] Temporada no capturada ()", IF(ISNA(MATCH(N451, Criterios!$C$123:$C$128, 0)), "Temporada no válida", "")), IF(OR(O451="", O451=""), "[Aviso] Ciclo de vida no capturado ()", IF(ISNA(MATCH(O451, Criterios!$D$123:$D$124, 0)), "Ciclo de vida no válido", ""))))</f>
        <v/>
      </c>
      <c r="AC451" s="56" t="n"/>
      <c r="AD451" s="51" t="n"/>
      <c r="AE451" s="156" t="n"/>
      <c r="AF451" s="51" t="n"/>
      <c r="AG451" s="156" t="inlineStr">
        <is>
          <t>Nuevo – Carga Hoja2 01/10/2026</t>
        </is>
      </c>
      <c r="AH451" s="156" t="inlineStr">
        <is>
          <t>Alta 01/10/2026 desde Hoja2 (fila 250) | 01/10/2026: Odoo Universal Unique Brands trae Marca «Montana West» — se conservó el valor de Productos | Homologación G1522 06/10/2026: Validador Shopify: WB: precio con IVA no termina en 9</t>
        </is>
      </c>
      <c r="AI451" s="156" t="n"/>
      <c r="AJ451" s="156" t="n"/>
      <c r="AK451" s="155" t="inlineStr">
        <is>
          <t>Hoja2: fila 250 | Odoo: producto 27333 / plantilla 34033</t>
        </is>
      </c>
      <c r="AL451" s="58" t="n"/>
      <c r="AM451" s="58" t="n"/>
      <c r="AN451" s="155" t="inlineStr">
        <is>
          <t>Odoo Universal Unique Brands</t>
        </is>
      </c>
      <c r="AO451" s="59" t="n"/>
      <c r="AP451" s="59" t="n"/>
      <c r="AQ451" s="59" t="n">
        <v>-2</v>
      </c>
      <c r="AR451" s="155" t="n"/>
    </row>
    <row r="452">
      <c r="A452" s="50" t="inlineStr">
        <is>
          <t>717325218088</t>
        </is>
      </c>
      <c r="B452" s="51" t="inlineStr">
        <is>
          <t>27338</t>
        </is>
      </c>
      <c r="C452" s="156" t="inlineStr">
        <is>
          <t>Wrangler</t>
        </is>
      </c>
      <c r="D452" s="156" t="inlineStr">
        <is>
          <t>WG196-W056BK</t>
        </is>
      </c>
      <c r="E452" s="156" t="inlineStr">
        <is>
          <t>WG196-W056BK</t>
        </is>
      </c>
      <c r="F452" s="156" t="inlineStr">
        <is>
          <t>Talla única</t>
        </is>
      </c>
      <c r="G452" s="156" t="inlineStr">
        <is>
          <t>One Size</t>
        </is>
      </c>
      <c r="H452" s="156" t="inlineStr">
        <is>
          <t>Wrangler</t>
        </is>
      </c>
      <c r="I452" s="156" t="inlineStr">
        <is>
          <t>Cartera Trifold Muñequera RFID Wrangler Floral Grabada Western Negro</t>
        </is>
      </c>
      <c r="J452" s="156" t="inlineStr">
        <is>
          <t>Accesorios</t>
        </is>
      </c>
      <c r="K452" s="156" t="inlineStr">
        <is>
          <t>Carteras</t>
        </is>
      </c>
      <c r="L452" s="156" t="inlineStr">
        <is>
          <t>Unisex</t>
        </is>
      </c>
      <c r="M452" s="156" t="inlineStr">
        <is>
          <t>Wrangler</t>
        </is>
      </c>
      <c r="N452" s="156" t="n"/>
      <c r="O452" s="156" t="inlineStr">
        <is>
          <t>Core</t>
        </is>
      </c>
      <c r="P452" s="156" t="inlineStr">
        <is>
          <t>Negro</t>
        </is>
      </c>
      <c r="Q452" s="156" t="n"/>
      <c r="R452" s="156" t="n"/>
      <c r="S452" s="156" t="n"/>
      <c r="T452" s="156" t="inlineStr">
        <is>
          <t>Cartera Trifold Muñequera RFID Wrangler. Modelo: Floral Grabada Western. Color: Negro. Talla única. Unisex. Referencia: WG196-W056BK.</t>
        </is>
      </c>
      <c r="U452" s="156" t="n"/>
      <c r="V452" s="156" t="inlineStr">
        <is>
          <t>PZS</t>
        </is>
      </c>
      <c r="W452" s="51" t="inlineStr">
        <is>
          <t>53121700</t>
        </is>
      </c>
      <c r="X452" s="156" t="n"/>
      <c r="Y452" s="54" t="n">
        <v>293.25</v>
      </c>
      <c r="Z452" s="54" t="n">
        <v>499</v>
      </c>
      <c r="AA452" s="55">
        <f>IF(AND(A452="", B452="", E452=""), "", IF(AB452="", "Válido", IF((LEN(AB452)-LEN(SUBSTITUTE(AB452,"; ","")))/2+1&gt;(LEN(AB452)-LEN(SUBSTITUTE(AB452,"[Aviso]","")))/7, "Con Incidencias", "Válido")))</f>
        <v/>
      </c>
      <c r="AB452" s="56">
        <f>IF(AND(A452="", B452="", E452=""), "", TEXTJOIN("; ", TRUE, IF(OR(TRIM(A452&amp;"")="", ISNUMBER(SEARCH("FALTA", A452))), "UPC faltante/inválido", ""), IF(AND(A452&lt;&gt;"", IFERROR(_xlfn.XMATCH(A452,$A$2:$A$1063,0,1)&lt;&gt;_xlfn.XMATCH(A452,$A$2:$A$1063,0,-1),FALSE)), "Código de barras duplicado", ""), IF(AND(E452&lt;&gt;"", COUNTIF($E$2:$E$1063, E452)&gt;1), "SKU duplicado", ""), IF(OR(J452="", J452=""), "[Aviso] División no capturada ()", IF(ISNA(MATCH(J452, Criterios!$A$123:$A$126, 0)), "División no válida", "")), IF(OR(K452="", K452=""), "[Aviso] Categoría no capturada ()", IF(ISNA(MATCH(K452, Criterios!$A$81:$A$120, 0)), "Categoría no válida", IF(AND(J452&lt;&gt;"", J452&lt;&gt;"", J452&lt;&gt;VLOOKUP(K452, Criterios!$A$81:$B$120, 2, FALSE)), "División no coincide con Categoría", ""))), IF(OR(L452="", L452=""), "[Aviso] Género no capturado ()", IF(ISNA(MATCH(L452, Criterios!$B$123:$B$127, 0)), "Género no válido", "")), IF(OR(N452="", N452=""), "[Aviso] Temporada no capturada ()", IF(ISNA(MATCH(N452, Criterios!$C$123:$C$128, 0)), "Temporada no válida", "")), IF(OR(O452="", O452=""), "[Aviso] Ciclo de vida no capturado ()", IF(ISNA(MATCH(O452, Criterios!$D$123:$D$124, 0)), "Ciclo de vida no válido", ""))))</f>
        <v/>
      </c>
      <c r="AC452" s="56" t="n"/>
      <c r="AD452" s="51" t="n"/>
      <c r="AE452" s="156" t="n"/>
      <c r="AF452" s="51" t="n"/>
      <c r="AG452" s="156" t="inlineStr">
        <is>
          <t>Nuevo – Carga Hoja2 01/10/2026</t>
        </is>
      </c>
      <c r="AH452" s="156" t="inlineStr">
        <is>
          <t>Alta 01/10/2026 desde Hoja2 (fila 251) | 01/10/2026: Odoo Universal Unique Brands trae Marca «Montana West» — se conservó el valor de Productos | Homologación G1522 06/10/2026: Validador Shopify: WB: precio con IVA no termina en 9</t>
        </is>
      </c>
      <c r="AI452" s="156" t="n"/>
      <c r="AJ452" s="156" t="n"/>
      <c r="AK452" s="155" t="inlineStr">
        <is>
          <t>Hoja2: fila 251 | Odoo: producto 27338 / plantilla 34038</t>
        </is>
      </c>
      <c r="AL452" s="58" t="n"/>
      <c r="AM452" s="58" t="n"/>
      <c r="AN452" s="155" t="inlineStr">
        <is>
          <t>Odoo Universal Unique Brands</t>
        </is>
      </c>
      <c r="AO452" s="59" t="n"/>
      <c r="AP452" s="59" t="n"/>
      <c r="AQ452" s="59" t="n">
        <v>3</v>
      </c>
      <c r="AR452" s="155" t="inlineStr">
        <is>
          <t>Odoo Universal Unique Brands › Bodega 25 › Bodega 25/General: 3</t>
        </is>
      </c>
    </row>
    <row r="453">
      <c r="A453" s="50" t="n"/>
      <c r="B453" s="51" t="inlineStr">
        <is>
          <t>27342</t>
        </is>
      </c>
      <c r="C453" s="156" t="inlineStr">
        <is>
          <t>Montana West</t>
        </is>
      </c>
      <c r="D453" s="156" t="n"/>
      <c r="E453" s="156" t="inlineStr">
        <is>
          <t>WG196-W056TQ</t>
        </is>
      </c>
      <c r="F453" s="156" t="inlineStr">
        <is>
          <t>Talla única</t>
        </is>
      </c>
      <c r="G453" s="156" t="inlineStr">
        <is>
          <t>One Size</t>
        </is>
      </c>
      <c r="H453" s="156" t="inlineStr">
        <is>
          <t>Montana West</t>
        </is>
      </c>
      <c r="I453" s="156" t="inlineStr">
        <is>
          <t>WG WALLET</t>
        </is>
      </c>
      <c r="J453" s="156" t="inlineStr">
        <is>
          <t>Accesorios</t>
        </is>
      </c>
      <c r="K453" s="156" t="inlineStr">
        <is>
          <t>Carteras</t>
        </is>
      </c>
      <c r="L453" s="156" t="inlineStr">
        <is>
          <t>Unisex</t>
        </is>
      </c>
      <c r="M453" s="156" t="n"/>
      <c r="N453" s="156" t="n"/>
      <c r="O453" s="156" t="n"/>
      <c r="P453" s="156" t="n"/>
      <c r="Q453" s="156" t="n"/>
      <c r="R453" s="156" t="n"/>
      <c r="S453" s="156" t="n"/>
      <c r="T453" s="156" t="n"/>
      <c r="U453" s="156" t="n"/>
      <c r="V453" s="156" t="inlineStr">
        <is>
          <t>PZS</t>
        </is>
      </c>
      <c r="W453" s="51" t="inlineStr">
        <is>
          <t>53121601</t>
        </is>
      </c>
      <c r="X453" s="156" t="n"/>
      <c r="Y453" s="54" t="n">
        <v>293.25</v>
      </c>
      <c r="Z453" s="54" t="n">
        <v>499</v>
      </c>
      <c r="AA453" s="55">
        <f>IF(AND(A453="", B453="", E453=""), "", IF(AB453="", "Válido", IF((LEN(AB453)-LEN(SUBSTITUTE(AB453,"; ","")))/2+1&gt;(LEN(AB453)-LEN(SUBSTITUTE(AB453,"[Aviso]","")))/7, "Con Incidencias", "Válido")))</f>
        <v/>
      </c>
      <c r="AB453" s="56">
        <f>IF(AND(A453="", B453="", E453=""), "", TEXTJOIN("; ", TRUE, IF(OR(TRIM(A453&amp;"")="", ISNUMBER(SEARCH("FALTA", A453))), "UPC faltante/inválido", ""), IF(AND(A453&lt;&gt;"", IFERROR(_xlfn.XMATCH(A453,$A$2:$A$1063,0,1)&lt;&gt;_xlfn.XMATCH(A453,$A$2:$A$1063,0,-1),FALSE)), "Código de barras duplicado", ""), IF(AND(E453&lt;&gt;"", COUNTIF($E$2:$E$1063, E453)&gt;1), "SKU duplicado", ""), IF(OR(J453="", J453=""), "[Aviso] División no capturada ()", IF(ISNA(MATCH(J453, Criterios!$A$123:$A$126, 0)), "División no válida", "")), IF(OR(K453="", K453=""), "[Aviso] Categoría no capturada ()", IF(ISNA(MATCH(K453, Criterios!$A$81:$A$120, 0)), "Categoría no válida", IF(AND(J453&lt;&gt;"", J453&lt;&gt;"", J453&lt;&gt;VLOOKUP(K453, Criterios!$A$81:$B$120, 2, FALSE)), "División no coincide con Categoría", ""))), IF(OR(L453="", L453=""), "[Aviso] Género no capturado ()", IF(ISNA(MATCH(L453, Criterios!$B$123:$B$127, 0)), "Género no válido", "")), IF(OR(N453="", N453=""), "[Aviso] Temporada no capturada ()", IF(ISNA(MATCH(N453, Criterios!$C$123:$C$128, 0)), "Temporada no válida", "")), IF(OR(O453="", O453=""), "[Aviso] Ciclo de vida no capturado ()", IF(ISNA(MATCH(O453, Criterios!$D$123:$D$124, 0)), "Ciclo de vida no válido", ""))))</f>
        <v/>
      </c>
      <c r="AC453" s="56" t="n"/>
      <c r="AD453" s="51" t="n"/>
      <c r="AE453" s="156" t="n"/>
      <c r="AF453" s="51" t="n"/>
      <c r="AG453" s="156" t="inlineStr">
        <is>
          <t>Nuevo – Carga Hoja2 01/10/2026</t>
        </is>
      </c>
      <c r="AH453" s="156" t="inlineStr">
        <is>
          <t>Alta 01/10/2026 desde Hoja2 (fila 252)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53" s="156" t="n"/>
      <c r="AJ453" s="156" t="n"/>
      <c r="AK453" s="155" t="inlineStr">
        <is>
          <t>Hoja2: fila 252 | Odoo: producto 27342 / plantilla 34042</t>
        </is>
      </c>
      <c r="AL453" s="58" t="n"/>
      <c r="AM453" s="58" t="n"/>
      <c r="AN453" s="155" t="inlineStr">
        <is>
          <t>Odoo Universal Unique Brands</t>
        </is>
      </c>
      <c r="AO453" s="59" t="n"/>
      <c r="AP453" s="59" t="n"/>
      <c r="AQ453" s="59" t="n">
        <v>0</v>
      </c>
      <c r="AR453" s="155" t="n"/>
    </row>
    <row r="454">
      <c r="A454" s="50" t="n"/>
      <c r="B454" s="51" t="inlineStr">
        <is>
          <t>27344</t>
        </is>
      </c>
      <c r="C454" s="156" t="inlineStr">
        <is>
          <t>Montana West</t>
        </is>
      </c>
      <c r="D454" s="156" t="n"/>
      <c r="E454" s="156" t="inlineStr">
        <is>
          <t>WG198-W063TN</t>
        </is>
      </c>
      <c r="F454" s="156" t="inlineStr">
        <is>
          <t>Talla única</t>
        </is>
      </c>
      <c r="G454" s="156" t="inlineStr">
        <is>
          <t>One Size</t>
        </is>
      </c>
      <c r="H454" s="156" t="inlineStr">
        <is>
          <t>Montana West</t>
        </is>
      </c>
      <c r="I454" s="156" t="inlineStr">
        <is>
          <t>WG WALLET</t>
        </is>
      </c>
      <c r="J454" s="156" t="inlineStr">
        <is>
          <t>Accesorios</t>
        </is>
      </c>
      <c r="K454" s="156" t="inlineStr">
        <is>
          <t>Carteras</t>
        </is>
      </c>
      <c r="L454" s="156" t="inlineStr">
        <is>
          <t>Unisex</t>
        </is>
      </c>
      <c r="M454" s="156" t="n"/>
      <c r="N454" s="156" t="n"/>
      <c r="O454" s="156" t="n"/>
      <c r="P454" s="156" t="n"/>
      <c r="Q454" s="156" t="n"/>
      <c r="R454" s="156" t="n"/>
      <c r="S454" s="156" t="n"/>
      <c r="T454" s="156" t="n"/>
      <c r="U454" s="156" t="n"/>
      <c r="V454" s="156" t="inlineStr">
        <is>
          <t>PZS</t>
        </is>
      </c>
      <c r="W454" s="51" t="inlineStr">
        <is>
          <t>53121601</t>
        </is>
      </c>
      <c r="X454" s="156" t="n"/>
      <c r="Y454" s="54" t="n">
        <v>241.5</v>
      </c>
      <c r="Z454" s="54" t="n">
        <v>399</v>
      </c>
      <c r="AA454" s="55">
        <f>IF(AND(A454="", B454="", E454=""), "", IF(AB454="", "Válido", IF((LEN(AB454)-LEN(SUBSTITUTE(AB454,"; ","")))/2+1&gt;(LEN(AB454)-LEN(SUBSTITUTE(AB454,"[Aviso]","")))/7, "Con Incidencias", "Válido")))</f>
        <v/>
      </c>
      <c r="AB454" s="56">
        <f>IF(AND(A454="", B454="", E454=""), "", TEXTJOIN("; ", TRUE, IF(OR(TRIM(A454&amp;"")="", ISNUMBER(SEARCH("FALTA", A454))), "UPC faltante/inválido", ""), IF(AND(A454&lt;&gt;"", IFERROR(_xlfn.XMATCH(A454,$A$2:$A$1063,0,1)&lt;&gt;_xlfn.XMATCH(A454,$A$2:$A$1063,0,-1),FALSE)), "Código de barras duplicado", ""), IF(AND(E454&lt;&gt;"", COUNTIF($E$2:$E$1063, E454)&gt;1), "SKU duplicado", ""), IF(OR(J454="", J454=""), "[Aviso] División no capturada ()", IF(ISNA(MATCH(J454, Criterios!$A$123:$A$126, 0)), "División no válida", "")), IF(OR(K454="", K454=""), "[Aviso] Categoría no capturada ()", IF(ISNA(MATCH(K454, Criterios!$A$81:$A$120, 0)), "Categoría no válida", IF(AND(J454&lt;&gt;"", J454&lt;&gt;"", J454&lt;&gt;VLOOKUP(K454, Criterios!$A$81:$B$120, 2, FALSE)), "División no coincide con Categoría", ""))), IF(OR(L454="", L454=""), "[Aviso] Género no capturado ()", IF(ISNA(MATCH(L454, Criterios!$B$123:$B$127, 0)), "Género no válido", "")), IF(OR(N454="", N454=""), "[Aviso] Temporada no capturada ()", IF(ISNA(MATCH(N454, Criterios!$C$123:$C$128, 0)), "Temporada no válida", "")), IF(OR(O454="", O454=""), "[Aviso] Ciclo de vida no capturado ()", IF(ISNA(MATCH(O454, Criterios!$D$123:$D$124, 0)), "Ciclo de vida no válido", ""))))</f>
        <v/>
      </c>
      <c r="AC454" s="56" t="n"/>
      <c r="AD454" s="51" t="n"/>
      <c r="AE454" s="156" t="n"/>
      <c r="AF454" s="51" t="n"/>
      <c r="AG454" s="156" t="inlineStr">
        <is>
          <t>Nuevo – Carga Hoja2 01/10/2026</t>
        </is>
      </c>
      <c r="AH454" s="156" t="inlineStr">
        <is>
          <t>Alta 01/10/2026 desde Hoja2 (fila 253) | 01/10/2026: complementado desde Odoo Universal Unique Brands (match por SKU): WB Talla, WB Talla de EE. UU., WB Género | 01/10/2026: Odoo Universal Unique Brands trae Categoría «Bolsos» — se conservó el valor de Productos | Homologación G1522 06/10/2026: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54" s="156" t="n"/>
      <c r="AJ454" s="156" t="n"/>
      <c r="AK454" s="155" t="inlineStr">
        <is>
          <t>Hoja2: fila 253 | Odoo: producto 12489 / plantilla 16066 | Odoo: producto 27344 / plantilla 34044</t>
        </is>
      </c>
      <c r="AL454" s="58" t="n"/>
      <c r="AM454" s="58" t="n"/>
      <c r="AN454" s="155" t="inlineStr">
        <is>
          <t>Odoo Universal Unique Brands</t>
        </is>
      </c>
      <c r="AO454" s="59" t="n"/>
      <c r="AP454" s="59" t="n"/>
      <c r="AQ454" s="59" t="n">
        <v>43</v>
      </c>
      <c r="AR454" s="155" t="inlineStr">
        <is>
          <t>Odoo Universal Unique Brands › Bodega 25 › Bodega 25/General: 37 | Odoo Universal Unique Brands › Bodega 25 › Bodega 25/General: 6</t>
        </is>
      </c>
    </row>
    <row r="455">
      <c r="A455" s="50" t="inlineStr">
        <is>
          <t>717325216053</t>
        </is>
      </c>
      <c r="B455" s="51" t="inlineStr">
        <is>
          <t>27345</t>
        </is>
      </c>
      <c r="C455" s="156" t="inlineStr">
        <is>
          <t>Wrangler</t>
        </is>
      </c>
      <c r="D455" s="156" t="inlineStr">
        <is>
          <t>WG201-8012BK</t>
        </is>
      </c>
      <c r="E455" s="156" t="inlineStr">
        <is>
          <t>WG201-8012BK</t>
        </is>
      </c>
      <c r="F455" s="156" t="inlineStr">
        <is>
          <t>Talla única</t>
        </is>
      </c>
      <c r="G455" s="156" t="inlineStr">
        <is>
          <t>One Size</t>
        </is>
      </c>
      <c r="H455" s="156" t="inlineStr">
        <is>
          <t>Wrangler</t>
        </is>
      </c>
      <c r="I455" s="156" t="inlineStr">
        <is>
          <t>Bolsa Wrangler Negro</t>
        </is>
      </c>
      <c r="J455" s="156" t="inlineStr">
        <is>
          <t>Accesorios</t>
        </is>
      </c>
      <c r="K455" s="156" t="inlineStr">
        <is>
          <t>Bolsos</t>
        </is>
      </c>
      <c r="L455" s="156" t="inlineStr">
        <is>
          <t>Unisex</t>
        </is>
      </c>
      <c r="M455" s="156" t="inlineStr">
        <is>
          <t>Wrangler</t>
        </is>
      </c>
      <c r="N455" s="156" t="n"/>
      <c r="O455" s="156" t="inlineStr">
        <is>
          <t>Core</t>
        </is>
      </c>
      <c r="P455" s="156" t="inlineStr">
        <is>
          <t>Negro</t>
        </is>
      </c>
      <c r="Q455" s="156" t="n"/>
      <c r="R455" s="156" t="n"/>
      <c r="S455" s="156" t="n"/>
      <c r="T455" s="156" t="inlineStr">
        <is>
          <t>Bolsa Wrangler. Color: Negro. Talla única. Unisex. Referencia: WG201-8012BK.</t>
        </is>
      </c>
      <c r="U455" s="156" t="n"/>
      <c r="V455" s="156" t="inlineStr">
        <is>
          <t>PZS</t>
        </is>
      </c>
      <c r="W455" s="51" t="inlineStr">
        <is>
          <t>53121601</t>
        </is>
      </c>
      <c r="X455" s="156" t="n"/>
      <c r="Y455" s="54" t="n">
        <v>241.5</v>
      </c>
      <c r="Z455" s="54" t="n">
        <v>399</v>
      </c>
      <c r="AA455" s="55">
        <f>IF(AND(A455="", B455="", E455=""), "", IF(AB455="", "Válido", IF((LEN(AB455)-LEN(SUBSTITUTE(AB455,"; ","")))/2+1&gt;(LEN(AB455)-LEN(SUBSTITUTE(AB455,"[Aviso]","")))/7, "Con Incidencias", "Válido")))</f>
        <v/>
      </c>
      <c r="AB455" s="56">
        <f>IF(AND(A455="", B455="", E455=""), "", TEXTJOIN("; ", TRUE, IF(OR(TRIM(A455&amp;"")="", ISNUMBER(SEARCH("FALTA", A455))), "UPC faltante/inválido", ""), IF(AND(A455&lt;&gt;"", IFERROR(_xlfn.XMATCH(A455,$A$2:$A$1063,0,1)&lt;&gt;_xlfn.XMATCH(A455,$A$2:$A$1063,0,-1),FALSE)), "Código de barras duplicado", ""), IF(AND(E455&lt;&gt;"", COUNTIF($E$2:$E$1063, E455)&gt;1), "SKU duplicado", ""), IF(OR(J455="", J455=""), "[Aviso] División no capturada ()", IF(ISNA(MATCH(J455, Criterios!$A$123:$A$126, 0)), "División no válida", "")), IF(OR(K455="", K455=""), "[Aviso] Categoría no capturada ()", IF(ISNA(MATCH(K455, Criterios!$A$81:$A$120, 0)), "Categoría no válida", IF(AND(J455&lt;&gt;"", J455&lt;&gt;"", J455&lt;&gt;VLOOKUP(K455, Criterios!$A$81:$B$120, 2, FALSE)), "División no coincide con Categoría", ""))), IF(OR(L455="", L455=""), "[Aviso] Género no capturado ()", IF(ISNA(MATCH(L455, Criterios!$B$123:$B$127, 0)), "Género no válido", "")), IF(OR(N455="", N455=""), "[Aviso] Temporada no capturada ()", IF(ISNA(MATCH(N455, Criterios!$C$123:$C$128, 0)), "Temporada no válida", "")), IF(OR(O455="", O455=""), "[Aviso] Ciclo de vida no capturado ()", IF(ISNA(MATCH(O455, Criterios!$D$123:$D$124, 0)), "Ciclo de vida no válido", ""))))</f>
        <v/>
      </c>
      <c r="AC455" s="56" t="n"/>
      <c r="AD455" s="51" t="n"/>
      <c r="AE455" s="156" t="n"/>
      <c r="AF455" s="51" t="n"/>
      <c r="AG455" s="156" t="inlineStr">
        <is>
          <t>Nuevo – Carga Hoja2 01/10/2026</t>
        </is>
      </c>
      <c r="AH455" s="156" t="inlineStr">
        <is>
          <t>Alta 01/10/2026 desde Hoja2 (fila 254) | 01/10/2026: Odoo Universal Unique Brands trae Marca «Montana West» — se conservó el valor de Productos | Homologación G1522 06/10/2026: Validador Shopify: WB: precio con IVA no termina en 9</t>
        </is>
      </c>
      <c r="AI455" s="156" t="n"/>
      <c r="AJ455" s="156" t="n"/>
      <c r="AK455" s="155" t="inlineStr">
        <is>
          <t>Hoja2: fila 254 | Odoo: producto 27345 / plantilla 34045</t>
        </is>
      </c>
      <c r="AL455" s="58" t="n"/>
      <c r="AM455" s="58" t="n"/>
      <c r="AN455" s="155" t="inlineStr">
        <is>
          <t>Odoo Universal Unique Brands</t>
        </is>
      </c>
      <c r="AO455" s="59" t="n"/>
      <c r="AP455" s="59" t="n"/>
      <c r="AQ455" s="59" t="n">
        <v>0</v>
      </c>
      <c r="AR455" s="155" t="n"/>
    </row>
    <row r="456">
      <c r="A456" s="50" t="inlineStr">
        <is>
          <t>717325216114</t>
        </is>
      </c>
      <c r="B456" s="51" t="inlineStr">
        <is>
          <t>27346</t>
        </is>
      </c>
      <c r="C456" s="156" t="inlineStr">
        <is>
          <t>Wrangler</t>
        </is>
      </c>
      <c r="D456" s="156" t="inlineStr">
        <is>
          <t>WG201-8012CAMO</t>
        </is>
      </c>
      <c r="E456" s="156" t="inlineStr">
        <is>
          <t>WG201-8012CAMO</t>
        </is>
      </c>
      <c r="F456" s="156" t="inlineStr">
        <is>
          <t>Talla única</t>
        </is>
      </c>
      <c r="G456" s="156" t="inlineStr">
        <is>
          <t>One Size</t>
        </is>
      </c>
      <c r="H456" s="156" t="inlineStr">
        <is>
          <t>Wrangler</t>
        </is>
      </c>
      <c r="I456" s="156" t="inlineStr">
        <is>
          <t>Bolsa Wrangler Camuflaje</t>
        </is>
      </c>
      <c r="J456" s="156" t="inlineStr">
        <is>
          <t>Accesorios</t>
        </is>
      </c>
      <c r="K456" s="156" t="inlineStr">
        <is>
          <t>Bolsos</t>
        </is>
      </c>
      <c r="L456" s="156" t="inlineStr">
        <is>
          <t>Unisex</t>
        </is>
      </c>
      <c r="M456" s="156" t="inlineStr">
        <is>
          <t>Wrangler</t>
        </is>
      </c>
      <c r="N456" s="156" t="n"/>
      <c r="O456" s="156" t="inlineStr">
        <is>
          <t>Core</t>
        </is>
      </c>
      <c r="P456" s="156" t="inlineStr">
        <is>
          <t>Varios</t>
        </is>
      </c>
      <c r="Q456" s="156" t="n"/>
      <c r="R456" s="156" t="n"/>
      <c r="S456" s="156" t="n"/>
      <c r="T456" s="156" t="inlineStr">
        <is>
          <t>Bolsa Wrangler. Color: Camuflaje. Talla única. Unisex. Referencia: WG201-8012CAMO.</t>
        </is>
      </c>
      <c r="U456" s="156" t="n"/>
      <c r="V456" s="156" t="inlineStr">
        <is>
          <t>PZS</t>
        </is>
      </c>
      <c r="W456" s="51" t="inlineStr">
        <is>
          <t>53121601</t>
        </is>
      </c>
      <c r="X456" s="156" t="n"/>
      <c r="Y456" s="54" t="n">
        <v>241.5</v>
      </c>
      <c r="Z456" s="54" t="n">
        <v>399</v>
      </c>
      <c r="AA456" s="55">
        <f>IF(AND(A456="", B456="", E456=""), "", IF(AB456="", "Válido", IF((LEN(AB456)-LEN(SUBSTITUTE(AB456,"; ","")))/2+1&gt;(LEN(AB456)-LEN(SUBSTITUTE(AB456,"[Aviso]","")))/7, "Con Incidencias", "Válido")))</f>
        <v/>
      </c>
      <c r="AB456" s="56">
        <f>IF(AND(A456="", B456="", E456=""), "", TEXTJOIN("; ", TRUE, IF(OR(TRIM(A456&amp;"")="", ISNUMBER(SEARCH("FALTA", A456))), "UPC faltante/inválido", ""), IF(AND(A456&lt;&gt;"", IFERROR(_xlfn.XMATCH(A456,$A$2:$A$1063,0,1)&lt;&gt;_xlfn.XMATCH(A456,$A$2:$A$1063,0,-1),FALSE)), "Código de barras duplicado", ""), IF(AND(E456&lt;&gt;"", COUNTIF($E$2:$E$1063, E456)&gt;1), "SKU duplicado", ""), IF(OR(J456="", J456=""), "[Aviso] División no capturada ()", IF(ISNA(MATCH(J456, Criterios!$A$123:$A$126, 0)), "División no válida", "")), IF(OR(K456="", K456=""), "[Aviso] Categoría no capturada ()", IF(ISNA(MATCH(K456, Criterios!$A$81:$A$120, 0)), "Categoría no válida", IF(AND(J456&lt;&gt;"", J456&lt;&gt;"", J456&lt;&gt;VLOOKUP(K456, Criterios!$A$81:$B$120, 2, FALSE)), "División no coincide con Categoría", ""))), IF(OR(L456="", L456=""), "[Aviso] Género no capturado ()", IF(ISNA(MATCH(L456, Criterios!$B$123:$B$127, 0)), "Género no válido", "")), IF(OR(N456="", N456=""), "[Aviso] Temporada no capturada ()", IF(ISNA(MATCH(N456, Criterios!$C$123:$C$128, 0)), "Temporada no válida", "")), IF(OR(O456="", O456=""), "[Aviso] Ciclo de vida no capturado ()", IF(ISNA(MATCH(O456, Criterios!$D$123:$D$124, 0)), "Ciclo de vida no válido", ""))))</f>
        <v/>
      </c>
      <c r="AC456" s="56" t="n"/>
      <c r="AD456" s="51" t="n"/>
      <c r="AE456" s="156" t="n"/>
      <c r="AF456" s="51" t="n"/>
      <c r="AG456" s="156" t="inlineStr">
        <is>
          <t>Nuevo – Carga Hoja2 01/10/2026</t>
        </is>
      </c>
      <c r="AH456" s="156" t="inlineStr">
        <is>
          <t>Alta 01/10/2026 desde Hoja2 (fila 255) | 01/10/2026: Odoo Universal Unique Brands trae Marca «Montana West» — se conservó el valor de Productos | Homologación G1522 06/10/2026: Validador Shopify: WB: precio con IVA no termina en 9</t>
        </is>
      </c>
      <c r="AI456" s="156" t="n"/>
      <c r="AJ456" s="156" t="n"/>
      <c r="AK456" s="155" t="inlineStr">
        <is>
          <t>Hoja2: fila 255 | Odoo: producto 27346 / plantilla 34046</t>
        </is>
      </c>
      <c r="AL456" s="58" t="n"/>
      <c r="AM456" s="58" t="n"/>
      <c r="AN456" s="155" t="inlineStr">
        <is>
          <t>Odoo Universal Unique Brands</t>
        </is>
      </c>
      <c r="AO456" s="59" t="n"/>
      <c r="AP456" s="59" t="n"/>
      <c r="AQ456" s="59" t="n">
        <v>0</v>
      </c>
      <c r="AR456" s="155" t="n"/>
    </row>
    <row r="457">
      <c r="A457" s="50" t="inlineStr">
        <is>
          <t>717325216084</t>
        </is>
      </c>
      <c r="B457" s="51" t="inlineStr">
        <is>
          <t>27347</t>
        </is>
      </c>
      <c r="C457" s="156" t="inlineStr">
        <is>
          <t>Wrangler</t>
        </is>
      </c>
      <c r="D457" s="156" t="inlineStr">
        <is>
          <t>WG201-8012LIME</t>
        </is>
      </c>
      <c r="E457" s="156" t="inlineStr">
        <is>
          <t>WG201-8012LIME</t>
        </is>
      </c>
      <c r="F457" s="156" t="inlineStr">
        <is>
          <t>Talla única</t>
        </is>
      </c>
      <c r="G457" s="156" t="inlineStr">
        <is>
          <t>One Size</t>
        </is>
      </c>
      <c r="H457" s="156" t="inlineStr">
        <is>
          <t>Wrangler</t>
        </is>
      </c>
      <c r="I457" s="156" t="inlineStr">
        <is>
          <t>Bolsa Wrangler Lima</t>
        </is>
      </c>
      <c r="J457" s="156" t="inlineStr">
        <is>
          <t>Accesorios</t>
        </is>
      </c>
      <c r="K457" s="156" t="inlineStr">
        <is>
          <t>Bolsos</t>
        </is>
      </c>
      <c r="L457" s="156" t="inlineStr">
        <is>
          <t>Unisex</t>
        </is>
      </c>
      <c r="M457" s="156" t="inlineStr">
        <is>
          <t>Wrangler</t>
        </is>
      </c>
      <c r="N457" s="156" t="n"/>
      <c r="O457" s="156" t="inlineStr">
        <is>
          <t>Core</t>
        </is>
      </c>
      <c r="P457" s="156" t="inlineStr">
        <is>
          <t>Varios</t>
        </is>
      </c>
      <c r="Q457" s="156" t="n"/>
      <c r="R457" s="156" t="n"/>
      <c r="S457" s="156" t="n"/>
      <c r="T457" s="156" t="inlineStr">
        <is>
          <t>Bolsa Wrangler. Color: Lima. Talla única. Unisex. Referencia: WG201-8012LIME.</t>
        </is>
      </c>
      <c r="U457" s="156" t="n"/>
      <c r="V457" s="156" t="inlineStr">
        <is>
          <t>PZS</t>
        </is>
      </c>
      <c r="W457" s="51" t="inlineStr">
        <is>
          <t>53121601</t>
        </is>
      </c>
      <c r="X457" s="156" t="n"/>
      <c r="Y457" s="54" t="n">
        <v>241.5</v>
      </c>
      <c r="Z457" s="54" t="n">
        <v>399</v>
      </c>
      <c r="AA457" s="55">
        <f>IF(AND(A457="", B457="", E457=""), "", IF(AB457="", "Válido", IF((LEN(AB457)-LEN(SUBSTITUTE(AB457,"; ","")))/2+1&gt;(LEN(AB457)-LEN(SUBSTITUTE(AB457,"[Aviso]","")))/7, "Con Incidencias", "Válido")))</f>
        <v/>
      </c>
      <c r="AB457" s="56">
        <f>IF(AND(A457="", B457="", E457=""), "", TEXTJOIN("; ", TRUE, IF(OR(TRIM(A457&amp;"")="", ISNUMBER(SEARCH("FALTA", A457))), "UPC faltante/inválido", ""), IF(AND(A457&lt;&gt;"", IFERROR(_xlfn.XMATCH(A457,$A$2:$A$1063,0,1)&lt;&gt;_xlfn.XMATCH(A457,$A$2:$A$1063,0,-1),FALSE)), "Código de barras duplicado", ""), IF(AND(E457&lt;&gt;"", COUNTIF($E$2:$E$1063, E457)&gt;1), "SKU duplicado", ""), IF(OR(J457="", J457=""), "[Aviso] División no capturada ()", IF(ISNA(MATCH(J457, Criterios!$A$123:$A$126, 0)), "División no válida", "")), IF(OR(K457="", K457=""), "[Aviso] Categoría no capturada ()", IF(ISNA(MATCH(K457, Criterios!$A$81:$A$120, 0)), "Categoría no válida", IF(AND(J457&lt;&gt;"", J457&lt;&gt;"", J457&lt;&gt;VLOOKUP(K457, Criterios!$A$81:$B$120, 2, FALSE)), "División no coincide con Categoría", ""))), IF(OR(L457="", L457=""), "[Aviso] Género no capturado ()", IF(ISNA(MATCH(L457, Criterios!$B$123:$B$127, 0)), "Género no válido", "")), IF(OR(N457="", N457=""), "[Aviso] Temporada no capturada ()", IF(ISNA(MATCH(N457, Criterios!$C$123:$C$128, 0)), "Temporada no válida", "")), IF(OR(O457="", O457=""), "[Aviso] Ciclo de vida no capturado ()", IF(ISNA(MATCH(O457, Criterios!$D$123:$D$124, 0)), "Ciclo de vida no válido", ""))))</f>
        <v/>
      </c>
      <c r="AC457" s="56" t="n"/>
      <c r="AD457" s="51" t="n"/>
      <c r="AE457" s="156" t="n"/>
      <c r="AF457" s="51" t="n"/>
      <c r="AG457" s="156" t="inlineStr">
        <is>
          <t>Nuevo – Carga Hoja2 01/10/2026</t>
        </is>
      </c>
      <c r="AH457" s="156" t="inlineStr">
        <is>
          <t>Alta 01/10/2026 desde Hoja2 (fila 256) | 01/10/2026: Odoo Universal Unique Brands trae Marca «Montana West» — se conservó el valor de Productos | Homologación G1522 06/10/2026: Validador Shopify: WB: precio con IVA no termina en 9</t>
        </is>
      </c>
      <c r="AI457" s="156" t="n"/>
      <c r="AJ457" s="156" t="n"/>
      <c r="AK457" s="155" t="inlineStr">
        <is>
          <t>Hoja2: fila 256 | Odoo: producto 27347 / plantilla 34047</t>
        </is>
      </c>
      <c r="AL457" s="58" t="n"/>
      <c r="AM457" s="58" t="n"/>
      <c r="AN457" s="155" t="inlineStr">
        <is>
          <t>Odoo Universal Unique Brands</t>
        </is>
      </c>
      <c r="AO457" s="59" t="n"/>
      <c r="AP457" s="59" t="n"/>
      <c r="AQ457" s="59" t="n">
        <v>2</v>
      </c>
      <c r="AR457" s="155" t="inlineStr">
        <is>
          <t>Odoo Universal Unique Brands › Bodega 25 › Bodega 25/General: 2</t>
        </is>
      </c>
    </row>
    <row r="458">
      <c r="A458" s="50" t="inlineStr">
        <is>
          <t>717325216107</t>
        </is>
      </c>
      <c r="B458" s="51" t="inlineStr">
        <is>
          <t>27348</t>
        </is>
      </c>
      <c r="C458" s="156" t="inlineStr">
        <is>
          <t>Wrangler</t>
        </is>
      </c>
      <c r="D458" s="156" t="inlineStr">
        <is>
          <t>WG201-8012TN</t>
        </is>
      </c>
      <c r="E458" s="156" t="inlineStr">
        <is>
          <t>WG201-8012TN</t>
        </is>
      </c>
      <c r="F458" s="156" t="inlineStr">
        <is>
          <t>Talla única</t>
        </is>
      </c>
      <c r="G458" s="156" t="inlineStr">
        <is>
          <t>One Size</t>
        </is>
      </c>
      <c r="H458" s="156" t="inlineStr">
        <is>
          <t>Wrangler</t>
        </is>
      </c>
      <c r="I458" s="156" t="inlineStr">
        <is>
          <t>Bolsa Wrangler Camel</t>
        </is>
      </c>
      <c r="J458" s="156" t="inlineStr">
        <is>
          <t>Accesorios</t>
        </is>
      </c>
      <c r="K458" s="156" t="inlineStr">
        <is>
          <t>Bolsos</t>
        </is>
      </c>
      <c r="L458" s="156" t="inlineStr">
        <is>
          <t>Unisex</t>
        </is>
      </c>
      <c r="M458" s="156" t="inlineStr">
        <is>
          <t>Wrangler</t>
        </is>
      </c>
      <c r="N458" s="156" t="n"/>
      <c r="O458" s="156" t="inlineStr">
        <is>
          <t>Core</t>
        </is>
      </c>
      <c r="P458" s="156" t="inlineStr">
        <is>
          <t>Beige</t>
        </is>
      </c>
      <c r="Q458" s="156" t="n"/>
      <c r="R458" s="156" t="n"/>
      <c r="S458" s="156" t="n"/>
      <c r="T458" s="156" t="inlineStr">
        <is>
          <t>Bolsa Wrangler. Color: Camel. Talla única. Unisex. Referencia: WG201-8012TN.</t>
        </is>
      </c>
      <c r="U458" s="156" t="n"/>
      <c r="V458" s="156" t="inlineStr">
        <is>
          <t>PZS</t>
        </is>
      </c>
      <c r="W458" s="51" t="inlineStr">
        <is>
          <t>53121601</t>
        </is>
      </c>
      <c r="X458" s="156" t="n"/>
      <c r="Y458" s="54" t="n">
        <v>241.5</v>
      </c>
      <c r="Z458" s="54" t="n">
        <v>399</v>
      </c>
      <c r="AA458" s="55">
        <f>IF(AND(A458="", B458="", E458=""), "", IF(AB458="", "Válido", IF((LEN(AB458)-LEN(SUBSTITUTE(AB458,"; ","")))/2+1&gt;(LEN(AB458)-LEN(SUBSTITUTE(AB458,"[Aviso]","")))/7, "Con Incidencias", "Válido")))</f>
        <v/>
      </c>
      <c r="AB458" s="56">
        <f>IF(AND(A458="", B458="", E458=""), "", TEXTJOIN("; ", TRUE, IF(OR(TRIM(A458&amp;"")="", ISNUMBER(SEARCH("FALTA", A458))), "UPC faltante/inválido", ""), IF(AND(A458&lt;&gt;"", IFERROR(_xlfn.XMATCH(A458,$A$2:$A$1063,0,1)&lt;&gt;_xlfn.XMATCH(A458,$A$2:$A$1063,0,-1),FALSE)), "Código de barras duplicado", ""), IF(AND(E458&lt;&gt;"", COUNTIF($E$2:$E$1063, E458)&gt;1), "SKU duplicado", ""), IF(OR(J458="", J458=""), "[Aviso] División no capturada ()", IF(ISNA(MATCH(J458, Criterios!$A$123:$A$126, 0)), "División no válida", "")), IF(OR(K458="", K458=""), "[Aviso] Categoría no capturada ()", IF(ISNA(MATCH(K458, Criterios!$A$81:$A$120, 0)), "Categoría no válida", IF(AND(J458&lt;&gt;"", J458&lt;&gt;"", J458&lt;&gt;VLOOKUP(K458, Criterios!$A$81:$B$120, 2, FALSE)), "División no coincide con Categoría", ""))), IF(OR(L458="", L458=""), "[Aviso] Género no capturado ()", IF(ISNA(MATCH(L458, Criterios!$B$123:$B$127, 0)), "Género no válido", "")), IF(OR(N458="", N458=""), "[Aviso] Temporada no capturada ()", IF(ISNA(MATCH(N458, Criterios!$C$123:$C$128, 0)), "Temporada no válida", "")), IF(OR(O458="", O458=""), "[Aviso] Ciclo de vida no capturado ()", IF(ISNA(MATCH(O458, Criterios!$D$123:$D$124, 0)), "Ciclo de vida no válido", ""))))</f>
        <v/>
      </c>
      <c r="AC458" s="56" t="n"/>
      <c r="AD458" s="51" t="n"/>
      <c r="AE458" s="156" t="n"/>
      <c r="AF458" s="51" t="n"/>
      <c r="AG458" s="156" t="inlineStr">
        <is>
          <t>Nuevo – Carga Hoja2 01/10/2026</t>
        </is>
      </c>
      <c r="AH458" s="156" t="inlineStr">
        <is>
          <t>Alta 01/10/2026 desde Hoja2 (fila 257) | 01/10/2026: Odoo Universal Unique Brands trae Marca «Montana West» — se conservó el valor de Productos | Homologación G1522 06/10/2026: Validador Shopify: WB: precio con IVA no termina en 9</t>
        </is>
      </c>
      <c r="AI458" s="156" t="n"/>
      <c r="AJ458" s="156" t="n"/>
      <c r="AK458" s="155" t="inlineStr">
        <is>
          <t>Hoja2: fila 257 | Odoo: producto 27348 / plantilla 34048</t>
        </is>
      </c>
      <c r="AL458" s="58" t="n"/>
      <c r="AM458" s="58" t="n"/>
      <c r="AN458" s="155" t="inlineStr">
        <is>
          <t>Odoo Universal Unique Brands</t>
        </is>
      </c>
      <c r="AO458" s="59" t="n"/>
      <c r="AP458" s="59" t="n"/>
      <c r="AQ458" s="59" t="n">
        <v>5</v>
      </c>
      <c r="AR458" s="155" t="inlineStr">
        <is>
          <t>Odoo Universal Unique Brands › Bodega 25 › Bodega 25/General: 5</t>
        </is>
      </c>
    </row>
    <row r="459">
      <c r="A459" s="50" t="n"/>
      <c r="B459" s="51" t="inlineStr">
        <is>
          <t>27349</t>
        </is>
      </c>
      <c r="C459" s="156" t="inlineStr">
        <is>
          <t>Montana West</t>
        </is>
      </c>
      <c r="D459" s="156" t="inlineStr">
        <is>
          <t>WG211-8014BR</t>
        </is>
      </c>
      <c r="E459" s="156" t="inlineStr">
        <is>
          <t>WG211-8014BR</t>
        </is>
      </c>
      <c r="F459" s="156" t="inlineStr">
        <is>
          <t>Talla única</t>
        </is>
      </c>
      <c r="G459" s="156" t="inlineStr">
        <is>
          <t>One Size</t>
        </is>
      </c>
      <c r="H459" s="156" t="inlineStr">
        <is>
          <t>Montana West</t>
        </is>
      </c>
      <c r="I459" s="156" t="inlineStr">
        <is>
          <t>Bolsa Tote Cruzada Wrangler Bordada Azteca Floral Repujada Café</t>
        </is>
      </c>
      <c r="J459" s="156" t="inlineStr">
        <is>
          <t>Accesorios</t>
        </is>
      </c>
      <c r="K459" s="156" t="inlineStr">
        <is>
          <t>Bolsos</t>
        </is>
      </c>
      <c r="L459" s="156" t="inlineStr">
        <is>
          <t>Unisex</t>
        </is>
      </c>
      <c r="M459" s="156" t="inlineStr">
        <is>
          <t>Wrangler</t>
        </is>
      </c>
      <c r="N459" s="156" t="n"/>
      <c r="O459" s="156" t="n"/>
      <c r="P459" s="156" t="inlineStr">
        <is>
          <t>Cafe</t>
        </is>
      </c>
      <c r="Q459" s="156" t="n"/>
      <c r="R459" s="156" t="n"/>
      <c r="S459" s="156" t="n"/>
      <c r="T459" s="156" t="inlineStr">
        <is>
          <t>Bolsa Tote Cruzada</t>
        </is>
      </c>
      <c r="U459" s="156" t="inlineStr">
        <is>
          <t>México</t>
        </is>
      </c>
      <c r="V459" s="156" t="inlineStr">
        <is>
          <t>PZS</t>
        </is>
      </c>
      <c r="W459" s="51" t="inlineStr">
        <is>
          <t>53121601</t>
        </is>
      </c>
      <c r="X459" s="156" t="n"/>
      <c r="Y459" s="54" t="n">
        <v>276</v>
      </c>
      <c r="Z459" s="54" t="n">
        <v>449</v>
      </c>
      <c r="AA459" s="55">
        <f>IF(AND(A459="", B459="", E459=""), "", IF(AB459="", "Válido", IF((LEN(AB459)-LEN(SUBSTITUTE(AB459,"; ","")))/2+1&gt;(LEN(AB459)-LEN(SUBSTITUTE(AB459,"[Aviso]","")))/7, "Con Incidencias", "Válido")))</f>
        <v/>
      </c>
      <c r="AB459" s="56">
        <f>IF(AND(A459="", B459="", E459=""), "", TEXTJOIN("; ", TRUE, IF(OR(TRIM(A459&amp;"")="", ISNUMBER(SEARCH("FALTA", A459))), "UPC faltante/inválido", ""), IF(AND(A459&lt;&gt;"", IFERROR(_xlfn.XMATCH(A459,$A$2:$A$1063,0,1)&lt;&gt;_xlfn.XMATCH(A459,$A$2:$A$1063,0,-1),FALSE)), "Código de barras duplicado", ""), IF(AND(E459&lt;&gt;"", COUNTIF($E$2:$E$1063, E459)&gt;1), "SKU duplicado", ""), IF(OR(J459="", J459=""), "[Aviso] División no capturada ()", IF(ISNA(MATCH(J459, Criterios!$A$123:$A$126, 0)), "División no válida", "")), IF(OR(K459="", K459=""), "[Aviso] Categoría no capturada ()", IF(ISNA(MATCH(K459, Criterios!$A$81:$A$120, 0)), "Categoría no válida", IF(AND(J459&lt;&gt;"", J459&lt;&gt;"", J459&lt;&gt;VLOOKUP(K459, Criterios!$A$81:$B$120, 2, FALSE)), "División no coincide con Categoría", ""))), IF(OR(L459="", L459=""), "[Aviso] Género no capturado ()", IF(ISNA(MATCH(L459, Criterios!$B$123:$B$127, 0)), "Género no válido", "")), IF(OR(N459="", N459=""), "[Aviso] Temporada no capturada ()", IF(ISNA(MATCH(N459, Criterios!$C$123:$C$128, 0)), "Temporada no válida", "")), IF(OR(O459="", O459=""), "[Aviso] Ciclo de vida no capturado ()", IF(ISNA(MATCH(O459, Criterios!$D$123:$D$124, 0)), "Ciclo de vida no válido", ""))))</f>
        <v/>
      </c>
      <c r="AC459" s="56" t="n"/>
      <c r="AD459" s="51" t="n"/>
      <c r="AE459" s="156" t="n"/>
      <c r="AF459" s="51" t="n"/>
      <c r="AG459" s="156" t="inlineStr">
        <is>
          <t>Nuevo – Carga Hoja2 01/10/2026</t>
        </is>
      </c>
      <c r="AH459" s="156" t="inlineStr">
        <is>
          <t>Alta 01/10/2026 desde Hoja2 (fila 258) | 01/10/2026: complementado desde Odoo Universal Unique Brands (match por SKU): WB N.º de estilo, WB Talla, WB Talla de EE. UU., WB Descripcion (antes «WG BAG»), WB Género, WB Licencia, WB Color, WB Descripción larga, WB País de origen | 01/10/2026: Odoo Universal Unique Brands trae Marca «Wrangler» — se conservó el valor de Productos | Homologación G1522 06/10/2026: Validación G1522: Código de barras faltante · Validador NetSuite / Odoo: V1: falta código de barras · Validador Shopify: V1: falta código de barras; WB: precio con IVA no termina en 9</t>
        </is>
      </c>
      <c r="AI459" s="156" t="n"/>
      <c r="AJ459" s="156" t="n"/>
      <c r="AK459" s="155" t="inlineStr">
        <is>
          <t>Hoja2: fila 258 | Odoo: producto 11839 / plantilla 15274 | Odoo: producto 27349 / plantilla 34049</t>
        </is>
      </c>
      <c r="AL459" s="58" t="n"/>
      <c r="AM459" s="58" t="n"/>
      <c r="AN459" s="155" t="inlineStr">
        <is>
          <t>Odoo Universal Unique Brands</t>
        </is>
      </c>
      <c r="AO459" s="59" t="n"/>
      <c r="AP459" s="59" t="n"/>
      <c r="AQ459" s="59" t="n">
        <v>32</v>
      </c>
      <c r="AR459" s="155" t="inlineStr">
        <is>
          <t>Odoo Universal Unique Brands › Bodega 25 › Bodega 25/General: 30 | Odoo Universal Unique Brands › Bodega 25 › Bodega 25/General: 2</t>
        </is>
      </c>
    </row>
    <row r="460">
      <c r="A460" s="50" t="n"/>
      <c r="B460" s="51" t="inlineStr">
        <is>
          <t>27351</t>
        </is>
      </c>
      <c r="C460" s="156" t="inlineStr">
        <is>
          <t>Montana West</t>
        </is>
      </c>
      <c r="D460" s="156" t="n"/>
      <c r="E460" s="156" t="inlineStr">
        <is>
          <t>WG218-8900BR</t>
        </is>
      </c>
      <c r="F460" s="156" t="inlineStr">
        <is>
          <t>Talla única</t>
        </is>
      </c>
      <c r="G460" s="156" t="inlineStr">
        <is>
          <t>One Size</t>
        </is>
      </c>
      <c r="H460" s="156" t="inlineStr">
        <is>
          <t>Montana West</t>
        </is>
      </c>
      <c r="I460" s="156" t="inlineStr">
        <is>
          <t>WG BAG</t>
        </is>
      </c>
      <c r="J460" s="156" t="inlineStr">
        <is>
          <t>Accesorios</t>
        </is>
      </c>
      <c r="K460" s="156" t="inlineStr">
        <is>
          <t>Bolsos</t>
        </is>
      </c>
      <c r="L460" s="156" t="inlineStr">
        <is>
          <t>Unisex</t>
        </is>
      </c>
      <c r="M460" s="156" t="n"/>
      <c r="N460" s="156" t="n"/>
      <c r="O460" s="156" t="n"/>
      <c r="P460" s="156" t="n"/>
      <c r="Q460" s="156" t="n"/>
      <c r="R460" s="156" t="n"/>
      <c r="S460" s="156" t="n"/>
      <c r="T460" s="156" t="n"/>
      <c r="U460" s="156" t="n"/>
      <c r="V460" s="156" t="inlineStr">
        <is>
          <t>PZS</t>
        </is>
      </c>
      <c r="W460" s="51" t="inlineStr">
        <is>
          <t>53121601</t>
        </is>
      </c>
      <c r="X460" s="156" t="n"/>
      <c r="Y460" s="54" t="n">
        <v>327.75</v>
      </c>
      <c r="Z460" s="54" t="n">
        <v>739</v>
      </c>
      <c r="AA460" s="55">
        <f>IF(AND(A460="", B460="", E460=""), "", IF(AB460="", "Válido", IF((LEN(AB460)-LEN(SUBSTITUTE(AB460,"; ","")))/2+1&gt;(LEN(AB460)-LEN(SUBSTITUTE(AB460,"[Aviso]","")))/7, "Con Incidencias", "Válido")))</f>
        <v/>
      </c>
      <c r="AB460" s="56">
        <f>IF(AND(A460="", B460="", E460=""), "", TEXTJOIN("; ", TRUE, IF(OR(TRIM(A460&amp;"")="", ISNUMBER(SEARCH("FALTA", A460))), "UPC faltante/inválido", ""), IF(AND(A460&lt;&gt;"", IFERROR(_xlfn.XMATCH(A460,$A$2:$A$1063,0,1)&lt;&gt;_xlfn.XMATCH(A460,$A$2:$A$1063,0,-1),FALSE)), "Código de barras duplicado", ""), IF(AND(E460&lt;&gt;"", COUNTIF($E$2:$E$1063, E460)&gt;1), "SKU duplicado", ""), IF(OR(J460="", J460=""), "[Aviso] División no capturada ()", IF(ISNA(MATCH(J460, Criterios!$A$123:$A$126, 0)), "División no válida", "")), IF(OR(K460="", K460=""), "[Aviso] Categoría no capturada ()", IF(ISNA(MATCH(K460, Criterios!$A$81:$A$120, 0)), "Categoría no válida", IF(AND(J460&lt;&gt;"", J460&lt;&gt;"", J460&lt;&gt;VLOOKUP(K460, Criterios!$A$81:$B$120, 2, FALSE)), "División no coincide con Categoría", ""))), IF(OR(L460="", L460=""), "[Aviso] Género no capturado ()", IF(ISNA(MATCH(L460, Criterios!$B$123:$B$127, 0)), "Género no válido", "")), IF(OR(N460="", N460=""), "[Aviso] Temporada no capturada ()", IF(ISNA(MATCH(N460, Criterios!$C$123:$C$128, 0)), "Temporada no válida", "")), IF(OR(O460="", O460=""), "[Aviso] Ciclo de vida no capturado ()", IF(ISNA(MATCH(O460, Criterios!$D$123:$D$124, 0)), "Ciclo de vida no válido", ""))))</f>
        <v/>
      </c>
      <c r="AC460" s="56" t="n"/>
      <c r="AD460" s="51" t="n"/>
      <c r="AE460" s="156" t="n"/>
      <c r="AF460" s="51" t="n"/>
      <c r="AG460" s="156" t="inlineStr">
        <is>
          <t>Nuevo – Carga Hoja2 01/10/2026</t>
        </is>
      </c>
      <c r="AH460" s="156" t="inlineStr">
        <is>
          <t>Alta 01/10/2026 desde Hoja2 (fila 259) | 01/10/2026: complementado desde Odoo Universal Unique Brands (match por SKU): WB Talla, WB Talla de EE. UU., WB Género | Homologación G1522 06/10/2026: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60" s="156" t="n"/>
      <c r="AJ460" s="156" t="n"/>
      <c r="AK460" s="155" t="inlineStr">
        <is>
          <t>Hoja2: fila 259 | Odoo: producto 27351 / plantilla 34051</t>
        </is>
      </c>
      <c r="AL460" s="58" t="n"/>
      <c r="AM460" s="58" t="n"/>
      <c r="AN460" s="155" t="inlineStr">
        <is>
          <t>Odoo Universal Unique Brands</t>
        </is>
      </c>
      <c r="AO460" s="59" t="n"/>
      <c r="AP460" s="59" t="n"/>
      <c r="AQ460" s="59" t="n">
        <v>3</v>
      </c>
      <c r="AR460" s="155" t="inlineStr">
        <is>
          <t>Odoo Universal Unique Brands › Bodega 25 › Bodega 25/General: 3</t>
        </is>
      </c>
    </row>
    <row r="461">
      <c r="A461" s="50" t="inlineStr">
        <is>
          <t>717690431198</t>
        </is>
      </c>
      <c r="B461" s="51" t="inlineStr">
        <is>
          <t>27353</t>
        </is>
      </c>
      <c r="C461" s="156" t="inlineStr">
        <is>
          <t>Wrangler</t>
        </is>
      </c>
      <c r="D461" s="156" t="inlineStr">
        <is>
          <t>WG218-W068BG</t>
        </is>
      </c>
      <c r="E461" s="156" t="inlineStr">
        <is>
          <t>WG218-W068BG</t>
        </is>
      </c>
      <c r="F461" s="156" t="inlineStr">
        <is>
          <t>Talla única</t>
        </is>
      </c>
      <c r="G461" s="156" t="inlineStr">
        <is>
          <t>One Size</t>
        </is>
      </c>
      <c r="H461" s="156" t="inlineStr">
        <is>
          <t>Wrangler</t>
        </is>
      </c>
      <c r="I461" s="156" t="inlineStr">
        <is>
          <t>Cartera Muñequera Wrangler Bordada Azteca Beige</t>
        </is>
      </c>
      <c r="J461" s="156" t="inlineStr">
        <is>
          <t>Accesorios</t>
        </is>
      </c>
      <c r="K461" s="156" t="inlineStr">
        <is>
          <t>Carteras</t>
        </is>
      </c>
      <c r="L461" s="156" t="inlineStr">
        <is>
          <t>Unisex</t>
        </is>
      </c>
      <c r="M461" s="156" t="inlineStr">
        <is>
          <t>Wrangler</t>
        </is>
      </c>
      <c r="N461" s="156" t="n"/>
      <c r="O461" s="156" t="inlineStr">
        <is>
          <t>Core</t>
        </is>
      </c>
      <c r="P461" s="156" t="inlineStr">
        <is>
          <t>Beige</t>
        </is>
      </c>
      <c r="Q461" s="156" t="n"/>
      <c r="R461" s="156" t="n"/>
      <c r="S461" s="156" t="n"/>
      <c r="T461" s="156" t="inlineStr">
        <is>
          <t>Cartera Muñequera Wrangler. Modelo: Bordada Azteca. Color: Beige. Talla única. Unisex. Referencia: WG218-W068BG.</t>
        </is>
      </c>
      <c r="U461" s="156" t="n"/>
      <c r="V461" s="156" t="inlineStr">
        <is>
          <t>PZS</t>
        </is>
      </c>
      <c r="W461" s="51" t="inlineStr">
        <is>
          <t>53121700</t>
        </is>
      </c>
      <c r="X461" s="156" t="n"/>
      <c r="Y461" s="54" t="n">
        <v>207</v>
      </c>
      <c r="Z461" s="54" t="n">
        <v>349</v>
      </c>
      <c r="AA461" s="55">
        <f>IF(AND(A461="", B461="", E461=""), "", IF(AB461="", "Válido", IF((LEN(AB461)-LEN(SUBSTITUTE(AB461,"; ","")))/2+1&gt;(LEN(AB461)-LEN(SUBSTITUTE(AB461,"[Aviso]","")))/7, "Con Incidencias", "Válido")))</f>
        <v/>
      </c>
      <c r="AB461" s="56">
        <f>IF(AND(A461="", B461="", E461=""), "", TEXTJOIN("; ", TRUE, IF(OR(TRIM(A461&amp;"")="", ISNUMBER(SEARCH("FALTA", A461))), "UPC faltante/inválido", ""), IF(AND(A461&lt;&gt;"", IFERROR(_xlfn.XMATCH(A461,$A$2:$A$1063,0,1)&lt;&gt;_xlfn.XMATCH(A461,$A$2:$A$1063,0,-1),FALSE)), "Código de barras duplicado", ""), IF(AND(E461&lt;&gt;"", COUNTIF($E$2:$E$1063, E461)&gt;1), "SKU duplicado", ""), IF(OR(J461="", J461=""), "[Aviso] División no capturada ()", IF(ISNA(MATCH(J461, Criterios!$A$123:$A$126, 0)), "División no válida", "")), IF(OR(K461="", K461=""), "[Aviso] Categoría no capturada ()", IF(ISNA(MATCH(K461, Criterios!$A$81:$A$120, 0)), "Categoría no válida", IF(AND(J461&lt;&gt;"", J461&lt;&gt;"", J461&lt;&gt;VLOOKUP(K461, Criterios!$A$81:$B$120, 2, FALSE)), "División no coincide con Categoría", ""))), IF(OR(L461="", L461=""), "[Aviso] Género no capturado ()", IF(ISNA(MATCH(L461, Criterios!$B$123:$B$127, 0)), "Género no válido", "")), IF(OR(N461="", N461=""), "[Aviso] Temporada no capturada ()", IF(ISNA(MATCH(N461, Criterios!$C$123:$C$128, 0)), "Temporada no válida", "")), IF(OR(O461="", O461=""), "[Aviso] Ciclo de vida no capturado ()", IF(ISNA(MATCH(O461, Criterios!$D$123:$D$124, 0)), "Ciclo de vida no válido", ""))))</f>
        <v/>
      </c>
      <c r="AC461" s="56" t="n"/>
      <c r="AD461" s="51" t="n"/>
      <c r="AE461" s="156" t="n"/>
      <c r="AF461" s="51" t="n"/>
      <c r="AG461" s="156" t="inlineStr">
        <is>
          <t>Nuevo – Carga Hoja2 01/10/2026</t>
        </is>
      </c>
      <c r="AH461" s="156" t="inlineStr">
        <is>
          <t>Alta 01/10/2026 desde Hoja2 (fila 260) | 01/10/2026: Odoo Universal Unique Brands trae Marca «Montana West» — se conservó el valor de Productos | Homologación G1522 06/10/2026: Validador Shopify: WB: precio con IVA no termina en 9</t>
        </is>
      </c>
      <c r="AI461" s="156" t="n"/>
      <c r="AJ461" s="156" t="n"/>
      <c r="AK461" s="155" t="inlineStr">
        <is>
          <t>Hoja2: fila 260 | Odoo: producto 27353 / plantilla 34053</t>
        </is>
      </c>
      <c r="AL461" s="58" t="n"/>
      <c r="AM461" s="58" t="n"/>
      <c r="AN461" s="155" t="inlineStr">
        <is>
          <t>Odoo Universal Unique Brands</t>
        </is>
      </c>
      <c r="AO461" s="59" t="n"/>
      <c r="AP461" s="59" t="n"/>
      <c r="AQ461" s="59" t="n">
        <v>-48</v>
      </c>
      <c r="AR461" s="155" t="n"/>
    </row>
    <row r="462">
      <c r="A462" s="50" t="inlineStr">
        <is>
          <t>717325226045</t>
        </is>
      </c>
      <c r="B462" s="51" t="inlineStr">
        <is>
          <t>27357</t>
        </is>
      </c>
      <c r="C462" s="156" t="inlineStr">
        <is>
          <t>Wrangler</t>
        </is>
      </c>
      <c r="D462" s="156" t="inlineStr">
        <is>
          <t>WG219-183BG</t>
        </is>
      </c>
      <c r="E462" s="156" t="inlineStr">
        <is>
          <t>WG219-183BG</t>
        </is>
      </c>
      <c r="F462" s="156" t="inlineStr">
        <is>
          <t>Talla única</t>
        </is>
      </c>
      <c r="G462" s="156" t="inlineStr">
        <is>
          <t>One Size</t>
        </is>
      </c>
      <c r="H462" s="156" t="inlineStr">
        <is>
          <t>Wrangler</t>
        </is>
      </c>
      <c r="I462" s="156" t="inlineStr">
        <is>
          <t>Bolsa Cruzada Wrangler Bolsillo De Mezclilla Repelente Al Agua Con Costura "W" Beige</t>
        </is>
      </c>
      <c r="J462" s="156" t="inlineStr">
        <is>
          <t>Accesorios</t>
        </is>
      </c>
      <c r="K462" s="156" t="inlineStr">
        <is>
          <t>Bolsos</t>
        </is>
      </c>
      <c r="L462" s="156" t="inlineStr">
        <is>
          <t>Unisex</t>
        </is>
      </c>
      <c r="M462" s="156" t="inlineStr">
        <is>
          <t>Wrangler</t>
        </is>
      </c>
      <c r="N462" s="156" t="n"/>
      <c r="O462" s="156" t="inlineStr">
        <is>
          <t>Core</t>
        </is>
      </c>
      <c r="P462" s="156" t="inlineStr">
        <is>
          <t>Beige</t>
        </is>
      </c>
      <c r="Q462" s="156" t="n"/>
      <c r="R462" s="156" t="n"/>
      <c r="S462" s="156" t="n"/>
      <c r="T462" s="156" t="inlineStr">
        <is>
          <t>Bolsa Cruzada Wrangler. Modelo: Bolsillo De Mezclilla Repelente Al Agua Con Costura "W". Color: Beige. Talla única. Unisex. Referencia: WG219-183BG.</t>
        </is>
      </c>
      <c r="U462" s="156" t="n"/>
      <c r="V462" s="156" t="inlineStr">
        <is>
          <t>PZS</t>
        </is>
      </c>
      <c r="W462" s="51" t="inlineStr">
        <is>
          <t>53121601</t>
        </is>
      </c>
      <c r="X462" s="156" t="n"/>
      <c r="Y462" s="54" t="n">
        <v>189.75</v>
      </c>
      <c r="Z462" s="54" t="n">
        <v>349</v>
      </c>
      <c r="AA462" s="55">
        <f>IF(AND(A462="", B462="", E462=""), "", IF(AB462="", "Válido", IF((LEN(AB462)-LEN(SUBSTITUTE(AB462,"; ","")))/2+1&gt;(LEN(AB462)-LEN(SUBSTITUTE(AB462,"[Aviso]","")))/7, "Con Incidencias", "Válido")))</f>
        <v/>
      </c>
      <c r="AB462" s="56">
        <f>IF(AND(A462="", B462="", E462=""), "", TEXTJOIN("; ", TRUE, IF(OR(TRIM(A462&amp;"")="", ISNUMBER(SEARCH("FALTA", A462))), "UPC faltante/inválido", ""), IF(AND(A462&lt;&gt;"", IFERROR(_xlfn.XMATCH(A462,$A$2:$A$1063,0,1)&lt;&gt;_xlfn.XMATCH(A462,$A$2:$A$1063,0,-1),FALSE)), "Código de barras duplicado", ""), IF(AND(E462&lt;&gt;"", COUNTIF($E$2:$E$1063, E462)&gt;1), "SKU duplicado", ""), IF(OR(J462="", J462=""), "[Aviso] División no capturada ()", IF(ISNA(MATCH(J462, Criterios!$A$123:$A$126, 0)), "División no válida", "")), IF(OR(K462="", K462=""), "[Aviso] Categoría no capturada ()", IF(ISNA(MATCH(K462, Criterios!$A$81:$A$120, 0)), "Categoría no válida", IF(AND(J462&lt;&gt;"", J462&lt;&gt;"", J462&lt;&gt;VLOOKUP(K462, Criterios!$A$81:$B$120, 2, FALSE)), "División no coincide con Categoría", ""))), IF(OR(L462="", L462=""), "[Aviso] Género no capturado ()", IF(ISNA(MATCH(L462, Criterios!$B$123:$B$127, 0)), "Género no válido", "")), IF(OR(N462="", N462=""), "[Aviso] Temporada no capturada ()", IF(ISNA(MATCH(N462, Criterios!$C$123:$C$128, 0)), "Temporada no válida", "")), IF(OR(O462="", O462=""), "[Aviso] Ciclo de vida no capturado ()", IF(ISNA(MATCH(O462, Criterios!$D$123:$D$124, 0)), "Ciclo de vida no válido", ""))))</f>
        <v/>
      </c>
      <c r="AC462" s="56" t="n"/>
      <c r="AD462" s="51" t="n"/>
      <c r="AE462" s="156" t="n"/>
      <c r="AF462" s="51" t="n"/>
      <c r="AG462" s="156" t="inlineStr">
        <is>
          <t>Nuevo – Carga Hoja2 01/10/2026</t>
        </is>
      </c>
      <c r="AH462" s="156" t="inlineStr">
        <is>
          <t>Alta 01/10/2026 desde Hoja2 (fila 261) | 01/10/2026: Odoo Universal Unique Brands trae Marca «Montana West» — se conservó el valor de Productos | Homologación G1522 06/10/2026: Validador Shopify: WB: precio con IVA no termina en 9</t>
        </is>
      </c>
      <c r="AI462" s="156" t="n"/>
      <c r="AJ462" s="156" t="n"/>
      <c r="AK462" s="155" t="inlineStr">
        <is>
          <t>Hoja2: fila 261 | Odoo: producto 27357 / plantilla 34057</t>
        </is>
      </c>
      <c r="AL462" s="58" t="n"/>
      <c r="AM462" s="58" t="n"/>
      <c r="AN462" s="155" t="inlineStr">
        <is>
          <t>Odoo Universal Unique Brands</t>
        </is>
      </c>
      <c r="AO462" s="59" t="n"/>
      <c r="AP462" s="59" t="n"/>
      <c r="AQ462" s="59" t="n">
        <v>3</v>
      </c>
      <c r="AR462" s="155" t="inlineStr">
        <is>
          <t>Odoo Universal Unique Brands › Bodega 25 › Bodega 25/General: 3</t>
        </is>
      </c>
    </row>
    <row r="463">
      <c r="A463" s="50" t="n"/>
      <c r="B463" s="51" t="inlineStr">
        <is>
          <t>27358</t>
        </is>
      </c>
      <c r="C463" s="156" t="inlineStr">
        <is>
          <t>Montana West</t>
        </is>
      </c>
      <c r="D463" s="156" t="n"/>
      <c r="E463" s="156" t="inlineStr">
        <is>
          <t>WG219-183BK</t>
        </is>
      </c>
      <c r="F463" s="156" t="inlineStr">
        <is>
          <t>Talla única</t>
        </is>
      </c>
      <c r="G463" s="156" t="inlineStr">
        <is>
          <t>One Size</t>
        </is>
      </c>
      <c r="H463" s="156" t="inlineStr">
        <is>
          <t>Montana West</t>
        </is>
      </c>
      <c r="I463" s="156" t="inlineStr">
        <is>
          <t>WG CROSSBODY</t>
        </is>
      </c>
      <c r="J463" s="156" t="inlineStr">
        <is>
          <t>Accesorios</t>
        </is>
      </c>
      <c r="K463" s="156" t="inlineStr">
        <is>
          <t>Bolsos</t>
        </is>
      </c>
      <c r="L463" s="156" t="inlineStr">
        <is>
          <t>Unisex</t>
        </is>
      </c>
      <c r="M463" s="156" t="n"/>
      <c r="N463" s="156" t="n"/>
      <c r="O463" s="156" t="n"/>
      <c r="P463" s="156" t="n"/>
      <c r="Q463" s="156" t="n"/>
      <c r="R463" s="156" t="n"/>
      <c r="S463" s="156" t="n"/>
      <c r="T463" s="156" t="n"/>
      <c r="U463" s="156" t="n"/>
      <c r="V463" s="156" t="inlineStr">
        <is>
          <t>PZS</t>
        </is>
      </c>
      <c r="W463" s="51" t="inlineStr">
        <is>
          <t>53121601</t>
        </is>
      </c>
      <c r="X463" s="156" t="n"/>
      <c r="Y463" s="54" t="n">
        <v>189.75</v>
      </c>
      <c r="Z463" s="54" t="n">
        <v>349</v>
      </c>
      <c r="AA463" s="55">
        <f>IF(AND(A463="", B463="", E463=""), "", IF(AB463="", "Válido", IF((LEN(AB463)-LEN(SUBSTITUTE(AB463,"; ","")))/2+1&gt;(LEN(AB463)-LEN(SUBSTITUTE(AB463,"[Aviso]","")))/7, "Con Incidencias", "Válido")))</f>
        <v/>
      </c>
      <c r="AB463" s="56">
        <f>IF(AND(A463="", B463="", E463=""), "", TEXTJOIN("; ", TRUE, IF(OR(TRIM(A463&amp;"")="", ISNUMBER(SEARCH("FALTA", A463))), "UPC faltante/inválido", ""), IF(AND(A463&lt;&gt;"", IFERROR(_xlfn.XMATCH(A463,$A$2:$A$1063,0,1)&lt;&gt;_xlfn.XMATCH(A463,$A$2:$A$1063,0,-1),FALSE)), "Código de barras duplicado", ""), IF(AND(E463&lt;&gt;"", COUNTIF($E$2:$E$1063, E463)&gt;1), "SKU duplicado", ""), IF(OR(J463="", J463=""), "[Aviso] División no capturada ()", IF(ISNA(MATCH(J463, Criterios!$A$123:$A$126, 0)), "División no válida", "")), IF(OR(K463="", K463=""), "[Aviso] Categoría no capturada ()", IF(ISNA(MATCH(K463, Criterios!$A$81:$A$120, 0)), "Categoría no válida", IF(AND(J463&lt;&gt;"", J463&lt;&gt;"", J463&lt;&gt;VLOOKUP(K463, Criterios!$A$81:$B$120, 2, FALSE)), "División no coincide con Categoría", ""))), IF(OR(L463="", L463=""), "[Aviso] Género no capturado ()", IF(ISNA(MATCH(L463, Criterios!$B$123:$B$127, 0)), "Género no válido", "")), IF(OR(N463="", N463=""), "[Aviso] Temporada no capturada ()", IF(ISNA(MATCH(N463, Criterios!$C$123:$C$128, 0)), "Temporada no válida", "")), IF(OR(O463="", O463=""), "[Aviso] Ciclo de vida no capturado ()", IF(ISNA(MATCH(O463, Criterios!$D$123:$D$124, 0)), "Ciclo de vida no válido", ""))))</f>
        <v/>
      </c>
      <c r="AC463" s="56" t="n"/>
      <c r="AD463" s="51" t="n"/>
      <c r="AE463" s="156" t="n"/>
      <c r="AF463" s="51" t="n"/>
      <c r="AG463" s="156" t="inlineStr">
        <is>
          <t>Nuevo – Carga Hoja2 01/10/2026</t>
        </is>
      </c>
      <c r="AH463" s="156" t="inlineStr">
        <is>
          <t>Alta 01/10/2026 desde Hoja2 (fila 262) | 01/10/2026: complementado desde Odoo Universal Unique Brands (match por SKU): WB Talla, WB Talla de EE. UU., WB Género | Homologación G1522 06/10/2026: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63" s="156" t="n"/>
      <c r="AJ463" s="156" t="n"/>
      <c r="AK463" s="155" t="inlineStr">
        <is>
          <t>Hoja2: fila 262 | Odoo: producto 27358 / plantilla 34058</t>
        </is>
      </c>
      <c r="AL463" s="58" t="n"/>
      <c r="AM463" s="58" t="n"/>
      <c r="AN463" s="155" t="inlineStr">
        <is>
          <t>Odoo Universal Unique Brands</t>
        </is>
      </c>
      <c r="AO463" s="59" t="n"/>
      <c r="AP463" s="59" t="n"/>
      <c r="AQ463" s="59" t="n">
        <v>6</v>
      </c>
      <c r="AR463" s="155" t="inlineStr">
        <is>
          <t>Odoo Universal Unique Brands › Bodega 25 › Bodega 25/General: 6</t>
        </is>
      </c>
    </row>
    <row r="464">
      <c r="A464" s="50" t="n"/>
      <c r="B464" s="51" t="inlineStr">
        <is>
          <t>27359</t>
        </is>
      </c>
      <c r="C464" s="156" t="inlineStr">
        <is>
          <t>Montana West</t>
        </is>
      </c>
      <c r="D464" s="156" t="n"/>
      <c r="E464" s="156" t="inlineStr">
        <is>
          <t>WG219-183JN</t>
        </is>
      </c>
      <c r="F464" s="156" t="inlineStr">
        <is>
          <t>Talla única</t>
        </is>
      </c>
      <c r="G464" s="156" t="inlineStr">
        <is>
          <t>One Size</t>
        </is>
      </c>
      <c r="H464" s="156" t="inlineStr">
        <is>
          <t>Montana West</t>
        </is>
      </c>
      <c r="I464" s="156" t="inlineStr">
        <is>
          <t>WG CROSSBODY</t>
        </is>
      </c>
      <c r="J464" s="156" t="inlineStr">
        <is>
          <t>Accesorios</t>
        </is>
      </c>
      <c r="K464" s="156" t="inlineStr">
        <is>
          <t>Bolsos</t>
        </is>
      </c>
      <c r="L464" s="156" t="inlineStr">
        <is>
          <t>Unisex</t>
        </is>
      </c>
      <c r="M464" s="156" t="n"/>
      <c r="N464" s="156" t="n"/>
      <c r="O464" s="156" t="n"/>
      <c r="P464" s="156" t="n"/>
      <c r="Q464" s="156" t="n"/>
      <c r="R464" s="156" t="n"/>
      <c r="S464" s="156" t="n"/>
      <c r="T464" s="156" t="n"/>
      <c r="U464" s="156" t="n"/>
      <c r="V464" s="156" t="inlineStr">
        <is>
          <t>PZS</t>
        </is>
      </c>
      <c r="W464" s="51" t="inlineStr">
        <is>
          <t>53121601</t>
        </is>
      </c>
      <c r="X464" s="156" t="n"/>
      <c r="Y464" s="54" t="n">
        <v>189.75</v>
      </c>
      <c r="Z464" s="54" t="n">
        <v>349</v>
      </c>
      <c r="AA464" s="55">
        <f>IF(AND(A464="", B464="", E464=""), "", IF(AB464="", "Válido", IF((LEN(AB464)-LEN(SUBSTITUTE(AB464,"; ","")))/2+1&gt;(LEN(AB464)-LEN(SUBSTITUTE(AB464,"[Aviso]","")))/7, "Con Incidencias", "Válido")))</f>
        <v/>
      </c>
      <c r="AB464" s="56">
        <f>IF(AND(A464="", B464="", E464=""), "", TEXTJOIN("; ", TRUE, IF(OR(TRIM(A464&amp;"")="", ISNUMBER(SEARCH("FALTA", A464))), "UPC faltante/inválido", ""), IF(AND(A464&lt;&gt;"", IFERROR(_xlfn.XMATCH(A464,$A$2:$A$1063,0,1)&lt;&gt;_xlfn.XMATCH(A464,$A$2:$A$1063,0,-1),FALSE)), "Código de barras duplicado", ""), IF(AND(E464&lt;&gt;"", COUNTIF($E$2:$E$1063, E464)&gt;1), "SKU duplicado", ""), IF(OR(J464="", J464=""), "[Aviso] División no capturada ()", IF(ISNA(MATCH(J464, Criterios!$A$123:$A$126, 0)), "División no válida", "")), IF(OR(K464="", K464=""), "[Aviso] Categoría no capturada ()", IF(ISNA(MATCH(K464, Criterios!$A$81:$A$120, 0)), "Categoría no válida", IF(AND(J464&lt;&gt;"", J464&lt;&gt;"", J464&lt;&gt;VLOOKUP(K464, Criterios!$A$81:$B$120, 2, FALSE)), "División no coincide con Categoría", ""))), IF(OR(L464="", L464=""), "[Aviso] Género no capturado ()", IF(ISNA(MATCH(L464, Criterios!$B$123:$B$127, 0)), "Género no válido", "")), IF(OR(N464="", N464=""), "[Aviso] Temporada no capturada ()", IF(ISNA(MATCH(N464, Criterios!$C$123:$C$128, 0)), "Temporada no válida", "")), IF(OR(O464="", O464=""), "[Aviso] Ciclo de vida no capturado ()", IF(ISNA(MATCH(O464, Criterios!$D$123:$D$124, 0)), "Ciclo de vida no válido", ""))))</f>
        <v/>
      </c>
      <c r="AC464" s="56" t="n"/>
      <c r="AD464" s="51" t="n"/>
      <c r="AE464" s="156" t="n"/>
      <c r="AF464" s="51" t="n"/>
      <c r="AG464" s="156" t="inlineStr">
        <is>
          <t>Nuevo – Carga Hoja2 01/10/2026</t>
        </is>
      </c>
      <c r="AH464" s="156" t="inlineStr">
        <is>
          <t>Alta 01/10/2026 desde Hoja2 (fila 263)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64" s="156" t="n"/>
      <c r="AJ464" s="156" t="n"/>
      <c r="AK464" s="155" t="inlineStr">
        <is>
          <t>Hoja2: fila 263 | Odoo: producto 27359 / plantilla 34059</t>
        </is>
      </c>
      <c r="AL464" s="58" t="n"/>
      <c r="AM464" s="58" t="n"/>
      <c r="AN464" s="155" t="inlineStr">
        <is>
          <t>Odoo Universal Unique Brands</t>
        </is>
      </c>
      <c r="AO464" s="59" t="n"/>
      <c r="AP464" s="59" t="n"/>
      <c r="AQ464" s="59" t="n">
        <v>0</v>
      </c>
      <c r="AR464" s="155" t="n"/>
    </row>
    <row r="465">
      <c r="A465" s="50" t="inlineStr">
        <is>
          <t>774196307341</t>
        </is>
      </c>
      <c r="B465" s="51" t="inlineStr">
        <is>
          <t>27361</t>
        </is>
      </c>
      <c r="C465" s="156" t="inlineStr">
        <is>
          <t>Wrangler</t>
        </is>
      </c>
      <c r="D465" s="156" t="inlineStr">
        <is>
          <t>WG2203-8119LCF</t>
        </is>
      </c>
      <c r="E465" s="156" t="inlineStr">
        <is>
          <t>WG2203-8119LCF</t>
        </is>
      </c>
      <c r="F465" s="156" t="inlineStr">
        <is>
          <t>Talla única</t>
        </is>
      </c>
      <c r="G465" s="156" t="inlineStr">
        <is>
          <t>One Size</t>
        </is>
      </c>
      <c r="H465" s="156" t="inlineStr">
        <is>
          <t>Wrangler</t>
        </is>
      </c>
      <c r="I465" s="156" t="inlineStr">
        <is>
          <t>Bolsa Wrangler Café Claro</t>
        </is>
      </c>
      <c r="J465" s="156" t="inlineStr">
        <is>
          <t>Accesorios</t>
        </is>
      </c>
      <c r="K465" s="156" t="inlineStr">
        <is>
          <t>Bolsos</t>
        </is>
      </c>
      <c r="L465" s="156" t="inlineStr">
        <is>
          <t>Unisex</t>
        </is>
      </c>
      <c r="M465" s="156" t="inlineStr">
        <is>
          <t>Wrangler</t>
        </is>
      </c>
      <c r="N465" s="156" t="n"/>
      <c r="O465" s="156" t="inlineStr">
        <is>
          <t>Core</t>
        </is>
      </c>
      <c r="P465" s="156" t="inlineStr">
        <is>
          <t>Cafe</t>
        </is>
      </c>
      <c r="Q465" s="156" t="n"/>
      <c r="R465" s="156" t="n"/>
      <c r="S465" s="156" t="n"/>
      <c r="T465" s="156" t="inlineStr">
        <is>
          <t>Bolsa Wrangler. Color: Café Claro. Talla única. Unisex. Referencia: WG2203-8119LCF.</t>
        </is>
      </c>
      <c r="U465" s="156" t="n"/>
      <c r="V465" s="156" t="inlineStr">
        <is>
          <t>PZS</t>
        </is>
      </c>
      <c r="W465" s="51" t="inlineStr">
        <is>
          <t>53121601</t>
        </is>
      </c>
      <c r="X465" s="156" t="inlineStr">
        <is>
          <t>https://cdn.shopify.com/s/files/1/0005/9015/1741/files/wg2203-8119lcf.jpg?v=1762927845</t>
        </is>
      </c>
      <c r="Y465" s="54" t="n">
        <v>345</v>
      </c>
      <c r="Z465" s="54" t="n">
        <v>599</v>
      </c>
      <c r="AA465" s="55">
        <f>IF(AND(A465="", B465="", E465=""), "", IF(AB465="", "Válido", IF((LEN(AB465)-LEN(SUBSTITUTE(AB465,"; ","")))/2+1&gt;(LEN(AB465)-LEN(SUBSTITUTE(AB465,"[Aviso]","")))/7, "Con Incidencias", "Válido")))</f>
        <v/>
      </c>
      <c r="AB465" s="56">
        <f>IF(AND(A465="", B465="", E465=""), "", TEXTJOIN("; ", TRUE, IF(OR(TRIM(A465&amp;"")="", ISNUMBER(SEARCH("FALTA", A465))), "UPC faltante/inválido", ""), IF(AND(A465&lt;&gt;"", IFERROR(_xlfn.XMATCH(A465,$A$2:$A$1063,0,1)&lt;&gt;_xlfn.XMATCH(A465,$A$2:$A$1063,0,-1),FALSE)), "Código de barras duplicado", ""), IF(AND(E465&lt;&gt;"", COUNTIF($E$2:$E$1063, E465)&gt;1), "SKU duplicado", ""), IF(OR(J465="", J465=""), "[Aviso] División no capturada ()", IF(ISNA(MATCH(J465, Criterios!$A$123:$A$126, 0)), "División no válida", "")), IF(OR(K465="", K465=""), "[Aviso] Categoría no capturada ()", IF(ISNA(MATCH(K465, Criterios!$A$81:$A$120, 0)), "Categoría no válida", IF(AND(J465&lt;&gt;"", J465&lt;&gt;"", J465&lt;&gt;VLOOKUP(K465, Criterios!$A$81:$B$120, 2, FALSE)), "División no coincide con Categoría", ""))), IF(OR(L465="", L465=""), "[Aviso] Género no capturado ()", IF(ISNA(MATCH(L465, Criterios!$B$123:$B$127, 0)), "Género no válido", "")), IF(OR(N465="", N465=""), "[Aviso] Temporada no capturada ()", IF(ISNA(MATCH(N465, Criterios!$C$123:$C$128, 0)), "Temporada no válida", "")), IF(OR(O465="", O465=""), "[Aviso] Ciclo de vida no capturado ()", IF(ISNA(MATCH(O465, Criterios!$D$123:$D$124, 0)), "Ciclo de vida no válido", ""))))</f>
        <v/>
      </c>
      <c r="AC465" s="56" t="n"/>
      <c r="AD465" s="51" t="n"/>
      <c r="AE465" s="156" t="n"/>
      <c r="AF465" s="51" t="n"/>
      <c r="AG465" s="156" t="inlineStr">
        <is>
          <t>Nuevo – Carga Hoja2 01/10/2026</t>
        </is>
      </c>
      <c r="AH465" s="156" t="inlineStr">
        <is>
          <t>Alta 01/10/2026 desde Hoja2 (fila 264) | 01/10/2026: Odoo Universal Unique Brands trae Marca «Montana West» — se conservó el valor de Productos | Homologación G1522 06/10/2026: Enlace de imagen: «» → «https://cdn.shopify.com/s/files/1/0005/9015/1741/files/wg2203-8119lcf.jpg?v=1762927845» (Completado por investigación en línea) · Validador Shopify: WB: precio con IVA no termina en 9</t>
        </is>
      </c>
      <c r="AI465" s="156" t="n"/>
      <c r="AJ465" s="156" t="n"/>
      <c r="AK465" s="155" t="inlineStr">
        <is>
          <t>Hoja2: fila 264 | Odoo: producto 27361 / plantilla 34061 | Investigación en línea 06/10/2026: https://montanawestworld.com/products/wrangler-aztec-print-canvas-tote-bag</t>
        </is>
      </c>
      <c r="AL465" s="58" t="n"/>
      <c r="AM465" s="58" t="n"/>
      <c r="AN465" s="155" t="inlineStr">
        <is>
          <t>Odoo Universal Unique Brands</t>
        </is>
      </c>
      <c r="AO465" s="59" t="n"/>
      <c r="AP465" s="59" t="n"/>
      <c r="AQ465" s="59" t="n">
        <v>0</v>
      </c>
      <c r="AR465" s="155" t="n"/>
    </row>
    <row r="466">
      <c r="A466" s="50" t="n"/>
      <c r="B466" s="51" t="inlineStr">
        <is>
          <t>27363</t>
        </is>
      </c>
      <c r="C466" s="156" t="inlineStr">
        <is>
          <t>Montana West</t>
        </is>
      </c>
      <c r="D466" s="156" t="n"/>
      <c r="E466" s="156" t="inlineStr">
        <is>
          <t>WG2204-9110BG</t>
        </is>
      </c>
      <c r="F466" s="156" t="inlineStr">
        <is>
          <t>Talla única</t>
        </is>
      </c>
      <c r="G466" s="156" t="inlineStr">
        <is>
          <t>One Size</t>
        </is>
      </c>
      <c r="H466" s="156" t="inlineStr">
        <is>
          <t>Montana West</t>
        </is>
      </c>
      <c r="I466" s="156" t="inlineStr">
        <is>
          <t>WG BACKPACK</t>
        </is>
      </c>
      <c r="J466" s="156" t="inlineStr">
        <is>
          <t>Accesorios</t>
        </is>
      </c>
      <c r="K466" s="156" t="inlineStr">
        <is>
          <t>Mochilas</t>
        </is>
      </c>
      <c r="L466" s="156" t="inlineStr">
        <is>
          <t>Unisex</t>
        </is>
      </c>
      <c r="M466" s="156" t="n"/>
      <c r="N466" s="156" t="n"/>
      <c r="O466" s="156" t="n"/>
      <c r="P466" s="156" t="inlineStr">
        <is>
          <t>Beige</t>
        </is>
      </c>
      <c r="Q466" s="156" t="n"/>
      <c r="R466" s="156" t="n"/>
      <c r="S466" s="156" t="n"/>
      <c r="T466" s="156" t="n"/>
      <c r="U466" s="156" t="n"/>
      <c r="V466" s="156" t="inlineStr">
        <is>
          <t>PZS</t>
        </is>
      </c>
      <c r="W466" s="51" t="inlineStr">
        <is>
          <t>53121601</t>
        </is>
      </c>
      <c r="X466" s="156" t="inlineStr">
        <is>
          <t>https://cdn.shopify.com/s/files/1/0005/9015/1741/files/WG2204-9110TN1_1adc4887-cefe-4c5e-b7a3-92b5543da18e.webp?v=1772070528</t>
        </is>
      </c>
      <c r="Y466" s="54" t="n">
        <v>457.125</v>
      </c>
      <c r="Z466" s="54" t="n">
        <v>749</v>
      </c>
      <c r="AA466" s="55">
        <f>IF(AND(A466="", B466="", E466=""), "", IF(AB466="", "Válido", IF((LEN(AB466)-LEN(SUBSTITUTE(AB466,"; ","")))/2+1&gt;(LEN(AB466)-LEN(SUBSTITUTE(AB466,"[Aviso]","")))/7, "Con Incidencias", "Válido")))</f>
        <v/>
      </c>
      <c r="AB466" s="56">
        <f>IF(AND(A466="", B466="", E466=""), "", TEXTJOIN("; ", TRUE, IF(OR(TRIM(A466&amp;"")="", ISNUMBER(SEARCH("FALTA", A466))), "UPC faltante/inválido", ""), IF(AND(A466&lt;&gt;"", IFERROR(_xlfn.XMATCH(A466,$A$2:$A$1063,0,1)&lt;&gt;_xlfn.XMATCH(A466,$A$2:$A$1063,0,-1),FALSE)), "Código de barras duplicado", ""), IF(AND(E466&lt;&gt;"", COUNTIF($E$2:$E$1063, E466)&gt;1), "SKU duplicado", ""), IF(OR(J466="", J466=""), "[Aviso] División no capturada ()", IF(ISNA(MATCH(J466, Criterios!$A$123:$A$126, 0)), "División no válida", "")), IF(OR(K466="", K466=""), "[Aviso] Categoría no capturada ()", IF(ISNA(MATCH(K466, Criterios!$A$81:$A$120, 0)), "Categoría no válida", IF(AND(J466&lt;&gt;"", J466&lt;&gt;"", J466&lt;&gt;VLOOKUP(K466, Criterios!$A$81:$B$120, 2, FALSE)), "División no coincide con Categoría", ""))), IF(OR(L466="", L466=""), "[Aviso] Género no capturado ()", IF(ISNA(MATCH(L466, Criterios!$B$123:$B$127, 0)), "Género no válido", "")), IF(OR(N466="", N466=""), "[Aviso] Temporada no capturada ()", IF(ISNA(MATCH(N466, Criterios!$C$123:$C$128, 0)), "Temporada no válida", "")), IF(OR(O466="", O466=""), "[Aviso] Ciclo de vida no capturado ()", IF(ISNA(MATCH(O466, Criterios!$D$123:$D$124, 0)), "Ciclo de vida no válido", ""))))</f>
        <v/>
      </c>
      <c r="AC466" s="56" t="n"/>
      <c r="AD466" s="51" t="n"/>
      <c r="AE466" s="156" t="n"/>
      <c r="AF466" s="51" t="n"/>
      <c r="AG466" s="156" t="inlineStr">
        <is>
          <t>Nuevo – Carga Hoja2 01/10/2026</t>
        </is>
      </c>
      <c r="AH466" s="156" t="inlineStr">
        <is>
          <t>Alta 01/10/2026 desde Hoja2 (fila 265) | 01/10/2026: complementado desde Odoo Universal Unique Brands (match por SKU): WB Talla, WB Talla de EE. UU., WB Género | Homologación G1522 06/10/2026: Enlace de imagen: «» → «https://cdn.shopify.com/s/files/1/0005/9015/1741/files/WG2204-9110TN1_1adc4887-cefe-4c5e-b7a3-92b5543da18e.webp?v=1772070528» (Completado por investigación en línea) · WB Color: «» → «Beige»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466" s="156" t="n"/>
      <c r="AJ466" s="156" t="n"/>
      <c r="AK466" s="155" t="inlineStr">
        <is>
          <t>Hoja2: fila 265 | Odoo: producto 27363 / plantilla 34063 | Investigación en línea 06/10/2026: https://montanawestworld.com/products/wrangler-aztec-southwestern-print-diaper-bag</t>
        </is>
      </c>
      <c r="AL466" s="58" t="n"/>
      <c r="AM466" s="58" t="n"/>
      <c r="AN466" s="155" t="inlineStr">
        <is>
          <t>Odoo Universal Unique Brands</t>
        </is>
      </c>
      <c r="AO466" s="59" t="n"/>
      <c r="AP466" s="59" t="n"/>
      <c r="AQ466" s="59" t="n">
        <v>-2</v>
      </c>
      <c r="AR466" s="155" t="n"/>
    </row>
    <row r="467">
      <c r="A467" s="50" t="inlineStr">
        <is>
          <t>717012192509</t>
        </is>
      </c>
      <c r="B467" s="51" t="inlineStr">
        <is>
          <t>27364</t>
        </is>
      </c>
      <c r="C467" s="156" t="inlineStr">
        <is>
          <t>Wrangler</t>
        </is>
      </c>
      <c r="D467" s="156" t="inlineStr">
        <is>
          <t>WG2204-9110BK</t>
        </is>
      </c>
      <c r="E467" s="156" t="inlineStr">
        <is>
          <t>WG2204-9110BK</t>
        </is>
      </c>
      <c r="F467" s="156" t="inlineStr">
        <is>
          <t>Talla única</t>
        </is>
      </c>
      <c r="G467" s="156" t="inlineStr">
        <is>
          <t>One Size</t>
        </is>
      </c>
      <c r="H467" s="156" t="inlineStr">
        <is>
          <t>Wrangler</t>
        </is>
      </c>
      <c r="I467" s="156" t="inlineStr">
        <is>
          <t>Pañalera Wrangler Estampado Azteca Completo Negro</t>
        </is>
      </c>
      <c r="J467" s="156" t="inlineStr">
        <is>
          <t>Accesorios</t>
        </is>
      </c>
      <c r="K467" s="156" t="inlineStr">
        <is>
          <t>Mochilas</t>
        </is>
      </c>
      <c r="L467" s="156" t="inlineStr">
        <is>
          <t>Unisex</t>
        </is>
      </c>
      <c r="M467" s="156" t="inlineStr">
        <is>
          <t>Wrangler</t>
        </is>
      </c>
      <c r="N467" s="156" t="n"/>
      <c r="O467" s="156" t="inlineStr">
        <is>
          <t>Core</t>
        </is>
      </c>
      <c r="P467" s="156" t="inlineStr">
        <is>
          <t>Negro</t>
        </is>
      </c>
      <c r="Q467" s="156" t="n"/>
      <c r="R467" s="156" t="n"/>
      <c r="S467" s="156" t="n"/>
      <c r="T467" s="156" t="inlineStr">
        <is>
          <t>Pañalera Wrangler. Modelo: Estampado Azteca Completo. Color: Negro. Talla única. Unisex. Referencia: WG2204-9110BK.</t>
        </is>
      </c>
      <c r="U467" s="156" t="n"/>
      <c r="V467" s="156" t="inlineStr">
        <is>
          <t>PZS</t>
        </is>
      </c>
      <c r="W467" s="51" t="inlineStr">
        <is>
          <t>53121601</t>
        </is>
      </c>
      <c r="X467" s="156" t="inlineStr">
        <is>
          <t>https://cdn.shopify.com/s/files/1/0005/9015/1741/files/WG2204-9110bk1_72a2f141-d524-4b73-ac24-f73d6fff4cfd.webp?v=1762508023</t>
        </is>
      </c>
      <c r="Y467" s="54" t="n">
        <v>457.125</v>
      </c>
      <c r="Z467" s="54" t="n">
        <v>749</v>
      </c>
      <c r="AA467" s="55">
        <f>IF(AND(A467="", B467="", E467=""), "", IF(AB467="", "Válido", IF((LEN(AB467)-LEN(SUBSTITUTE(AB467,"; ","")))/2+1&gt;(LEN(AB467)-LEN(SUBSTITUTE(AB467,"[Aviso]","")))/7, "Con Incidencias", "Válido")))</f>
        <v/>
      </c>
      <c r="AB467" s="56">
        <f>IF(AND(A467="", B467="", E467=""), "", TEXTJOIN("; ", TRUE, IF(OR(TRIM(A467&amp;"")="", ISNUMBER(SEARCH("FALTA", A467))), "UPC faltante/inválido", ""), IF(AND(A467&lt;&gt;"", IFERROR(_xlfn.XMATCH(A467,$A$2:$A$1063,0,1)&lt;&gt;_xlfn.XMATCH(A467,$A$2:$A$1063,0,-1),FALSE)), "Código de barras duplicado", ""), IF(AND(E467&lt;&gt;"", COUNTIF($E$2:$E$1063, E467)&gt;1), "SKU duplicado", ""), IF(OR(J467="", J467=""), "[Aviso] División no capturada ()", IF(ISNA(MATCH(J467, Criterios!$A$123:$A$126, 0)), "División no válida", "")), IF(OR(K467="", K467=""), "[Aviso] Categoría no capturada ()", IF(ISNA(MATCH(K467, Criterios!$A$81:$A$120, 0)), "Categoría no válida", IF(AND(J467&lt;&gt;"", J467&lt;&gt;"", J467&lt;&gt;VLOOKUP(K467, Criterios!$A$81:$B$120, 2, FALSE)), "División no coincide con Categoría", ""))), IF(OR(L467="", L467=""), "[Aviso] Género no capturado ()", IF(ISNA(MATCH(L467, Criterios!$B$123:$B$127, 0)), "Género no válido", "")), IF(OR(N467="", N467=""), "[Aviso] Temporada no capturada ()", IF(ISNA(MATCH(N467, Criterios!$C$123:$C$128, 0)), "Temporada no válida", "")), IF(OR(O467="", O467=""), "[Aviso] Ciclo de vida no capturado ()", IF(ISNA(MATCH(O467, Criterios!$D$123:$D$124, 0)), "Ciclo de vida no válido", ""))))</f>
        <v/>
      </c>
      <c r="AC467" s="56" t="n"/>
      <c r="AD467" s="51" t="n"/>
      <c r="AE467" s="156" t="n"/>
      <c r="AF467" s="51" t="n"/>
      <c r="AG467" s="156" t="inlineStr">
        <is>
          <t>Nuevo – Carga Hoja2 01/10/2026</t>
        </is>
      </c>
      <c r="AH467" s="156" t="inlineStr">
        <is>
          <t>Alta 01/10/2026 desde Hoja2 (fila 266) | 01/10/2026: Odoo Universal Unique Brands trae Marca «Montana West» — se conservó el valor de Productos | Homologación G1522 06/10/2026: Enlace de imagen: «» → «https://cdn.shopify.com/s/files/1/0005/9015/1741/files/WG2204-9110bk1_72a2f141-d524-4b73-ac24-f73d6fff4cfd.webp?v=1762508023» (Completado por investigación en línea) · Validador Shopify: WB: precio con IVA no termina en 9</t>
        </is>
      </c>
      <c r="AI467" s="156" t="n"/>
      <c r="AJ467" s="156" t="n"/>
      <c r="AK467" s="155" t="inlineStr">
        <is>
          <t>Hoja2: fila 266 | Odoo: producto 27364 / plantilla 34064 | Investigación en línea 06/10/2026: https://montanawestworld.com/products/wrangler-aztec-southwestern-print-diaper-bag</t>
        </is>
      </c>
      <c r="AL467" s="58" t="n"/>
      <c r="AM467" s="58" t="n"/>
      <c r="AN467" s="155" t="inlineStr">
        <is>
          <t>Odoo Universal Unique Brands</t>
        </is>
      </c>
      <c r="AO467" s="59" t="n"/>
      <c r="AP467" s="59" t="n"/>
      <c r="AQ467" s="59" t="n">
        <v>-2</v>
      </c>
      <c r="AR467" s="155" t="n"/>
    </row>
    <row r="468">
      <c r="A468" s="50" t="inlineStr">
        <is>
          <t>717012192615</t>
        </is>
      </c>
      <c r="B468" s="51" t="inlineStr">
        <is>
          <t>27368</t>
        </is>
      </c>
      <c r="C468" s="156" t="inlineStr">
        <is>
          <t>Wrangler</t>
        </is>
      </c>
      <c r="D468" s="156" t="inlineStr">
        <is>
          <t>WG2204-9110NY</t>
        </is>
      </c>
      <c r="E468" s="156" t="inlineStr">
        <is>
          <t>WG2204-9110NY</t>
        </is>
      </c>
      <c r="F468" s="156" t="inlineStr">
        <is>
          <t>Talla única</t>
        </is>
      </c>
      <c r="G468" s="156" t="inlineStr">
        <is>
          <t>One Size</t>
        </is>
      </c>
      <c r="H468" s="156" t="inlineStr">
        <is>
          <t>Wrangler</t>
        </is>
      </c>
      <c r="I468" s="156" t="inlineStr">
        <is>
          <t>Pañalera Wrangler Estampado Azteca Completo Azul Marino</t>
        </is>
      </c>
      <c r="J468" s="156" t="inlineStr">
        <is>
          <t>Accesorios</t>
        </is>
      </c>
      <c r="K468" s="156" t="inlineStr">
        <is>
          <t>Mochilas</t>
        </is>
      </c>
      <c r="L468" s="156" t="inlineStr">
        <is>
          <t>Unisex</t>
        </is>
      </c>
      <c r="M468" s="156" t="inlineStr">
        <is>
          <t>Wrangler</t>
        </is>
      </c>
      <c r="N468" s="156" t="n"/>
      <c r="O468" s="156" t="inlineStr">
        <is>
          <t>Core</t>
        </is>
      </c>
      <c r="P468" s="156" t="inlineStr">
        <is>
          <t>Azul</t>
        </is>
      </c>
      <c r="Q468" s="156" t="n"/>
      <c r="R468" s="156" t="n"/>
      <c r="S468" s="156" t="n"/>
      <c r="T468" s="156" t="inlineStr">
        <is>
          <t>Pañalera Wrangler. Modelo: Estampado Azteca Completo. Color: Azul Marino. Talla única. Unisex. Referencia: WG2204-9110NY.</t>
        </is>
      </c>
      <c r="U468" s="156" t="n"/>
      <c r="V468" s="156" t="inlineStr">
        <is>
          <t>PZS</t>
        </is>
      </c>
      <c r="W468" s="51" t="inlineStr">
        <is>
          <t>53121601</t>
        </is>
      </c>
      <c r="X468" s="156" t="inlineStr">
        <is>
          <t>https://cdn.shopify.com/s/files/1/0005/9015/1741/files/WG2204-9110ny1.webp?v=1762508023</t>
        </is>
      </c>
      <c r="Y468" s="54" t="n">
        <v>457.125</v>
      </c>
      <c r="Z468" s="54" t="n">
        <v>749</v>
      </c>
      <c r="AA468" s="55">
        <f>IF(AND(A468="", B468="", E468=""), "", IF(AB468="", "Válido", IF((LEN(AB468)-LEN(SUBSTITUTE(AB468,"; ","")))/2+1&gt;(LEN(AB468)-LEN(SUBSTITUTE(AB468,"[Aviso]","")))/7, "Con Incidencias", "Válido")))</f>
        <v/>
      </c>
      <c r="AB468" s="56">
        <f>IF(AND(A468="", B468="", E468=""), "", TEXTJOIN("; ", TRUE, IF(OR(TRIM(A468&amp;"")="", ISNUMBER(SEARCH("FALTA", A468))), "UPC faltante/inválido", ""), IF(AND(A468&lt;&gt;"", IFERROR(_xlfn.XMATCH(A468,$A$2:$A$1063,0,1)&lt;&gt;_xlfn.XMATCH(A468,$A$2:$A$1063,0,-1),FALSE)), "Código de barras duplicado", ""), IF(AND(E468&lt;&gt;"", COUNTIF($E$2:$E$1063, E468)&gt;1), "SKU duplicado", ""), IF(OR(J468="", J468=""), "[Aviso] División no capturada ()", IF(ISNA(MATCH(J468, Criterios!$A$123:$A$126, 0)), "División no válida", "")), IF(OR(K468="", K468=""), "[Aviso] Categoría no capturada ()", IF(ISNA(MATCH(K468, Criterios!$A$81:$A$120, 0)), "Categoría no válida", IF(AND(J468&lt;&gt;"", J468&lt;&gt;"", J468&lt;&gt;VLOOKUP(K468, Criterios!$A$81:$B$120, 2, FALSE)), "División no coincide con Categoría", ""))), IF(OR(L468="", L468=""), "[Aviso] Género no capturado ()", IF(ISNA(MATCH(L468, Criterios!$B$123:$B$127, 0)), "Género no válido", "")), IF(OR(N468="", N468=""), "[Aviso] Temporada no capturada ()", IF(ISNA(MATCH(N468, Criterios!$C$123:$C$128, 0)), "Temporada no válida", "")), IF(OR(O468="", O468=""), "[Aviso] Ciclo de vida no capturado ()", IF(ISNA(MATCH(O468, Criterios!$D$123:$D$124, 0)), "Ciclo de vida no válido", ""))))</f>
        <v/>
      </c>
      <c r="AC468" s="56" t="n"/>
      <c r="AD468" s="51" t="n"/>
      <c r="AE468" s="156" t="n"/>
      <c r="AF468" s="51" t="n"/>
      <c r="AG468" s="156" t="inlineStr">
        <is>
          <t>Nuevo – Carga Hoja2 01/10/2026</t>
        </is>
      </c>
      <c r="AH468" s="156" t="inlineStr">
        <is>
          <t>Alta 01/10/2026 desde Hoja2 (fila 267) | 01/10/2026: Odoo Universal Unique Brands trae Marca «Montana West» — se conservó el valor de Productos | Homologación G1522 06/10/2026: Enlace de imagen: «» → «https://cdn.shopify.com/s/files/1/0005/9015/1741/files/WG2204-9110ny1.webp?v=1762508023» (Completado por investigación en línea) · Validador Shopify: WB: precio con IVA no termina en 9</t>
        </is>
      </c>
      <c r="AI468" s="156" t="n"/>
      <c r="AJ468" s="156" t="n"/>
      <c r="AK468" s="155" t="inlineStr">
        <is>
          <t>Hoja2: fila 267 | Odoo: producto 27368 / plantilla 34068 | Investigación en línea 06/10/2026: https://montanawestworld.com/products/wrangler-aztec-southwestern-print-diaper-bag</t>
        </is>
      </c>
      <c r="AL468" s="58" t="n"/>
      <c r="AM468" s="58" t="n"/>
      <c r="AN468" s="155" t="inlineStr">
        <is>
          <t>Odoo Universal Unique Brands</t>
        </is>
      </c>
      <c r="AO468" s="59" t="n"/>
      <c r="AP468" s="59" t="n"/>
      <c r="AQ468" s="59" t="n">
        <v>0</v>
      </c>
      <c r="AR468" s="155" t="n"/>
    </row>
    <row r="469">
      <c r="A469" s="50" t="inlineStr">
        <is>
          <t>717012192585</t>
        </is>
      </c>
      <c r="B469" s="51" t="inlineStr">
        <is>
          <t>27369</t>
        </is>
      </c>
      <c r="C469" s="156" t="inlineStr">
        <is>
          <t>Wrangler</t>
        </is>
      </c>
      <c r="D469" s="156" t="inlineStr">
        <is>
          <t>WG2204-9110TQ</t>
        </is>
      </c>
      <c r="E469" s="156" t="inlineStr">
        <is>
          <t>WG2204-9110TQ</t>
        </is>
      </c>
      <c r="F469" s="156" t="inlineStr">
        <is>
          <t>Talla única</t>
        </is>
      </c>
      <c r="G469" s="156" t="inlineStr">
        <is>
          <t>One Size</t>
        </is>
      </c>
      <c r="H469" s="156" t="inlineStr">
        <is>
          <t>Wrangler</t>
        </is>
      </c>
      <c r="I469" s="156" t="inlineStr">
        <is>
          <t>Pañalera Wrangler Estampado Azteca Completo Turquesa</t>
        </is>
      </c>
      <c r="J469" s="156" t="inlineStr">
        <is>
          <t>Accesorios</t>
        </is>
      </c>
      <c r="K469" s="156" t="inlineStr">
        <is>
          <t>Mochilas</t>
        </is>
      </c>
      <c r="L469" s="156" t="inlineStr">
        <is>
          <t>Unisex</t>
        </is>
      </c>
      <c r="M469" s="156" t="inlineStr">
        <is>
          <t>Wrangler</t>
        </is>
      </c>
      <c r="N469" s="156" t="n"/>
      <c r="O469" s="156" t="inlineStr">
        <is>
          <t>Core</t>
        </is>
      </c>
      <c r="P469" s="156" t="inlineStr">
        <is>
          <t>Azul</t>
        </is>
      </c>
      <c r="Q469" s="156" t="n"/>
      <c r="R469" s="156" t="n"/>
      <c r="S469" s="156" t="n"/>
      <c r="T469" s="156" t="inlineStr">
        <is>
          <t>Pañalera Wrangler. Modelo: Estampado Azteca Completo. Color: Turquesa. Talla única. Unisex. Referencia: WG2204-9110TQ.</t>
        </is>
      </c>
      <c r="U469" s="156" t="n"/>
      <c r="V469" s="156" t="inlineStr">
        <is>
          <t>PZS</t>
        </is>
      </c>
      <c r="W469" s="51" t="inlineStr">
        <is>
          <t>53121601</t>
        </is>
      </c>
      <c r="X469" s="156" t="inlineStr">
        <is>
          <t>https://cdn.shopify.com/s/files/1/0005/9015/1741/files/WG2204-9110tq1_1e9b84e8-d928-4d1d-9909-b87698b62c30.webp?v=1762508023</t>
        </is>
      </c>
      <c r="Y469" s="54" t="n">
        <v>457.125</v>
      </c>
      <c r="Z469" s="54" t="n">
        <v>749</v>
      </c>
      <c r="AA469" s="55">
        <f>IF(AND(A469="", B469="", E469=""), "", IF(AB469="", "Válido", IF((LEN(AB469)-LEN(SUBSTITUTE(AB469,"; ","")))/2+1&gt;(LEN(AB469)-LEN(SUBSTITUTE(AB469,"[Aviso]","")))/7, "Con Incidencias", "Válido")))</f>
        <v/>
      </c>
      <c r="AB469" s="56">
        <f>IF(AND(A469="", B469="", E469=""), "", TEXTJOIN("; ", TRUE, IF(OR(TRIM(A469&amp;"")="", ISNUMBER(SEARCH("FALTA", A469))), "UPC faltante/inválido", ""), IF(AND(A469&lt;&gt;"", IFERROR(_xlfn.XMATCH(A469,$A$2:$A$1063,0,1)&lt;&gt;_xlfn.XMATCH(A469,$A$2:$A$1063,0,-1),FALSE)), "Código de barras duplicado", ""), IF(AND(E469&lt;&gt;"", COUNTIF($E$2:$E$1063, E469)&gt;1), "SKU duplicado", ""), IF(OR(J469="", J469=""), "[Aviso] División no capturada ()", IF(ISNA(MATCH(J469, Criterios!$A$123:$A$126, 0)), "División no válida", "")), IF(OR(K469="", K469=""), "[Aviso] Categoría no capturada ()", IF(ISNA(MATCH(K469, Criterios!$A$81:$A$120, 0)), "Categoría no válida", IF(AND(J469&lt;&gt;"", J469&lt;&gt;"", J469&lt;&gt;VLOOKUP(K469, Criterios!$A$81:$B$120, 2, FALSE)), "División no coincide con Categoría", ""))), IF(OR(L469="", L469=""), "[Aviso] Género no capturado ()", IF(ISNA(MATCH(L469, Criterios!$B$123:$B$127, 0)), "Género no válido", "")), IF(OR(N469="", N469=""), "[Aviso] Temporada no capturada ()", IF(ISNA(MATCH(N469, Criterios!$C$123:$C$128, 0)), "Temporada no válida", "")), IF(OR(O469="", O469=""), "[Aviso] Ciclo de vida no capturado ()", IF(ISNA(MATCH(O469, Criterios!$D$123:$D$124, 0)), "Ciclo de vida no válido", ""))))</f>
        <v/>
      </c>
      <c r="AC469" s="56" t="n"/>
      <c r="AD469" s="51" t="n"/>
      <c r="AE469" s="156" t="n"/>
      <c r="AF469" s="51" t="n"/>
      <c r="AG469" s="156" t="inlineStr">
        <is>
          <t>Nuevo – Carga Hoja2 01/10/2026</t>
        </is>
      </c>
      <c r="AH469" s="156" t="inlineStr">
        <is>
          <t>Alta 01/10/2026 desde Hoja2 (fila 268) | 01/10/2026: Odoo Universal Unique Brands trae Marca «Montana West» — se conservó el valor de Productos | Homologación G1522 06/10/2026: Enlace de imagen: «» → «https://cdn.shopify.com/s/files/1/0005/9015/1741/files/WG2204-9110tq1_1e9b84e8-d928-4d1d-9909-b87698b62c30.webp?v=1762508023» (Completado por investigación en línea) · Validador Shopify: WB: precio con IVA no termina en 9</t>
        </is>
      </c>
      <c r="AI469" s="156" t="n"/>
      <c r="AJ469" s="156" t="n"/>
      <c r="AK469" s="155" t="inlineStr">
        <is>
          <t>Hoja2: fila 268 | Odoo: producto 27369 / plantilla 34069 | Investigación en línea 06/10/2026: https://montanawestworld.com/products/wrangler-aztec-southwestern-print-diaper-bag</t>
        </is>
      </c>
      <c r="AL469" s="58" t="n"/>
      <c r="AM469" s="58" t="n"/>
      <c r="AN469" s="155" t="inlineStr">
        <is>
          <t>Odoo Universal Unique Brands</t>
        </is>
      </c>
      <c r="AO469" s="59" t="n"/>
      <c r="AP469" s="59" t="n"/>
      <c r="AQ469" s="59" t="n">
        <v>0</v>
      </c>
      <c r="AR469" s="155" t="n"/>
    </row>
    <row r="470">
      <c r="A470" s="50" t="inlineStr">
        <is>
          <t>717019689088</t>
        </is>
      </c>
      <c r="B470" s="51" t="inlineStr">
        <is>
          <t>27370</t>
        </is>
      </c>
      <c r="C470" s="156" t="inlineStr">
        <is>
          <t>Wrangler</t>
        </is>
      </c>
      <c r="D470" s="156" t="inlineStr">
        <is>
          <t>WG2207-3003GN</t>
        </is>
      </c>
      <c r="E470" s="156" t="inlineStr">
        <is>
          <t>WG2207-3003GN</t>
        </is>
      </c>
      <c r="F470" s="156" t="inlineStr">
        <is>
          <t>Talla única</t>
        </is>
      </c>
      <c r="G470" s="156" t="inlineStr">
        <is>
          <t>One Size</t>
        </is>
      </c>
      <c r="H470" s="156" t="inlineStr">
        <is>
          <t>Wrangler</t>
        </is>
      </c>
      <c r="I470" s="156" t="inlineStr">
        <is>
          <t>Bolsa Cruzada Wrangler Estampado Azteca Con Compartimento Para Cartera Verde</t>
        </is>
      </c>
      <c r="J470" s="156" t="inlineStr">
        <is>
          <t>Accesorios</t>
        </is>
      </c>
      <c r="K470" s="156" t="inlineStr">
        <is>
          <t>Bolsos</t>
        </is>
      </c>
      <c r="L470" s="156" t="inlineStr">
        <is>
          <t>Unisex</t>
        </is>
      </c>
      <c r="M470" s="156" t="inlineStr">
        <is>
          <t>Wrangler</t>
        </is>
      </c>
      <c r="N470" s="156" t="n"/>
      <c r="O470" s="156" t="inlineStr">
        <is>
          <t>Core</t>
        </is>
      </c>
      <c r="P470" s="156" t="inlineStr">
        <is>
          <t>Verde</t>
        </is>
      </c>
      <c r="Q470" s="156" t="n"/>
      <c r="R470" s="156" t="n"/>
      <c r="S470" s="156" t="n"/>
      <c r="T470" s="156" t="inlineStr">
        <is>
          <t>Bolsa Cruzada Wrangler. Modelo: Estampado Azteca Con Compartimento Para Cartera. Color: Verde. Talla única. Unisex. Referencia: WG2207-3003GN.</t>
        </is>
      </c>
      <c r="U470" s="156" t="n"/>
      <c r="V470" s="156" t="inlineStr">
        <is>
          <t>PZS</t>
        </is>
      </c>
      <c r="W470" s="51" t="inlineStr">
        <is>
          <t>53121601</t>
        </is>
      </c>
      <c r="X470" s="156" t="inlineStr">
        <is>
          <t>https://cdn.shopify.com/s/files/1/0005/9015/1741/files/WG2207-3005GN1_05ef012e-43e7-4774-989b-8630608a8326.webp?v=1762931979</t>
        </is>
      </c>
      <c r="Y470" s="54" t="n">
        <v>431.25</v>
      </c>
      <c r="Z470" s="54" t="n">
        <v>699</v>
      </c>
      <c r="AA470" s="55">
        <f>IF(AND(A470="", B470="", E470=""), "", IF(AB470="", "Válido", IF((LEN(AB470)-LEN(SUBSTITUTE(AB470,"; ","")))/2+1&gt;(LEN(AB470)-LEN(SUBSTITUTE(AB470,"[Aviso]","")))/7, "Con Incidencias", "Válido")))</f>
        <v/>
      </c>
      <c r="AB470" s="56">
        <f>IF(AND(A470="", B470="", E470=""), "", TEXTJOIN("; ", TRUE, IF(OR(TRIM(A470&amp;"")="", ISNUMBER(SEARCH("FALTA", A470))), "UPC faltante/inválido", ""), IF(AND(A470&lt;&gt;"", IFERROR(_xlfn.XMATCH(A470,$A$2:$A$1063,0,1)&lt;&gt;_xlfn.XMATCH(A470,$A$2:$A$1063,0,-1),FALSE)), "Código de barras duplicado", ""), IF(AND(E470&lt;&gt;"", COUNTIF($E$2:$E$1063, E470)&gt;1), "SKU duplicado", ""), IF(OR(J470="", J470=""), "[Aviso] División no capturada ()", IF(ISNA(MATCH(J470, Criterios!$A$123:$A$126, 0)), "División no válida", "")), IF(OR(K470="", K470=""), "[Aviso] Categoría no capturada ()", IF(ISNA(MATCH(K470, Criterios!$A$81:$A$120, 0)), "Categoría no válida", IF(AND(J470&lt;&gt;"", J470&lt;&gt;"", J470&lt;&gt;VLOOKUP(K470, Criterios!$A$81:$B$120, 2, FALSE)), "División no coincide con Categoría", ""))), IF(OR(L470="", L470=""), "[Aviso] Género no capturado ()", IF(ISNA(MATCH(L470, Criterios!$B$123:$B$127, 0)), "Género no válido", "")), IF(OR(N470="", N470=""), "[Aviso] Temporada no capturada ()", IF(ISNA(MATCH(N470, Criterios!$C$123:$C$128, 0)), "Temporada no válida", "")), IF(OR(O470="", O470=""), "[Aviso] Ciclo de vida no capturado ()", IF(ISNA(MATCH(O470, Criterios!$D$123:$D$124, 0)), "Ciclo de vida no válido", ""))))</f>
        <v/>
      </c>
      <c r="AC470" s="56" t="n"/>
      <c r="AD470" s="51" t="n"/>
      <c r="AE470" s="156" t="n"/>
      <c r="AF470" s="51" t="n"/>
      <c r="AG470" s="156" t="inlineStr">
        <is>
          <t>Nuevo – Carga Hoja2 01/10/2026</t>
        </is>
      </c>
      <c r="AH470" s="156" t="inlineStr">
        <is>
          <t>Alta 01/10/2026 desde Hoja2 (fila 269) | 01/10/2026: Odoo Universal Unique Brands trae Marca «Montana West» — se conservó el valor de Productos | Homologación G1522 06/10/2026: Enlace de imagen: «» → «https://cdn.shopify.com/s/files/1/0005/9015/1741/files/WG2207-3005GN1_05ef012e-43e7-4774-989b-8630608a8326.webp?v=1762931979» (Completado por investigación en línea) · Validador Shopify: WB: precio con IVA no termina en 9</t>
        </is>
      </c>
      <c r="AI470" s="156" t="n"/>
      <c r="AJ470" s="156" t="n"/>
      <c r="AK470" s="155" t="inlineStr">
        <is>
          <t>Hoja2: fila 269 | Odoo: producto 27370 / plantilla 34070 | Investigación en línea 06/10/2026: https://montanawestworld.com/products/wrangler-aztec-printed-crossbody-purse</t>
        </is>
      </c>
      <c r="AL470" s="58" t="n"/>
      <c r="AM470" s="58" t="n"/>
      <c r="AN470" s="155" t="inlineStr">
        <is>
          <t>Odoo Universal Unique Brands</t>
        </is>
      </c>
      <c r="AO470" s="59" t="n"/>
      <c r="AP470" s="59" t="n"/>
      <c r="AQ470" s="59" t="n">
        <v>0</v>
      </c>
      <c r="AR470" s="155" t="n"/>
    </row>
    <row r="471">
      <c r="A471" s="50" t="inlineStr">
        <is>
          <t>717019689149</t>
        </is>
      </c>
      <c r="B471" s="51" t="inlineStr">
        <is>
          <t>27372</t>
        </is>
      </c>
      <c r="C471" s="156" t="inlineStr">
        <is>
          <t>Wrangler</t>
        </is>
      </c>
      <c r="D471" s="156" t="inlineStr">
        <is>
          <t>WG2207-3003PK</t>
        </is>
      </c>
      <c r="E471" s="156" t="inlineStr">
        <is>
          <t>WG2207-3003PK</t>
        </is>
      </c>
      <c r="F471" s="156" t="inlineStr">
        <is>
          <t>Talla única</t>
        </is>
      </c>
      <c r="G471" s="156" t="inlineStr">
        <is>
          <t>One Size</t>
        </is>
      </c>
      <c r="H471" s="156" t="inlineStr">
        <is>
          <t>Wrangler</t>
        </is>
      </c>
      <c r="I471" s="156" t="inlineStr">
        <is>
          <t>Bolsa Cruzada Wrangler Estampado Azteca Con Compartimento Para Cartera Rosa</t>
        </is>
      </c>
      <c r="J471" s="156" t="inlineStr">
        <is>
          <t>Accesorios</t>
        </is>
      </c>
      <c r="K471" s="156" t="inlineStr">
        <is>
          <t>Bolsos</t>
        </is>
      </c>
      <c r="L471" s="156" t="inlineStr">
        <is>
          <t>Unisex</t>
        </is>
      </c>
      <c r="M471" s="156" t="inlineStr">
        <is>
          <t>Wrangler</t>
        </is>
      </c>
      <c r="N471" s="156" t="n"/>
      <c r="O471" s="156" t="inlineStr">
        <is>
          <t>Core</t>
        </is>
      </c>
      <c r="P471" s="156" t="inlineStr">
        <is>
          <t>Rosa</t>
        </is>
      </c>
      <c r="Q471" s="156" t="n"/>
      <c r="R471" s="156" t="n"/>
      <c r="S471" s="156" t="n"/>
      <c r="T471" s="156" t="inlineStr">
        <is>
          <t>Bolsa Cruzada Wrangler. Modelo: Estampado Azteca Con Compartimento Para Cartera. Color: Rosa. Talla única. Unisex. Referencia: WG2207-3003PK.</t>
        </is>
      </c>
      <c r="U471" s="156" t="n"/>
      <c r="V471" s="156" t="inlineStr">
        <is>
          <t>PZS</t>
        </is>
      </c>
      <c r="W471" s="51" t="inlineStr">
        <is>
          <t>53121601</t>
        </is>
      </c>
      <c r="X471" s="156" t="n"/>
      <c r="Y471" s="54" t="n">
        <v>431.25</v>
      </c>
      <c r="Z471" s="54" t="n">
        <v>699</v>
      </c>
      <c r="AA471" s="55">
        <f>IF(AND(A471="", B471="", E471=""), "", IF(AB471="", "Válido", IF((LEN(AB471)-LEN(SUBSTITUTE(AB471,"; ","")))/2+1&gt;(LEN(AB471)-LEN(SUBSTITUTE(AB471,"[Aviso]","")))/7, "Con Incidencias", "Válido")))</f>
        <v/>
      </c>
      <c r="AB471" s="56">
        <f>IF(AND(A471="", B471="", E471=""), "", TEXTJOIN("; ", TRUE, IF(OR(TRIM(A471&amp;"")="", ISNUMBER(SEARCH("FALTA", A471))), "UPC faltante/inválido", ""), IF(AND(A471&lt;&gt;"", IFERROR(_xlfn.XMATCH(A471,$A$2:$A$1063,0,1)&lt;&gt;_xlfn.XMATCH(A471,$A$2:$A$1063,0,-1),FALSE)), "Código de barras duplicado", ""), IF(AND(E471&lt;&gt;"", COUNTIF($E$2:$E$1063, E471)&gt;1), "SKU duplicado", ""), IF(OR(J471="", J471=""), "[Aviso] División no capturada ()", IF(ISNA(MATCH(J471, Criterios!$A$123:$A$126, 0)), "División no válida", "")), IF(OR(K471="", K471=""), "[Aviso] Categoría no capturada ()", IF(ISNA(MATCH(K471, Criterios!$A$81:$A$120, 0)), "Categoría no válida", IF(AND(J471&lt;&gt;"", J471&lt;&gt;"", J471&lt;&gt;VLOOKUP(K471, Criterios!$A$81:$B$120, 2, FALSE)), "División no coincide con Categoría", ""))), IF(OR(L471="", L471=""), "[Aviso] Género no capturado ()", IF(ISNA(MATCH(L471, Criterios!$B$123:$B$127, 0)), "Género no válido", "")), IF(OR(N471="", N471=""), "[Aviso] Temporada no capturada ()", IF(ISNA(MATCH(N471, Criterios!$C$123:$C$128, 0)), "Temporada no válida", "")), IF(OR(O471="", O471=""), "[Aviso] Ciclo de vida no capturado ()", IF(ISNA(MATCH(O471, Criterios!$D$123:$D$124, 0)), "Ciclo de vida no válido", ""))))</f>
        <v/>
      </c>
      <c r="AC471" s="56" t="n"/>
      <c r="AD471" s="51" t="n"/>
      <c r="AE471" s="156" t="n"/>
      <c r="AF471" s="51" t="n"/>
      <c r="AG471" s="156" t="inlineStr">
        <is>
          <t>Nuevo – Carga Hoja2 01/10/2026</t>
        </is>
      </c>
      <c r="AH471" s="156" t="inlineStr">
        <is>
          <t>Alta 01/10/2026 desde Hoja2 (fila 270) | 01/10/2026: Odoo Universal Unique Brands trae Marca «Montana West» — se conservó el valor de Productos | Homologación G1522 06/10/2026: Validador Shopify: WB: precio con IVA no termina en 9</t>
        </is>
      </c>
      <c r="AI471" s="156" t="n"/>
      <c r="AJ471" s="156" t="n"/>
      <c r="AK471" s="155" t="inlineStr">
        <is>
          <t>Hoja2: fila 270 | Odoo: producto 27372 / plantilla 34072</t>
        </is>
      </c>
      <c r="AL471" s="58" t="n"/>
      <c r="AM471" s="58" t="n"/>
      <c r="AN471" s="155" t="inlineStr">
        <is>
          <t>Odoo Universal Unique Brands</t>
        </is>
      </c>
      <c r="AO471" s="59" t="n"/>
      <c r="AP471" s="59" t="n"/>
      <c r="AQ471" s="59" t="n">
        <v>4</v>
      </c>
      <c r="AR471" s="155" t="inlineStr">
        <is>
          <t>Odoo Universal Unique Brands › Bodega 25 › Bodega 25/General: 4</t>
        </is>
      </c>
    </row>
    <row r="472">
      <c r="A472" s="50" t="n"/>
      <c r="B472" s="51" t="inlineStr">
        <is>
          <t>27374</t>
        </is>
      </c>
      <c r="C472" s="156" t="inlineStr">
        <is>
          <t>Montana West</t>
        </is>
      </c>
      <c r="D472" s="156" t="n"/>
      <c r="E472" s="156" t="inlineStr">
        <is>
          <t>WG2207-3003TQ</t>
        </is>
      </c>
      <c r="F472" s="156" t="inlineStr">
        <is>
          <t>Talla única</t>
        </is>
      </c>
      <c r="G472" s="156" t="inlineStr">
        <is>
          <t>One Size</t>
        </is>
      </c>
      <c r="H472" s="156" t="inlineStr">
        <is>
          <t>Montana West</t>
        </is>
      </c>
      <c r="I472" s="156" t="inlineStr">
        <is>
          <t>WG BAG</t>
        </is>
      </c>
      <c r="J472" s="156" t="inlineStr">
        <is>
          <t>Accesorios</t>
        </is>
      </c>
      <c r="K472" s="156" t="inlineStr">
        <is>
          <t>Bolsos</t>
        </is>
      </c>
      <c r="L472" s="156" t="inlineStr">
        <is>
          <t>Unisex</t>
        </is>
      </c>
      <c r="M472" s="156" t="n"/>
      <c r="N472" s="156" t="n"/>
      <c r="O472" s="156" t="n"/>
      <c r="P472" s="156" t="n"/>
      <c r="Q472" s="156" t="n"/>
      <c r="R472" s="156" t="n"/>
      <c r="S472" s="156" t="n"/>
      <c r="T472" s="156" t="n"/>
      <c r="U472" s="156" t="n"/>
      <c r="V472" s="156" t="inlineStr">
        <is>
          <t>PZS</t>
        </is>
      </c>
      <c r="W472" s="51" t="inlineStr">
        <is>
          <t>53121601</t>
        </is>
      </c>
      <c r="X472" s="156" t="n"/>
      <c r="Y472" s="54" t="n">
        <v>431.25</v>
      </c>
      <c r="Z472" s="54" t="n">
        <v>699</v>
      </c>
      <c r="AA472" s="55">
        <f>IF(AND(A472="", B472="", E472=""), "", IF(AB472="", "Válido", IF((LEN(AB472)-LEN(SUBSTITUTE(AB472,"; ","")))/2+1&gt;(LEN(AB472)-LEN(SUBSTITUTE(AB472,"[Aviso]","")))/7, "Con Incidencias", "Válido")))</f>
        <v/>
      </c>
      <c r="AB472" s="56">
        <f>IF(AND(A472="", B472="", E472=""), "", TEXTJOIN("; ", TRUE, IF(OR(TRIM(A472&amp;"")="", ISNUMBER(SEARCH("FALTA", A472))), "UPC faltante/inválido", ""), IF(AND(A472&lt;&gt;"", IFERROR(_xlfn.XMATCH(A472,$A$2:$A$1063,0,1)&lt;&gt;_xlfn.XMATCH(A472,$A$2:$A$1063,0,-1),FALSE)), "Código de barras duplicado", ""), IF(AND(E472&lt;&gt;"", COUNTIF($E$2:$E$1063, E472)&gt;1), "SKU duplicado", ""), IF(OR(J472="", J472=""), "[Aviso] División no capturada ()", IF(ISNA(MATCH(J472, Criterios!$A$123:$A$126, 0)), "División no válida", "")), IF(OR(K472="", K472=""), "[Aviso] Categoría no capturada ()", IF(ISNA(MATCH(K472, Criterios!$A$81:$A$120, 0)), "Categoría no válida", IF(AND(J472&lt;&gt;"", J472&lt;&gt;"", J472&lt;&gt;VLOOKUP(K472, Criterios!$A$81:$B$120, 2, FALSE)), "División no coincide con Categoría", ""))), IF(OR(L472="", L472=""), "[Aviso] Género no capturado ()", IF(ISNA(MATCH(L472, Criterios!$B$123:$B$127, 0)), "Género no válido", "")), IF(OR(N472="", N472=""), "[Aviso] Temporada no capturada ()", IF(ISNA(MATCH(N472, Criterios!$C$123:$C$128, 0)), "Temporada no válida", "")), IF(OR(O472="", O472=""), "[Aviso] Ciclo de vida no capturado ()", IF(ISNA(MATCH(O472, Criterios!$D$123:$D$124, 0)), "Ciclo de vida no válido", ""))))</f>
        <v/>
      </c>
      <c r="AC472" s="56" t="n"/>
      <c r="AD472" s="51" t="n"/>
      <c r="AE472" s="156" t="n"/>
      <c r="AF472" s="51" t="n"/>
      <c r="AG472" s="156" t="inlineStr">
        <is>
          <t>Nuevo – Carga Hoja2 01/10/2026</t>
        </is>
      </c>
      <c r="AH472" s="156" t="inlineStr">
        <is>
          <t>Alta 01/10/2026 desde Hoja2 (fila 271) | 01/10/2026: complementado desde Odoo Universal Unique Brands (match por SKU): WB Talla, WB Talla de EE. UU., WB Género | Homologación G1522 06/10/2026: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72" s="156" t="n"/>
      <c r="AJ472" s="156" t="n"/>
      <c r="AK472" s="155" t="inlineStr">
        <is>
          <t>Hoja2: fila 271 | Odoo: producto 27374 / plantilla 34074</t>
        </is>
      </c>
      <c r="AL472" s="58" t="n"/>
      <c r="AM472" s="58" t="n"/>
      <c r="AN472" s="155" t="inlineStr">
        <is>
          <t>Odoo Universal Unique Brands</t>
        </is>
      </c>
      <c r="AO472" s="59" t="n"/>
      <c r="AP472" s="59" t="n"/>
      <c r="AQ472" s="59" t="n">
        <v>12</v>
      </c>
      <c r="AR472" s="155" t="inlineStr">
        <is>
          <t>Odoo Universal Unique Brands › Bodega 25 › Bodega 25/General: 12</t>
        </is>
      </c>
    </row>
    <row r="473">
      <c r="A473" s="50" t="n"/>
      <c r="B473" s="51" t="inlineStr">
        <is>
          <t>27420</t>
        </is>
      </c>
      <c r="C473" s="156" t="inlineStr">
        <is>
          <t>Montana West</t>
        </is>
      </c>
      <c r="D473" s="156" t="n"/>
      <c r="E473" s="156" t="inlineStr">
        <is>
          <t>WG221-8360BDY</t>
        </is>
      </c>
      <c r="F473" s="156" t="inlineStr">
        <is>
          <t>Talla única</t>
        </is>
      </c>
      <c r="G473" s="156" t="inlineStr">
        <is>
          <t>One Size</t>
        </is>
      </c>
      <c r="H473" s="156" t="inlineStr">
        <is>
          <t>Montana West</t>
        </is>
      </c>
      <c r="I473" s="156" t="inlineStr">
        <is>
          <t>WG BAG</t>
        </is>
      </c>
      <c r="J473" s="156" t="inlineStr">
        <is>
          <t>Accesorios</t>
        </is>
      </c>
      <c r="K473" s="156" t="inlineStr">
        <is>
          <t>Bolsos</t>
        </is>
      </c>
      <c r="L473" s="156" t="inlineStr">
        <is>
          <t>Unisex</t>
        </is>
      </c>
      <c r="M473" s="156" t="n"/>
      <c r="N473" s="156" t="n"/>
      <c r="O473" s="156" t="n"/>
      <c r="P473" s="156" t="n"/>
      <c r="Q473" s="156" t="n"/>
      <c r="R473" s="156" t="n"/>
      <c r="S473" s="156" t="n"/>
      <c r="T473" s="156" t="n"/>
      <c r="U473" s="156" t="n"/>
      <c r="V473" s="156" t="inlineStr">
        <is>
          <t>PZS</t>
        </is>
      </c>
      <c r="W473" s="51" t="inlineStr">
        <is>
          <t>53121601</t>
        </is>
      </c>
      <c r="X473" s="156" t="n"/>
      <c r="Y473" s="54" t="n">
        <v>241.5</v>
      </c>
      <c r="Z473" s="54" t="n">
        <v>399</v>
      </c>
      <c r="AA473" s="55">
        <f>IF(AND(A473="", B473="", E473=""), "", IF(AB473="", "Válido", IF((LEN(AB473)-LEN(SUBSTITUTE(AB473,"; ","")))/2+1&gt;(LEN(AB473)-LEN(SUBSTITUTE(AB473,"[Aviso]","")))/7, "Con Incidencias", "Válido")))</f>
        <v/>
      </c>
      <c r="AB473" s="56">
        <f>IF(AND(A473="", B473="", E473=""), "", TEXTJOIN("; ", TRUE, IF(OR(TRIM(A473&amp;"")="", ISNUMBER(SEARCH("FALTA", A473))), "UPC faltante/inválido", ""), IF(AND(A473&lt;&gt;"", IFERROR(_xlfn.XMATCH(A473,$A$2:$A$1063,0,1)&lt;&gt;_xlfn.XMATCH(A473,$A$2:$A$1063,0,-1),FALSE)), "Código de barras duplicado", ""), IF(AND(E473&lt;&gt;"", COUNTIF($E$2:$E$1063, E473)&gt;1), "SKU duplicado", ""), IF(OR(J473="", J473=""), "[Aviso] División no capturada ()", IF(ISNA(MATCH(J473, Criterios!$A$123:$A$126, 0)), "División no válida", "")), IF(OR(K473="", K473=""), "[Aviso] Categoría no capturada ()", IF(ISNA(MATCH(K473, Criterios!$A$81:$A$120, 0)), "Categoría no válida", IF(AND(J473&lt;&gt;"", J473&lt;&gt;"", J473&lt;&gt;VLOOKUP(K473, Criterios!$A$81:$B$120, 2, FALSE)), "División no coincide con Categoría", ""))), IF(OR(L473="", L473=""), "[Aviso] Género no capturado ()", IF(ISNA(MATCH(L473, Criterios!$B$123:$B$127, 0)), "Género no válido", "")), IF(OR(N473="", N473=""), "[Aviso] Temporada no capturada ()", IF(ISNA(MATCH(N473, Criterios!$C$123:$C$128, 0)), "Temporada no válida", "")), IF(OR(O473="", O473=""), "[Aviso] Ciclo de vida no capturado ()", IF(ISNA(MATCH(O473, Criterios!$D$123:$D$124, 0)), "Ciclo de vida no válido", ""))))</f>
        <v/>
      </c>
      <c r="AC473" s="56" t="n"/>
      <c r="AD473" s="51" t="n"/>
      <c r="AE473" s="156" t="n"/>
      <c r="AF473" s="51" t="n"/>
      <c r="AG473" s="156" t="inlineStr">
        <is>
          <t>Nuevo – Carga Hoja2 01/10/2026</t>
        </is>
      </c>
      <c r="AH473" s="156" t="inlineStr">
        <is>
          <t>Alta 01/10/2026 desde Hoja2 (fila 272)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73" s="156" t="n"/>
      <c r="AJ473" s="156" t="n"/>
      <c r="AK473" s="155" t="inlineStr">
        <is>
          <t>Hoja2: fila 272 | Odoo: producto 27420 / plantilla 34120</t>
        </is>
      </c>
      <c r="AL473" s="58" t="n"/>
      <c r="AM473" s="58" t="n"/>
      <c r="AN473" s="155" t="inlineStr">
        <is>
          <t>Odoo Universal Unique Brands</t>
        </is>
      </c>
      <c r="AO473" s="59" t="n"/>
      <c r="AP473" s="59" t="n"/>
      <c r="AQ473" s="59" t="n">
        <v>0</v>
      </c>
      <c r="AR473" s="155" t="n"/>
    </row>
    <row r="474">
      <c r="A474" s="50" t="n"/>
      <c r="B474" s="51" t="inlineStr">
        <is>
          <t>27421</t>
        </is>
      </c>
      <c r="C474" s="156" t="inlineStr">
        <is>
          <t>Montana West</t>
        </is>
      </c>
      <c r="D474" s="156" t="n"/>
      <c r="E474" s="156" t="inlineStr">
        <is>
          <t>WG221-8360JN</t>
        </is>
      </c>
      <c r="F474" s="156" t="inlineStr">
        <is>
          <t>Talla única</t>
        </is>
      </c>
      <c r="G474" s="156" t="inlineStr">
        <is>
          <t>One Size</t>
        </is>
      </c>
      <c r="H474" s="156" t="inlineStr">
        <is>
          <t>Montana West</t>
        </is>
      </c>
      <c r="I474" s="156" t="inlineStr">
        <is>
          <t>WG BAG</t>
        </is>
      </c>
      <c r="J474" s="156" t="inlineStr">
        <is>
          <t>Accesorios</t>
        </is>
      </c>
      <c r="K474" s="156" t="inlineStr">
        <is>
          <t>Bolsos</t>
        </is>
      </c>
      <c r="L474" s="156" t="inlineStr">
        <is>
          <t>Unisex</t>
        </is>
      </c>
      <c r="M474" s="156" t="n"/>
      <c r="N474" s="156" t="n"/>
      <c r="O474" s="156" t="n"/>
      <c r="P474" s="156" t="n"/>
      <c r="Q474" s="156" t="n"/>
      <c r="R474" s="156" t="n"/>
      <c r="S474" s="156" t="n"/>
      <c r="T474" s="156" t="n"/>
      <c r="U474" s="156" t="n"/>
      <c r="V474" s="156" t="inlineStr">
        <is>
          <t>PZS</t>
        </is>
      </c>
      <c r="W474" s="51" t="inlineStr">
        <is>
          <t>53121601</t>
        </is>
      </c>
      <c r="X474" s="156" t="inlineStr">
        <is>
          <t>https://cdn.shopify.com/s/files/1/0005/9015/1741/files/WG221-8360JN4.webp?v=1758002780</t>
        </is>
      </c>
      <c r="Y474" s="54" t="n">
        <v>241.5</v>
      </c>
      <c r="Z474" s="54" t="n">
        <v>399</v>
      </c>
      <c r="AA474" s="55">
        <f>IF(AND(A474="", B474="", E474=""), "", IF(AB474="", "Válido", IF((LEN(AB474)-LEN(SUBSTITUTE(AB474,"; ","")))/2+1&gt;(LEN(AB474)-LEN(SUBSTITUTE(AB474,"[Aviso]","")))/7, "Con Incidencias", "Válido")))</f>
        <v/>
      </c>
      <c r="AB474" s="56">
        <f>IF(AND(A474="", B474="", E474=""), "", TEXTJOIN("; ", TRUE, IF(OR(TRIM(A474&amp;"")="", ISNUMBER(SEARCH("FALTA", A474))), "UPC faltante/inválido", ""), IF(AND(A474&lt;&gt;"", IFERROR(_xlfn.XMATCH(A474,$A$2:$A$1063,0,1)&lt;&gt;_xlfn.XMATCH(A474,$A$2:$A$1063,0,-1),FALSE)), "Código de barras duplicado", ""), IF(AND(E474&lt;&gt;"", COUNTIF($E$2:$E$1063, E474)&gt;1), "SKU duplicado", ""), IF(OR(J474="", J474=""), "[Aviso] División no capturada ()", IF(ISNA(MATCH(J474, Criterios!$A$123:$A$126, 0)), "División no válida", "")), IF(OR(K474="", K474=""), "[Aviso] Categoría no capturada ()", IF(ISNA(MATCH(K474, Criterios!$A$81:$A$120, 0)), "Categoría no válida", IF(AND(J474&lt;&gt;"", J474&lt;&gt;"", J474&lt;&gt;VLOOKUP(K474, Criterios!$A$81:$B$120, 2, FALSE)), "División no coincide con Categoría", ""))), IF(OR(L474="", L474=""), "[Aviso] Género no capturado ()", IF(ISNA(MATCH(L474, Criterios!$B$123:$B$127, 0)), "Género no válido", "")), IF(OR(N474="", N474=""), "[Aviso] Temporada no capturada ()", IF(ISNA(MATCH(N474, Criterios!$C$123:$C$128, 0)), "Temporada no válida", "")), IF(OR(O474="", O474=""), "[Aviso] Ciclo de vida no capturado ()", IF(ISNA(MATCH(O474, Criterios!$D$123:$D$124, 0)), "Ciclo de vida no válido", ""))))</f>
        <v/>
      </c>
      <c r="AC474" s="56" t="n"/>
      <c r="AD474" s="51" t="n"/>
      <c r="AE474" s="156" t="n"/>
      <c r="AF474" s="51" t="n"/>
      <c r="AG474" s="156" t="inlineStr">
        <is>
          <t>Nuevo – Carga Hoja2 01/10/2026</t>
        </is>
      </c>
      <c r="AH474" s="156" t="inlineStr">
        <is>
          <t>Alta 01/10/2026 desde Hoja2 (fila 273) | 01/10/2026: complementado desde Odoo Universal Unique Brands (match por SKU): WB Talla, WB Talla de EE. UU., WB Género | Homologación G1522 06/10/2026: Enlace de imagen: «» → «https://cdn.shopify.com/s/files/1/0005/9015/1741/files/WG221-8360JN4.webp?v=1758002780»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474" s="156" t="n"/>
      <c r="AJ474" s="156" t="n"/>
      <c r="AK474" s="155" t="inlineStr">
        <is>
          <t>Hoja2: fila 273 | Odoo: producto 27421 / plantilla 34121 | Investigación en línea 06/10/2026: https://montanawestworld.com/products/wrangler-dual-sided-print-canvas-shoulder-bag</t>
        </is>
      </c>
      <c r="AL474" s="58" t="n"/>
      <c r="AM474" s="58" t="n"/>
      <c r="AN474" s="155" t="inlineStr">
        <is>
          <t>Odoo Universal Unique Brands</t>
        </is>
      </c>
      <c r="AO474" s="59" t="n"/>
      <c r="AP474" s="59" t="n"/>
      <c r="AQ474" s="59" t="n">
        <v>0</v>
      </c>
      <c r="AR474" s="155" t="n"/>
    </row>
    <row r="475">
      <c r="A475" s="50" t="inlineStr">
        <is>
          <t>717019691272</t>
        </is>
      </c>
      <c r="B475" s="51" t="inlineStr">
        <is>
          <t>27376</t>
        </is>
      </c>
      <c r="C475" s="156" t="inlineStr">
        <is>
          <t>Wrangler</t>
        </is>
      </c>
      <c r="D475" s="156" t="inlineStr">
        <is>
          <t>WG2211-190BK</t>
        </is>
      </c>
      <c r="E475" s="156" t="inlineStr">
        <is>
          <t>WG2211-190BK</t>
        </is>
      </c>
      <c r="F475" s="156" t="inlineStr">
        <is>
          <t>Talla única</t>
        </is>
      </c>
      <c r="G475" s="156" t="inlineStr">
        <is>
          <t>One Size</t>
        </is>
      </c>
      <c r="H475" s="156" t="inlineStr">
        <is>
          <t>Wrangler</t>
        </is>
      </c>
      <c r="I475" s="156" t="inlineStr">
        <is>
          <t>Bolsa de Mano Wrangler Negro</t>
        </is>
      </c>
      <c r="J475" s="156" t="inlineStr">
        <is>
          <t>Accesorios</t>
        </is>
      </c>
      <c r="K475" s="156" t="inlineStr">
        <is>
          <t>Bolsos</t>
        </is>
      </c>
      <c r="L475" s="156" t="inlineStr">
        <is>
          <t>Unisex</t>
        </is>
      </c>
      <c r="M475" s="156" t="inlineStr">
        <is>
          <t>Wrangler</t>
        </is>
      </c>
      <c r="N475" s="156" t="n"/>
      <c r="O475" s="156" t="inlineStr">
        <is>
          <t>Core</t>
        </is>
      </c>
      <c r="P475" s="156" t="inlineStr">
        <is>
          <t>Negro</t>
        </is>
      </c>
      <c r="Q475" s="156" t="n"/>
      <c r="R475" s="156" t="n"/>
      <c r="S475" s="156" t="n"/>
      <c r="T475" s="156" t="inlineStr">
        <is>
          <t>Bolsa de Mano Wrangler. Color: Negro. Talla única. Unisex. Referencia: WG2211-190BK.</t>
        </is>
      </c>
      <c r="U475" s="156" t="n"/>
      <c r="V475" s="156" t="inlineStr">
        <is>
          <t>PZS</t>
        </is>
      </c>
      <c r="W475" s="51" t="inlineStr">
        <is>
          <t>53121601</t>
        </is>
      </c>
      <c r="X475" s="156" t="n"/>
      <c r="Y475" s="54" t="n">
        <v>258.75</v>
      </c>
      <c r="Z475" s="54" t="n">
        <v>449</v>
      </c>
      <c r="AA475" s="55">
        <f>IF(AND(A475="", B475="", E475=""), "", IF(AB475="", "Válido", IF((LEN(AB475)-LEN(SUBSTITUTE(AB475,"; ","")))/2+1&gt;(LEN(AB475)-LEN(SUBSTITUTE(AB475,"[Aviso]","")))/7, "Con Incidencias", "Válido")))</f>
        <v/>
      </c>
      <c r="AB475" s="56">
        <f>IF(AND(A475="", B475="", E475=""), "", TEXTJOIN("; ", TRUE, IF(OR(TRIM(A475&amp;"")="", ISNUMBER(SEARCH("FALTA", A475))), "UPC faltante/inválido", ""), IF(AND(A475&lt;&gt;"", IFERROR(_xlfn.XMATCH(A475,$A$2:$A$1063,0,1)&lt;&gt;_xlfn.XMATCH(A475,$A$2:$A$1063,0,-1),FALSE)), "Código de barras duplicado", ""), IF(AND(E475&lt;&gt;"", COUNTIF($E$2:$E$1063, E475)&gt;1), "SKU duplicado", ""), IF(OR(J475="", J475=""), "[Aviso] División no capturada ()", IF(ISNA(MATCH(J475, Criterios!$A$123:$A$126, 0)), "División no válida", "")), IF(OR(K475="", K475=""), "[Aviso] Categoría no capturada ()", IF(ISNA(MATCH(K475, Criterios!$A$81:$A$120, 0)), "Categoría no válida", IF(AND(J475&lt;&gt;"", J475&lt;&gt;"", J475&lt;&gt;VLOOKUP(K475, Criterios!$A$81:$B$120, 2, FALSE)), "División no coincide con Categoría", ""))), IF(OR(L475="", L475=""), "[Aviso] Género no capturado ()", IF(ISNA(MATCH(L475, Criterios!$B$123:$B$127, 0)), "Género no válido", "")), IF(OR(N475="", N475=""), "[Aviso] Temporada no capturada ()", IF(ISNA(MATCH(N475, Criterios!$C$123:$C$128, 0)), "Temporada no válida", "")), IF(OR(O475="", O475=""), "[Aviso] Ciclo de vida no capturado ()", IF(ISNA(MATCH(O475, Criterios!$D$123:$D$124, 0)), "Ciclo de vida no válido", ""))))</f>
        <v/>
      </c>
      <c r="AC475" s="56" t="n"/>
      <c r="AD475" s="51" t="n"/>
      <c r="AE475" s="156" t="n"/>
      <c r="AF475" s="51" t="n"/>
      <c r="AG475" s="156" t="inlineStr">
        <is>
          <t>Nuevo – Carga Hoja2 01/10/2026</t>
        </is>
      </c>
      <c r="AH475" s="156" t="inlineStr">
        <is>
          <t>Alta 01/10/2026 desde Hoja2 (fila 274) | 01/10/2026: Odoo Universal Unique Brands trae Marca «Montana West» — se conservó el valor de Productos | Homologación G1522 06/10/2026: Validador Shopify: WB: precio con IVA no termina en 9</t>
        </is>
      </c>
      <c r="AI475" s="156" t="n"/>
      <c r="AJ475" s="156" t="n"/>
      <c r="AK475" s="155" t="inlineStr">
        <is>
          <t>Hoja2: fila 274 | Odoo: producto 27376 / plantilla 34076</t>
        </is>
      </c>
      <c r="AL475" s="58" t="n"/>
      <c r="AM475" s="58" t="n"/>
      <c r="AN475" s="155" t="inlineStr">
        <is>
          <t>Odoo Universal Unique Brands</t>
        </is>
      </c>
      <c r="AO475" s="59" t="n"/>
      <c r="AP475" s="59" t="n"/>
      <c r="AQ475" s="59" t="n">
        <v>3</v>
      </c>
      <c r="AR475" s="155" t="inlineStr">
        <is>
          <t>Odoo Universal Unique Brands › Bodega 25 › Bodega 25/General: 3</t>
        </is>
      </c>
    </row>
    <row r="476">
      <c r="A476" s="50" t="inlineStr">
        <is>
          <t>717019691395</t>
        </is>
      </c>
      <c r="B476" s="51" t="inlineStr">
        <is>
          <t>27377</t>
        </is>
      </c>
      <c r="C476" s="156" t="inlineStr">
        <is>
          <t>Wrangler</t>
        </is>
      </c>
      <c r="D476" s="156" t="inlineStr">
        <is>
          <t>WG2211-190JN</t>
        </is>
      </c>
      <c r="E476" s="156" t="inlineStr">
        <is>
          <t>WG2211-190JN</t>
        </is>
      </c>
      <c r="F476" s="156" t="inlineStr">
        <is>
          <t>Talla única</t>
        </is>
      </c>
      <c r="G476" s="156" t="inlineStr">
        <is>
          <t>One Size</t>
        </is>
      </c>
      <c r="H476" s="156" t="inlineStr">
        <is>
          <t>Wrangler</t>
        </is>
      </c>
      <c r="I476" s="156" t="inlineStr">
        <is>
          <t>Bolsa de Mano Wrangler Mezclilla</t>
        </is>
      </c>
      <c r="J476" s="156" t="inlineStr">
        <is>
          <t>Accesorios</t>
        </is>
      </c>
      <c r="K476" s="156" t="inlineStr">
        <is>
          <t>Bolsos</t>
        </is>
      </c>
      <c r="L476" s="156" t="inlineStr">
        <is>
          <t>Unisex</t>
        </is>
      </c>
      <c r="M476" s="156" t="inlineStr">
        <is>
          <t>Wrangler</t>
        </is>
      </c>
      <c r="N476" s="156" t="n"/>
      <c r="O476" s="156" t="inlineStr">
        <is>
          <t>Core</t>
        </is>
      </c>
      <c r="P476" s="156" t="inlineStr">
        <is>
          <t>Varios</t>
        </is>
      </c>
      <c r="Q476" s="156" t="n"/>
      <c r="R476" s="156" t="n"/>
      <c r="S476" s="156" t="n"/>
      <c r="T476" s="156" t="inlineStr">
        <is>
          <t>Bolsa de Mano Wrangler. Color: Mezclilla. Talla única. Unisex. Referencia: WG2211-190JN.</t>
        </is>
      </c>
      <c r="U476" s="156" t="n"/>
      <c r="V476" s="156" t="inlineStr">
        <is>
          <t>PZS</t>
        </is>
      </c>
      <c r="W476" s="51" t="inlineStr">
        <is>
          <t>53121601</t>
        </is>
      </c>
      <c r="X476" s="156" t="n"/>
      <c r="Y476" s="54" t="n">
        <v>258.75</v>
      </c>
      <c r="Z476" s="54" t="n">
        <v>449</v>
      </c>
      <c r="AA476" s="55">
        <f>IF(AND(A476="", B476="", E476=""), "", IF(AB476="", "Válido", IF((LEN(AB476)-LEN(SUBSTITUTE(AB476,"; ","")))/2+1&gt;(LEN(AB476)-LEN(SUBSTITUTE(AB476,"[Aviso]","")))/7, "Con Incidencias", "Válido")))</f>
        <v/>
      </c>
      <c r="AB476" s="56">
        <f>IF(AND(A476="", B476="", E476=""), "", TEXTJOIN("; ", TRUE, IF(OR(TRIM(A476&amp;"")="", ISNUMBER(SEARCH("FALTA", A476))), "UPC faltante/inválido", ""), IF(AND(A476&lt;&gt;"", IFERROR(_xlfn.XMATCH(A476,$A$2:$A$1063,0,1)&lt;&gt;_xlfn.XMATCH(A476,$A$2:$A$1063,0,-1),FALSE)), "Código de barras duplicado", ""), IF(AND(E476&lt;&gt;"", COUNTIF($E$2:$E$1063, E476)&gt;1), "SKU duplicado", ""), IF(OR(J476="", J476=""), "[Aviso] División no capturada ()", IF(ISNA(MATCH(J476, Criterios!$A$123:$A$126, 0)), "División no válida", "")), IF(OR(K476="", K476=""), "[Aviso] Categoría no capturada ()", IF(ISNA(MATCH(K476, Criterios!$A$81:$A$120, 0)), "Categoría no válida", IF(AND(J476&lt;&gt;"", J476&lt;&gt;"", J476&lt;&gt;VLOOKUP(K476, Criterios!$A$81:$B$120, 2, FALSE)), "División no coincide con Categoría", ""))), IF(OR(L476="", L476=""), "[Aviso] Género no capturado ()", IF(ISNA(MATCH(L476, Criterios!$B$123:$B$127, 0)), "Género no válido", "")), IF(OR(N476="", N476=""), "[Aviso] Temporada no capturada ()", IF(ISNA(MATCH(N476, Criterios!$C$123:$C$128, 0)), "Temporada no válida", "")), IF(OR(O476="", O476=""), "[Aviso] Ciclo de vida no capturado ()", IF(ISNA(MATCH(O476, Criterios!$D$123:$D$124, 0)), "Ciclo de vida no válido", ""))))</f>
        <v/>
      </c>
      <c r="AC476" s="56" t="n"/>
      <c r="AD476" s="51" t="n"/>
      <c r="AE476" s="156" t="n"/>
      <c r="AF476" s="51" t="n"/>
      <c r="AG476" s="156" t="inlineStr">
        <is>
          <t>Nuevo – Carga Hoja2 01/10/2026</t>
        </is>
      </c>
      <c r="AH476" s="156" t="inlineStr">
        <is>
          <t>Alta 01/10/2026 desde Hoja2 (fila 275) | 01/10/2026: Odoo Universal Unique Brands trae Marca «Montana West» — se conservó el valor de Productos | Homologación G1522 06/10/2026: Validador Shopify: WB: precio con IVA no termina en 9</t>
        </is>
      </c>
      <c r="AI476" s="156" t="n"/>
      <c r="AJ476" s="156" t="n"/>
      <c r="AK476" s="155" t="inlineStr">
        <is>
          <t>Hoja2: fila 275 | Odoo: producto 27377 / plantilla 34077</t>
        </is>
      </c>
      <c r="AL476" s="58" t="n"/>
      <c r="AM476" s="58" t="n"/>
      <c r="AN476" s="155" t="inlineStr">
        <is>
          <t>Odoo Universal Unique Brands</t>
        </is>
      </c>
      <c r="AO476" s="59" t="n"/>
      <c r="AP476" s="59" t="n"/>
      <c r="AQ476" s="59" t="n">
        <v>2</v>
      </c>
      <c r="AR476" s="155" t="inlineStr">
        <is>
          <t>Odoo Universal Unique Brands › Bodega 25 › Bodega 25/General: 2</t>
        </is>
      </c>
    </row>
    <row r="477">
      <c r="A477" s="50" t="n"/>
      <c r="B477" s="51" t="inlineStr">
        <is>
          <t>27379</t>
        </is>
      </c>
      <c r="C477" s="156" t="inlineStr">
        <is>
          <t>Montana West</t>
        </is>
      </c>
      <c r="D477" s="156" t="n"/>
      <c r="E477" s="156" t="inlineStr">
        <is>
          <t>WG2211-3003BR</t>
        </is>
      </c>
      <c r="F477" s="156" t="inlineStr">
        <is>
          <t>Talla única</t>
        </is>
      </c>
      <c r="G477" s="156" t="inlineStr">
        <is>
          <t>One Size</t>
        </is>
      </c>
      <c r="H477" s="156" t="inlineStr">
        <is>
          <t>Montana West</t>
        </is>
      </c>
      <c r="I477" s="156" t="inlineStr">
        <is>
          <t>WG BAG</t>
        </is>
      </c>
      <c r="J477" s="156" t="inlineStr">
        <is>
          <t>Accesorios</t>
        </is>
      </c>
      <c r="K477" s="156" t="inlineStr">
        <is>
          <t>Bolsos</t>
        </is>
      </c>
      <c r="L477" s="156" t="inlineStr">
        <is>
          <t>Unisex</t>
        </is>
      </c>
      <c r="M477" s="156" t="n"/>
      <c r="N477" s="156" t="n"/>
      <c r="O477" s="156" t="n"/>
      <c r="P477" s="156" t="n"/>
      <c r="Q477" s="156" t="n"/>
      <c r="R477" s="156" t="n"/>
      <c r="S477" s="156" t="n"/>
      <c r="T477" s="156" t="n"/>
      <c r="U477" s="156" t="n"/>
      <c r="V477" s="156" t="inlineStr">
        <is>
          <t>PZS</t>
        </is>
      </c>
      <c r="W477" s="51" t="inlineStr">
        <is>
          <t>53121601</t>
        </is>
      </c>
      <c r="X477" s="156" t="n"/>
      <c r="Y477" s="54" t="n">
        <v>379.5</v>
      </c>
      <c r="Z477" s="54" t="n">
        <v>649</v>
      </c>
      <c r="AA477" s="55">
        <f>IF(AND(A477="", B477="", E477=""), "", IF(AB477="", "Válido", IF((LEN(AB477)-LEN(SUBSTITUTE(AB477,"; ","")))/2+1&gt;(LEN(AB477)-LEN(SUBSTITUTE(AB477,"[Aviso]","")))/7, "Con Incidencias", "Válido")))</f>
        <v/>
      </c>
      <c r="AB477" s="56">
        <f>IF(AND(A477="", B477="", E477=""), "", TEXTJOIN("; ", TRUE, IF(OR(TRIM(A477&amp;"")="", ISNUMBER(SEARCH("FALTA", A477))), "UPC faltante/inválido", ""), IF(AND(A477&lt;&gt;"", IFERROR(_xlfn.XMATCH(A477,$A$2:$A$1063,0,1)&lt;&gt;_xlfn.XMATCH(A477,$A$2:$A$1063,0,-1),FALSE)), "Código de barras duplicado", ""), IF(AND(E477&lt;&gt;"", COUNTIF($E$2:$E$1063, E477)&gt;1), "SKU duplicado", ""), IF(OR(J477="", J477=""), "[Aviso] División no capturada ()", IF(ISNA(MATCH(J477, Criterios!$A$123:$A$126, 0)), "División no válida", "")), IF(OR(K477="", K477=""), "[Aviso] Categoría no capturada ()", IF(ISNA(MATCH(K477, Criterios!$A$81:$A$120, 0)), "Categoría no válida", IF(AND(J477&lt;&gt;"", J477&lt;&gt;"", J477&lt;&gt;VLOOKUP(K477, Criterios!$A$81:$B$120, 2, FALSE)), "División no coincide con Categoría", ""))), IF(OR(L477="", L477=""), "[Aviso] Género no capturado ()", IF(ISNA(MATCH(L477, Criterios!$B$123:$B$127, 0)), "Género no válido", "")), IF(OR(N477="", N477=""), "[Aviso] Temporada no capturada ()", IF(ISNA(MATCH(N477, Criterios!$C$123:$C$128, 0)), "Temporada no válida", "")), IF(OR(O477="", O477=""), "[Aviso] Ciclo de vida no capturado ()", IF(ISNA(MATCH(O477, Criterios!$D$123:$D$124, 0)), "Ciclo de vida no válido", ""))))</f>
        <v/>
      </c>
      <c r="AC477" s="56" t="n"/>
      <c r="AD477" s="51" t="n"/>
      <c r="AE477" s="156" t="n"/>
      <c r="AF477" s="51" t="n"/>
      <c r="AG477" s="156" t="inlineStr">
        <is>
          <t>Nuevo – Carga Hoja2 01/10/2026</t>
        </is>
      </c>
      <c r="AH477" s="156" t="inlineStr">
        <is>
          <t>Alta 01/10/2026 desde Hoja2 (fila 276) | 01/10/2026: complementado desde Odoo Universal Unique Brands (match por SKU): WB Talla, WB Talla de EE. UU., WB Género | Homologación G1522 06/10/2026: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77" s="156" t="n"/>
      <c r="AJ477" s="156" t="n"/>
      <c r="AK477" s="155" t="inlineStr">
        <is>
          <t>Hoja2: fila 276 | Odoo: producto 27379 / plantilla 34079</t>
        </is>
      </c>
      <c r="AL477" s="58" t="n"/>
      <c r="AM477" s="58" t="n"/>
      <c r="AN477" s="155" t="inlineStr">
        <is>
          <t>Odoo Universal Unique Brands</t>
        </is>
      </c>
      <c r="AO477" s="59" t="n"/>
      <c r="AP477" s="59" t="n"/>
      <c r="AQ477" s="59" t="n">
        <v>0</v>
      </c>
      <c r="AR477" s="155" t="n"/>
    </row>
    <row r="478">
      <c r="A478" s="50" t="inlineStr">
        <is>
          <t>717019691180</t>
        </is>
      </c>
      <c r="B478" s="51" t="inlineStr">
        <is>
          <t>27381</t>
        </is>
      </c>
      <c r="C478" s="156" t="inlineStr">
        <is>
          <t>Wrangler</t>
        </is>
      </c>
      <c r="D478" s="156" t="inlineStr">
        <is>
          <t>WG2211-3003GY</t>
        </is>
      </c>
      <c r="E478" s="156" t="inlineStr">
        <is>
          <t>WG2211-3003GY</t>
        </is>
      </c>
      <c r="F478" s="156" t="inlineStr">
        <is>
          <t>Talla única</t>
        </is>
      </c>
      <c r="G478" s="156" t="inlineStr">
        <is>
          <t>One Size</t>
        </is>
      </c>
      <c r="H478" s="156" t="inlineStr">
        <is>
          <t>Wrangler</t>
        </is>
      </c>
      <c r="I478" s="156" t="inlineStr">
        <is>
          <t>Bolsa Cruzada Wrangler Estampado Suroeste Doble Cara Con Compartimento Para Cartera Gris</t>
        </is>
      </c>
      <c r="J478" s="156" t="inlineStr">
        <is>
          <t>Accesorios</t>
        </is>
      </c>
      <c r="K478" s="156" t="inlineStr">
        <is>
          <t>Bolsos</t>
        </is>
      </c>
      <c r="L478" s="156" t="inlineStr">
        <is>
          <t>Unisex</t>
        </is>
      </c>
      <c r="M478" s="156" t="inlineStr">
        <is>
          <t>Wrangler</t>
        </is>
      </c>
      <c r="N478" s="156" t="n"/>
      <c r="O478" s="156" t="inlineStr">
        <is>
          <t>Core</t>
        </is>
      </c>
      <c r="P478" s="156" t="inlineStr">
        <is>
          <t>Gris</t>
        </is>
      </c>
      <c r="Q478" s="156" t="n"/>
      <c r="R478" s="156" t="n"/>
      <c r="S478" s="156" t="n"/>
      <c r="T478" s="156" t="inlineStr">
        <is>
          <t>Bolsa Cruzada Wrangler. Modelo: Estampado Suroeste Doble Cara Con Compartimento Para Cartera. Color: Gris. Talla única. Unisex. Referencia: WG2211-3003GY.</t>
        </is>
      </c>
      <c r="U478" s="156" t="n"/>
      <c r="V478" s="156" t="inlineStr">
        <is>
          <t>PZS</t>
        </is>
      </c>
      <c r="W478" s="51" t="inlineStr">
        <is>
          <t>53121601</t>
        </is>
      </c>
      <c r="X478" s="156" t="n"/>
      <c r="Y478" s="54" t="n">
        <v>379.5</v>
      </c>
      <c r="Z478" s="54" t="n">
        <v>649</v>
      </c>
      <c r="AA478" s="55">
        <f>IF(AND(A478="", B478="", E478=""), "", IF(AB478="", "Válido", IF((LEN(AB478)-LEN(SUBSTITUTE(AB478,"; ","")))/2+1&gt;(LEN(AB478)-LEN(SUBSTITUTE(AB478,"[Aviso]","")))/7, "Con Incidencias", "Válido")))</f>
        <v/>
      </c>
      <c r="AB478" s="56">
        <f>IF(AND(A478="", B478="", E478=""), "", TEXTJOIN("; ", TRUE, IF(OR(TRIM(A478&amp;"")="", ISNUMBER(SEARCH("FALTA", A478))), "UPC faltante/inválido", ""), IF(AND(A478&lt;&gt;"", IFERROR(_xlfn.XMATCH(A478,$A$2:$A$1063,0,1)&lt;&gt;_xlfn.XMATCH(A478,$A$2:$A$1063,0,-1),FALSE)), "Código de barras duplicado", ""), IF(AND(E478&lt;&gt;"", COUNTIF($E$2:$E$1063, E478)&gt;1), "SKU duplicado", ""), IF(OR(J478="", J478=""), "[Aviso] División no capturada ()", IF(ISNA(MATCH(J478, Criterios!$A$123:$A$126, 0)), "División no válida", "")), IF(OR(K478="", K478=""), "[Aviso] Categoría no capturada ()", IF(ISNA(MATCH(K478, Criterios!$A$81:$A$120, 0)), "Categoría no válida", IF(AND(J478&lt;&gt;"", J478&lt;&gt;"", J478&lt;&gt;VLOOKUP(K478, Criterios!$A$81:$B$120, 2, FALSE)), "División no coincide con Categoría", ""))), IF(OR(L478="", L478=""), "[Aviso] Género no capturado ()", IF(ISNA(MATCH(L478, Criterios!$B$123:$B$127, 0)), "Género no válido", "")), IF(OR(N478="", N478=""), "[Aviso] Temporada no capturada ()", IF(ISNA(MATCH(N478, Criterios!$C$123:$C$128, 0)), "Temporada no válida", "")), IF(OR(O478="", O478=""), "[Aviso] Ciclo de vida no capturado ()", IF(ISNA(MATCH(O478, Criterios!$D$123:$D$124, 0)), "Ciclo de vida no válido", ""))))</f>
        <v/>
      </c>
      <c r="AC478" s="56" t="n"/>
      <c r="AD478" s="51" t="n"/>
      <c r="AE478" s="156" t="n"/>
      <c r="AF478" s="51" t="n"/>
      <c r="AG478" s="156" t="inlineStr">
        <is>
          <t>Nuevo – Carga Hoja2 01/10/2026</t>
        </is>
      </c>
      <c r="AH478" s="156" t="inlineStr">
        <is>
          <t>Alta 01/10/2026 desde Hoja2 (fila 277) | 01/10/2026: Odoo Universal Unique Brands trae Marca «Montana West» — se conservó el valor de Productos | Homologación G1522 06/10/2026: Validador Shopify: WB: precio con IVA no termina en 9</t>
        </is>
      </c>
      <c r="AI478" s="156" t="n"/>
      <c r="AJ478" s="156" t="n"/>
      <c r="AK478" s="155" t="inlineStr">
        <is>
          <t>Hoja2: fila 277 | Odoo: producto 27381 / plantilla 34081</t>
        </is>
      </c>
      <c r="AL478" s="58" t="n"/>
      <c r="AM478" s="58" t="n"/>
      <c r="AN478" s="155" t="inlineStr">
        <is>
          <t>Odoo Universal Unique Brands</t>
        </is>
      </c>
      <c r="AO478" s="59" t="n"/>
      <c r="AP478" s="59" t="n"/>
      <c r="AQ478" s="59" t="n">
        <v>-1</v>
      </c>
      <c r="AR478" s="155" t="n"/>
    </row>
    <row r="479">
      <c r="A479" s="50" t="n"/>
      <c r="B479" s="51" t="inlineStr">
        <is>
          <t>27382</t>
        </is>
      </c>
      <c r="C479" s="156" t="inlineStr">
        <is>
          <t>Montana West</t>
        </is>
      </c>
      <c r="D479" s="156" t="n"/>
      <c r="E479" s="156" t="inlineStr">
        <is>
          <t>WG2211-3003JN</t>
        </is>
      </c>
      <c r="F479" s="156" t="inlineStr">
        <is>
          <t>Talla única</t>
        </is>
      </c>
      <c r="G479" s="156" t="inlineStr">
        <is>
          <t>One Size</t>
        </is>
      </c>
      <c r="H479" s="156" t="inlineStr">
        <is>
          <t>Montana West</t>
        </is>
      </c>
      <c r="I479" s="156" t="inlineStr">
        <is>
          <t>WG BAG</t>
        </is>
      </c>
      <c r="J479" s="156" t="inlineStr">
        <is>
          <t>Accesorios</t>
        </is>
      </c>
      <c r="K479" s="156" t="inlineStr">
        <is>
          <t>Bolsos</t>
        </is>
      </c>
      <c r="L479" s="156" t="inlineStr">
        <is>
          <t>Unisex</t>
        </is>
      </c>
      <c r="M479" s="156" t="n"/>
      <c r="N479" s="156" t="n"/>
      <c r="O479" s="156" t="n"/>
      <c r="P479" s="156" t="n"/>
      <c r="Q479" s="156" t="n"/>
      <c r="R479" s="156" t="n"/>
      <c r="S479" s="156" t="n"/>
      <c r="T479" s="156" t="n"/>
      <c r="U479" s="156" t="n"/>
      <c r="V479" s="156" t="inlineStr">
        <is>
          <t>PZS</t>
        </is>
      </c>
      <c r="W479" s="51" t="inlineStr">
        <is>
          <t>53121601</t>
        </is>
      </c>
      <c r="X479" s="156" t="n"/>
      <c r="Y479" s="54" t="n">
        <v>379.5</v>
      </c>
      <c r="Z479" s="54" t="n">
        <v>649</v>
      </c>
      <c r="AA479" s="55">
        <f>IF(AND(A479="", B479="", E479=""), "", IF(AB479="", "Válido", IF((LEN(AB479)-LEN(SUBSTITUTE(AB479,"; ","")))/2+1&gt;(LEN(AB479)-LEN(SUBSTITUTE(AB479,"[Aviso]","")))/7, "Con Incidencias", "Válido")))</f>
        <v/>
      </c>
      <c r="AB479" s="56">
        <f>IF(AND(A479="", B479="", E479=""), "", TEXTJOIN("; ", TRUE, IF(OR(TRIM(A479&amp;"")="", ISNUMBER(SEARCH("FALTA", A479))), "UPC faltante/inválido", ""), IF(AND(A479&lt;&gt;"", IFERROR(_xlfn.XMATCH(A479,$A$2:$A$1063,0,1)&lt;&gt;_xlfn.XMATCH(A479,$A$2:$A$1063,0,-1),FALSE)), "Código de barras duplicado", ""), IF(AND(E479&lt;&gt;"", COUNTIF($E$2:$E$1063, E479)&gt;1), "SKU duplicado", ""), IF(OR(J479="", J479=""), "[Aviso] División no capturada ()", IF(ISNA(MATCH(J479, Criterios!$A$123:$A$126, 0)), "División no válida", "")), IF(OR(K479="", K479=""), "[Aviso] Categoría no capturada ()", IF(ISNA(MATCH(K479, Criterios!$A$81:$A$120, 0)), "Categoría no válida", IF(AND(J479&lt;&gt;"", J479&lt;&gt;"", J479&lt;&gt;VLOOKUP(K479, Criterios!$A$81:$B$120, 2, FALSE)), "División no coincide con Categoría", ""))), IF(OR(L479="", L479=""), "[Aviso] Género no capturado ()", IF(ISNA(MATCH(L479, Criterios!$B$123:$B$127, 0)), "Género no válido", "")), IF(OR(N479="", N479=""), "[Aviso] Temporada no capturada ()", IF(ISNA(MATCH(N479, Criterios!$C$123:$C$128, 0)), "Temporada no válida", "")), IF(OR(O479="", O479=""), "[Aviso] Ciclo de vida no capturado ()", IF(ISNA(MATCH(O479, Criterios!$D$123:$D$124, 0)), "Ciclo de vida no válido", ""))))</f>
        <v/>
      </c>
      <c r="AC479" s="56" t="n"/>
      <c r="AD479" s="51" t="n"/>
      <c r="AE479" s="156" t="n"/>
      <c r="AF479" s="51" t="n"/>
      <c r="AG479" s="156" t="inlineStr">
        <is>
          <t>Nuevo – Carga Hoja2 01/10/2026</t>
        </is>
      </c>
      <c r="AH479" s="156" t="inlineStr">
        <is>
          <t>Alta 01/10/2026 desde Hoja2 (fila 278) | 01/10/2026: complementado desde Odoo Universal Unique Brands (match por SKU): WB Talla, WB Talla de EE. UU., WB Género | Homologación G1522 06/10/2026: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79" s="156" t="n"/>
      <c r="AJ479" s="156" t="n"/>
      <c r="AK479" s="155" t="inlineStr">
        <is>
          <t>Hoja2: fila 278 | Odoo: producto 27382 / plantilla 34082</t>
        </is>
      </c>
      <c r="AL479" s="58" t="n"/>
      <c r="AM479" s="58" t="n"/>
      <c r="AN479" s="155" t="inlineStr">
        <is>
          <t>Odoo Universal Unique Brands</t>
        </is>
      </c>
      <c r="AO479" s="59" t="n"/>
      <c r="AP479" s="59" t="n"/>
      <c r="AQ479" s="59" t="n">
        <v>9</v>
      </c>
      <c r="AR479" s="155" t="inlineStr">
        <is>
          <t>Odoo Universal Unique Brands › Bodega 25 › Bodega 25/General: 9</t>
        </is>
      </c>
    </row>
    <row r="480">
      <c r="A480" s="50" t="inlineStr">
        <is>
          <t>717019691036</t>
        </is>
      </c>
      <c r="B480" s="51" t="inlineStr">
        <is>
          <t>27386</t>
        </is>
      </c>
      <c r="C480" s="156" t="inlineStr">
        <is>
          <t>Wrangler</t>
        </is>
      </c>
      <c r="D480" s="156" t="inlineStr">
        <is>
          <t>WG2211-8120SGY</t>
        </is>
      </c>
      <c r="E480" s="156" t="inlineStr">
        <is>
          <t>WG2211-8120SGY</t>
        </is>
      </c>
      <c r="F480" s="156" t="inlineStr">
        <is>
          <t>Talla única</t>
        </is>
      </c>
      <c r="G480" s="156" t="inlineStr">
        <is>
          <t>One Size</t>
        </is>
      </c>
      <c r="H480" s="156" t="inlineStr">
        <is>
          <t>Wrangler</t>
        </is>
      </c>
      <c r="I480" s="156" t="inlineStr">
        <is>
          <t>Bolsa De Mano Wrangler Estampado Suroeste De Lona Chica Gris</t>
        </is>
      </c>
      <c r="J480" s="156" t="inlineStr">
        <is>
          <t>Accesorios</t>
        </is>
      </c>
      <c r="K480" s="156" t="inlineStr">
        <is>
          <t>Bolsos</t>
        </is>
      </c>
      <c r="L480" s="156" t="inlineStr">
        <is>
          <t>Unisex</t>
        </is>
      </c>
      <c r="M480" s="156" t="inlineStr">
        <is>
          <t>Wrangler</t>
        </is>
      </c>
      <c r="N480" s="156" t="n"/>
      <c r="O480" s="156" t="inlineStr">
        <is>
          <t>Core</t>
        </is>
      </c>
      <c r="P480" s="156" t="inlineStr">
        <is>
          <t>Gris</t>
        </is>
      </c>
      <c r="Q480" s="156" t="n"/>
      <c r="R480" s="156" t="n"/>
      <c r="S480" s="156" t="n"/>
      <c r="T480" s="156" t="inlineStr">
        <is>
          <t>Bolsa De Mano Wrangler. Modelo: Estampado Suroeste De Lona Chica. Color: Gris. Talla única. Unisex. Referencia: WG2211-8120SGY.</t>
        </is>
      </c>
      <c r="U480" s="156" t="n"/>
      <c r="V480" s="156" t="inlineStr">
        <is>
          <t>PZS</t>
        </is>
      </c>
      <c r="W480" s="51" t="inlineStr">
        <is>
          <t>53121601</t>
        </is>
      </c>
      <c r="X480" s="156" t="n"/>
      <c r="Y480" s="54" t="n">
        <v>310.5</v>
      </c>
      <c r="Z480" s="54" t="n">
        <v>719</v>
      </c>
      <c r="AA480" s="55">
        <f>IF(AND(A480="", B480="", E480=""), "", IF(AB480="", "Válido", IF((LEN(AB480)-LEN(SUBSTITUTE(AB480,"; ","")))/2+1&gt;(LEN(AB480)-LEN(SUBSTITUTE(AB480,"[Aviso]","")))/7, "Con Incidencias", "Válido")))</f>
        <v/>
      </c>
      <c r="AB480" s="56">
        <f>IF(AND(A480="", B480="", E480=""), "", TEXTJOIN("; ", TRUE, IF(OR(TRIM(A480&amp;"")="", ISNUMBER(SEARCH("FALTA", A480))), "UPC faltante/inválido", ""), IF(AND(A480&lt;&gt;"", IFERROR(_xlfn.XMATCH(A480,$A$2:$A$1063,0,1)&lt;&gt;_xlfn.XMATCH(A480,$A$2:$A$1063,0,-1),FALSE)), "Código de barras duplicado", ""), IF(AND(E480&lt;&gt;"", COUNTIF($E$2:$E$1063, E480)&gt;1), "SKU duplicado", ""), IF(OR(J480="", J480=""), "[Aviso] División no capturada ()", IF(ISNA(MATCH(J480, Criterios!$A$123:$A$126, 0)), "División no válida", "")), IF(OR(K480="", K480=""), "[Aviso] Categoría no capturada ()", IF(ISNA(MATCH(K480, Criterios!$A$81:$A$120, 0)), "Categoría no válida", IF(AND(J480&lt;&gt;"", J480&lt;&gt;"", J480&lt;&gt;VLOOKUP(K480, Criterios!$A$81:$B$120, 2, FALSE)), "División no coincide con Categoría", ""))), IF(OR(L480="", L480=""), "[Aviso] Género no capturado ()", IF(ISNA(MATCH(L480, Criterios!$B$123:$B$127, 0)), "Género no válido", "")), IF(OR(N480="", N480=""), "[Aviso] Temporada no capturada ()", IF(ISNA(MATCH(N480, Criterios!$C$123:$C$128, 0)), "Temporada no válida", "")), IF(OR(O480="", O480=""), "[Aviso] Ciclo de vida no capturado ()", IF(ISNA(MATCH(O480, Criterios!$D$123:$D$124, 0)), "Ciclo de vida no válido", ""))))</f>
        <v/>
      </c>
      <c r="AC480" s="56" t="n"/>
      <c r="AD480" s="51" t="n"/>
      <c r="AE480" s="156" t="n"/>
      <c r="AF480" s="51" t="n"/>
      <c r="AG480" s="156" t="inlineStr">
        <is>
          <t>Nuevo – Carga Hoja2 01/10/2026</t>
        </is>
      </c>
      <c r="AH480" s="156" t="inlineStr">
        <is>
          <t>Alta 01/10/2026 desde Hoja2 (fila 279) | 01/10/2026: Odoo Universal Unique Brands trae Marca «Montana West» — se conservó el valor de Productos | Homologación G1522 06/10/2026: Validador Shopify: WB: precio con IVA no termina en 9</t>
        </is>
      </c>
      <c r="AI480" s="156" t="n"/>
      <c r="AJ480" s="156" t="n"/>
      <c r="AK480" s="155" t="inlineStr">
        <is>
          <t>Hoja2: fila 279 | Odoo: producto 27386 / plantilla 34086</t>
        </is>
      </c>
      <c r="AL480" s="58" t="n"/>
      <c r="AM480" s="58" t="n"/>
      <c r="AN480" s="155" t="inlineStr">
        <is>
          <t>Odoo Universal Unique Brands</t>
        </is>
      </c>
      <c r="AO480" s="59" t="n"/>
      <c r="AP480" s="59" t="n"/>
      <c r="AQ480" s="59" t="n">
        <v>5</v>
      </c>
      <c r="AR480" s="155" t="inlineStr">
        <is>
          <t>Odoo Universal Unique Brands › Bodega 25 › Bodega 25/General: 5</t>
        </is>
      </c>
    </row>
    <row r="481">
      <c r="A481" s="50" t="inlineStr">
        <is>
          <t>717019691425</t>
        </is>
      </c>
      <c r="B481" s="51" t="inlineStr">
        <is>
          <t>27391</t>
        </is>
      </c>
      <c r="C481" s="156" t="inlineStr">
        <is>
          <t>Wrangler</t>
        </is>
      </c>
      <c r="D481" s="156" t="inlineStr">
        <is>
          <t>WG2211-W006BK</t>
        </is>
      </c>
      <c r="E481" s="156" t="inlineStr">
        <is>
          <t>WG2211-W006BK</t>
        </is>
      </c>
      <c r="F481" s="156" t="inlineStr">
        <is>
          <t>Talla única</t>
        </is>
      </c>
      <c r="G481" s="156" t="inlineStr">
        <is>
          <t>One Size</t>
        </is>
      </c>
      <c r="H481" s="156" t="inlineStr">
        <is>
          <t>Wrangler</t>
        </is>
      </c>
      <c r="I481" s="156" t="inlineStr">
        <is>
          <t>Cartera Wrangler Estampado Artístico Suroeste Negro</t>
        </is>
      </c>
      <c r="J481" s="156" t="inlineStr">
        <is>
          <t>Accesorios</t>
        </is>
      </c>
      <c r="K481" s="156" t="inlineStr">
        <is>
          <t>Carteras</t>
        </is>
      </c>
      <c r="L481" s="156" t="inlineStr">
        <is>
          <t>Unisex</t>
        </is>
      </c>
      <c r="M481" s="156" t="inlineStr">
        <is>
          <t>Wrangler</t>
        </is>
      </c>
      <c r="N481" s="156" t="n"/>
      <c r="O481" s="156" t="inlineStr">
        <is>
          <t>Core</t>
        </is>
      </c>
      <c r="P481" s="156" t="inlineStr">
        <is>
          <t>Negro</t>
        </is>
      </c>
      <c r="Q481" s="156" t="n"/>
      <c r="R481" s="156" t="n"/>
      <c r="S481" s="156" t="n"/>
      <c r="T481" s="156" t="inlineStr">
        <is>
          <t>Cartera Wrangler. Modelo: Estampado Artístico Suroeste. Color: Negro. Talla única. Unisex. Referencia: WG2211-W006BK.</t>
        </is>
      </c>
      <c r="U481" s="156" t="n"/>
      <c r="V481" s="156" t="inlineStr">
        <is>
          <t>PZS</t>
        </is>
      </c>
      <c r="W481" s="51" t="inlineStr">
        <is>
          <t>53121700</t>
        </is>
      </c>
      <c r="X481" s="156" t="n"/>
      <c r="Y481" s="54" t="n">
        <v>189.75</v>
      </c>
      <c r="Z481" s="54" t="n">
        <v>349</v>
      </c>
      <c r="AA481" s="55">
        <f>IF(AND(A481="", B481="", E481=""), "", IF(AB481="", "Válido", IF((LEN(AB481)-LEN(SUBSTITUTE(AB481,"; ","")))/2+1&gt;(LEN(AB481)-LEN(SUBSTITUTE(AB481,"[Aviso]","")))/7, "Con Incidencias", "Válido")))</f>
        <v/>
      </c>
      <c r="AB481" s="56">
        <f>IF(AND(A481="", B481="", E481=""), "", TEXTJOIN("; ", TRUE, IF(OR(TRIM(A481&amp;"")="", ISNUMBER(SEARCH("FALTA", A481))), "UPC faltante/inválido", ""), IF(AND(A481&lt;&gt;"", IFERROR(_xlfn.XMATCH(A481,$A$2:$A$1063,0,1)&lt;&gt;_xlfn.XMATCH(A481,$A$2:$A$1063,0,-1),FALSE)), "Código de barras duplicado", ""), IF(AND(E481&lt;&gt;"", COUNTIF($E$2:$E$1063, E481)&gt;1), "SKU duplicado", ""), IF(OR(J481="", J481=""), "[Aviso] División no capturada ()", IF(ISNA(MATCH(J481, Criterios!$A$123:$A$126, 0)), "División no válida", "")), IF(OR(K481="", K481=""), "[Aviso] Categoría no capturada ()", IF(ISNA(MATCH(K481, Criterios!$A$81:$A$120, 0)), "Categoría no válida", IF(AND(J481&lt;&gt;"", J481&lt;&gt;"", J481&lt;&gt;VLOOKUP(K481, Criterios!$A$81:$B$120, 2, FALSE)), "División no coincide con Categoría", ""))), IF(OR(L481="", L481=""), "[Aviso] Género no capturado ()", IF(ISNA(MATCH(L481, Criterios!$B$123:$B$127, 0)), "Género no válido", "")), IF(OR(N481="", N481=""), "[Aviso] Temporada no capturada ()", IF(ISNA(MATCH(N481, Criterios!$C$123:$C$128, 0)), "Temporada no válida", "")), IF(OR(O481="", O481=""), "[Aviso] Ciclo de vida no capturado ()", IF(ISNA(MATCH(O481, Criterios!$D$123:$D$124, 0)), "Ciclo de vida no válido", ""))))</f>
        <v/>
      </c>
      <c r="AC481" s="56" t="n"/>
      <c r="AD481" s="51" t="n"/>
      <c r="AE481" s="156" t="n"/>
      <c r="AF481" s="51" t="n"/>
      <c r="AG481" s="156" t="inlineStr">
        <is>
          <t>Nuevo – Carga Hoja2 01/10/2026</t>
        </is>
      </c>
      <c r="AH481" s="156" t="inlineStr">
        <is>
          <t>Alta 01/10/2026 desde Hoja2 (fila 280) | 01/10/2026: Odoo Universal Unique Brands trae Marca «Montana West» — se conservó el valor de Productos | Homologación G1522 06/10/2026: Validador Shopify: WB: precio con IVA no termina en 9</t>
        </is>
      </c>
      <c r="AI481" s="156" t="n"/>
      <c r="AJ481" s="156" t="n"/>
      <c r="AK481" s="155" t="inlineStr">
        <is>
          <t>Hoja2: fila 280 | Odoo: producto 27391 / plantilla 34091</t>
        </is>
      </c>
      <c r="AL481" s="58" t="n"/>
      <c r="AM481" s="58" t="n"/>
      <c r="AN481" s="155" t="inlineStr">
        <is>
          <t>Odoo Universal Unique Brands</t>
        </is>
      </c>
      <c r="AO481" s="59" t="n"/>
      <c r="AP481" s="59" t="n"/>
      <c r="AQ481" s="59" t="n">
        <v>2</v>
      </c>
      <c r="AR481" s="155" t="inlineStr">
        <is>
          <t>Odoo Universal Unique Brands › Bodega 25 › Bodega 25/General: 2</t>
        </is>
      </c>
    </row>
    <row r="482">
      <c r="A482" s="50" t="n"/>
      <c r="B482" s="51" t="inlineStr">
        <is>
          <t>27393</t>
        </is>
      </c>
      <c r="C482" s="156" t="inlineStr">
        <is>
          <t>Montana West</t>
        </is>
      </c>
      <c r="D482" s="156" t="n"/>
      <c r="E482" s="156" t="inlineStr">
        <is>
          <t>WG2211-W006JN</t>
        </is>
      </c>
      <c r="F482" s="156" t="inlineStr">
        <is>
          <t>Talla única</t>
        </is>
      </c>
      <c r="G482" s="156" t="inlineStr">
        <is>
          <t>One Size</t>
        </is>
      </c>
      <c r="H482" s="156" t="inlineStr">
        <is>
          <t>Montana West</t>
        </is>
      </c>
      <c r="I482" s="156" t="inlineStr">
        <is>
          <t>WG Handbag</t>
        </is>
      </c>
      <c r="J482" s="156" t="inlineStr">
        <is>
          <t>Accesorios</t>
        </is>
      </c>
      <c r="K482" s="156" t="inlineStr">
        <is>
          <t>Carteras</t>
        </is>
      </c>
      <c r="L482" s="156" t="inlineStr">
        <is>
          <t>Unisex</t>
        </is>
      </c>
      <c r="M482" s="156" t="n"/>
      <c r="N482" s="156" t="n"/>
      <c r="O482" s="156" t="n"/>
      <c r="P482" s="156" t="n"/>
      <c r="Q482" s="156" t="n"/>
      <c r="R482" s="156" t="n"/>
      <c r="S482" s="156" t="n"/>
      <c r="T482" s="156" t="n"/>
      <c r="U482" s="156" t="n"/>
      <c r="V482" s="156" t="inlineStr">
        <is>
          <t>PZS</t>
        </is>
      </c>
      <c r="W482" s="51" t="inlineStr">
        <is>
          <t>53121601</t>
        </is>
      </c>
      <c r="X482" s="156" t="n"/>
      <c r="Y482" s="54" t="n">
        <v>189.75</v>
      </c>
      <c r="Z482" s="54" t="n">
        <v>349</v>
      </c>
      <c r="AA482" s="55">
        <f>IF(AND(A482="", B482="", E482=""), "", IF(AB482="", "Válido", IF((LEN(AB482)-LEN(SUBSTITUTE(AB482,"; ","")))/2+1&gt;(LEN(AB482)-LEN(SUBSTITUTE(AB482,"[Aviso]","")))/7, "Con Incidencias", "Válido")))</f>
        <v/>
      </c>
      <c r="AB482" s="56">
        <f>IF(AND(A482="", B482="", E482=""), "", TEXTJOIN("; ", TRUE, IF(OR(TRIM(A482&amp;"")="", ISNUMBER(SEARCH("FALTA", A482))), "UPC faltante/inválido", ""), IF(AND(A482&lt;&gt;"", IFERROR(_xlfn.XMATCH(A482,$A$2:$A$1063,0,1)&lt;&gt;_xlfn.XMATCH(A482,$A$2:$A$1063,0,-1),FALSE)), "Código de barras duplicado", ""), IF(AND(E482&lt;&gt;"", COUNTIF($E$2:$E$1063, E482)&gt;1), "SKU duplicado", ""), IF(OR(J482="", J482=""), "[Aviso] División no capturada ()", IF(ISNA(MATCH(J482, Criterios!$A$123:$A$126, 0)), "División no válida", "")), IF(OR(K482="", K482=""), "[Aviso] Categoría no capturada ()", IF(ISNA(MATCH(K482, Criterios!$A$81:$A$120, 0)), "Categoría no válida", IF(AND(J482&lt;&gt;"", J482&lt;&gt;"", J482&lt;&gt;VLOOKUP(K482, Criterios!$A$81:$B$120, 2, FALSE)), "División no coincide con Categoría", ""))), IF(OR(L482="", L482=""), "[Aviso] Género no capturado ()", IF(ISNA(MATCH(L482, Criterios!$B$123:$B$127, 0)), "Género no válido", "")), IF(OR(N482="", N482=""), "[Aviso] Temporada no capturada ()", IF(ISNA(MATCH(N482, Criterios!$C$123:$C$128, 0)), "Temporada no válida", "")), IF(OR(O482="", O482=""), "[Aviso] Ciclo de vida no capturado ()", IF(ISNA(MATCH(O482, Criterios!$D$123:$D$124, 0)), "Ciclo de vida no válido", ""))))</f>
        <v/>
      </c>
      <c r="AC482" s="56" t="n"/>
      <c r="AD482" s="51" t="n"/>
      <c r="AE482" s="156" t="n"/>
      <c r="AF482" s="51" t="n"/>
      <c r="AG482" s="156" t="inlineStr">
        <is>
          <t>Nuevo – Carga Hoja2 01/10/2026</t>
        </is>
      </c>
      <c r="AH482" s="156" t="inlineStr">
        <is>
          <t>Alta 01/10/2026 desde Hoja2 (fila 281) | 01/10/2026: complementado desde Odoo Universal Unique Brands (match por SKU): WB Talla, WB Talla de EE. UU., WB Género | Homologación G1522 06/10/2026: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82" s="156" t="n"/>
      <c r="AJ482" s="156" t="n"/>
      <c r="AK482" s="155" t="inlineStr">
        <is>
          <t>Hoja2: fila 281 | Odoo: producto 27393 / plantilla 34093</t>
        </is>
      </c>
      <c r="AL482" s="58" t="n"/>
      <c r="AM482" s="58" t="n"/>
      <c r="AN482" s="155" t="inlineStr">
        <is>
          <t>Odoo Universal Unique Brands</t>
        </is>
      </c>
      <c r="AO482" s="59" t="n"/>
      <c r="AP482" s="59" t="n"/>
      <c r="AQ482" s="59" t="n">
        <v>6</v>
      </c>
      <c r="AR482" s="155" t="inlineStr">
        <is>
          <t>Odoo Universal Unique Brands › Bodega 25 › Bodega 25/General: 6</t>
        </is>
      </c>
    </row>
    <row r="483">
      <c r="A483" s="50" t="n"/>
      <c r="B483" s="51" t="inlineStr">
        <is>
          <t>27394</t>
        </is>
      </c>
      <c r="C483" s="156" t="inlineStr">
        <is>
          <t>Montana West</t>
        </is>
      </c>
      <c r="D483" s="156" t="n"/>
      <c r="E483" s="156" t="inlineStr">
        <is>
          <t>WG2211-W006PK</t>
        </is>
      </c>
      <c r="F483" s="156" t="inlineStr">
        <is>
          <t>Talla única</t>
        </is>
      </c>
      <c r="G483" s="156" t="inlineStr">
        <is>
          <t>One Size</t>
        </is>
      </c>
      <c r="H483" s="156" t="inlineStr">
        <is>
          <t>Montana West</t>
        </is>
      </c>
      <c r="I483" s="156" t="inlineStr">
        <is>
          <t>WG BAG</t>
        </is>
      </c>
      <c r="J483" s="156" t="inlineStr">
        <is>
          <t>Accesorios</t>
        </is>
      </c>
      <c r="K483" s="156" t="inlineStr">
        <is>
          <t>Carteras</t>
        </is>
      </c>
      <c r="L483" s="156" t="inlineStr">
        <is>
          <t>Unisex</t>
        </is>
      </c>
      <c r="M483" s="156" t="n"/>
      <c r="N483" s="156" t="n"/>
      <c r="O483" s="156" t="n"/>
      <c r="P483" s="156" t="n"/>
      <c r="Q483" s="156" t="n"/>
      <c r="R483" s="156" t="n"/>
      <c r="S483" s="156" t="n"/>
      <c r="T483" s="156" t="n"/>
      <c r="U483" s="156" t="n"/>
      <c r="V483" s="156" t="inlineStr">
        <is>
          <t>PZS</t>
        </is>
      </c>
      <c r="W483" s="51" t="inlineStr">
        <is>
          <t>53121601</t>
        </is>
      </c>
      <c r="X483" s="156" t="n"/>
      <c r="Y483" s="54" t="n">
        <v>189.75</v>
      </c>
      <c r="Z483" s="54" t="n">
        <v>349</v>
      </c>
      <c r="AA483" s="55">
        <f>IF(AND(A483="", B483="", E483=""), "", IF(AB483="", "Válido", IF((LEN(AB483)-LEN(SUBSTITUTE(AB483,"; ","")))/2+1&gt;(LEN(AB483)-LEN(SUBSTITUTE(AB483,"[Aviso]","")))/7, "Con Incidencias", "Válido")))</f>
        <v/>
      </c>
      <c r="AB483" s="56">
        <f>IF(AND(A483="", B483="", E483=""), "", TEXTJOIN("; ", TRUE, IF(OR(TRIM(A483&amp;"")="", ISNUMBER(SEARCH("FALTA", A483))), "UPC faltante/inválido", ""), IF(AND(A483&lt;&gt;"", IFERROR(_xlfn.XMATCH(A483,$A$2:$A$1063,0,1)&lt;&gt;_xlfn.XMATCH(A483,$A$2:$A$1063,0,-1),FALSE)), "Código de barras duplicado", ""), IF(AND(E483&lt;&gt;"", COUNTIF($E$2:$E$1063, E483)&gt;1), "SKU duplicado", ""), IF(OR(J483="", J483=""), "[Aviso] División no capturada ()", IF(ISNA(MATCH(J483, Criterios!$A$123:$A$126, 0)), "División no válida", "")), IF(OR(K483="", K483=""), "[Aviso] Categoría no capturada ()", IF(ISNA(MATCH(K483, Criterios!$A$81:$A$120, 0)), "Categoría no válida", IF(AND(J483&lt;&gt;"", J483&lt;&gt;"", J483&lt;&gt;VLOOKUP(K483, Criterios!$A$81:$B$120, 2, FALSE)), "División no coincide con Categoría", ""))), IF(OR(L483="", L483=""), "[Aviso] Género no capturado ()", IF(ISNA(MATCH(L483, Criterios!$B$123:$B$127, 0)), "Género no válido", "")), IF(OR(N483="", N483=""), "[Aviso] Temporada no capturada ()", IF(ISNA(MATCH(N483, Criterios!$C$123:$C$128, 0)), "Temporada no válida", "")), IF(OR(O483="", O483=""), "[Aviso] Ciclo de vida no capturado ()", IF(ISNA(MATCH(O483, Criterios!$D$123:$D$124, 0)), "Ciclo de vida no válido", ""))))</f>
        <v/>
      </c>
      <c r="AC483" s="56" t="n"/>
      <c r="AD483" s="51" t="n"/>
      <c r="AE483" s="156" t="n"/>
      <c r="AF483" s="51" t="n"/>
      <c r="AG483" s="156" t="inlineStr">
        <is>
          <t>Nuevo – Carga Hoja2 01/10/2026</t>
        </is>
      </c>
      <c r="AH483" s="156" t="inlineStr">
        <is>
          <t>Alta 01/10/2026 desde Hoja2 (fila 282)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83" s="156" t="n"/>
      <c r="AJ483" s="156" t="n"/>
      <c r="AK483" s="155" t="inlineStr">
        <is>
          <t>Hoja2: fila 282 | Odoo: producto 27394 / plantilla 34094</t>
        </is>
      </c>
      <c r="AL483" s="58" t="n"/>
      <c r="AM483" s="58" t="n"/>
      <c r="AN483" s="155" t="inlineStr">
        <is>
          <t>Odoo Universal Unique Brands</t>
        </is>
      </c>
      <c r="AO483" s="59" t="n"/>
      <c r="AP483" s="59" t="n"/>
      <c r="AQ483" s="59" t="n">
        <v>0</v>
      </c>
      <c r="AR483" s="155" t="n"/>
    </row>
    <row r="484">
      <c r="A484" s="50" t="inlineStr">
        <is>
          <t>717019714223</t>
        </is>
      </c>
      <c r="B484" s="51" t="inlineStr">
        <is>
          <t>27395</t>
        </is>
      </c>
      <c r="C484" s="156" t="inlineStr">
        <is>
          <t>Wrangler</t>
        </is>
      </c>
      <c r="D484" s="156" t="inlineStr">
        <is>
          <t>WG2212-226JN</t>
        </is>
      </c>
      <c r="E484" s="156" t="inlineStr">
        <is>
          <t>WG2212-226JN</t>
        </is>
      </c>
      <c r="F484" s="156" t="inlineStr">
        <is>
          <t>Talla única</t>
        </is>
      </c>
      <c r="G484" s="156" t="inlineStr">
        <is>
          <t>One Size</t>
        </is>
      </c>
      <c r="H484" s="156" t="inlineStr">
        <is>
          <t>Wrangler</t>
        </is>
      </c>
      <c r="I484" s="156" t="inlineStr">
        <is>
          <t>Bolsa Wrangler Mezclilla</t>
        </is>
      </c>
      <c r="J484" s="156" t="inlineStr">
        <is>
          <t>Accesorios</t>
        </is>
      </c>
      <c r="K484" s="156" t="inlineStr">
        <is>
          <t>Bolsos</t>
        </is>
      </c>
      <c r="L484" s="156" t="inlineStr">
        <is>
          <t>Unisex</t>
        </is>
      </c>
      <c r="M484" s="156" t="inlineStr">
        <is>
          <t>Wrangler</t>
        </is>
      </c>
      <c r="N484" s="156" t="n"/>
      <c r="O484" s="156" t="inlineStr">
        <is>
          <t>Core</t>
        </is>
      </c>
      <c r="P484" s="156" t="inlineStr">
        <is>
          <t>Varios</t>
        </is>
      </c>
      <c r="Q484" s="156" t="n"/>
      <c r="R484" s="156" t="n"/>
      <c r="S484" s="156" t="n"/>
      <c r="T484" s="156" t="inlineStr">
        <is>
          <t>Bolsa Wrangler. Color: Mezclilla. Talla única. Unisex. Referencia: WG2212-226JN.</t>
        </is>
      </c>
      <c r="U484" s="156" t="n"/>
      <c r="V484" s="156" t="inlineStr">
        <is>
          <t>PZS</t>
        </is>
      </c>
      <c r="W484" s="51" t="inlineStr">
        <is>
          <t>53121601</t>
        </is>
      </c>
      <c r="X484" s="156" t="n"/>
      <c r="Y484" s="54" t="n">
        <v>345</v>
      </c>
      <c r="Z484" s="54" t="n">
        <v>599</v>
      </c>
      <c r="AA484" s="55">
        <f>IF(AND(A484="", B484="", E484=""), "", IF(AB484="", "Válido", IF((LEN(AB484)-LEN(SUBSTITUTE(AB484,"; ","")))/2+1&gt;(LEN(AB484)-LEN(SUBSTITUTE(AB484,"[Aviso]","")))/7, "Con Incidencias", "Válido")))</f>
        <v/>
      </c>
      <c r="AB484" s="56">
        <f>IF(AND(A484="", B484="", E484=""), "", TEXTJOIN("; ", TRUE, IF(OR(TRIM(A484&amp;"")="", ISNUMBER(SEARCH("FALTA", A484))), "UPC faltante/inválido", ""), IF(AND(A484&lt;&gt;"", IFERROR(_xlfn.XMATCH(A484,$A$2:$A$1063,0,1)&lt;&gt;_xlfn.XMATCH(A484,$A$2:$A$1063,0,-1),FALSE)), "Código de barras duplicado", ""), IF(AND(E484&lt;&gt;"", COUNTIF($E$2:$E$1063, E484)&gt;1), "SKU duplicado", ""), IF(OR(J484="", J484=""), "[Aviso] División no capturada ()", IF(ISNA(MATCH(J484, Criterios!$A$123:$A$126, 0)), "División no válida", "")), IF(OR(K484="", K484=""), "[Aviso] Categoría no capturada ()", IF(ISNA(MATCH(K484, Criterios!$A$81:$A$120, 0)), "Categoría no válida", IF(AND(J484&lt;&gt;"", J484&lt;&gt;"", J484&lt;&gt;VLOOKUP(K484, Criterios!$A$81:$B$120, 2, FALSE)), "División no coincide con Categoría", ""))), IF(OR(L484="", L484=""), "[Aviso] Género no capturado ()", IF(ISNA(MATCH(L484, Criterios!$B$123:$B$127, 0)), "Género no válido", "")), IF(OR(N484="", N484=""), "[Aviso] Temporada no capturada ()", IF(ISNA(MATCH(N484, Criterios!$C$123:$C$128, 0)), "Temporada no válida", "")), IF(OR(O484="", O484=""), "[Aviso] Ciclo de vida no capturado ()", IF(ISNA(MATCH(O484, Criterios!$D$123:$D$124, 0)), "Ciclo de vida no válido", ""))))</f>
        <v/>
      </c>
      <c r="AC484" s="56" t="n"/>
      <c r="AD484" s="51" t="n"/>
      <c r="AE484" s="156" t="n"/>
      <c r="AF484" s="51" t="n"/>
      <c r="AG484" s="156" t="inlineStr">
        <is>
          <t>Nuevo – Carga Hoja2 01/10/2026</t>
        </is>
      </c>
      <c r="AH484" s="156" t="inlineStr">
        <is>
          <t>Alta 01/10/2026 desde Hoja2 (fila 283) | 01/10/2026: Odoo Universal Unique Brands trae Marca «Montana West» — se conservó el valor de Productos | Homologación G1522 06/10/2026: Validador Shopify: WB: precio con IVA no termina en 9</t>
        </is>
      </c>
      <c r="AI484" s="156" t="n"/>
      <c r="AJ484" s="156" t="n"/>
      <c r="AK484" s="155" t="inlineStr">
        <is>
          <t>Hoja2: fila 283 | Odoo: producto 27395 / plantilla 34095</t>
        </is>
      </c>
      <c r="AL484" s="58" t="n"/>
      <c r="AM484" s="58" t="n"/>
      <c r="AN484" s="155" t="inlineStr">
        <is>
          <t>Odoo Universal Unique Brands</t>
        </is>
      </c>
      <c r="AO484" s="59" t="n"/>
      <c r="AP484" s="59" t="n"/>
      <c r="AQ484" s="59" t="n">
        <v>0</v>
      </c>
      <c r="AR484" s="155" t="n"/>
    </row>
    <row r="485">
      <c r="A485" s="50" t="n"/>
      <c r="B485" s="51" t="inlineStr">
        <is>
          <t>27396</t>
        </is>
      </c>
      <c r="C485" s="156" t="inlineStr">
        <is>
          <t>Montana West</t>
        </is>
      </c>
      <c r="D485" s="156" t="n"/>
      <c r="E485" s="156" t="inlineStr">
        <is>
          <t>WG2212-8122BR</t>
        </is>
      </c>
      <c r="F485" s="156" t="inlineStr">
        <is>
          <t>Talla única</t>
        </is>
      </c>
      <c r="G485" s="156" t="inlineStr">
        <is>
          <t>One Size</t>
        </is>
      </c>
      <c r="H485" s="156" t="inlineStr">
        <is>
          <t>Montana West</t>
        </is>
      </c>
      <c r="I485" s="156" t="inlineStr">
        <is>
          <t>WG BAG</t>
        </is>
      </c>
      <c r="J485" s="156" t="inlineStr">
        <is>
          <t>Accesorios</t>
        </is>
      </c>
      <c r="K485" s="156" t="inlineStr">
        <is>
          <t>Bolsos</t>
        </is>
      </c>
      <c r="L485" s="156" t="inlineStr">
        <is>
          <t>Unisex</t>
        </is>
      </c>
      <c r="M485" s="156" t="n"/>
      <c r="N485" s="156" t="n"/>
      <c r="O485" s="156" t="n"/>
      <c r="P485" s="156" t="n"/>
      <c r="Q485" s="156" t="n"/>
      <c r="R485" s="156" t="n"/>
      <c r="S485" s="156" t="n"/>
      <c r="T485" s="156" t="n"/>
      <c r="U485" s="156" t="n"/>
      <c r="V485" s="156" t="inlineStr">
        <is>
          <t>PZS</t>
        </is>
      </c>
      <c r="W485" s="51" t="inlineStr">
        <is>
          <t>53121601</t>
        </is>
      </c>
      <c r="X485" s="156" t="n"/>
      <c r="Y485" s="54" t="n">
        <v>345</v>
      </c>
      <c r="Z485" s="54" t="n">
        <v>599</v>
      </c>
      <c r="AA485" s="55">
        <f>IF(AND(A485="", B485="", E485=""), "", IF(AB485="", "Válido", IF((LEN(AB485)-LEN(SUBSTITUTE(AB485,"; ","")))/2+1&gt;(LEN(AB485)-LEN(SUBSTITUTE(AB485,"[Aviso]","")))/7, "Con Incidencias", "Válido")))</f>
        <v/>
      </c>
      <c r="AB485" s="56">
        <f>IF(AND(A485="", B485="", E485=""), "", TEXTJOIN("; ", TRUE, IF(OR(TRIM(A485&amp;"")="", ISNUMBER(SEARCH("FALTA", A485))), "UPC faltante/inválido", ""), IF(AND(A485&lt;&gt;"", IFERROR(_xlfn.XMATCH(A485,$A$2:$A$1063,0,1)&lt;&gt;_xlfn.XMATCH(A485,$A$2:$A$1063,0,-1),FALSE)), "Código de barras duplicado", ""), IF(AND(E485&lt;&gt;"", COUNTIF($E$2:$E$1063, E485)&gt;1), "SKU duplicado", ""), IF(OR(J485="", J485=""), "[Aviso] División no capturada ()", IF(ISNA(MATCH(J485, Criterios!$A$123:$A$126, 0)), "División no válida", "")), IF(OR(K485="", K485=""), "[Aviso] Categoría no capturada ()", IF(ISNA(MATCH(K485, Criterios!$A$81:$A$120, 0)), "Categoría no válida", IF(AND(J485&lt;&gt;"", J485&lt;&gt;"", J485&lt;&gt;VLOOKUP(K485, Criterios!$A$81:$B$120, 2, FALSE)), "División no coincide con Categoría", ""))), IF(OR(L485="", L485=""), "[Aviso] Género no capturado ()", IF(ISNA(MATCH(L485, Criterios!$B$123:$B$127, 0)), "Género no válido", "")), IF(OR(N485="", N485=""), "[Aviso] Temporada no capturada ()", IF(ISNA(MATCH(N485, Criterios!$C$123:$C$128, 0)), "Temporada no válida", "")), IF(OR(O485="", O485=""), "[Aviso] Ciclo de vida no capturado ()", IF(ISNA(MATCH(O485, Criterios!$D$123:$D$124, 0)), "Ciclo de vida no válido", ""))))</f>
        <v/>
      </c>
      <c r="AC485" s="56" t="n"/>
      <c r="AD485" s="51" t="n"/>
      <c r="AE485" s="156" t="n"/>
      <c r="AF485" s="51" t="n"/>
      <c r="AG485" s="156" t="inlineStr">
        <is>
          <t>Nuevo – Carga Hoja2 01/10/2026</t>
        </is>
      </c>
      <c r="AH485" s="156" t="inlineStr">
        <is>
          <t>Alta 01/10/2026 desde Hoja2 (fila 284)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85" s="156" t="n"/>
      <c r="AJ485" s="156" t="n"/>
      <c r="AK485" s="155" t="inlineStr">
        <is>
          <t>Hoja2: fila 284 | Odoo: producto 27396 / plantilla 34096</t>
        </is>
      </c>
      <c r="AL485" s="58" t="n"/>
      <c r="AM485" s="58" t="n"/>
      <c r="AN485" s="155" t="inlineStr">
        <is>
          <t>Odoo Universal Unique Brands</t>
        </is>
      </c>
      <c r="AO485" s="59" t="n"/>
      <c r="AP485" s="59" t="n"/>
      <c r="AQ485" s="59" t="n">
        <v>-6</v>
      </c>
      <c r="AR485" s="155" t="n"/>
    </row>
    <row r="486">
      <c r="A486" s="50" t="inlineStr">
        <is>
          <t>717019714100</t>
        </is>
      </c>
      <c r="B486" s="51" t="inlineStr">
        <is>
          <t>27397</t>
        </is>
      </c>
      <c r="C486" s="156" t="inlineStr">
        <is>
          <t>Wrangler</t>
        </is>
      </c>
      <c r="D486" s="156" t="inlineStr">
        <is>
          <t>WG2212-8136BK</t>
        </is>
      </c>
      <c r="E486" s="156" t="inlineStr">
        <is>
          <t>WG2212-8136BK</t>
        </is>
      </c>
      <c r="F486" s="156" t="inlineStr">
        <is>
          <t>Talla única</t>
        </is>
      </c>
      <c r="G486" s="156" t="inlineStr">
        <is>
          <t>One Size</t>
        </is>
      </c>
      <c r="H486" s="156" t="inlineStr">
        <is>
          <t>Wrangler</t>
        </is>
      </c>
      <c r="I486" s="156" t="inlineStr">
        <is>
          <t>Bolsa Tipo Montura Wrangler Estampado Suroeste Negro</t>
        </is>
      </c>
      <c r="J486" s="156" t="inlineStr">
        <is>
          <t>Accesorios</t>
        </is>
      </c>
      <c r="K486" s="156" t="inlineStr">
        <is>
          <t>Bolsos</t>
        </is>
      </c>
      <c r="L486" s="156" t="inlineStr">
        <is>
          <t>Unisex</t>
        </is>
      </c>
      <c r="M486" s="156" t="inlineStr">
        <is>
          <t>Wrangler</t>
        </is>
      </c>
      <c r="N486" s="156" t="n"/>
      <c r="O486" s="156" t="inlineStr">
        <is>
          <t>Core</t>
        </is>
      </c>
      <c r="P486" s="156" t="inlineStr">
        <is>
          <t>Negro</t>
        </is>
      </c>
      <c r="Q486" s="156" t="n"/>
      <c r="R486" s="156" t="n"/>
      <c r="S486" s="156" t="n"/>
      <c r="T486" s="156" t="inlineStr">
        <is>
          <t>Bolsa Tipo Montura Wrangler. Modelo: Estampado Suroeste. Color: Negro. Talla única. Unisex. Referencia: WG2212-8136BK.</t>
        </is>
      </c>
      <c r="U486" s="156" t="n"/>
      <c r="V486" s="156" t="inlineStr">
        <is>
          <t>PZS</t>
        </is>
      </c>
      <c r="W486" s="51" t="inlineStr">
        <is>
          <t>53121601</t>
        </is>
      </c>
      <c r="X486" s="156" t="n"/>
      <c r="Y486" s="54" t="n">
        <v>431.25</v>
      </c>
      <c r="Z486" s="54" t="n">
        <v>699</v>
      </c>
      <c r="AA486" s="55">
        <f>IF(AND(A486="", B486="", E486=""), "", IF(AB486="", "Válido", IF((LEN(AB486)-LEN(SUBSTITUTE(AB486,"; ","")))/2+1&gt;(LEN(AB486)-LEN(SUBSTITUTE(AB486,"[Aviso]","")))/7, "Con Incidencias", "Válido")))</f>
        <v/>
      </c>
      <c r="AB486" s="56">
        <f>IF(AND(A486="", B486="", E486=""), "", TEXTJOIN("; ", TRUE, IF(OR(TRIM(A486&amp;"")="", ISNUMBER(SEARCH("FALTA", A486))), "UPC faltante/inválido", ""), IF(AND(A486&lt;&gt;"", IFERROR(_xlfn.XMATCH(A486,$A$2:$A$1063,0,1)&lt;&gt;_xlfn.XMATCH(A486,$A$2:$A$1063,0,-1),FALSE)), "Código de barras duplicado", ""), IF(AND(E486&lt;&gt;"", COUNTIF($E$2:$E$1063, E486)&gt;1), "SKU duplicado", ""), IF(OR(J486="", J486=""), "[Aviso] División no capturada ()", IF(ISNA(MATCH(J486, Criterios!$A$123:$A$126, 0)), "División no válida", "")), IF(OR(K486="", K486=""), "[Aviso] Categoría no capturada ()", IF(ISNA(MATCH(K486, Criterios!$A$81:$A$120, 0)), "Categoría no válida", IF(AND(J486&lt;&gt;"", J486&lt;&gt;"", J486&lt;&gt;VLOOKUP(K486, Criterios!$A$81:$B$120, 2, FALSE)), "División no coincide con Categoría", ""))), IF(OR(L486="", L486=""), "[Aviso] Género no capturado ()", IF(ISNA(MATCH(L486, Criterios!$B$123:$B$127, 0)), "Género no válido", "")), IF(OR(N486="", N486=""), "[Aviso] Temporada no capturada ()", IF(ISNA(MATCH(N486, Criterios!$C$123:$C$128, 0)), "Temporada no válida", "")), IF(OR(O486="", O486=""), "[Aviso] Ciclo de vida no capturado ()", IF(ISNA(MATCH(O486, Criterios!$D$123:$D$124, 0)), "Ciclo de vida no válido", ""))))</f>
        <v/>
      </c>
      <c r="AC486" s="56" t="n"/>
      <c r="AD486" s="51" t="n"/>
      <c r="AE486" s="156" t="n"/>
      <c r="AF486" s="51" t="n"/>
      <c r="AG486" s="156" t="inlineStr">
        <is>
          <t>Nuevo – Carga Hoja2 01/10/2026</t>
        </is>
      </c>
      <c r="AH486" s="156" t="inlineStr">
        <is>
          <t>Alta 01/10/2026 desde Hoja2 (fila 285) | 01/10/2026: Odoo Universal Unique Brands trae Marca «Montana West» — se conservó el valor de Productos | Homologación G1522 06/10/2026: Validador Shopify: WB: precio con IVA no termina en 9</t>
        </is>
      </c>
      <c r="AI486" s="156" t="n"/>
      <c r="AJ486" s="156" t="n"/>
      <c r="AK486" s="155" t="inlineStr">
        <is>
          <t>Hoja2: fila 285 | Odoo: producto 27397 / plantilla 34097</t>
        </is>
      </c>
      <c r="AL486" s="58" t="n"/>
      <c r="AM486" s="58" t="n"/>
      <c r="AN486" s="155" t="inlineStr">
        <is>
          <t>Odoo Universal Unique Brands</t>
        </is>
      </c>
      <c r="AO486" s="59" t="n"/>
      <c r="AP486" s="59" t="n"/>
      <c r="AQ486" s="59" t="n">
        <v>-4</v>
      </c>
      <c r="AR486" s="155" t="n"/>
    </row>
    <row r="487">
      <c r="A487" s="50" t="n"/>
      <c r="B487" s="51" t="inlineStr">
        <is>
          <t>27398</t>
        </is>
      </c>
      <c r="C487" s="156" t="inlineStr">
        <is>
          <t>Montana West</t>
        </is>
      </c>
      <c r="D487" s="156" t="inlineStr">
        <is>
          <t>WG2212-8136BR</t>
        </is>
      </c>
      <c r="E487" s="156" t="inlineStr">
        <is>
          <t>WG2212-8136BR</t>
        </is>
      </c>
      <c r="F487" s="156" t="inlineStr">
        <is>
          <t>Talla única</t>
        </is>
      </c>
      <c r="G487" s="156" t="inlineStr">
        <is>
          <t>One Size</t>
        </is>
      </c>
      <c r="H487" s="156" t="inlineStr">
        <is>
          <t>Montana West</t>
        </is>
      </c>
      <c r="I487" s="156" t="inlineStr">
        <is>
          <t>Bolsa Tipo Montura Wrangler Estampado Suroeste Café</t>
        </is>
      </c>
      <c r="J487" s="156" t="inlineStr">
        <is>
          <t>Accesorios</t>
        </is>
      </c>
      <c r="K487" s="156" t="inlineStr">
        <is>
          <t>Bolsos</t>
        </is>
      </c>
      <c r="L487" s="156" t="inlineStr">
        <is>
          <t>Unisex</t>
        </is>
      </c>
      <c r="M487" s="156" t="inlineStr">
        <is>
          <t>Wrangler</t>
        </is>
      </c>
      <c r="N487" s="156" t="n"/>
      <c r="O487" s="156" t="n"/>
      <c r="P487" s="156" t="inlineStr">
        <is>
          <t>Cafe</t>
        </is>
      </c>
      <c r="Q487" s="156" t="n"/>
      <c r="R487" s="156" t="n"/>
      <c r="S487" s="156" t="n"/>
      <c r="T487" s="156" t="inlineStr">
        <is>
          <t>Bolsa Tipo Montura</t>
        </is>
      </c>
      <c r="U487" s="156" t="inlineStr">
        <is>
          <t>México</t>
        </is>
      </c>
      <c r="V487" s="156" t="inlineStr">
        <is>
          <t>PZS</t>
        </is>
      </c>
      <c r="W487" s="51" t="inlineStr">
        <is>
          <t>53121601</t>
        </is>
      </c>
      <c r="X487" s="156" t="n"/>
      <c r="Y487" s="54" t="n">
        <v>431.25</v>
      </c>
      <c r="Z487" s="54" t="n">
        <v>699</v>
      </c>
      <c r="AA487" s="55">
        <f>IF(AND(A487="", B487="", E487=""), "", IF(AB487="", "Válido", IF((LEN(AB487)-LEN(SUBSTITUTE(AB487,"; ","")))/2+1&gt;(LEN(AB487)-LEN(SUBSTITUTE(AB487,"[Aviso]","")))/7, "Con Incidencias", "Válido")))</f>
        <v/>
      </c>
      <c r="AB487" s="56">
        <f>IF(AND(A487="", B487="", E487=""), "", TEXTJOIN("; ", TRUE, IF(OR(TRIM(A487&amp;"")="", ISNUMBER(SEARCH("FALTA", A487))), "UPC faltante/inválido", ""), IF(AND(A487&lt;&gt;"", IFERROR(_xlfn.XMATCH(A487,$A$2:$A$1063,0,1)&lt;&gt;_xlfn.XMATCH(A487,$A$2:$A$1063,0,-1),FALSE)), "Código de barras duplicado", ""), IF(AND(E487&lt;&gt;"", COUNTIF($E$2:$E$1063, E487)&gt;1), "SKU duplicado", ""), IF(OR(J487="", J487=""), "[Aviso] División no capturada ()", IF(ISNA(MATCH(J487, Criterios!$A$123:$A$126, 0)), "División no válida", "")), IF(OR(K487="", K487=""), "[Aviso] Categoría no capturada ()", IF(ISNA(MATCH(K487, Criterios!$A$81:$A$120, 0)), "Categoría no válida", IF(AND(J487&lt;&gt;"", J487&lt;&gt;"", J487&lt;&gt;VLOOKUP(K487, Criterios!$A$81:$B$120, 2, FALSE)), "División no coincide con Categoría", ""))), IF(OR(L487="", L487=""), "[Aviso] Género no capturado ()", IF(ISNA(MATCH(L487, Criterios!$B$123:$B$127, 0)), "Género no válido", "")), IF(OR(N487="", N487=""), "[Aviso] Temporada no capturada ()", IF(ISNA(MATCH(N487, Criterios!$C$123:$C$128, 0)), "Temporada no válida", "")), IF(OR(O487="", O487=""), "[Aviso] Ciclo de vida no capturado ()", IF(ISNA(MATCH(O487, Criterios!$D$123:$D$124, 0)), "Ciclo de vida no válido", ""))))</f>
        <v/>
      </c>
      <c r="AC487" s="56" t="n"/>
      <c r="AD487" s="51" t="n"/>
      <c r="AE487" s="156" t="n"/>
      <c r="AF487" s="51" t="n"/>
      <c r="AG487" s="156" t="inlineStr">
        <is>
          <t>Nuevo – Carga Hoja2 01/10/2026</t>
        </is>
      </c>
      <c r="AH487" s="156" t="inlineStr">
        <is>
          <t>Alta 01/10/2026 desde Hoja2 (fila 286) | 01/10/2026: complementado desde Odoo Universal Unique Brands (match por SKU): WB N.º de estilo, WB Talla, WB Talla de EE. UU., WB Descripcion (antes «WG BAG»), WB Género, WB Licencia, WB Color, WB Descripción larga, WB País de origen | 01/10/2026: Odoo Universal Unique Brands trae Marca «Wrangler» — se conservó el valor de Productos | Homologación G1522 06/10/2026: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487" s="156" t="n"/>
      <c r="AJ487" s="156" t="n"/>
      <c r="AK487" s="155" t="inlineStr">
        <is>
          <t>Hoja2: fila 286 | Odoo: producto 11824 / plantilla 15259 | Odoo: producto 27398 / plantilla 34098</t>
        </is>
      </c>
      <c r="AL487" s="58" t="n"/>
      <c r="AM487" s="58" t="n"/>
      <c r="AN487" s="155" t="inlineStr">
        <is>
          <t>Odoo Universal Unique Brands</t>
        </is>
      </c>
      <c r="AO487" s="59" t="n"/>
      <c r="AP487" s="59" t="n"/>
      <c r="AQ487" s="59" t="n">
        <v>56</v>
      </c>
      <c r="AR487" s="155" t="inlineStr">
        <is>
          <t>Odoo Universal Unique Brands › Bodega 25 › Bodega 25/General: 54 | Odoo Universal Unique Brands › Bodega 25 › Bodega 25/General: 2</t>
        </is>
      </c>
    </row>
    <row r="488">
      <c r="A488" s="50" t="inlineStr">
        <is>
          <t>717019714582</t>
        </is>
      </c>
      <c r="B488" s="51" t="inlineStr">
        <is>
          <t>27402</t>
        </is>
      </c>
      <c r="C488" s="156" t="inlineStr">
        <is>
          <t>Wrangler</t>
        </is>
      </c>
      <c r="D488" s="156" t="inlineStr">
        <is>
          <t>WG2212-W0051JN</t>
        </is>
      </c>
      <c r="E488" s="156" t="inlineStr">
        <is>
          <t>WG2212-W0051JN</t>
        </is>
      </c>
      <c r="F488" s="156" t="inlineStr">
        <is>
          <t>Talla única</t>
        </is>
      </c>
      <c r="G488" s="156" t="inlineStr">
        <is>
          <t>One Size</t>
        </is>
      </c>
      <c r="H488" s="156" t="inlineStr">
        <is>
          <t>Wrangler</t>
        </is>
      </c>
      <c r="I488" s="156" t="inlineStr">
        <is>
          <t>Muñequera De Doble Compartimento Wrangler Estampado Artístico Suroeste Mezclilla</t>
        </is>
      </c>
      <c r="J488" s="156" t="inlineStr">
        <is>
          <t>Accesorios</t>
        </is>
      </c>
      <c r="K488" s="156" t="inlineStr">
        <is>
          <t>Carteras</t>
        </is>
      </c>
      <c r="L488" s="156" t="inlineStr">
        <is>
          <t>Unisex</t>
        </is>
      </c>
      <c r="M488" s="156" t="inlineStr">
        <is>
          <t>Wrangler</t>
        </is>
      </c>
      <c r="N488" s="156" t="n"/>
      <c r="O488" s="156" t="inlineStr">
        <is>
          <t>Core</t>
        </is>
      </c>
      <c r="P488" s="156" t="inlineStr">
        <is>
          <t>Varios</t>
        </is>
      </c>
      <c r="Q488" s="156" t="n"/>
      <c r="R488" s="156" t="n"/>
      <c r="S488" s="156" t="n"/>
      <c r="T488" s="156" t="inlineStr">
        <is>
          <t>Muñequera De Doble Compartimento Wrangler. Modelo: Estampado Artístico Suroeste. Color: Mezclilla. Talla única. Unisex. Referencia: WG2212-W0051JN.</t>
        </is>
      </c>
      <c r="U488" s="156" t="n"/>
      <c r="V488" s="156" t="inlineStr">
        <is>
          <t>PZS</t>
        </is>
      </c>
      <c r="W488" s="51" t="inlineStr">
        <is>
          <t>53121700</t>
        </is>
      </c>
      <c r="X488" s="156" t="n"/>
      <c r="Y488" s="54" t="n">
        <v>232.875</v>
      </c>
      <c r="Z488" s="54" t="n">
        <v>399</v>
      </c>
      <c r="AA488" s="55">
        <f>IF(AND(A488="", B488="", E488=""), "", IF(AB488="", "Válido", IF((LEN(AB488)-LEN(SUBSTITUTE(AB488,"; ","")))/2+1&gt;(LEN(AB488)-LEN(SUBSTITUTE(AB488,"[Aviso]","")))/7, "Con Incidencias", "Válido")))</f>
        <v/>
      </c>
      <c r="AB488" s="56">
        <f>IF(AND(A488="", B488="", E488=""), "", TEXTJOIN("; ", TRUE, IF(OR(TRIM(A488&amp;"")="", ISNUMBER(SEARCH("FALTA", A488))), "UPC faltante/inválido", ""), IF(AND(A488&lt;&gt;"", IFERROR(_xlfn.XMATCH(A488,$A$2:$A$1063,0,1)&lt;&gt;_xlfn.XMATCH(A488,$A$2:$A$1063,0,-1),FALSE)), "Código de barras duplicado", ""), IF(AND(E488&lt;&gt;"", COUNTIF($E$2:$E$1063, E488)&gt;1), "SKU duplicado", ""), IF(OR(J488="", J488=""), "[Aviso] División no capturada ()", IF(ISNA(MATCH(J488, Criterios!$A$123:$A$126, 0)), "División no válida", "")), IF(OR(K488="", K488=""), "[Aviso] Categoría no capturada ()", IF(ISNA(MATCH(K488, Criterios!$A$81:$A$120, 0)), "Categoría no válida", IF(AND(J488&lt;&gt;"", J488&lt;&gt;"", J488&lt;&gt;VLOOKUP(K488, Criterios!$A$81:$B$120, 2, FALSE)), "División no coincide con Categoría", ""))), IF(OR(L488="", L488=""), "[Aviso] Género no capturado ()", IF(ISNA(MATCH(L488, Criterios!$B$123:$B$127, 0)), "Género no válido", "")), IF(OR(N488="", N488=""), "[Aviso] Temporada no capturada ()", IF(ISNA(MATCH(N488, Criterios!$C$123:$C$128, 0)), "Temporada no válida", "")), IF(OR(O488="", O488=""), "[Aviso] Ciclo de vida no capturado ()", IF(ISNA(MATCH(O488, Criterios!$D$123:$D$124, 0)), "Ciclo de vida no válido", ""))))</f>
        <v/>
      </c>
      <c r="AC488" s="56" t="n"/>
      <c r="AD488" s="51" t="n"/>
      <c r="AE488" s="156" t="n"/>
      <c r="AF488" s="51" t="n"/>
      <c r="AG488" s="156" t="inlineStr">
        <is>
          <t>Nuevo – Carga Hoja2 01/10/2026</t>
        </is>
      </c>
      <c r="AH488" s="156" t="inlineStr">
        <is>
          <t>Alta 01/10/2026 desde Hoja2 (fila 287) | 01/10/2026: Odoo Universal Unique Brands trae Marca «Montana West» — se conservó el valor de Productos | Homologación G1522 06/10/2026: Validador Shopify: WB: precio con IVA no termina en 9</t>
        </is>
      </c>
      <c r="AI488" s="156" t="n"/>
      <c r="AJ488" s="156" t="n"/>
      <c r="AK488" s="155" t="inlineStr">
        <is>
          <t>Hoja2: fila 287 | Odoo: producto 27402 / plantilla 34102</t>
        </is>
      </c>
      <c r="AL488" s="58" t="n"/>
      <c r="AM488" s="58" t="n"/>
      <c r="AN488" s="155" t="inlineStr">
        <is>
          <t>Odoo Universal Unique Brands</t>
        </is>
      </c>
      <c r="AO488" s="59" t="n"/>
      <c r="AP488" s="59" t="n"/>
      <c r="AQ488" s="59" t="n">
        <v>4</v>
      </c>
      <c r="AR488" s="155" t="inlineStr">
        <is>
          <t>Odoo Universal Unique Brands › Bodega 25 › Bodega 25/General: 4</t>
        </is>
      </c>
    </row>
    <row r="489">
      <c r="A489" s="50" t="inlineStr">
        <is>
          <t>717019714254</t>
        </is>
      </c>
      <c r="B489" s="51" t="inlineStr">
        <is>
          <t>27403</t>
        </is>
      </c>
      <c r="C489" s="156" t="inlineStr">
        <is>
          <t>Wrangler</t>
        </is>
      </c>
      <c r="D489" s="156" t="inlineStr">
        <is>
          <t>WG2212-W006BR</t>
        </is>
      </c>
      <c r="E489" s="156" t="inlineStr">
        <is>
          <t>WG2212-W006BR</t>
        </is>
      </c>
      <c r="F489" s="156" t="inlineStr">
        <is>
          <t>Talla única</t>
        </is>
      </c>
      <c r="G489" s="156" t="inlineStr">
        <is>
          <t>One Size</t>
        </is>
      </c>
      <c r="H489" s="156" t="inlineStr">
        <is>
          <t>Wrangler</t>
        </is>
      </c>
      <c r="I489" s="156" t="inlineStr">
        <is>
          <t>Cartera Wrangler Café</t>
        </is>
      </c>
      <c r="J489" s="156" t="inlineStr">
        <is>
          <t>Accesorios</t>
        </is>
      </c>
      <c r="K489" s="156" t="inlineStr">
        <is>
          <t>Carteras</t>
        </is>
      </c>
      <c r="L489" s="156" t="inlineStr">
        <is>
          <t>Unisex</t>
        </is>
      </c>
      <c r="M489" s="156" t="inlineStr">
        <is>
          <t>Wrangler</t>
        </is>
      </c>
      <c r="N489" s="156" t="n"/>
      <c r="O489" s="156" t="inlineStr">
        <is>
          <t>Core</t>
        </is>
      </c>
      <c r="P489" s="156" t="inlineStr">
        <is>
          <t>Cafe</t>
        </is>
      </c>
      <c r="Q489" s="156" t="n"/>
      <c r="R489" s="156" t="n"/>
      <c r="S489" s="156" t="n"/>
      <c r="T489" s="156" t="inlineStr">
        <is>
          <t>Cartera Wrangler. Color: Café. Talla única. Unisex. Referencia: WG2212-W006BR.</t>
        </is>
      </c>
      <c r="U489" s="156" t="n"/>
      <c r="V489" s="156" t="inlineStr">
        <is>
          <t>PZS</t>
        </is>
      </c>
      <c r="W489" s="51" t="inlineStr">
        <is>
          <t>53121700</t>
        </is>
      </c>
      <c r="X489" s="156" t="n"/>
      <c r="Y489" s="54" t="n">
        <v>276</v>
      </c>
      <c r="Z489" s="54" t="n">
        <v>449</v>
      </c>
      <c r="AA489" s="55">
        <f>IF(AND(A489="", B489="", E489=""), "", IF(AB489="", "Válido", IF((LEN(AB489)-LEN(SUBSTITUTE(AB489,"; ","")))/2+1&gt;(LEN(AB489)-LEN(SUBSTITUTE(AB489,"[Aviso]","")))/7, "Con Incidencias", "Válido")))</f>
        <v/>
      </c>
      <c r="AB489" s="56">
        <f>IF(AND(A489="", B489="", E489=""), "", TEXTJOIN("; ", TRUE, IF(OR(TRIM(A489&amp;"")="", ISNUMBER(SEARCH("FALTA", A489))), "UPC faltante/inválido", ""), IF(AND(A489&lt;&gt;"", IFERROR(_xlfn.XMATCH(A489,$A$2:$A$1063,0,1)&lt;&gt;_xlfn.XMATCH(A489,$A$2:$A$1063,0,-1),FALSE)), "Código de barras duplicado", ""), IF(AND(E489&lt;&gt;"", COUNTIF($E$2:$E$1063, E489)&gt;1), "SKU duplicado", ""), IF(OR(J489="", J489=""), "[Aviso] División no capturada ()", IF(ISNA(MATCH(J489, Criterios!$A$123:$A$126, 0)), "División no válida", "")), IF(OR(K489="", K489=""), "[Aviso] Categoría no capturada ()", IF(ISNA(MATCH(K489, Criterios!$A$81:$A$120, 0)), "Categoría no válida", IF(AND(J489&lt;&gt;"", J489&lt;&gt;"", J489&lt;&gt;VLOOKUP(K489, Criterios!$A$81:$B$120, 2, FALSE)), "División no coincide con Categoría", ""))), IF(OR(L489="", L489=""), "[Aviso] Género no capturado ()", IF(ISNA(MATCH(L489, Criterios!$B$123:$B$127, 0)), "Género no válido", "")), IF(OR(N489="", N489=""), "[Aviso] Temporada no capturada ()", IF(ISNA(MATCH(N489, Criterios!$C$123:$C$128, 0)), "Temporada no válida", "")), IF(OR(O489="", O489=""), "[Aviso] Ciclo de vida no capturado ()", IF(ISNA(MATCH(O489, Criterios!$D$123:$D$124, 0)), "Ciclo de vida no válido", ""))))</f>
        <v/>
      </c>
      <c r="AC489" s="56" t="n"/>
      <c r="AD489" s="51" t="n"/>
      <c r="AE489" s="156" t="n"/>
      <c r="AF489" s="51" t="n"/>
      <c r="AG489" s="156" t="inlineStr">
        <is>
          <t>Nuevo – Carga Hoja2 01/10/2026</t>
        </is>
      </c>
      <c r="AH489" s="156" t="inlineStr">
        <is>
          <t>Alta 01/10/2026 desde Hoja2 (fila 288) | 01/10/2026: Odoo Universal Unique Brands trae Marca «Montana West» — se conservó el valor de Productos | Homologación G1522 06/10/2026: Validador Shopify: WB: precio con IVA no termina en 9</t>
        </is>
      </c>
      <c r="AI489" s="156" t="n"/>
      <c r="AJ489" s="156" t="n"/>
      <c r="AK489" s="155" t="inlineStr">
        <is>
          <t>Hoja2: fila 288 | Odoo: producto 27403 / plantilla 34103</t>
        </is>
      </c>
      <c r="AL489" s="58" t="n"/>
      <c r="AM489" s="58" t="n"/>
      <c r="AN489" s="155" t="inlineStr">
        <is>
          <t>Odoo Universal Unique Brands</t>
        </is>
      </c>
      <c r="AO489" s="59" t="n"/>
      <c r="AP489" s="59" t="n"/>
      <c r="AQ489" s="59" t="n">
        <v>0</v>
      </c>
      <c r="AR489" s="155" t="n"/>
    </row>
    <row r="490">
      <c r="A490" s="50" t="n"/>
      <c r="B490" s="51" t="inlineStr">
        <is>
          <t>27404</t>
        </is>
      </c>
      <c r="C490" s="156" t="inlineStr">
        <is>
          <t>Montana West</t>
        </is>
      </c>
      <c r="D490" s="156" t="n"/>
      <c r="E490" s="156" t="inlineStr">
        <is>
          <t>WG2212-W006JN</t>
        </is>
      </c>
      <c r="F490" s="156" t="inlineStr">
        <is>
          <t>Talla única</t>
        </is>
      </c>
      <c r="G490" s="156" t="inlineStr">
        <is>
          <t>One Size</t>
        </is>
      </c>
      <c r="H490" s="156" t="inlineStr">
        <is>
          <t>Montana West</t>
        </is>
      </c>
      <c r="I490" s="156" t="inlineStr">
        <is>
          <t>WG WALLET</t>
        </is>
      </c>
      <c r="J490" s="156" t="inlineStr">
        <is>
          <t>Accesorios</t>
        </is>
      </c>
      <c r="K490" s="156" t="inlineStr">
        <is>
          <t>Carteras</t>
        </is>
      </c>
      <c r="L490" s="156" t="inlineStr">
        <is>
          <t>Unisex</t>
        </is>
      </c>
      <c r="M490" s="156" t="n"/>
      <c r="N490" s="156" t="n"/>
      <c r="O490" s="156" t="n"/>
      <c r="P490" s="156" t="n"/>
      <c r="Q490" s="156" t="n"/>
      <c r="R490" s="156" t="n"/>
      <c r="S490" s="156" t="n"/>
      <c r="T490" s="156" t="n"/>
      <c r="U490" s="156" t="n"/>
      <c r="V490" s="156" t="inlineStr">
        <is>
          <t>PZS</t>
        </is>
      </c>
      <c r="W490" s="51" t="inlineStr">
        <is>
          <t>53121601</t>
        </is>
      </c>
      <c r="X490" s="156" t="n"/>
      <c r="Y490" s="54" t="n">
        <v>276</v>
      </c>
      <c r="Z490" s="54" t="n">
        <v>449</v>
      </c>
      <c r="AA490" s="55">
        <f>IF(AND(A490="", B490="", E490=""), "", IF(AB490="", "Válido", IF((LEN(AB490)-LEN(SUBSTITUTE(AB490,"; ","")))/2+1&gt;(LEN(AB490)-LEN(SUBSTITUTE(AB490,"[Aviso]","")))/7, "Con Incidencias", "Válido")))</f>
        <v/>
      </c>
      <c r="AB490" s="56">
        <f>IF(AND(A490="", B490="", E490=""), "", TEXTJOIN("; ", TRUE, IF(OR(TRIM(A490&amp;"")="", ISNUMBER(SEARCH("FALTA", A490))), "UPC faltante/inválido", ""), IF(AND(A490&lt;&gt;"", IFERROR(_xlfn.XMATCH(A490,$A$2:$A$1063,0,1)&lt;&gt;_xlfn.XMATCH(A490,$A$2:$A$1063,0,-1),FALSE)), "Código de barras duplicado", ""), IF(AND(E490&lt;&gt;"", COUNTIF($E$2:$E$1063, E490)&gt;1), "SKU duplicado", ""), IF(OR(J490="", J490=""), "[Aviso] División no capturada ()", IF(ISNA(MATCH(J490, Criterios!$A$123:$A$126, 0)), "División no válida", "")), IF(OR(K490="", K490=""), "[Aviso] Categoría no capturada ()", IF(ISNA(MATCH(K490, Criterios!$A$81:$A$120, 0)), "Categoría no válida", IF(AND(J490&lt;&gt;"", J490&lt;&gt;"", J490&lt;&gt;VLOOKUP(K490, Criterios!$A$81:$B$120, 2, FALSE)), "División no coincide con Categoría", ""))), IF(OR(L490="", L490=""), "[Aviso] Género no capturado ()", IF(ISNA(MATCH(L490, Criterios!$B$123:$B$127, 0)), "Género no válido", "")), IF(OR(N490="", N490=""), "[Aviso] Temporada no capturada ()", IF(ISNA(MATCH(N490, Criterios!$C$123:$C$128, 0)), "Temporada no válida", "")), IF(OR(O490="", O490=""), "[Aviso] Ciclo de vida no capturado ()", IF(ISNA(MATCH(O490, Criterios!$D$123:$D$124, 0)), "Ciclo de vida no válido", ""))))</f>
        <v/>
      </c>
      <c r="AC490" s="56" t="n"/>
      <c r="AD490" s="51" t="n"/>
      <c r="AE490" s="156" t="n"/>
      <c r="AF490" s="51" t="n"/>
      <c r="AG490" s="156" t="inlineStr">
        <is>
          <t>Nuevo – Carga Hoja2 01/10/2026</t>
        </is>
      </c>
      <c r="AH490" s="156" t="inlineStr">
        <is>
          <t>Alta 01/10/2026 desde Hoja2 (fila 289)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90" s="156" t="n"/>
      <c r="AJ490" s="156" t="n"/>
      <c r="AK490" s="155" t="inlineStr">
        <is>
          <t>Hoja2: fila 289 | Odoo: producto 27404 / plantilla 34104</t>
        </is>
      </c>
      <c r="AL490" s="58" t="n"/>
      <c r="AM490" s="58" t="n"/>
      <c r="AN490" s="155" t="inlineStr">
        <is>
          <t>Odoo Universal Unique Brands</t>
        </is>
      </c>
      <c r="AO490" s="59" t="n"/>
      <c r="AP490" s="59" t="n"/>
      <c r="AQ490" s="59" t="n">
        <v>0</v>
      </c>
      <c r="AR490" s="155" t="n"/>
    </row>
    <row r="491">
      <c r="A491" s="50" t="inlineStr">
        <is>
          <t>717019714377</t>
        </is>
      </c>
      <c r="B491" s="51" t="inlineStr">
        <is>
          <t>27405</t>
        </is>
      </c>
      <c r="C491" s="156" t="inlineStr">
        <is>
          <t>Wrangler</t>
        </is>
      </c>
      <c r="D491" s="156" t="inlineStr">
        <is>
          <t>WG2212-W012BK</t>
        </is>
      </c>
      <c r="E491" s="156" t="inlineStr">
        <is>
          <t>WG2212-W012BK</t>
        </is>
      </c>
      <c r="F491" s="156" t="inlineStr">
        <is>
          <t>Talla única</t>
        </is>
      </c>
      <c r="G491" s="156" t="inlineStr">
        <is>
          <t>One Size</t>
        </is>
      </c>
      <c r="H491" s="156" t="inlineStr">
        <is>
          <t>Wrangler</t>
        </is>
      </c>
      <c r="I491" s="156" t="inlineStr">
        <is>
          <t>Cartera Wrangler Negro</t>
        </is>
      </c>
      <c r="J491" s="156" t="inlineStr">
        <is>
          <t>Accesorios</t>
        </is>
      </c>
      <c r="K491" s="156" t="inlineStr">
        <is>
          <t>Carteras</t>
        </is>
      </c>
      <c r="L491" s="156" t="inlineStr">
        <is>
          <t>Unisex</t>
        </is>
      </c>
      <c r="M491" s="156" t="inlineStr">
        <is>
          <t>Wrangler</t>
        </is>
      </c>
      <c r="N491" s="156" t="n"/>
      <c r="O491" s="156" t="inlineStr">
        <is>
          <t>Core</t>
        </is>
      </c>
      <c r="P491" s="156" t="inlineStr">
        <is>
          <t>Negro</t>
        </is>
      </c>
      <c r="Q491" s="156" t="n"/>
      <c r="R491" s="156" t="n"/>
      <c r="S491" s="156" t="n"/>
      <c r="T491" s="156" t="inlineStr">
        <is>
          <t>Cartera Wrangler. Color: Negro. Talla única. Unisex. Referencia: WG2212-W012BK.</t>
        </is>
      </c>
      <c r="U491" s="156" t="n"/>
      <c r="V491" s="156" t="inlineStr">
        <is>
          <t>PZS</t>
        </is>
      </c>
      <c r="W491" s="51" t="inlineStr">
        <is>
          <t>53121700</t>
        </is>
      </c>
      <c r="X491" s="156" t="n"/>
      <c r="Y491" s="54" t="n">
        <v>293.25</v>
      </c>
      <c r="Z491" s="54" t="n">
        <v>499</v>
      </c>
      <c r="AA491" s="55">
        <f>IF(AND(A491="", B491="", E491=""), "", IF(AB491="", "Válido", IF((LEN(AB491)-LEN(SUBSTITUTE(AB491,"; ","")))/2+1&gt;(LEN(AB491)-LEN(SUBSTITUTE(AB491,"[Aviso]","")))/7, "Con Incidencias", "Válido")))</f>
        <v/>
      </c>
      <c r="AB491" s="56">
        <f>IF(AND(A491="", B491="", E491=""), "", TEXTJOIN("; ", TRUE, IF(OR(TRIM(A491&amp;"")="", ISNUMBER(SEARCH("FALTA", A491))), "UPC faltante/inválido", ""), IF(AND(A491&lt;&gt;"", IFERROR(_xlfn.XMATCH(A491,$A$2:$A$1063,0,1)&lt;&gt;_xlfn.XMATCH(A491,$A$2:$A$1063,0,-1),FALSE)), "Código de barras duplicado", ""), IF(AND(E491&lt;&gt;"", COUNTIF($E$2:$E$1063, E491)&gt;1), "SKU duplicado", ""), IF(OR(J491="", J491=""), "[Aviso] División no capturada ()", IF(ISNA(MATCH(J491, Criterios!$A$123:$A$126, 0)), "División no válida", "")), IF(OR(K491="", K491=""), "[Aviso] Categoría no capturada ()", IF(ISNA(MATCH(K491, Criterios!$A$81:$A$120, 0)), "Categoría no válida", IF(AND(J491&lt;&gt;"", J491&lt;&gt;"", J491&lt;&gt;VLOOKUP(K491, Criterios!$A$81:$B$120, 2, FALSE)), "División no coincide con Categoría", ""))), IF(OR(L491="", L491=""), "[Aviso] Género no capturado ()", IF(ISNA(MATCH(L491, Criterios!$B$123:$B$127, 0)), "Género no válido", "")), IF(OR(N491="", N491=""), "[Aviso] Temporada no capturada ()", IF(ISNA(MATCH(N491, Criterios!$C$123:$C$128, 0)), "Temporada no válida", "")), IF(OR(O491="", O491=""), "[Aviso] Ciclo de vida no capturado ()", IF(ISNA(MATCH(O491, Criterios!$D$123:$D$124, 0)), "Ciclo de vida no válido", ""))))</f>
        <v/>
      </c>
      <c r="AC491" s="56" t="n"/>
      <c r="AD491" s="51" t="n"/>
      <c r="AE491" s="156" t="n"/>
      <c r="AF491" s="51" t="n"/>
      <c r="AG491" s="156" t="inlineStr">
        <is>
          <t>Nuevo – Carga Hoja2 01/10/2026</t>
        </is>
      </c>
      <c r="AH491" s="156" t="inlineStr">
        <is>
          <t>Alta 01/10/2026 desde Hoja2 (fila 290) | 01/10/2026: Odoo Universal Unique Brands trae Marca «Montana West» — se conservó el valor de Productos | Homologación G1522 06/10/2026: Validador Shopify: WB: precio con IVA no termina en 9</t>
        </is>
      </c>
      <c r="AI491" s="156" t="n"/>
      <c r="AJ491" s="156" t="n"/>
      <c r="AK491" s="155" t="inlineStr">
        <is>
          <t>Hoja2: fila 290 | Odoo: producto 27405 / plantilla 34105</t>
        </is>
      </c>
      <c r="AL491" s="58" t="n"/>
      <c r="AM491" s="58" t="n"/>
      <c r="AN491" s="155" t="inlineStr">
        <is>
          <t>Odoo Universal Unique Brands</t>
        </is>
      </c>
      <c r="AO491" s="59" t="n"/>
      <c r="AP491" s="59" t="n"/>
      <c r="AQ491" s="59" t="n">
        <v>6</v>
      </c>
      <c r="AR491" s="155" t="inlineStr">
        <is>
          <t>Odoo Universal Unique Brands › Bodega 25 › Bodega 25/General: 6</t>
        </is>
      </c>
    </row>
    <row r="492">
      <c r="A492" s="50" t="inlineStr">
        <is>
          <t>717325204777</t>
        </is>
      </c>
      <c r="B492" s="51" t="inlineStr">
        <is>
          <t>27413</t>
        </is>
      </c>
      <c r="C492" s="156" t="inlineStr">
        <is>
          <t>Wrangler</t>
        </is>
      </c>
      <c r="D492" s="156" t="inlineStr">
        <is>
          <t>WG2213-8866SDPK</t>
        </is>
      </c>
      <c r="E492" s="156" t="inlineStr">
        <is>
          <t>WG2213-8866SDPK</t>
        </is>
      </c>
      <c r="F492" s="156" t="inlineStr">
        <is>
          <t>Talla única</t>
        </is>
      </c>
      <c r="G492" s="156" t="inlineStr">
        <is>
          <t>One Size</t>
        </is>
      </c>
      <c r="H492" s="156" t="inlineStr">
        <is>
          <t>Wrangler</t>
        </is>
      </c>
      <c r="I492" s="156" t="inlineStr">
        <is>
          <t>Bolsa Tote Mini Cruzada Wrangler Estampado Suroeste Doble Cara Rosa Oscuro</t>
        </is>
      </c>
      <c r="J492" s="156" t="inlineStr">
        <is>
          <t>Accesorios</t>
        </is>
      </c>
      <c r="K492" s="156" t="inlineStr">
        <is>
          <t>Bolsos</t>
        </is>
      </c>
      <c r="L492" s="156" t="inlineStr">
        <is>
          <t>Unisex</t>
        </is>
      </c>
      <c r="M492" s="156" t="inlineStr">
        <is>
          <t>Wrangler</t>
        </is>
      </c>
      <c r="N492" s="156" t="n"/>
      <c r="O492" s="156" t="inlineStr">
        <is>
          <t>Core</t>
        </is>
      </c>
      <c r="P492" s="156" t="inlineStr">
        <is>
          <t>Rosa</t>
        </is>
      </c>
      <c r="Q492" s="156" t="n"/>
      <c r="R492" s="156" t="n"/>
      <c r="S492" s="156" t="n"/>
      <c r="T492" s="156" t="inlineStr">
        <is>
          <t>Bolsa Tote Mini Cruzada Wrangler. Modelo: Estampado Suroeste Doble Cara. Color: Rosa Oscuro. Talla única. Unisex. Referencia: WG2213-8866SDPK.</t>
        </is>
      </c>
      <c r="U492" s="156" t="n"/>
      <c r="V492" s="156" t="inlineStr">
        <is>
          <t>PZS</t>
        </is>
      </c>
      <c r="W492" s="51" t="inlineStr">
        <is>
          <t>53121601</t>
        </is>
      </c>
      <c r="X492" s="156" t="n"/>
      <c r="Y492" s="54" t="n">
        <v>310.5</v>
      </c>
      <c r="Z492" s="54" t="n">
        <v>499</v>
      </c>
      <c r="AA492" s="55">
        <f>IF(AND(A492="", B492="", E492=""), "", IF(AB492="", "Válido", IF((LEN(AB492)-LEN(SUBSTITUTE(AB492,"; ","")))/2+1&gt;(LEN(AB492)-LEN(SUBSTITUTE(AB492,"[Aviso]","")))/7, "Con Incidencias", "Válido")))</f>
        <v/>
      </c>
      <c r="AB492" s="56">
        <f>IF(AND(A492="", B492="", E492=""), "", TEXTJOIN("; ", TRUE, IF(OR(TRIM(A492&amp;"")="", ISNUMBER(SEARCH("FALTA", A492))), "UPC faltante/inválido", ""), IF(AND(A492&lt;&gt;"", IFERROR(_xlfn.XMATCH(A492,$A$2:$A$1063,0,1)&lt;&gt;_xlfn.XMATCH(A492,$A$2:$A$1063,0,-1),FALSE)), "Código de barras duplicado", ""), IF(AND(E492&lt;&gt;"", COUNTIF($E$2:$E$1063, E492)&gt;1), "SKU duplicado", ""), IF(OR(J492="", J492=""), "[Aviso] División no capturada ()", IF(ISNA(MATCH(J492, Criterios!$A$123:$A$126, 0)), "División no válida", "")), IF(OR(K492="", K492=""), "[Aviso] Categoría no capturada ()", IF(ISNA(MATCH(K492, Criterios!$A$81:$A$120, 0)), "Categoría no válida", IF(AND(J492&lt;&gt;"", J492&lt;&gt;"", J492&lt;&gt;VLOOKUP(K492, Criterios!$A$81:$B$120, 2, FALSE)), "División no coincide con Categoría", ""))), IF(OR(L492="", L492=""), "[Aviso] Género no capturado ()", IF(ISNA(MATCH(L492, Criterios!$B$123:$B$127, 0)), "Género no válido", "")), IF(OR(N492="", N492=""), "[Aviso] Temporada no capturada ()", IF(ISNA(MATCH(N492, Criterios!$C$123:$C$128, 0)), "Temporada no válida", "")), IF(OR(O492="", O492=""), "[Aviso] Ciclo de vida no capturado ()", IF(ISNA(MATCH(O492, Criterios!$D$123:$D$124, 0)), "Ciclo de vida no válido", ""))))</f>
        <v/>
      </c>
      <c r="AC492" s="56" t="n"/>
      <c r="AD492" s="51" t="n"/>
      <c r="AE492" s="156" t="n"/>
      <c r="AF492" s="51" t="n"/>
      <c r="AG492" s="156" t="inlineStr">
        <is>
          <t>Nuevo – Carga Hoja2 01/10/2026</t>
        </is>
      </c>
      <c r="AH492" s="156" t="inlineStr">
        <is>
          <t>Alta 01/10/2026 desde Hoja2 (fila 291) | 01/10/2026: Odoo Universal Unique Brands trae Marca «Montana West» — se conservó el valor de Productos | Homologación G1522 06/10/2026: Validador Shopify: WB: precio con IVA no termina en 9</t>
        </is>
      </c>
      <c r="AI492" s="156" t="n"/>
      <c r="AJ492" s="156" t="n"/>
      <c r="AK492" s="155" t="inlineStr">
        <is>
          <t>Hoja2: fila 291 | Odoo: producto 27413 / plantilla 34113</t>
        </is>
      </c>
      <c r="AL492" s="58" t="n"/>
      <c r="AM492" s="58" t="n"/>
      <c r="AN492" s="155" t="inlineStr">
        <is>
          <t>Odoo Universal Unique Brands</t>
        </is>
      </c>
      <c r="AO492" s="59" t="n"/>
      <c r="AP492" s="59" t="n"/>
      <c r="AQ492" s="59" t="n">
        <v>6</v>
      </c>
      <c r="AR492" s="155" t="inlineStr">
        <is>
          <t>Odoo Universal Unique Brands › Bodega 25 › Bodega 25/General: 6</t>
        </is>
      </c>
    </row>
    <row r="493">
      <c r="A493" s="50" t="inlineStr">
        <is>
          <t>717019732586</t>
        </is>
      </c>
      <c r="B493" s="51" t="inlineStr">
        <is>
          <t>27414</t>
        </is>
      </c>
      <c r="C493" s="156" t="inlineStr">
        <is>
          <t>Wrangler</t>
        </is>
      </c>
      <c r="D493" s="156" t="inlineStr">
        <is>
          <t>WG2213-W0051CF</t>
        </is>
      </c>
      <c r="E493" s="156" t="inlineStr">
        <is>
          <t>WG2213-W0051CF</t>
        </is>
      </c>
      <c r="F493" s="156" t="inlineStr">
        <is>
          <t>Talla única</t>
        </is>
      </c>
      <c r="G493" s="156" t="inlineStr">
        <is>
          <t>One Size</t>
        </is>
      </c>
      <c r="H493" s="156" t="inlineStr">
        <is>
          <t>Wrangler</t>
        </is>
      </c>
      <c r="I493" s="156" t="inlineStr">
        <is>
          <t>Cartera Wrangler Café Oscuro</t>
        </is>
      </c>
      <c r="J493" s="156" t="inlineStr">
        <is>
          <t>Accesorios</t>
        </is>
      </c>
      <c r="K493" s="156" t="inlineStr">
        <is>
          <t>Carteras</t>
        </is>
      </c>
      <c r="L493" s="156" t="inlineStr">
        <is>
          <t>Unisex</t>
        </is>
      </c>
      <c r="M493" s="156" t="inlineStr">
        <is>
          <t>Wrangler</t>
        </is>
      </c>
      <c r="N493" s="156" t="n"/>
      <c r="O493" s="156" t="inlineStr">
        <is>
          <t>Core</t>
        </is>
      </c>
      <c r="P493" s="156" t="inlineStr">
        <is>
          <t>Cafe</t>
        </is>
      </c>
      <c r="Q493" s="156" t="n"/>
      <c r="R493" s="156" t="n"/>
      <c r="S493" s="156" t="n"/>
      <c r="T493" s="156" t="inlineStr">
        <is>
          <t>Cartera Wrangler. Color: Café Oscuro. Talla única. Unisex. Referencia: WG2213-W0051CF.</t>
        </is>
      </c>
      <c r="U493" s="156" t="n"/>
      <c r="V493" s="156" t="inlineStr">
        <is>
          <t>PZS</t>
        </is>
      </c>
      <c r="W493" s="51" t="inlineStr">
        <is>
          <t>53121700</t>
        </is>
      </c>
      <c r="X493" s="156" t="n"/>
      <c r="Y493" s="54" t="n">
        <v>232.875</v>
      </c>
      <c r="Z493" s="54" t="n">
        <v>399</v>
      </c>
      <c r="AA493" s="55">
        <f>IF(AND(A493="", B493="", E493=""), "", IF(AB493="", "Válido", IF((LEN(AB493)-LEN(SUBSTITUTE(AB493,"; ","")))/2+1&gt;(LEN(AB493)-LEN(SUBSTITUTE(AB493,"[Aviso]","")))/7, "Con Incidencias", "Válido")))</f>
        <v/>
      </c>
      <c r="AB493" s="56">
        <f>IF(AND(A493="", B493="", E493=""), "", TEXTJOIN("; ", TRUE, IF(OR(TRIM(A493&amp;"")="", ISNUMBER(SEARCH("FALTA", A493))), "UPC faltante/inválido", ""), IF(AND(A493&lt;&gt;"", IFERROR(_xlfn.XMATCH(A493,$A$2:$A$1063,0,1)&lt;&gt;_xlfn.XMATCH(A493,$A$2:$A$1063,0,-1),FALSE)), "Código de barras duplicado", ""), IF(AND(E493&lt;&gt;"", COUNTIF($E$2:$E$1063, E493)&gt;1), "SKU duplicado", ""), IF(OR(J493="", J493=""), "[Aviso] División no capturada ()", IF(ISNA(MATCH(J493, Criterios!$A$123:$A$126, 0)), "División no válida", "")), IF(OR(K493="", K493=""), "[Aviso] Categoría no capturada ()", IF(ISNA(MATCH(K493, Criterios!$A$81:$A$120, 0)), "Categoría no válida", IF(AND(J493&lt;&gt;"", J493&lt;&gt;"", J493&lt;&gt;VLOOKUP(K493, Criterios!$A$81:$B$120, 2, FALSE)), "División no coincide con Categoría", ""))), IF(OR(L493="", L493=""), "[Aviso] Género no capturado ()", IF(ISNA(MATCH(L493, Criterios!$B$123:$B$127, 0)), "Género no válido", "")), IF(OR(N493="", N493=""), "[Aviso] Temporada no capturada ()", IF(ISNA(MATCH(N493, Criterios!$C$123:$C$128, 0)), "Temporada no válida", "")), IF(OR(O493="", O493=""), "[Aviso] Ciclo de vida no capturado ()", IF(ISNA(MATCH(O493, Criterios!$D$123:$D$124, 0)), "Ciclo de vida no válido", ""))))</f>
        <v/>
      </c>
      <c r="AC493" s="56" t="n"/>
      <c r="AD493" s="51" t="n"/>
      <c r="AE493" s="156" t="n"/>
      <c r="AF493" s="51" t="n"/>
      <c r="AG493" s="156" t="inlineStr">
        <is>
          <t>Nuevo – Carga Hoja2 01/10/2026</t>
        </is>
      </c>
      <c r="AH493" s="156" t="inlineStr">
        <is>
          <t>Alta 01/10/2026 desde Hoja2 (fila 292) | 01/10/2026: Odoo Universal Unique Brands trae Marca «Montana West» — se conservó el valor de Productos | Homologación G1522 06/10/2026: Validador Shopify: WB: precio con IVA no termina en 9</t>
        </is>
      </c>
      <c r="AI493" s="156" t="n"/>
      <c r="AJ493" s="156" t="n"/>
      <c r="AK493" s="155" t="inlineStr">
        <is>
          <t>Hoja2: fila 292 | Odoo: producto 27414 / plantilla 34114</t>
        </is>
      </c>
      <c r="AL493" s="58" t="n"/>
      <c r="AM493" s="58" t="n"/>
      <c r="AN493" s="155" t="inlineStr">
        <is>
          <t>Odoo Universal Unique Brands</t>
        </is>
      </c>
      <c r="AO493" s="59" t="n"/>
      <c r="AP493" s="59" t="n"/>
      <c r="AQ493" s="59" t="n">
        <v>5</v>
      </c>
      <c r="AR493" s="155" t="inlineStr">
        <is>
          <t>Odoo Universal Unique Brands › Bodega 25 › Bodega 25/General: 5</t>
        </is>
      </c>
    </row>
    <row r="494">
      <c r="A494" s="50" t="n"/>
      <c r="B494" s="51" t="inlineStr">
        <is>
          <t>27422</t>
        </is>
      </c>
      <c r="C494" s="156" t="inlineStr">
        <is>
          <t>Montana West</t>
        </is>
      </c>
      <c r="D494" s="156" t="n"/>
      <c r="E494" s="156" t="inlineStr">
        <is>
          <t>WG226-8605BG</t>
        </is>
      </c>
      <c r="F494" s="156" t="inlineStr">
        <is>
          <t>Talla única</t>
        </is>
      </c>
      <c r="G494" s="156" t="inlineStr">
        <is>
          <t>One Size</t>
        </is>
      </c>
      <c r="H494" s="156" t="inlineStr">
        <is>
          <t>Montana West</t>
        </is>
      </c>
      <c r="I494" s="156" t="inlineStr">
        <is>
          <t>WG BAG</t>
        </is>
      </c>
      <c r="J494" s="156" t="inlineStr">
        <is>
          <t>Accesorios</t>
        </is>
      </c>
      <c r="K494" s="156" t="inlineStr">
        <is>
          <t>Bolsos</t>
        </is>
      </c>
      <c r="L494" s="156" t="inlineStr">
        <is>
          <t>Unisex</t>
        </is>
      </c>
      <c r="M494" s="156" t="n"/>
      <c r="N494" s="156" t="n"/>
      <c r="O494" s="156" t="n"/>
      <c r="P494" s="156" t="n"/>
      <c r="Q494" s="156" t="n"/>
      <c r="R494" s="156" t="n"/>
      <c r="S494" s="156" t="n"/>
      <c r="T494" s="156" t="n"/>
      <c r="U494" s="156" t="n"/>
      <c r="V494" s="156" t="inlineStr">
        <is>
          <t>PZS</t>
        </is>
      </c>
      <c r="W494" s="51" t="inlineStr">
        <is>
          <t>53121601</t>
        </is>
      </c>
      <c r="X494" s="156" t="n"/>
      <c r="Y494" s="54" t="n">
        <v>465.75</v>
      </c>
      <c r="Z494" s="54" t="n">
        <v>749</v>
      </c>
      <c r="AA494" s="55">
        <f>IF(AND(A494="", B494="", E494=""), "", IF(AB494="", "Válido", IF((LEN(AB494)-LEN(SUBSTITUTE(AB494,"; ","")))/2+1&gt;(LEN(AB494)-LEN(SUBSTITUTE(AB494,"[Aviso]","")))/7, "Con Incidencias", "Válido")))</f>
        <v/>
      </c>
      <c r="AB494" s="56">
        <f>IF(AND(A494="", B494="", E494=""), "", TEXTJOIN("; ", TRUE, IF(OR(TRIM(A494&amp;"")="", ISNUMBER(SEARCH("FALTA", A494))), "UPC faltante/inválido", ""), IF(AND(A494&lt;&gt;"", IFERROR(_xlfn.XMATCH(A494,$A$2:$A$1063,0,1)&lt;&gt;_xlfn.XMATCH(A494,$A$2:$A$1063,0,-1),FALSE)), "Código de barras duplicado", ""), IF(AND(E494&lt;&gt;"", COUNTIF($E$2:$E$1063, E494)&gt;1), "SKU duplicado", ""), IF(OR(J494="", J494=""), "[Aviso] División no capturada ()", IF(ISNA(MATCH(J494, Criterios!$A$123:$A$126, 0)), "División no válida", "")), IF(OR(K494="", K494=""), "[Aviso] Categoría no capturada ()", IF(ISNA(MATCH(K494, Criterios!$A$81:$A$120, 0)), "Categoría no válida", IF(AND(J494&lt;&gt;"", J494&lt;&gt;"", J494&lt;&gt;VLOOKUP(K494, Criterios!$A$81:$B$120, 2, FALSE)), "División no coincide con Categoría", ""))), IF(OR(L494="", L494=""), "[Aviso] Género no capturado ()", IF(ISNA(MATCH(L494, Criterios!$B$123:$B$127, 0)), "Género no válido", "")), IF(OR(N494="", N494=""), "[Aviso] Temporada no capturada ()", IF(ISNA(MATCH(N494, Criterios!$C$123:$C$128, 0)), "Temporada no válida", "")), IF(OR(O494="", O494=""), "[Aviso] Ciclo de vida no capturado ()", IF(ISNA(MATCH(O494, Criterios!$D$123:$D$124, 0)), "Ciclo de vida no válido", ""))))</f>
        <v/>
      </c>
      <c r="AC494" s="56" t="n"/>
      <c r="AD494" s="51" t="n"/>
      <c r="AE494" s="156" t="n"/>
      <c r="AF494" s="51" t="n"/>
      <c r="AG494" s="156" t="inlineStr">
        <is>
          <t>Nuevo – Carga Hoja2 01/10/2026</t>
        </is>
      </c>
      <c r="AH494" s="156" t="inlineStr">
        <is>
          <t>Alta 01/10/2026 desde Hoja2 (fila 293)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94" s="156" t="n"/>
      <c r="AJ494" s="156" t="n"/>
      <c r="AK494" s="155" t="inlineStr">
        <is>
          <t>Hoja2: fila 293 | Odoo: producto 27422 / plantilla 34122</t>
        </is>
      </c>
      <c r="AL494" s="58" t="n"/>
      <c r="AM494" s="58" t="n"/>
      <c r="AN494" s="155" t="inlineStr">
        <is>
          <t>Odoo Universal Unique Brands</t>
        </is>
      </c>
      <c r="AO494" s="59" t="n"/>
      <c r="AP494" s="59" t="n"/>
      <c r="AQ494" s="59" t="n">
        <v>0</v>
      </c>
      <c r="AR494" s="155" t="n"/>
    </row>
    <row r="495">
      <c r="A495" s="50" t="n"/>
      <c r="B495" s="51" t="inlineStr">
        <is>
          <t>27423</t>
        </is>
      </c>
      <c r="C495" s="156" t="inlineStr">
        <is>
          <t>Montana West</t>
        </is>
      </c>
      <c r="D495" s="156" t="n"/>
      <c r="E495" s="156" t="inlineStr">
        <is>
          <t>WG226-8605BK</t>
        </is>
      </c>
      <c r="F495" s="156" t="inlineStr">
        <is>
          <t>Talla única</t>
        </is>
      </c>
      <c r="G495" s="156" t="inlineStr">
        <is>
          <t>One Size</t>
        </is>
      </c>
      <c r="H495" s="156" t="inlineStr">
        <is>
          <t>Montana West</t>
        </is>
      </c>
      <c r="I495" s="156" t="inlineStr">
        <is>
          <t>WG BAG</t>
        </is>
      </c>
      <c r="J495" s="156" t="inlineStr">
        <is>
          <t>Accesorios</t>
        </is>
      </c>
      <c r="K495" s="156" t="inlineStr">
        <is>
          <t>Bolsos</t>
        </is>
      </c>
      <c r="L495" s="156" t="inlineStr">
        <is>
          <t>Unisex</t>
        </is>
      </c>
      <c r="M495" s="156" t="n"/>
      <c r="N495" s="156" t="n"/>
      <c r="O495" s="156" t="n"/>
      <c r="P495" s="156" t="n"/>
      <c r="Q495" s="156" t="n"/>
      <c r="R495" s="156" t="n"/>
      <c r="S495" s="156" t="n"/>
      <c r="T495" s="156" t="n"/>
      <c r="U495" s="156" t="n"/>
      <c r="V495" s="156" t="inlineStr">
        <is>
          <t>PZS</t>
        </is>
      </c>
      <c r="W495" s="51" t="inlineStr">
        <is>
          <t>53121601</t>
        </is>
      </c>
      <c r="X495" s="156" t="n"/>
      <c r="Y495" s="54" t="n">
        <v>465.75</v>
      </c>
      <c r="Z495" s="54" t="n">
        <v>749</v>
      </c>
      <c r="AA495" s="55">
        <f>IF(AND(A495="", B495="", E495=""), "", IF(AB495="", "Válido", IF((LEN(AB495)-LEN(SUBSTITUTE(AB495,"; ","")))/2+1&gt;(LEN(AB495)-LEN(SUBSTITUTE(AB495,"[Aviso]","")))/7, "Con Incidencias", "Válido")))</f>
        <v/>
      </c>
      <c r="AB495" s="56">
        <f>IF(AND(A495="", B495="", E495=""), "", TEXTJOIN("; ", TRUE, IF(OR(TRIM(A495&amp;"")="", ISNUMBER(SEARCH("FALTA", A495))), "UPC faltante/inválido", ""), IF(AND(A495&lt;&gt;"", IFERROR(_xlfn.XMATCH(A495,$A$2:$A$1063,0,1)&lt;&gt;_xlfn.XMATCH(A495,$A$2:$A$1063,0,-1),FALSE)), "Código de barras duplicado", ""), IF(AND(E495&lt;&gt;"", COUNTIF($E$2:$E$1063, E495)&gt;1), "SKU duplicado", ""), IF(OR(J495="", J495=""), "[Aviso] División no capturada ()", IF(ISNA(MATCH(J495, Criterios!$A$123:$A$126, 0)), "División no válida", "")), IF(OR(K495="", K495=""), "[Aviso] Categoría no capturada ()", IF(ISNA(MATCH(K495, Criterios!$A$81:$A$120, 0)), "Categoría no válida", IF(AND(J495&lt;&gt;"", J495&lt;&gt;"", J495&lt;&gt;VLOOKUP(K495, Criterios!$A$81:$B$120, 2, FALSE)), "División no coincide con Categoría", ""))), IF(OR(L495="", L495=""), "[Aviso] Género no capturado ()", IF(ISNA(MATCH(L495, Criterios!$B$123:$B$127, 0)), "Género no válido", "")), IF(OR(N495="", N495=""), "[Aviso] Temporada no capturada ()", IF(ISNA(MATCH(N495, Criterios!$C$123:$C$128, 0)), "Temporada no válida", "")), IF(OR(O495="", O495=""), "[Aviso] Ciclo de vida no capturado ()", IF(ISNA(MATCH(O495, Criterios!$D$123:$D$124, 0)), "Ciclo de vida no válido", ""))))</f>
        <v/>
      </c>
      <c r="AC495" s="56" t="n"/>
      <c r="AD495" s="51" t="n"/>
      <c r="AE495" s="156" t="n"/>
      <c r="AF495" s="51" t="n"/>
      <c r="AG495" s="156" t="inlineStr">
        <is>
          <t>Nuevo – Carga Hoja2 01/10/2026</t>
        </is>
      </c>
      <c r="AH495" s="156" t="inlineStr">
        <is>
          <t>Alta 01/10/2026 desde Hoja2 (fila 294)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95" s="156" t="n"/>
      <c r="AJ495" s="156" t="n"/>
      <c r="AK495" s="155" t="inlineStr">
        <is>
          <t>Hoja2: fila 294 | Odoo: producto 27423 / plantilla 34123</t>
        </is>
      </c>
      <c r="AL495" s="58" t="n"/>
      <c r="AM495" s="58" t="n"/>
      <c r="AN495" s="155" t="inlineStr">
        <is>
          <t>Odoo Universal Unique Brands</t>
        </is>
      </c>
      <c r="AO495" s="59" t="n"/>
      <c r="AP495" s="59" t="n"/>
      <c r="AQ495" s="59" t="n">
        <v>0</v>
      </c>
      <c r="AR495" s="155" t="n"/>
    </row>
    <row r="496">
      <c r="A496" s="50" t="n"/>
      <c r="B496" s="51" t="inlineStr">
        <is>
          <t>27424</t>
        </is>
      </c>
      <c r="C496" s="156" t="inlineStr">
        <is>
          <t>Montana West</t>
        </is>
      </c>
      <c r="D496" s="156" t="n"/>
      <c r="E496" s="156" t="inlineStr">
        <is>
          <t>WG226-8605BR</t>
        </is>
      </c>
      <c r="F496" s="156" t="inlineStr">
        <is>
          <t>Talla única</t>
        </is>
      </c>
      <c r="G496" s="156" t="inlineStr">
        <is>
          <t>One Size</t>
        </is>
      </c>
      <c r="H496" s="156" t="inlineStr">
        <is>
          <t>Montana West</t>
        </is>
      </c>
      <c r="I496" s="156" t="inlineStr">
        <is>
          <t>WG BAG</t>
        </is>
      </c>
      <c r="J496" s="156" t="inlineStr">
        <is>
          <t>Accesorios</t>
        </is>
      </c>
      <c r="K496" s="156" t="inlineStr">
        <is>
          <t>Bolsos</t>
        </is>
      </c>
      <c r="L496" s="156" t="inlineStr">
        <is>
          <t>Unisex</t>
        </is>
      </c>
      <c r="M496" s="156" t="n"/>
      <c r="N496" s="156" t="n"/>
      <c r="O496" s="156" t="n"/>
      <c r="P496" s="156" t="n"/>
      <c r="Q496" s="156" t="n"/>
      <c r="R496" s="156" t="n"/>
      <c r="S496" s="156" t="n"/>
      <c r="T496" s="156" t="n"/>
      <c r="U496" s="156" t="n"/>
      <c r="V496" s="156" t="inlineStr">
        <is>
          <t>PZS</t>
        </is>
      </c>
      <c r="W496" s="51" t="inlineStr">
        <is>
          <t>53121601</t>
        </is>
      </c>
      <c r="X496" s="156" t="n"/>
      <c r="Y496" s="54" t="n">
        <v>465.75</v>
      </c>
      <c r="Z496" s="54" t="n">
        <v>749</v>
      </c>
      <c r="AA496" s="55">
        <f>IF(AND(A496="", B496="", E496=""), "", IF(AB496="", "Válido", IF((LEN(AB496)-LEN(SUBSTITUTE(AB496,"; ","")))/2+1&gt;(LEN(AB496)-LEN(SUBSTITUTE(AB496,"[Aviso]","")))/7, "Con Incidencias", "Válido")))</f>
        <v/>
      </c>
      <c r="AB496" s="56">
        <f>IF(AND(A496="", B496="", E496=""), "", TEXTJOIN("; ", TRUE, IF(OR(TRIM(A496&amp;"")="", ISNUMBER(SEARCH("FALTA", A496))), "UPC faltante/inválido", ""), IF(AND(A496&lt;&gt;"", IFERROR(_xlfn.XMATCH(A496,$A$2:$A$1063,0,1)&lt;&gt;_xlfn.XMATCH(A496,$A$2:$A$1063,0,-1),FALSE)), "Código de barras duplicado", ""), IF(AND(E496&lt;&gt;"", COUNTIF($E$2:$E$1063, E496)&gt;1), "SKU duplicado", ""), IF(OR(J496="", J496=""), "[Aviso] División no capturada ()", IF(ISNA(MATCH(J496, Criterios!$A$123:$A$126, 0)), "División no válida", "")), IF(OR(K496="", K496=""), "[Aviso] Categoría no capturada ()", IF(ISNA(MATCH(K496, Criterios!$A$81:$A$120, 0)), "Categoría no válida", IF(AND(J496&lt;&gt;"", J496&lt;&gt;"", J496&lt;&gt;VLOOKUP(K496, Criterios!$A$81:$B$120, 2, FALSE)), "División no coincide con Categoría", ""))), IF(OR(L496="", L496=""), "[Aviso] Género no capturado ()", IF(ISNA(MATCH(L496, Criterios!$B$123:$B$127, 0)), "Género no válido", "")), IF(OR(N496="", N496=""), "[Aviso] Temporada no capturada ()", IF(ISNA(MATCH(N496, Criterios!$C$123:$C$128, 0)), "Temporada no válida", "")), IF(OR(O496="", O496=""), "[Aviso] Ciclo de vida no capturado ()", IF(ISNA(MATCH(O496, Criterios!$D$123:$D$124, 0)), "Ciclo de vida no válido", ""))))</f>
        <v/>
      </c>
      <c r="AC496" s="56" t="n"/>
      <c r="AD496" s="51" t="n"/>
      <c r="AE496" s="156" t="n"/>
      <c r="AF496" s="51" t="n"/>
      <c r="AG496" s="156" t="inlineStr">
        <is>
          <t>Nuevo – Carga Hoja2 01/10/2026</t>
        </is>
      </c>
      <c r="AH496" s="156" t="inlineStr">
        <is>
          <t>Alta 01/10/2026 desde Hoja2 (fila 295)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96" s="156" t="n"/>
      <c r="AJ496" s="156" t="n"/>
      <c r="AK496" s="155" t="inlineStr">
        <is>
          <t>Hoja2: fila 295 | Odoo: producto 27424 / plantilla 34124</t>
        </is>
      </c>
      <c r="AL496" s="58" t="n"/>
      <c r="AM496" s="58" t="n"/>
      <c r="AN496" s="155" t="inlineStr">
        <is>
          <t>Odoo Universal Unique Brands</t>
        </is>
      </c>
      <c r="AO496" s="59" t="n"/>
      <c r="AP496" s="59" t="n"/>
      <c r="AQ496" s="59" t="n">
        <v>0</v>
      </c>
      <c r="AR496" s="155" t="n"/>
    </row>
    <row r="497">
      <c r="A497" s="50" t="inlineStr">
        <is>
          <t>717690429232</t>
        </is>
      </c>
      <c r="B497" s="51" t="inlineStr">
        <is>
          <t>27426</t>
        </is>
      </c>
      <c r="C497" s="156" t="inlineStr">
        <is>
          <t>Wrangler</t>
        </is>
      </c>
      <c r="D497" s="156" t="inlineStr">
        <is>
          <t>WG226-8605TN</t>
        </is>
      </c>
      <c r="E497" s="156" t="inlineStr">
        <is>
          <t>WG226-8605TN</t>
        </is>
      </c>
      <c r="F497" s="156" t="inlineStr">
        <is>
          <t>Talla única</t>
        </is>
      </c>
      <c r="G497" s="156" t="inlineStr">
        <is>
          <t>One Size</t>
        </is>
      </c>
      <c r="H497" s="156" t="inlineStr">
        <is>
          <t>Wrangler</t>
        </is>
      </c>
      <c r="I497" s="156" t="inlineStr">
        <is>
          <t>Bolsa Tote Cruzada Wrangler Estampado Grabado Patrón Azteca Camel</t>
        </is>
      </c>
      <c r="J497" s="156" t="inlineStr">
        <is>
          <t>Accesorios</t>
        </is>
      </c>
      <c r="K497" s="156" t="inlineStr">
        <is>
          <t>Bolsos</t>
        </is>
      </c>
      <c r="L497" s="156" t="inlineStr">
        <is>
          <t>Unisex</t>
        </is>
      </c>
      <c r="M497" s="156" t="inlineStr">
        <is>
          <t>Wrangler</t>
        </is>
      </c>
      <c r="N497" s="156" t="n"/>
      <c r="O497" s="156" t="inlineStr">
        <is>
          <t>Core</t>
        </is>
      </c>
      <c r="P497" s="156" t="inlineStr">
        <is>
          <t>Beige</t>
        </is>
      </c>
      <c r="Q497" s="156" t="n"/>
      <c r="R497" s="156" t="n"/>
      <c r="S497" s="156" t="n"/>
      <c r="T497" s="156" t="inlineStr">
        <is>
          <t>Bolsa Tote Cruzada Wrangler. Modelo: Estampado Grabado Patrón Azteca. Color: Camel. Talla única. Unisex. Referencia: WG226-8605TN.</t>
        </is>
      </c>
      <c r="U497" s="156" t="n"/>
      <c r="V497" s="156" t="inlineStr">
        <is>
          <t>PZS</t>
        </is>
      </c>
      <c r="W497" s="51" t="inlineStr">
        <is>
          <t>53121601</t>
        </is>
      </c>
      <c r="X497" s="156" t="n"/>
      <c r="Y497" s="54" t="n">
        <v>465.75</v>
      </c>
      <c r="Z497" s="54" t="n">
        <v>749</v>
      </c>
      <c r="AA497" s="55">
        <f>IF(AND(A497="", B497="", E497=""), "", IF(AB497="", "Válido", IF((LEN(AB497)-LEN(SUBSTITUTE(AB497,"; ","")))/2+1&gt;(LEN(AB497)-LEN(SUBSTITUTE(AB497,"[Aviso]","")))/7, "Con Incidencias", "Válido")))</f>
        <v/>
      </c>
      <c r="AB497" s="56">
        <f>IF(AND(A497="", B497="", E497=""), "", TEXTJOIN("; ", TRUE, IF(OR(TRIM(A497&amp;"")="", ISNUMBER(SEARCH("FALTA", A497))), "UPC faltante/inválido", ""), IF(AND(A497&lt;&gt;"", IFERROR(_xlfn.XMATCH(A497,$A$2:$A$1063,0,1)&lt;&gt;_xlfn.XMATCH(A497,$A$2:$A$1063,0,-1),FALSE)), "Código de barras duplicado", ""), IF(AND(E497&lt;&gt;"", COUNTIF($E$2:$E$1063, E497)&gt;1), "SKU duplicado", ""), IF(OR(J497="", J497=""), "[Aviso] División no capturada ()", IF(ISNA(MATCH(J497, Criterios!$A$123:$A$126, 0)), "División no válida", "")), IF(OR(K497="", K497=""), "[Aviso] Categoría no capturada ()", IF(ISNA(MATCH(K497, Criterios!$A$81:$A$120, 0)), "Categoría no válida", IF(AND(J497&lt;&gt;"", J497&lt;&gt;"", J497&lt;&gt;VLOOKUP(K497, Criterios!$A$81:$B$120, 2, FALSE)), "División no coincide con Categoría", ""))), IF(OR(L497="", L497=""), "[Aviso] Género no capturado ()", IF(ISNA(MATCH(L497, Criterios!$B$123:$B$127, 0)), "Género no válido", "")), IF(OR(N497="", N497=""), "[Aviso] Temporada no capturada ()", IF(ISNA(MATCH(N497, Criterios!$C$123:$C$128, 0)), "Temporada no válida", "")), IF(OR(O497="", O497=""), "[Aviso] Ciclo de vida no capturado ()", IF(ISNA(MATCH(O497, Criterios!$D$123:$D$124, 0)), "Ciclo de vida no válido", ""))))</f>
        <v/>
      </c>
      <c r="AC497" s="56" t="n"/>
      <c r="AD497" s="51" t="n"/>
      <c r="AE497" s="156" t="n"/>
      <c r="AF497" s="51" t="n"/>
      <c r="AG497" s="156" t="inlineStr">
        <is>
          <t>Nuevo – Carga Hoja2 01/10/2026</t>
        </is>
      </c>
      <c r="AH497" s="156" t="inlineStr">
        <is>
          <t>Alta 01/10/2026 desde Hoja2 (fila 296) | 01/10/2026: Odoo Universal Unique Brands trae Marca «Montana West» — se conservó el valor de Productos | Homologación G1522 06/10/2026: Validador Shopify: WB: precio con IVA no termina en 9</t>
        </is>
      </c>
      <c r="AI497" s="156" t="n"/>
      <c r="AJ497" s="156" t="n"/>
      <c r="AK497" s="155" t="inlineStr">
        <is>
          <t>Hoja2: fila 296 | Odoo: producto 27426 / plantilla 34126</t>
        </is>
      </c>
      <c r="AL497" s="58" t="n"/>
      <c r="AM497" s="58" t="n"/>
      <c r="AN497" s="155" t="inlineStr">
        <is>
          <t>Odoo Universal Unique Brands</t>
        </is>
      </c>
      <c r="AO497" s="59" t="n"/>
      <c r="AP497" s="59" t="n"/>
      <c r="AQ497" s="59" t="n">
        <v>2</v>
      </c>
      <c r="AR497" s="155" t="inlineStr">
        <is>
          <t>Odoo Universal Unique Brands › Bodega 25 › Bodega 25/General: 2</t>
        </is>
      </c>
    </row>
    <row r="498">
      <c r="A498" s="50" t="n"/>
      <c r="B498" s="51" t="inlineStr">
        <is>
          <t>27430</t>
        </is>
      </c>
      <c r="C498" s="156" t="inlineStr">
        <is>
          <t>Montana West</t>
        </is>
      </c>
      <c r="D498" s="156" t="n"/>
      <c r="E498" s="156" t="inlineStr">
        <is>
          <t>WG226-W069BK</t>
        </is>
      </c>
      <c r="F498" s="156" t="inlineStr">
        <is>
          <t>Talla única</t>
        </is>
      </c>
      <c r="G498" s="156" t="inlineStr">
        <is>
          <t>One Size</t>
        </is>
      </c>
      <c r="H498" s="156" t="inlineStr">
        <is>
          <t>Montana West</t>
        </is>
      </c>
      <c r="I498" s="156" t="inlineStr">
        <is>
          <t>WG Wallet</t>
        </is>
      </c>
      <c r="J498" s="156" t="inlineStr">
        <is>
          <t>Accesorios</t>
        </is>
      </c>
      <c r="K498" s="156" t="inlineStr">
        <is>
          <t>Carteras</t>
        </is>
      </c>
      <c r="L498" s="156" t="inlineStr">
        <is>
          <t>Unisex</t>
        </is>
      </c>
      <c r="M498" s="156" t="n"/>
      <c r="N498" s="156" t="n"/>
      <c r="O498" s="156" t="n"/>
      <c r="P498" s="156" t="n"/>
      <c r="Q498" s="156" t="n"/>
      <c r="R498" s="156" t="n"/>
      <c r="S498" s="156" t="n"/>
      <c r="T498" s="156" t="n"/>
      <c r="U498" s="156" t="n"/>
      <c r="V498" s="156" t="inlineStr">
        <is>
          <t>PZS</t>
        </is>
      </c>
      <c r="W498" s="51" t="inlineStr">
        <is>
          <t>53121601</t>
        </is>
      </c>
      <c r="X498" s="156" t="n"/>
      <c r="Y498" s="54" t="n">
        <v>215.625</v>
      </c>
      <c r="Z498" s="54" t="n">
        <v>349</v>
      </c>
      <c r="AA498" s="55">
        <f>IF(AND(A498="", B498="", E498=""), "", IF(AB498="", "Válido", IF((LEN(AB498)-LEN(SUBSTITUTE(AB498,"; ","")))/2+1&gt;(LEN(AB498)-LEN(SUBSTITUTE(AB498,"[Aviso]","")))/7, "Con Incidencias", "Válido")))</f>
        <v/>
      </c>
      <c r="AB498" s="56">
        <f>IF(AND(A498="", B498="", E498=""), "", TEXTJOIN("; ", TRUE, IF(OR(TRIM(A498&amp;"")="", ISNUMBER(SEARCH("FALTA", A498))), "UPC faltante/inválido", ""), IF(AND(A498&lt;&gt;"", IFERROR(_xlfn.XMATCH(A498,$A$2:$A$1063,0,1)&lt;&gt;_xlfn.XMATCH(A498,$A$2:$A$1063,0,-1),FALSE)), "Código de barras duplicado", ""), IF(AND(E498&lt;&gt;"", COUNTIF($E$2:$E$1063, E498)&gt;1), "SKU duplicado", ""), IF(OR(J498="", J498=""), "[Aviso] División no capturada ()", IF(ISNA(MATCH(J498, Criterios!$A$123:$A$126, 0)), "División no válida", "")), IF(OR(K498="", K498=""), "[Aviso] Categoría no capturada ()", IF(ISNA(MATCH(K498, Criterios!$A$81:$A$120, 0)), "Categoría no válida", IF(AND(J498&lt;&gt;"", J498&lt;&gt;"", J498&lt;&gt;VLOOKUP(K498, Criterios!$A$81:$B$120, 2, FALSE)), "División no coincide con Categoría", ""))), IF(OR(L498="", L498=""), "[Aviso] Género no capturado ()", IF(ISNA(MATCH(L498, Criterios!$B$123:$B$127, 0)), "Género no válido", "")), IF(OR(N498="", N498=""), "[Aviso] Temporada no capturada ()", IF(ISNA(MATCH(N498, Criterios!$C$123:$C$128, 0)), "Temporada no válida", "")), IF(OR(O498="", O498=""), "[Aviso] Ciclo de vida no capturado ()", IF(ISNA(MATCH(O498, Criterios!$D$123:$D$124, 0)), "Ciclo de vida no válido", ""))))</f>
        <v/>
      </c>
      <c r="AC498" s="56" t="n"/>
      <c r="AD498" s="51" t="n"/>
      <c r="AE498" s="156" t="n"/>
      <c r="AF498" s="51" t="n"/>
      <c r="AG498" s="156" t="inlineStr">
        <is>
          <t>Nuevo – Carga Hoja2 01/10/2026</t>
        </is>
      </c>
      <c r="AH498" s="156" t="inlineStr">
        <is>
          <t>Alta 01/10/2026 desde Hoja2 (fila 297)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498" s="156" t="n"/>
      <c r="AJ498" s="156" t="n"/>
      <c r="AK498" s="155" t="inlineStr">
        <is>
          <t>Hoja2: fila 297 | Odoo: producto 27430 / plantilla 34130</t>
        </is>
      </c>
      <c r="AL498" s="58" t="n"/>
      <c r="AM498" s="58" t="n"/>
      <c r="AN498" s="155" t="inlineStr">
        <is>
          <t>Odoo Universal Unique Brands</t>
        </is>
      </c>
      <c r="AO498" s="59" t="n"/>
      <c r="AP498" s="59" t="n"/>
      <c r="AQ498" s="59" t="n">
        <v>0</v>
      </c>
      <c r="AR498" s="155" t="n"/>
    </row>
    <row r="499">
      <c r="A499" s="50" t="inlineStr">
        <is>
          <t>717690434007</t>
        </is>
      </c>
      <c r="B499" s="51" t="inlineStr">
        <is>
          <t>27432</t>
        </is>
      </c>
      <c r="C499" s="156" t="inlineStr">
        <is>
          <t>Montana West</t>
        </is>
      </c>
      <c r="D499" s="156" t="inlineStr">
        <is>
          <t>WG226-W069DPK</t>
        </is>
      </c>
      <c r="E499" s="156" t="inlineStr">
        <is>
          <t>WG226-W069DPK</t>
        </is>
      </c>
      <c r="F499" s="156" t="inlineStr">
        <is>
          <t>Talla única</t>
        </is>
      </c>
      <c r="G499" s="156" t="inlineStr">
        <is>
          <t>One Size</t>
        </is>
      </c>
      <c r="H499" s="156" t="inlineStr">
        <is>
          <t>Montana West</t>
        </is>
      </c>
      <c r="I499" s="156" t="inlineStr">
        <is>
          <t>Cartera Wrangler Rosa Oscuro</t>
        </is>
      </c>
      <c r="J499" s="156" t="inlineStr">
        <is>
          <t>Accesorios</t>
        </is>
      </c>
      <c r="K499" s="156" t="inlineStr">
        <is>
          <t>Carteras</t>
        </is>
      </c>
      <c r="L499" s="156" t="inlineStr">
        <is>
          <t>Unisex</t>
        </is>
      </c>
      <c r="M499" s="156" t="inlineStr">
        <is>
          <t>Wrangler</t>
        </is>
      </c>
      <c r="N499" s="156" t="n"/>
      <c r="O499" s="156" t="n"/>
      <c r="P499" s="156" t="inlineStr">
        <is>
          <t>Rosa</t>
        </is>
      </c>
      <c r="Q499" s="156" t="n"/>
      <c r="R499" s="156" t="n"/>
      <c r="S499" s="156" t="n"/>
      <c r="T499" s="156" t="inlineStr">
        <is>
          <t>Cartera</t>
        </is>
      </c>
      <c r="U499" s="156" t="inlineStr">
        <is>
          <t>México</t>
        </is>
      </c>
      <c r="V499" s="156" t="inlineStr">
        <is>
          <t>PZS</t>
        </is>
      </c>
      <c r="W499" s="51" t="inlineStr">
        <is>
          <t>53121601</t>
        </is>
      </c>
      <c r="X499" s="156" t="n"/>
      <c r="Y499" s="54" t="n">
        <v>215.625</v>
      </c>
      <c r="Z499" s="54" t="n">
        <v>349</v>
      </c>
      <c r="AA499" s="55">
        <f>IF(AND(A499="", B499="", E499=""), "", IF(AB499="", "Válido", IF((LEN(AB499)-LEN(SUBSTITUTE(AB499,"; ","")))/2+1&gt;(LEN(AB499)-LEN(SUBSTITUTE(AB499,"[Aviso]","")))/7, "Con Incidencias", "Válido")))</f>
        <v/>
      </c>
      <c r="AB499" s="56">
        <f>IF(AND(A499="", B499="", E499=""), "", TEXTJOIN("; ", TRUE, IF(OR(TRIM(A499&amp;"")="", ISNUMBER(SEARCH("FALTA", A499))), "UPC faltante/inválido", ""), IF(AND(A499&lt;&gt;"", IFERROR(_xlfn.XMATCH(A499,$A$2:$A$1063,0,1)&lt;&gt;_xlfn.XMATCH(A499,$A$2:$A$1063,0,-1),FALSE)), "Código de barras duplicado", ""), IF(AND(E499&lt;&gt;"", COUNTIF($E$2:$E$1063, E499)&gt;1), "SKU duplicado", ""), IF(OR(J499="", J499=""), "[Aviso] División no capturada ()", IF(ISNA(MATCH(J499, Criterios!$A$123:$A$126, 0)), "División no válida", "")), IF(OR(K499="", K499=""), "[Aviso] Categoría no capturada ()", IF(ISNA(MATCH(K499, Criterios!$A$81:$A$120, 0)), "Categoría no válida", IF(AND(J499&lt;&gt;"", J499&lt;&gt;"", J499&lt;&gt;VLOOKUP(K499, Criterios!$A$81:$B$120, 2, FALSE)), "División no coincide con Categoría", ""))), IF(OR(L499="", L499=""), "[Aviso] Género no capturado ()", IF(ISNA(MATCH(L499, Criterios!$B$123:$B$127, 0)), "Género no válido", "")), IF(OR(N499="", N499=""), "[Aviso] Temporada no capturada ()", IF(ISNA(MATCH(N499, Criterios!$C$123:$C$128, 0)), "Temporada no válida", "")), IF(OR(O499="", O499=""), "[Aviso] Ciclo de vida no capturado ()", IF(ISNA(MATCH(O499, Criterios!$D$123:$D$124, 0)), "Ciclo de vida no válido", ""))))</f>
        <v/>
      </c>
      <c r="AC499" s="56" t="n"/>
      <c r="AD499" s="51" t="n"/>
      <c r="AE499" s="156" t="n"/>
      <c r="AF499" s="51" t="n"/>
      <c r="AG499" s="156" t="inlineStr">
        <is>
          <t>Nuevo – Carga Hoja2 01/10/2026</t>
        </is>
      </c>
      <c r="AH499" s="156" t="inlineStr">
        <is>
          <t>Alta 01/10/2026 desde Hoja2 (fila 298); 01/10/2026: código de barras 717690434007 agregado (coincidencia exacta de SKU, Hoja3 fila 913) | 01/10/2026: complementado desde Odoo Universal Unique Brands (match por código de barras): WB N.º de estilo, WB Talla, WB Talla de EE. UU., WB Descripcion (antes «WG Wallet»), WB Género, WB Licencia, WB Color, WB Descripción larga, WB País de origen | 01/10/2026: Odoo Universal Unique Brands trae Marca «Wrangler» — se conservó el valor de Productos | Homologación G1522 06/10/2026: Validador Shopify: WB: precio con IVA no termina en 9</t>
        </is>
      </c>
      <c r="AI499" s="156" t="n"/>
      <c r="AJ499" s="156" t="n"/>
      <c r="AK499" s="155" t="inlineStr">
        <is>
          <t>Hoja2: fila 298 | Odoo: producto 19119 / plantilla 23472 | Odoo: producto 27432 / plantilla 34132</t>
        </is>
      </c>
      <c r="AL499" s="58" t="n"/>
      <c r="AM499" s="58" t="n"/>
      <c r="AN499" s="155" t="inlineStr">
        <is>
          <t>Odoo Universal Unique Brands</t>
        </is>
      </c>
      <c r="AO499" s="59" t="n"/>
      <c r="AP499" s="59" t="n"/>
      <c r="AQ499" s="59" t="n">
        <v>6</v>
      </c>
      <c r="AR499" s="155" t="inlineStr">
        <is>
          <t>Odoo Universal Unique Brands › Bodega 25 › Bodega 25/General: 6</t>
        </is>
      </c>
    </row>
    <row r="500">
      <c r="A500" s="50" t="inlineStr">
        <is>
          <t>717690433888</t>
        </is>
      </c>
      <c r="B500" s="51" t="inlineStr">
        <is>
          <t>27428</t>
        </is>
      </c>
      <c r="C500" s="156" t="inlineStr">
        <is>
          <t>Wrangler</t>
        </is>
      </c>
      <c r="D500" s="156" t="inlineStr">
        <is>
          <t>WG226G-8119TN</t>
        </is>
      </c>
      <c r="E500" s="156" t="inlineStr">
        <is>
          <t>WG226G-8119TN</t>
        </is>
      </c>
      <c r="F500" s="156" t="inlineStr">
        <is>
          <t>Talla única</t>
        </is>
      </c>
      <c r="G500" s="156" t="inlineStr">
        <is>
          <t>One Size</t>
        </is>
      </c>
      <c r="H500" s="156" t="inlineStr">
        <is>
          <t>Wrangler</t>
        </is>
      </c>
      <c r="I500" s="156" t="inlineStr">
        <is>
          <t>Bolsa Tote Grande Wrangler Estampado Grabado Patrón Azteca Vintage Con Compartimento Oculto Camel</t>
        </is>
      </c>
      <c r="J500" s="156" t="inlineStr">
        <is>
          <t>Accesorios</t>
        </is>
      </c>
      <c r="K500" s="156" t="inlineStr">
        <is>
          <t>Bolsos</t>
        </is>
      </c>
      <c r="L500" s="156" t="inlineStr">
        <is>
          <t>Unisex</t>
        </is>
      </c>
      <c r="M500" s="156" t="inlineStr">
        <is>
          <t>Wrangler</t>
        </is>
      </c>
      <c r="N500" s="156" t="n"/>
      <c r="O500" s="156" t="inlineStr">
        <is>
          <t>Core</t>
        </is>
      </c>
      <c r="P500" s="156" t="inlineStr">
        <is>
          <t>Beige</t>
        </is>
      </c>
      <c r="Q500" s="156" t="n"/>
      <c r="R500" s="156" t="n"/>
      <c r="S500" s="156" t="n"/>
      <c r="T500" s="156" t="inlineStr">
        <is>
          <t>Bolsa Tote Grande Wrangler. Modelo: Estampado Grabado Patrón Azteca Vintage Con Compartimento Oculto. Color: Camel. Talla única. Unisex. Referencia: WG226G-8119TN.</t>
        </is>
      </c>
      <c r="U500" s="156" t="n"/>
      <c r="V500" s="156" t="inlineStr">
        <is>
          <t>PZS</t>
        </is>
      </c>
      <c r="W500" s="51" t="inlineStr">
        <is>
          <t>53121601</t>
        </is>
      </c>
      <c r="X500" s="156" t="n"/>
      <c r="Y500" s="54" t="n">
        <v>552</v>
      </c>
      <c r="Z500" s="54" t="n">
        <v>899</v>
      </c>
      <c r="AA500" s="55">
        <f>IF(AND(A500="", B500="", E500=""), "", IF(AB500="", "Válido", IF((LEN(AB500)-LEN(SUBSTITUTE(AB500,"; ","")))/2+1&gt;(LEN(AB500)-LEN(SUBSTITUTE(AB500,"[Aviso]","")))/7, "Con Incidencias", "Válido")))</f>
        <v/>
      </c>
      <c r="AB500" s="56">
        <f>IF(AND(A500="", B500="", E500=""), "", TEXTJOIN("; ", TRUE, IF(OR(TRIM(A500&amp;"")="", ISNUMBER(SEARCH("FALTA", A500))), "UPC faltante/inválido", ""), IF(AND(A500&lt;&gt;"", IFERROR(_xlfn.XMATCH(A500,$A$2:$A$1063,0,1)&lt;&gt;_xlfn.XMATCH(A500,$A$2:$A$1063,0,-1),FALSE)), "Código de barras duplicado", ""), IF(AND(E500&lt;&gt;"", COUNTIF($E$2:$E$1063, E500)&gt;1), "SKU duplicado", ""), IF(OR(J500="", J500=""), "[Aviso] División no capturada ()", IF(ISNA(MATCH(J500, Criterios!$A$123:$A$126, 0)), "División no válida", "")), IF(OR(K500="", K500=""), "[Aviso] Categoría no capturada ()", IF(ISNA(MATCH(K500, Criterios!$A$81:$A$120, 0)), "Categoría no válida", IF(AND(J500&lt;&gt;"", J500&lt;&gt;"", J500&lt;&gt;VLOOKUP(K500, Criterios!$A$81:$B$120, 2, FALSE)), "División no coincide con Categoría", ""))), IF(OR(L500="", L500=""), "[Aviso] Género no capturado ()", IF(ISNA(MATCH(L500, Criterios!$B$123:$B$127, 0)), "Género no válido", "")), IF(OR(N500="", N500=""), "[Aviso] Temporada no capturada ()", IF(ISNA(MATCH(N500, Criterios!$C$123:$C$128, 0)), "Temporada no válida", "")), IF(OR(O500="", O500=""), "[Aviso] Ciclo de vida no capturado ()", IF(ISNA(MATCH(O500, Criterios!$D$123:$D$124, 0)), "Ciclo de vida no válido", ""))))</f>
        <v/>
      </c>
      <c r="AC500" s="56" t="n"/>
      <c r="AD500" s="51" t="n"/>
      <c r="AE500" s="156" t="n"/>
      <c r="AF500" s="51" t="n"/>
      <c r="AG500" s="156" t="inlineStr">
        <is>
          <t>Nuevo – Carga Hoja2 01/10/2026</t>
        </is>
      </c>
      <c r="AH500" s="156" t="inlineStr">
        <is>
          <t>Alta 01/10/2026 desde Hoja2 (fila 299) | 01/10/2026: Odoo Universal Unique Brands trae Marca «Montana West» — se conservó el valor de Productos | Homologación G1522 06/10/2026: Validador Shopify: WB: precio con IVA no termina en 9</t>
        </is>
      </c>
      <c r="AI500" s="156" t="n"/>
      <c r="AJ500" s="156" t="n"/>
      <c r="AK500" s="155" t="inlineStr">
        <is>
          <t>Hoja2: fila 299 | Odoo: producto 27428 / plantilla 34128</t>
        </is>
      </c>
      <c r="AL500" s="58" t="n"/>
      <c r="AM500" s="58" t="n"/>
      <c r="AN500" s="155" t="inlineStr">
        <is>
          <t>Odoo Universal Unique Brands</t>
        </is>
      </c>
      <c r="AO500" s="59" t="n"/>
      <c r="AP500" s="59" t="n"/>
      <c r="AQ500" s="59" t="n">
        <v>5</v>
      </c>
      <c r="AR500" s="155" t="inlineStr">
        <is>
          <t>Odoo Universal Unique Brands › Bodega 25 › Bodega 25/General: 5</t>
        </is>
      </c>
    </row>
    <row r="501">
      <c r="A501" s="50" t="inlineStr">
        <is>
          <t>717325229282</t>
        </is>
      </c>
      <c r="B501" s="51" t="inlineStr">
        <is>
          <t>27434</t>
        </is>
      </c>
      <c r="C501" s="156" t="inlineStr">
        <is>
          <t>Wrangler</t>
        </is>
      </c>
      <c r="D501" s="156" t="inlineStr">
        <is>
          <t>WG229-603BG</t>
        </is>
      </c>
      <c r="E501" s="156" t="inlineStr">
        <is>
          <t>WG229-603BG</t>
        </is>
      </c>
      <c r="F501" s="156" t="inlineStr">
        <is>
          <t>Talla única</t>
        </is>
      </c>
      <c r="G501" s="156" t="inlineStr">
        <is>
          <t>One Size</t>
        </is>
      </c>
      <c r="H501" s="156" t="inlineStr">
        <is>
          <t>Wrangler</t>
        </is>
      </c>
      <c r="I501" s="156" t="inlineStr">
        <is>
          <t>Bolsa Transparente Wrangler Beige</t>
        </is>
      </c>
      <c r="J501" s="156" t="inlineStr">
        <is>
          <t>Accesorios</t>
        </is>
      </c>
      <c r="K501" s="156" t="inlineStr">
        <is>
          <t>Bolsos</t>
        </is>
      </c>
      <c r="L501" s="156" t="inlineStr">
        <is>
          <t>Unisex</t>
        </is>
      </c>
      <c r="M501" s="156" t="inlineStr">
        <is>
          <t>Wrangler</t>
        </is>
      </c>
      <c r="N501" s="156" t="n"/>
      <c r="O501" s="156" t="inlineStr">
        <is>
          <t>Core</t>
        </is>
      </c>
      <c r="P501" s="156" t="inlineStr">
        <is>
          <t>Beige</t>
        </is>
      </c>
      <c r="Q501" s="156" t="n"/>
      <c r="R501" s="156" t="n"/>
      <c r="S501" s="156" t="n"/>
      <c r="T501" s="156" t="inlineStr">
        <is>
          <t>Bolsa Transparente Wrangler. Color: Beige. Talla única. Unisex. Referencia: WG229-603BG.</t>
        </is>
      </c>
      <c r="U501" s="156" t="n"/>
      <c r="V501" s="156" t="inlineStr">
        <is>
          <t>PZS</t>
        </is>
      </c>
      <c r="W501" s="51" t="inlineStr">
        <is>
          <t>53121601</t>
        </is>
      </c>
      <c r="X501" s="156" t="n"/>
      <c r="Y501" s="54" t="n">
        <v>172.5</v>
      </c>
      <c r="Z501" s="54" t="n">
        <v>299</v>
      </c>
      <c r="AA501" s="55">
        <f>IF(AND(A501="", B501="", E501=""), "", IF(AB501="", "Válido", IF((LEN(AB501)-LEN(SUBSTITUTE(AB501,"; ","")))/2+1&gt;(LEN(AB501)-LEN(SUBSTITUTE(AB501,"[Aviso]","")))/7, "Con Incidencias", "Válido")))</f>
        <v/>
      </c>
      <c r="AB501" s="56">
        <f>IF(AND(A501="", B501="", E501=""), "", TEXTJOIN("; ", TRUE, IF(OR(TRIM(A501&amp;"")="", ISNUMBER(SEARCH("FALTA", A501))), "UPC faltante/inválido", ""), IF(AND(A501&lt;&gt;"", IFERROR(_xlfn.XMATCH(A501,$A$2:$A$1063,0,1)&lt;&gt;_xlfn.XMATCH(A501,$A$2:$A$1063,0,-1),FALSE)), "Código de barras duplicado", ""), IF(AND(E501&lt;&gt;"", COUNTIF($E$2:$E$1063, E501)&gt;1), "SKU duplicado", ""), IF(OR(J501="", J501=""), "[Aviso] División no capturada ()", IF(ISNA(MATCH(J501, Criterios!$A$123:$A$126, 0)), "División no válida", "")), IF(OR(K501="", K501=""), "[Aviso] Categoría no capturada ()", IF(ISNA(MATCH(K501, Criterios!$A$81:$A$120, 0)), "Categoría no válida", IF(AND(J501&lt;&gt;"", J501&lt;&gt;"", J501&lt;&gt;VLOOKUP(K501, Criterios!$A$81:$B$120, 2, FALSE)), "División no coincide con Categoría", ""))), IF(OR(L501="", L501=""), "[Aviso] Género no capturado ()", IF(ISNA(MATCH(L501, Criterios!$B$123:$B$127, 0)), "Género no válido", "")), IF(OR(N501="", N501=""), "[Aviso] Temporada no capturada ()", IF(ISNA(MATCH(N501, Criterios!$C$123:$C$128, 0)), "Temporada no válida", "")), IF(OR(O501="", O501=""), "[Aviso] Ciclo de vida no capturado ()", IF(ISNA(MATCH(O501, Criterios!$D$123:$D$124, 0)), "Ciclo de vida no válido", ""))))</f>
        <v/>
      </c>
      <c r="AC501" s="56" t="n"/>
      <c r="AD501" s="51" t="n"/>
      <c r="AE501" s="156" t="n"/>
      <c r="AF501" s="51" t="n"/>
      <c r="AG501" s="156" t="inlineStr">
        <is>
          <t>Nuevo – Carga Hoja2 01/10/2026</t>
        </is>
      </c>
      <c r="AH501" s="156" t="inlineStr">
        <is>
          <t>Alta 01/10/2026 desde Hoja2 (fila 300) | 01/10/2026: Odoo Universal Unique Brands trae Marca «Montana West» — se conservó el valor de Productos | Homologación G1522 06/10/2026: Validador Shopify: WB: precio con IVA no termina en 9</t>
        </is>
      </c>
      <c r="AI501" s="156" t="n"/>
      <c r="AJ501" s="156" t="n"/>
      <c r="AK501" s="155" t="inlineStr">
        <is>
          <t>Hoja2: fila 300 | Odoo: producto 27434 / plantilla 34134</t>
        </is>
      </c>
      <c r="AL501" s="58" t="n"/>
      <c r="AM501" s="58" t="n"/>
      <c r="AN501" s="155" t="inlineStr">
        <is>
          <t>Odoo Universal Unique Brands</t>
        </is>
      </c>
      <c r="AO501" s="59" t="n"/>
      <c r="AP501" s="59" t="n"/>
      <c r="AQ501" s="59" t="n">
        <v>0</v>
      </c>
      <c r="AR501" s="155" t="n"/>
    </row>
    <row r="502">
      <c r="A502" s="50" t="inlineStr">
        <is>
          <t>717325229268</t>
        </is>
      </c>
      <c r="B502" s="51" t="inlineStr">
        <is>
          <t>27435</t>
        </is>
      </c>
      <c r="C502" s="156" t="inlineStr">
        <is>
          <t>Wrangler</t>
        </is>
      </c>
      <c r="D502" s="156" t="inlineStr">
        <is>
          <t>WG229-603BK-HPK</t>
        </is>
      </c>
      <c r="E502" s="156" t="inlineStr">
        <is>
          <t>WG229-603BK-HPK</t>
        </is>
      </c>
      <c r="F502" s="156" t="inlineStr">
        <is>
          <t>Talla única</t>
        </is>
      </c>
      <c r="G502" s="156" t="inlineStr">
        <is>
          <t>One Size</t>
        </is>
      </c>
      <c r="H502" s="156" t="inlineStr">
        <is>
          <t>Wrangler</t>
        </is>
      </c>
      <c r="I502" s="156" t="inlineStr">
        <is>
          <t>Bolsa Transparente Wrangler Negro / Rosa Fuerte</t>
        </is>
      </c>
      <c r="J502" s="156" t="inlineStr">
        <is>
          <t>Accesorios</t>
        </is>
      </c>
      <c r="K502" s="156" t="inlineStr">
        <is>
          <t>Bolsos</t>
        </is>
      </c>
      <c r="L502" s="156" t="inlineStr">
        <is>
          <t>Unisex</t>
        </is>
      </c>
      <c r="M502" s="156" t="inlineStr">
        <is>
          <t>Wrangler</t>
        </is>
      </c>
      <c r="N502" s="156" t="n"/>
      <c r="O502" s="156" t="inlineStr">
        <is>
          <t>Core</t>
        </is>
      </c>
      <c r="P502" s="156" t="inlineStr">
        <is>
          <t>Varios</t>
        </is>
      </c>
      <c r="Q502" s="156" t="n"/>
      <c r="R502" s="156" t="n"/>
      <c r="S502" s="156" t="n"/>
      <c r="T502" s="156" t="inlineStr">
        <is>
          <t>Bolsa Transparente Wrangler. Color: Negro / Rosa Fuerte. Talla única. Unisex. Referencia: WG229-603BK-HPK.</t>
        </is>
      </c>
      <c r="U502" s="156" t="n"/>
      <c r="V502" s="156" t="inlineStr">
        <is>
          <t>PZS</t>
        </is>
      </c>
      <c r="W502" s="51" t="inlineStr">
        <is>
          <t>53121601</t>
        </is>
      </c>
      <c r="X502" s="156" t="n"/>
      <c r="Y502" s="54" t="n">
        <v>172.5</v>
      </c>
      <c r="Z502" s="54" t="n">
        <v>299</v>
      </c>
      <c r="AA502" s="55">
        <f>IF(AND(A502="", B502="", E502=""), "", IF(AB502="", "Válido", IF((LEN(AB502)-LEN(SUBSTITUTE(AB502,"; ","")))/2+1&gt;(LEN(AB502)-LEN(SUBSTITUTE(AB502,"[Aviso]","")))/7, "Con Incidencias", "Válido")))</f>
        <v/>
      </c>
      <c r="AB502" s="56">
        <f>IF(AND(A502="", B502="", E502=""), "", TEXTJOIN("; ", TRUE, IF(OR(TRIM(A502&amp;"")="", ISNUMBER(SEARCH("FALTA", A502))), "UPC faltante/inválido", ""), IF(AND(A502&lt;&gt;"", IFERROR(_xlfn.XMATCH(A502,$A$2:$A$1063,0,1)&lt;&gt;_xlfn.XMATCH(A502,$A$2:$A$1063,0,-1),FALSE)), "Código de barras duplicado", ""), IF(AND(E502&lt;&gt;"", COUNTIF($E$2:$E$1063, E502)&gt;1), "SKU duplicado", ""), IF(OR(J502="", J502=""), "[Aviso] División no capturada ()", IF(ISNA(MATCH(J502, Criterios!$A$123:$A$126, 0)), "División no válida", "")), IF(OR(K502="", K502=""), "[Aviso] Categoría no capturada ()", IF(ISNA(MATCH(K502, Criterios!$A$81:$A$120, 0)), "Categoría no válida", IF(AND(J502&lt;&gt;"", J502&lt;&gt;"", J502&lt;&gt;VLOOKUP(K502, Criterios!$A$81:$B$120, 2, FALSE)), "División no coincide con Categoría", ""))), IF(OR(L502="", L502=""), "[Aviso] Género no capturado ()", IF(ISNA(MATCH(L502, Criterios!$B$123:$B$127, 0)), "Género no válido", "")), IF(OR(N502="", N502=""), "[Aviso] Temporada no capturada ()", IF(ISNA(MATCH(N502, Criterios!$C$123:$C$128, 0)), "Temporada no válida", "")), IF(OR(O502="", O502=""), "[Aviso] Ciclo de vida no capturado ()", IF(ISNA(MATCH(O502, Criterios!$D$123:$D$124, 0)), "Ciclo de vida no válido", ""))))</f>
        <v/>
      </c>
      <c r="AC502" s="56" t="n"/>
      <c r="AD502" s="51" t="n"/>
      <c r="AE502" s="156" t="n"/>
      <c r="AF502" s="51" t="n"/>
      <c r="AG502" s="156" t="inlineStr">
        <is>
          <t>Nuevo – Carga Hoja2 01/10/2026</t>
        </is>
      </c>
      <c r="AH502" s="156" t="inlineStr">
        <is>
          <t>Alta 01/10/2026 desde Hoja2 (fila 301) | 01/10/2026: Odoo Universal Unique Brands trae Marca «Montana West» — se conservó el valor de Productos | Homologación G1522 06/10/2026: Validador Shopify: WB: precio con IVA no termina en 9</t>
        </is>
      </c>
      <c r="AI502" s="156" t="n"/>
      <c r="AJ502" s="156" t="n"/>
      <c r="AK502" s="155" t="inlineStr">
        <is>
          <t>Hoja2: fila 301 | Odoo: producto 27435 / plantilla 34135</t>
        </is>
      </c>
      <c r="AL502" s="58" t="n"/>
      <c r="AM502" s="58" t="n"/>
      <c r="AN502" s="155" t="inlineStr">
        <is>
          <t>Odoo Universal Unique Brands</t>
        </is>
      </c>
      <c r="AO502" s="59" t="n"/>
      <c r="AP502" s="59" t="n"/>
      <c r="AQ502" s="59" t="n">
        <v>5</v>
      </c>
      <c r="AR502" s="155" t="inlineStr">
        <is>
          <t>Odoo Universal Unique Brands › Bodega 25 › Bodega 25/General: 5</t>
        </is>
      </c>
    </row>
    <row r="503">
      <c r="A503" s="50" t="inlineStr">
        <is>
          <t>717325229312</t>
        </is>
      </c>
      <c r="B503" s="51" t="inlineStr">
        <is>
          <t>27436</t>
        </is>
      </c>
      <c r="C503" s="156" t="inlineStr">
        <is>
          <t>Wrangler</t>
        </is>
      </c>
      <c r="D503" s="156" t="inlineStr">
        <is>
          <t>WG229-603DPK</t>
        </is>
      </c>
      <c r="E503" s="156" t="inlineStr">
        <is>
          <t>WG229-603DPK</t>
        </is>
      </c>
      <c r="F503" s="156" t="inlineStr">
        <is>
          <t>Talla única</t>
        </is>
      </c>
      <c r="G503" s="156" t="inlineStr">
        <is>
          <t>One Size</t>
        </is>
      </c>
      <c r="H503" s="156" t="inlineStr">
        <is>
          <t>Wrangler</t>
        </is>
      </c>
      <c r="I503" s="156" t="inlineStr">
        <is>
          <t>Bolsa Transparente Wrangler Rosa Oscuro</t>
        </is>
      </c>
      <c r="J503" s="156" t="inlineStr">
        <is>
          <t>Accesorios</t>
        </is>
      </c>
      <c r="K503" s="156" t="inlineStr">
        <is>
          <t>Bolsos</t>
        </is>
      </c>
      <c r="L503" s="156" t="inlineStr">
        <is>
          <t>Unisex</t>
        </is>
      </c>
      <c r="M503" s="156" t="inlineStr">
        <is>
          <t>Wrangler</t>
        </is>
      </c>
      <c r="N503" s="156" t="n"/>
      <c r="O503" s="156" t="inlineStr">
        <is>
          <t>Core</t>
        </is>
      </c>
      <c r="P503" s="156" t="inlineStr">
        <is>
          <t>Rosa</t>
        </is>
      </c>
      <c r="Q503" s="156" t="n"/>
      <c r="R503" s="156" t="n"/>
      <c r="S503" s="156" t="n"/>
      <c r="T503" s="156" t="inlineStr">
        <is>
          <t>Bolsa Transparente Wrangler. Color: Rosa Oscuro. Talla única. Unisex. Referencia: WG229-603DPK.</t>
        </is>
      </c>
      <c r="U503" s="156" t="n"/>
      <c r="V503" s="156" t="inlineStr">
        <is>
          <t>PZS</t>
        </is>
      </c>
      <c r="W503" s="51" t="inlineStr">
        <is>
          <t>53121601</t>
        </is>
      </c>
      <c r="X503" s="156" t="n"/>
      <c r="Y503" s="54" t="n">
        <v>172.5</v>
      </c>
      <c r="Z503" s="54" t="n">
        <v>299</v>
      </c>
      <c r="AA503" s="55">
        <f>IF(AND(A503="", B503="", E503=""), "", IF(AB503="", "Válido", IF((LEN(AB503)-LEN(SUBSTITUTE(AB503,"; ","")))/2+1&gt;(LEN(AB503)-LEN(SUBSTITUTE(AB503,"[Aviso]","")))/7, "Con Incidencias", "Válido")))</f>
        <v/>
      </c>
      <c r="AB503" s="56">
        <f>IF(AND(A503="", B503="", E503=""), "", TEXTJOIN("; ", TRUE, IF(OR(TRIM(A503&amp;"")="", ISNUMBER(SEARCH("FALTA", A503))), "UPC faltante/inválido", ""), IF(AND(A503&lt;&gt;"", IFERROR(_xlfn.XMATCH(A503,$A$2:$A$1063,0,1)&lt;&gt;_xlfn.XMATCH(A503,$A$2:$A$1063,0,-1),FALSE)), "Código de barras duplicado", ""), IF(AND(E503&lt;&gt;"", COUNTIF($E$2:$E$1063, E503)&gt;1), "SKU duplicado", ""), IF(OR(J503="", J503=""), "[Aviso] División no capturada ()", IF(ISNA(MATCH(J503, Criterios!$A$123:$A$126, 0)), "División no válida", "")), IF(OR(K503="", K503=""), "[Aviso] Categoría no capturada ()", IF(ISNA(MATCH(K503, Criterios!$A$81:$A$120, 0)), "Categoría no válida", IF(AND(J503&lt;&gt;"", J503&lt;&gt;"", J503&lt;&gt;VLOOKUP(K503, Criterios!$A$81:$B$120, 2, FALSE)), "División no coincide con Categoría", ""))), IF(OR(L503="", L503=""), "[Aviso] Género no capturado ()", IF(ISNA(MATCH(L503, Criterios!$B$123:$B$127, 0)), "Género no válido", "")), IF(OR(N503="", N503=""), "[Aviso] Temporada no capturada ()", IF(ISNA(MATCH(N503, Criterios!$C$123:$C$128, 0)), "Temporada no válida", "")), IF(OR(O503="", O503=""), "[Aviso] Ciclo de vida no capturado ()", IF(ISNA(MATCH(O503, Criterios!$D$123:$D$124, 0)), "Ciclo de vida no válido", ""))))</f>
        <v/>
      </c>
      <c r="AC503" s="56" t="n"/>
      <c r="AD503" s="51" t="n"/>
      <c r="AE503" s="156" t="n"/>
      <c r="AF503" s="51" t="n"/>
      <c r="AG503" s="156" t="inlineStr">
        <is>
          <t>Nuevo – Carga Hoja2 01/10/2026</t>
        </is>
      </c>
      <c r="AH503" s="156" t="inlineStr">
        <is>
          <t>Alta 01/10/2026 desde Hoja2 (fila 302) | 01/10/2026: Odoo Universal Unique Brands trae Marca «Montana West» — se conservó el valor de Productos | Homologación G1522 06/10/2026: Validador Shopify: WB: precio con IVA no termina en 9</t>
        </is>
      </c>
      <c r="AI503" s="156" t="n"/>
      <c r="AJ503" s="156" t="n"/>
      <c r="AK503" s="155" t="inlineStr">
        <is>
          <t>Hoja2: fila 302 | Odoo: producto 27436 / plantilla 34136</t>
        </is>
      </c>
      <c r="AL503" s="58" t="n"/>
      <c r="AM503" s="58" t="n"/>
      <c r="AN503" s="155" t="inlineStr">
        <is>
          <t>Odoo Universal Unique Brands</t>
        </is>
      </c>
      <c r="AO503" s="59" t="n"/>
      <c r="AP503" s="59" t="n"/>
      <c r="AQ503" s="59" t="n">
        <v>4</v>
      </c>
      <c r="AR503" s="155" t="inlineStr">
        <is>
          <t>Odoo Universal Unique Brands › Bodega 25 › Bodega 25/General: 4</t>
        </is>
      </c>
    </row>
    <row r="504">
      <c r="A504" s="50" t="inlineStr">
        <is>
          <t>717325229299</t>
        </is>
      </c>
      <c r="B504" s="51" t="inlineStr">
        <is>
          <t>27437</t>
        </is>
      </c>
      <c r="C504" s="156" t="inlineStr">
        <is>
          <t>Wrangler</t>
        </is>
      </c>
      <c r="D504" s="156" t="inlineStr">
        <is>
          <t>WG229-603RD</t>
        </is>
      </c>
      <c r="E504" s="156" t="inlineStr">
        <is>
          <t>WG229-603RD</t>
        </is>
      </c>
      <c r="F504" s="156" t="inlineStr">
        <is>
          <t>Talla única</t>
        </is>
      </c>
      <c r="G504" s="156" t="inlineStr">
        <is>
          <t>One Size</t>
        </is>
      </c>
      <c r="H504" s="156" t="inlineStr">
        <is>
          <t>Wrangler</t>
        </is>
      </c>
      <c r="I504" s="156" t="inlineStr">
        <is>
          <t>Bolsa Transparente Wrangler Rojo</t>
        </is>
      </c>
      <c r="J504" s="156" t="inlineStr">
        <is>
          <t>Accesorios</t>
        </is>
      </c>
      <c r="K504" s="156" t="inlineStr">
        <is>
          <t>Bolsos</t>
        </is>
      </c>
      <c r="L504" s="156" t="inlineStr">
        <is>
          <t>Unisex</t>
        </is>
      </c>
      <c r="M504" s="156" t="inlineStr">
        <is>
          <t>Wrangler</t>
        </is>
      </c>
      <c r="N504" s="156" t="n"/>
      <c r="O504" s="156" t="inlineStr">
        <is>
          <t>Core</t>
        </is>
      </c>
      <c r="P504" s="156" t="inlineStr">
        <is>
          <t>Rojo</t>
        </is>
      </c>
      <c r="Q504" s="156" t="n"/>
      <c r="R504" s="156" t="n"/>
      <c r="S504" s="156" t="n"/>
      <c r="T504" s="156" t="inlineStr">
        <is>
          <t>Bolsa Transparente Wrangler. Color: Rojo. Talla única. Unisex. Referencia: WG229-603RD.</t>
        </is>
      </c>
      <c r="U504" s="156" t="n"/>
      <c r="V504" s="156" t="inlineStr">
        <is>
          <t>PZS</t>
        </is>
      </c>
      <c r="W504" s="51" t="inlineStr">
        <is>
          <t>53121601</t>
        </is>
      </c>
      <c r="X504" s="156" t="n"/>
      <c r="Y504" s="54" t="n">
        <v>172.5</v>
      </c>
      <c r="Z504" s="54" t="n">
        <v>299</v>
      </c>
      <c r="AA504" s="55">
        <f>IF(AND(A504="", B504="", E504=""), "", IF(AB504="", "Válido", IF((LEN(AB504)-LEN(SUBSTITUTE(AB504,"; ","")))/2+1&gt;(LEN(AB504)-LEN(SUBSTITUTE(AB504,"[Aviso]","")))/7, "Con Incidencias", "Válido")))</f>
        <v/>
      </c>
      <c r="AB504" s="56">
        <f>IF(AND(A504="", B504="", E504=""), "", TEXTJOIN("; ", TRUE, IF(OR(TRIM(A504&amp;"")="", ISNUMBER(SEARCH("FALTA", A504))), "UPC faltante/inválido", ""), IF(AND(A504&lt;&gt;"", IFERROR(_xlfn.XMATCH(A504,$A$2:$A$1063,0,1)&lt;&gt;_xlfn.XMATCH(A504,$A$2:$A$1063,0,-1),FALSE)), "Código de barras duplicado", ""), IF(AND(E504&lt;&gt;"", COUNTIF($E$2:$E$1063, E504)&gt;1), "SKU duplicado", ""), IF(OR(J504="", J504=""), "[Aviso] División no capturada ()", IF(ISNA(MATCH(J504, Criterios!$A$123:$A$126, 0)), "División no válida", "")), IF(OR(K504="", K504=""), "[Aviso] Categoría no capturada ()", IF(ISNA(MATCH(K504, Criterios!$A$81:$A$120, 0)), "Categoría no válida", IF(AND(J504&lt;&gt;"", J504&lt;&gt;"", J504&lt;&gt;VLOOKUP(K504, Criterios!$A$81:$B$120, 2, FALSE)), "División no coincide con Categoría", ""))), IF(OR(L504="", L504=""), "[Aviso] Género no capturado ()", IF(ISNA(MATCH(L504, Criterios!$B$123:$B$127, 0)), "Género no válido", "")), IF(OR(N504="", N504=""), "[Aviso] Temporada no capturada ()", IF(ISNA(MATCH(N504, Criterios!$C$123:$C$128, 0)), "Temporada no válida", "")), IF(OR(O504="", O504=""), "[Aviso] Ciclo de vida no capturado ()", IF(ISNA(MATCH(O504, Criterios!$D$123:$D$124, 0)), "Ciclo de vida no válido", ""))))</f>
        <v/>
      </c>
      <c r="AC504" s="56" t="n"/>
      <c r="AD504" s="51" t="n"/>
      <c r="AE504" s="156" t="n"/>
      <c r="AF504" s="51" t="n"/>
      <c r="AG504" s="156" t="inlineStr">
        <is>
          <t>Nuevo – Carga Hoja2 01/10/2026</t>
        </is>
      </c>
      <c r="AH504" s="156" t="inlineStr">
        <is>
          <t>Alta 01/10/2026 desde Hoja2 (fila 303) | 01/10/2026: Odoo Universal Unique Brands trae Marca «Montana West» — se conservó el valor de Productos | Homologación G1522 06/10/2026: Validador Shopify: WB: precio con IVA no termina en 9</t>
        </is>
      </c>
      <c r="AI504" s="156" t="n"/>
      <c r="AJ504" s="156" t="n"/>
      <c r="AK504" s="155" t="inlineStr">
        <is>
          <t>Hoja2: fila 303 | Odoo: producto 27437 / plantilla 34137</t>
        </is>
      </c>
      <c r="AL504" s="58" t="n"/>
      <c r="AM504" s="58" t="n"/>
      <c r="AN504" s="155" t="inlineStr">
        <is>
          <t>Odoo Universal Unique Brands</t>
        </is>
      </c>
      <c r="AO504" s="59" t="n"/>
      <c r="AP504" s="59" t="n"/>
      <c r="AQ504" s="59" t="n">
        <v>4</v>
      </c>
      <c r="AR504" s="155" t="inlineStr">
        <is>
          <t>Odoo Universal Unique Brands › Bodega 25 › Bodega 25/General: 4</t>
        </is>
      </c>
    </row>
    <row r="505">
      <c r="A505" s="50" t="inlineStr">
        <is>
          <t>717690432133</t>
        </is>
      </c>
      <c r="B505" s="51" t="inlineStr">
        <is>
          <t>27438</t>
        </is>
      </c>
      <c r="C505" s="156" t="inlineStr">
        <is>
          <t>Wrangler</t>
        </is>
      </c>
      <c r="D505" s="156" t="inlineStr">
        <is>
          <t>WG233-2001BK</t>
        </is>
      </c>
      <c r="E505" s="156" t="inlineStr">
        <is>
          <t>WG233-2001BK</t>
        </is>
      </c>
      <c r="F505" s="156" t="inlineStr">
        <is>
          <t>Talla única</t>
        </is>
      </c>
      <c r="G505" s="156" t="inlineStr">
        <is>
          <t>One Size</t>
        </is>
      </c>
      <c r="H505" s="156" t="inlineStr">
        <is>
          <t>Wrangler</t>
        </is>
      </c>
      <c r="I505" s="156" t="inlineStr">
        <is>
          <t>Bolsa Hobo Grande Cruzada Wrangler Bordada Azteca Con Flecos Negro</t>
        </is>
      </c>
      <c r="J505" s="156" t="inlineStr">
        <is>
          <t>Accesorios</t>
        </is>
      </c>
      <c r="K505" s="156" t="inlineStr">
        <is>
          <t>Bolsos</t>
        </is>
      </c>
      <c r="L505" s="156" t="inlineStr">
        <is>
          <t>Unisex</t>
        </is>
      </c>
      <c r="M505" s="156" t="inlineStr">
        <is>
          <t>Wrangler</t>
        </is>
      </c>
      <c r="N505" s="156" t="n"/>
      <c r="O505" s="156" t="inlineStr">
        <is>
          <t>Core</t>
        </is>
      </c>
      <c r="P505" s="156" t="inlineStr">
        <is>
          <t>Negro</t>
        </is>
      </c>
      <c r="Q505" s="156" t="n"/>
      <c r="R505" s="156" t="n"/>
      <c r="S505" s="156" t="n"/>
      <c r="T505" s="156" t="inlineStr">
        <is>
          <t>Bolsa Hobo Grande Cruzada Wrangler. Modelo: Bordada Azteca Con Flecos. Color: Negro. Talla única. Unisex. Referencia: WG233-2001BK.</t>
        </is>
      </c>
      <c r="U505" s="156" t="n"/>
      <c r="V505" s="156" t="inlineStr">
        <is>
          <t>PZS</t>
        </is>
      </c>
      <c r="W505" s="51" t="inlineStr">
        <is>
          <t>53121601</t>
        </is>
      </c>
      <c r="X505" s="156" t="n"/>
      <c r="Y505" s="54" t="n">
        <v>483</v>
      </c>
      <c r="Z505" s="54" t="n">
        <v>799</v>
      </c>
      <c r="AA505" s="55">
        <f>IF(AND(A505="", B505="", E505=""), "", IF(AB505="", "Válido", IF((LEN(AB505)-LEN(SUBSTITUTE(AB505,"; ","")))/2+1&gt;(LEN(AB505)-LEN(SUBSTITUTE(AB505,"[Aviso]","")))/7, "Con Incidencias", "Válido")))</f>
        <v/>
      </c>
      <c r="AB505" s="56">
        <f>IF(AND(A505="", B505="", E505=""), "", TEXTJOIN("; ", TRUE, IF(OR(TRIM(A505&amp;"")="", ISNUMBER(SEARCH("FALTA", A505))), "UPC faltante/inválido", ""), IF(AND(A505&lt;&gt;"", IFERROR(_xlfn.XMATCH(A505,$A$2:$A$1063,0,1)&lt;&gt;_xlfn.XMATCH(A505,$A$2:$A$1063,0,-1),FALSE)), "Código de barras duplicado", ""), IF(AND(E505&lt;&gt;"", COUNTIF($E$2:$E$1063, E505)&gt;1), "SKU duplicado", ""), IF(OR(J505="", J505=""), "[Aviso] División no capturada ()", IF(ISNA(MATCH(J505, Criterios!$A$123:$A$126, 0)), "División no válida", "")), IF(OR(K505="", K505=""), "[Aviso] Categoría no capturada ()", IF(ISNA(MATCH(K505, Criterios!$A$81:$A$120, 0)), "Categoría no válida", IF(AND(J505&lt;&gt;"", J505&lt;&gt;"", J505&lt;&gt;VLOOKUP(K505, Criterios!$A$81:$B$120, 2, FALSE)), "División no coincide con Categoría", ""))), IF(OR(L505="", L505=""), "[Aviso] Género no capturado ()", IF(ISNA(MATCH(L505, Criterios!$B$123:$B$127, 0)), "Género no válido", "")), IF(OR(N505="", N505=""), "[Aviso] Temporada no capturada ()", IF(ISNA(MATCH(N505, Criterios!$C$123:$C$128, 0)), "Temporada no válida", "")), IF(OR(O505="", O505=""), "[Aviso] Ciclo de vida no capturado ()", IF(ISNA(MATCH(O505, Criterios!$D$123:$D$124, 0)), "Ciclo de vida no válido", ""))))</f>
        <v/>
      </c>
      <c r="AC505" s="56" t="n"/>
      <c r="AD505" s="51" t="n"/>
      <c r="AE505" s="156" t="n"/>
      <c r="AF505" s="51" t="n"/>
      <c r="AG505" s="156" t="inlineStr">
        <is>
          <t>Nuevo – Carga Hoja2 01/10/2026</t>
        </is>
      </c>
      <c r="AH505" s="156" t="inlineStr">
        <is>
          <t>Alta 01/10/2026 desde Hoja2 (fila 304) | 01/10/2026: Odoo Universal Unique Brands trae Marca «Montana West» — se conservó el valor de Productos | Homologación G1522 06/10/2026: Validador Shopify: WB: precio con IVA no termina en 9</t>
        </is>
      </c>
      <c r="AI505" s="156" t="n"/>
      <c r="AJ505" s="156" t="n"/>
      <c r="AK505" s="155" t="inlineStr">
        <is>
          <t>Hoja2: fila 304 | Odoo: producto 27438 / plantilla 34138</t>
        </is>
      </c>
      <c r="AL505" s="58" t="n"/>
      <c r="AM505" s="58" t="n"/>
      <c r="AN505" s="155" t="inlineStr">
        <is>
          <t>Odoo Universal Unique Brands</t>
        </is>
      </c>
      <c r="AO505" s="59" t="n"/>
      <c r="AP505" s="59" t="n"/>
      <c r="AQ505" s="59" t="n">
        <v>3</v>
      </c>
      <c r="AR505" s="155" t="inlineStr">
        <is>
          <t>Odoo Universal Unique Brands › Bodega 25 › Bodega 25/General: 3</t>
        </is>
      </c>
    </row>
    <row r="506">
      <c r="A506" s="50" t="inlineStr">
        <is>
          <t>717690431969</t>
        </is>
      </c>
      <c r="B506" s="51" t="inlineStr">
        <is>
          <t>27439</t>
        </is>
      </c>
      <c r="C506" s="156" t="inlineStr">
        <is>
          <t>Wrangler</t>
        </is>
      </c>
      <c r="D506" s="156" t="inlineStr">
        <is>
          <t>WG233-2002BK</t>
        </is>
      </c>
      <c r="E506" s="156" t="inlineStr">
        <is>
          <t>WG233-2002BK</t>
        </is>
      </c>
      <c r="F506" s="156" t="inlineStr">
        <is>
          <t>Talla única</t>
        </is>
      </c>
      <c r="G506" s="156" t="inlineStr">
        <is>
          <t>One Size</t>
        </is>
      </c>
      <c r="H506" s="156" t="inlineStr">
        <is>
          <t>Wrangler</t>
        </is>
      </c>
      <c r="I506" s="156" t="inlineStr">
        <is>
          <t>Bolsa Tote Wrangler Bordada Azteca Grande Negro</t>
        </is>
      </c>
      <c r="J506" s="156" t="inlineStr">
        <is>
          <t>Accesorios</t>
        </is>
      </c>
      <c r="K506" s="156" t="inlineStr">
        <is>
          <t>Bolsos</t>
        </is>
      </c>
      <c r="L506" s="156" t="inlineStr">
        <is>
          <t>Unisex</t>
        </is>
      </c>
      <c r="M506" s="156" t="inlineStr">
        <is>
          <t>Wrangler</t>
        </is>
      </c>
      <c r="N506" s="156" t="n"/>
      <c r="O506" s="156" t="inlineStr">
        <is>
          <t>Core</t>
        </is>
      </c>
      <c r="P506" s="156" t="inlineStr">
        <is>
          <t>Negro</t>
        </is>
      </c>
      <c r="Q506" s="156" t="n"/>
      <c r="R506" s="156" t="n"/>
      <c r="S506" s="156" t="n"/>
      <c r="T506" s="156" t="inlineStr">
        <is>
          <t>Bolsa Tote Wrangler. Modelo: Bordada Azteca Grande. Color: Negro. Talla única. Unisex. Referencia: WG233-2002BK.</t>
        </is>
      </c>
      <c r="U506" s="156" t="n"/>
      <c r="V506" s="156" t="inlineStr">
        <is>
          <t>PZS</t>
        </is>
      </c>
      <c r="W506" s="51" t="inlineStr">
        <is>
          <t>53121601</t>
        </is>
      </c>
      <c r="X506" s="156" t="n"/>
      <c r="Y506" s="54" t="n">
        <v>517.5</v>
      </c>
      <c r="Z506" s="54" t="n">
        <v>849</v>
      </c>
      <c r="AA506" s="55">
        <f>IF(AND(A506="", B506="", E506=""), "", IF(AB506="", "Válido", IF((LEN(AB506)-LEN(SUBSTITUTE(AB506,"; ","")))/2+1&gt;(LEN(AB506)-LEN(SUBSTITUTE(AB506,"[Aviso]","")))/7, "Con Incidencias", "Válido")))</f>
        <v/>
      </c>
      <c r="AB506" s="56">
        <f>IF(AND(A506="", B506="", E506=""), "", TEXTJOIN("; ", TRUE, IF(OR(TRIM(A506&amp;"")="", ISNUMBER(SEARCH("FALTA", A506))), "UPC faltante/inválido", ""), IF(AND(A506&lt;&gt;"", IFERROR(_xlfn.XMATCH(A506,$A$2:$A$1063,0,1)&lt;&gt;_xlfn.XMATCH(A506,$A$2:$A$1063,0,-1),FALSE)), "Código de barras duplicado", ""), IF(AND(E506&lt;&gt;"", COUNTIF($E$2:$E$1063, E506)&gt;1), "SKU duplicado", ""), IF(OR(J506="", J506=""), "[Aviso] División no capturada ()", IF(ISNA(MATCH(J506, Criterios!$A$123:$A$126, 0)), "División no válida", "")), IF(OR(K506="", K506=""), "[Aviso] Categoría no capturada ()", IF(ISNA(MATCH(K506, Criterios!$A$81:$A$120, 0)), "Categoría no válida", IF(AND(J506&lt;&gt;"", J506&lt;&gt;"", J506&lt;&gt;VLOOKUP(K506, Criterios!$A$81:$B$120, 2, FALSE)), "División no coincide con Categoría", ""))), IF(OR(L506="", L506=""), "[Aviso] Género no capturado ()", IF(ISNA(MATCH(L506, Criterios!$B$123:$B$127, 0)), "Género no válido", "")), IF(OR(N506="", N506=""), "[Aviso] Temporada no capturada ()", IF(ISNA(MATCH(N506, Criterios!$C$123:$C$128, 0)), "Temporada no válida", "")), IF(OR(O506="", O506=""), "[Aviso] Ciclo de vida no capturado ()", IF(ISNA(MATCH(O506, Criterios!$D$123:$D$124, 0)), "Ciclo de vida no válido", ""))))</f>
        <v/>
      </c>
      <c r="AC506" s="56" t="n"/>
      <c r="AD506" s="51" t="n"/>
      <c r="AE506" s="156" t="n"/>
      <c r="AF506" s="51" t="n"/>
      <c r="AG506" s="156" t="inlineStr">
        <is>
          <t>Nuevo – Carga Hoja2 01/10/2026</t>
        </is>
      </c>
      <c r="AH506" s="156" t="inlineStr">
        <is>
          <t>Alta 01/10/2026 desde Hoja2 (fila 305) | 01/10/2026: Odoo Universal Unique Brands trae Marca «Montana West» — se conservó el valor de Productos | Homologación G1522 06/10/2026: Validador Shopify: WB: precio con IVA no termina en 9</t>
        </is>
      </c>
      <c r="AI506" s="156" t="n"/>
      <c r="AJ506" s="156" t="n"/>
      <c r="AK506" s="155" t="inlineStr">
        <is>
          <t>Hoja2: fila 305 | Odoo: producto 27439 / plantilla 34139</t>
        </is>
      </c>
      <c r="AL506" s="58" t="n"/>
      <c r="AM506" s="58" t="n"/>
      <c r="AN506" s="155" t="inlineStr">
        <is>
          <t>Odoo Universal Unique Brands</t>
        </is>
      </c>
      <c r="AO506" s="59" t="n"/>
      <c r="AP506" s="59" t="n"/>
      <c r="AQ506" s="59" t="n">
        <v>4</v>
      </c>
      <c r="AR506" s="155" t="inlineStr">
        <is>
          <t>Odoo Universal Unique Brands › Bodega 25 › Bodega 25/General: 4</t>
        </is>
      </c>
    </row>
    <row r="507">
      <c r="A507" s="50" t="n"/>
      <c r="B507" s="51" t="inlineStr">
        <is>
          <t>27442</t>
        </is>
      </c>
      <c r="C507" s="156" t="inlineStr">
        <is>
          <t>Montana West</t>
        </is>
      </c>
      <c r="D507" s="156" t="n"/>
      <c r="E507" s="156" t="inlineStr">
        <is>
          <t>WG233-2009BR</t>
        </is>
      </c>
      <c r="F507" s="156" t="inlineStr">
        <is>
          <t>Talla única</t>
        </is>
      </c>
      <c r="G507" s="156" t="inlineStr">
        <is>
          <t>One Size</t>
        </is>
      </c>
      <c r="H507" s="156" t="inlineStr">
        <is>
          <t>Montana West</t>
        </is>
      </c>
      <c r="I507" s="156" t="inlineStr">
        <is>
          <t>WG BAG</t>
        </is>
      </c>
      <c r="J507" s="156" t="inlineStr">
        <is>
          <t>Accesorios</t>
        </is>
      </c>
      <c r="K507" s="156" t="inlineStr">
        <is>
          <t>Bolsos</t>
        </is>
      </c>
      <c r="L507" s="156" t="inlineStr">
        <is>
          <t>Unisex</t>
        </is>
      </c>
      <c r="M507" s="156" t="n"/>
      <c r="N507" s="156" t="n"/>
      <c r="O507" s="156" t="n"/>
      <c r="P507" s="156" t="n"/>
      <c r="Q507" s="156" t="n"/>
      <c r="R507" s="156" t="n"/>
      <c r="S507" s="156" t="n"/>
      <c r="T507" s="156" t="n"/>
      <c r="U507" s="156" t="n"/>
      <c r="V507" s="156" t="inlineStr">
        <is>
          <t>PZS</t>
        </is>
      </c>
      <c r="W507" s="51" t="inlineStr">
        <is>
          <t>53121601</t>
        </is>
      </c>
      <c r="X507" s="156" t="n"/>
      <c r="Y507" s="54" t="n">
        <v>483</v>
      </c>
      <c r="Z507" s="54" t="n">
        <v>799</v>
      </c>
      <c r="AA507" s="55">
        <f>IF(AND(A507="", B507="", E507=""), "", IF(AB507="", "Válido", IF((LEN(AB507)-LEN(SUBSTITUTE(AB507,"; ","")))/2+1&gt;(LEN(AB507)-LEN(SUBSTITUTE(AB507,"[Aviso]","")))/7, "Con Incidencias", "Válido")))</f>
        <v/>
      </c>
      <c r="AB507" s="56">
        <f>IF(AND(A507="", B507="", E507=""), "", TEXTJOIN("; ", TRUE, IF(OR(TRIM(A507&amp;"")="", ISNUMBER(SEARCH("FALTA", A507))), "UPC faltante/inválido", ""), IF(AND(A507&lt;&gt;"", IFERROR(_xlfn.XMATCH(A507,$A$2:$A$1063,0,1)&lt;&gt;_xlfn.XMATCH(A507,$A$2:$A$1063,0,-1),FALSE)), "Código de barras duplicado", ""), IF(AND(E507&lt;&gt;"", COUNTIF($E$2:$E$1063, E507)&gt;1), "SKU duplicado", ""), IF(OR(J507="", J507=""), "[Aviso] División no capturada ()", IF(ISNA(MATCH(J507, Criterios!$A$123:$A$126, 0)), "División no válida", "")), IF(OR(K507="", K507=""), "[Aviso] Categoría no capturada ()", IF(ISNA(MATCH(K507, Criterios!$A$81:$A$120, 0)), "Categoría no válida", IF(AND(J507&lt;&gt;"", J507&lt;&gt;"", J507&lt;&gt;VLOOKUP(K507, Criterios!$A$81:$B$120, 2, FALSE)), "División no coincide con Categoría", ""))), IF(OR(L507="", L507=""), "[Aviso] Género no capturado ()", IF(ISNA(MATCH(L507, Criterios!$B$123:$B$127, 0)), "Género no válido", "")), IF(OR(N507="", N507=""), "[Aviso] Temporada no capturada ()", IF(ISNA(MATCH(N507, Criterios!$C$123:$C$128, 0)), "Temporada no válida", "")), IF(OR(O507="", O507=""), "[Aviso] Ciclo de vida no capturado ()", IF(ISNA(MATCH(O507, Criterios!$D$123:$D$124, 0)), "Ciclo de vida no válido", ""))))</f>
        <v/>
      </c>
      <c r="AC507" s="56" t="n"/>
      <c r="AD507" s="51" t="n"/>
      <c r="AE507" s="156" t="n"/>
      <c r="AF507" s="51" t="n"/>
      <c r="AG507" s="156" t="inlineStr">
        <is>
          <t>Nuevo – Carga Hoja2 01/10/2026</t>
        </is>
      </c>
      <c r="AH507" s="156" t="inlineStr">
        <is>
          <t>Alta 01/10/2026 desde Hoja2 (fila 306) | 01/10/2026: complementado desde Odoo Universal Unique Brands (match por SKU): WB Talla, WB Talla de EE. UU., WB Género | Homologación G1522 06/10/2026: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507" s="156" t="n"/>
      <c r="AJ507" s="156" t="n"/>
      <c r="AK507" s="155" t="inlineStr">
        <is>
          <t>Hoja2: fila 306 | Odoo: producto 27442 / plantilla 34142</t>
        </is>
      </c>
      <c r="AL507" s="58" t="n"/>
      <c r="AM507" s="58" t="n"/>
      <c r="AN507" s="155" t="inlineStr">
        <is>
          <t>Odoo Universal Unique Brands</t>
        </is>
      </c>
      <c r="AO507" s="59" t="n"/>
      <c r="AP507" s="59" t="n"/>
      <c r="AQ507" s="59" t="n">
        <v>-9</v>
      </c>
      <c r="AR507" s="155" t="n"/>
    </row>
    <row r="508">
      <c r="A508" s="50" t="inlineStr">
        <is>
          <t>717690432102</t>
        </is>
      </c>
      <c r="B508" s="51" t="inlineStr">
        <is>
          <t>27444</t>
        </is>
      </c>
      <c r="C508" s="156" t="inlineStr">
        <is>
          <t>Wrangler</t>
        </is>
      </c>
      <c r="D508" s="156" t="inlineStr">
        <is>
          <t>WG233-2009TN</t>
        </is>
      </c>
      <c r="E508" s="156" t="inlineStr">
        <is>
          <t>WG233-2009TN</t>
        </is>
      </c>
      <c r="F508" s="156" t="inlineStr">
        <is>
          <t>Talla única</t>
        </is>
      </c>
      <c r="G508" s="156" t="inlineStr">
        <is>
          <t>One Size</t>
        </is>
      </c>
      <c r="H508" s="156" t="inlineStr">
        <is>
          <t>Wrangler</t>
        </is>
      </c>
      <c r="I508" s="156" t="inlineStr">
        <is>
          <t>Bolsa Tote Cruzada Wrangler Bordada Azteca Camel</t>
        </is>
      </c>
      <c r="J508" s="156" t="inlineStr">
        <is>
          <t>Accesorios</t>
        </is>
      </c>
      <c r="K508" s="156" t="inlineStr">
        <is>
          <t>Bolsos</t>
        </is>
      </c>
      <c r="L508" s="156" t="inlineStr">
        <is>
          <t>Unisex</t>
        </is>
      </c>
      <c r="M508" s="156" t="inlineStr">
        <is>
          <t>Wrangler</t>
        </is>
      </c>
      <c r="N508" s="156" t="n"/>
      <c r="O508" s="156" t="inlineStr">
        <is>
          <t>Core</t>
        </is>
      </c>
      <c r="P508" s="156" t="inlineStr">
        <is>
          <t>Beige</t>
        </is>
      </c>
      <c r="Q508" s="156" t="n"/>
      <c r="R508" s="156" t="n"/>
      <c r="S508" s="156" t="n"/>
      <c r="T508" s="156" t="inlineStr">
        <is>
          <t>Bolsa Tote Cruzada Wrangler. Modelo: Bordada Azteca. Color: Camel. Talla única. Unisex. Referencia: WG233-2009TN.</t>
        </is>
      </c>
      <c r="U508" s="156" t="n"/>
      <c r="V508" s="156" t="inlineStr">
        <is>
          <t>PZS</t>
        </is>
      </c>
      <c r="W508" s="51" t="inlineStr">
        <is>
          <t>53121601</t>
        </is>
      </c>
      <c r="X508" s="156" t="n"/>
      <c r="Y508" s="54" t="n">
        <v>483</v>
      </c>
      <c r="Z508" s="54" t="n">
        <v>799</v>
      </c>
      <c r="AA508" s="55">
        <f>IF(AND(A508="", B508="", E508=""), "", IF(AB508="", "Válido", IF((LEN(AB508)-LEN(SUBSTITUTE(AB508,"; ","")))/2+1&gt;(LEN(AB508)-LEN(SUBSTITUTE(AB508,"[Aviso]","")))/7, "Con Incidencias", "Válido")))</f>
        <v/>
      </c>
      <c r="AB508" s="56">
        <f>IF(AND(A508="", B508="", E508=""), "", TEXTJOIN("; ", TRUE, IF(OR(TRIM(A508&amp;"")="", ISNUMBER(SEARCH("FALTA", A508))), "UPC faltante/inválido", ""), IF(AND(A508&lt;&gt;"", IFERROR(_xlfn.XMATCH(A508,$A$2:$A$1063,0,1)&lt;&gt;_xlfn.XMATCH(A508,$A$2:$A$1063,0,-1),FALSE)), "Código de barras duplicado", ""), IF(AND(E508&lt;&gt;"", COUNTIF($E$2:$E$1063, E508)&gt;1), "SKU duplicado", ""), IF(OR(J508="", J508=""), "[Aviso] División no capturada ()", IF(ISNA(MATCH(J508, Criterios!$A$123:$A$126, 0)), "División no válida", "")), IF(OR(K508="", K508=""), "[Aviso] Categoría no capturada ()", IF(ISNA(MATCH(K508, Criterios!$A$81:$A$120, 0)), "Categoría no válida", IF(AND(J508&lt;&gt;"", J508&lt;&gt;"", J508&lt;&gt;VLOOKUP(K508, Criterios!$A$81:$B$120, 2, FALSE)), "División no coincide con Categoría", ""))), IF(OR(L508="", L508=""), "[Aviso] Género no capturado ()", IF(ISNA(MATCH(L508, Criterios!$B$123:$B$127, 0)), "Género no válido", "")), IF(OR(N508="", N508=""), "[Aviso] Temporada no capturada ()", IF(ISNA(MATCH(N508, Criterios!$C$123:$C$128, 0)), "Temporada no válida", "")), IF(OR(O508="", O508=""), "[Aviso] Ciclo de vida no capturado ()", IF(ISNA(MATCH(O508, Criterios!$D$123:$D$124, 0)), "Ciclo de vida no válido", ""))))</f>
        <v/>
      </c>
      <c r="AC508" s="56" t="n"/>
      <c r="AD508" s="51" t="n"/>
      <c r="AE508" s="156" t="n"/>
      <c r="AF508" s="51" t="n"/>
      <c r="AG508" s="156" t="inlineStr">
        <is>
          <t>Nuevo – Carga Hoja2 01/10/2026</t>
        </is>
      </c>
      <c r="AH508" s="156" t="inlineStr">
        <is>
          <t>Alta 01/10/2026 desde Hoja2 (fila 307) | 01/10/2026: Odoo Universal Unique Brands trae Marca «Montana West» — se conservó el valor de Productos | Homologación G1522 06/10/2026: Validador Shopify: WB: precio con IVA no termina en 9</t>
        </is>
      </c>
      <c r="AI508" s="156" t="n"/>
      <c r="AJ508" s="156" t="n"/>
      <c r="AK508" s="155" t="inlineStr">
        <is>
          <t>Hoja2: fila 307 | Odoo: producto 27444 / plantilla 34144</t>
        </is>
      </c>
      <c r="AL508" s="58" t="n"/>
      <c r="AM508" s="58" t="n"/>
      <c r="AN508" s="155" t="inlineStr">
        <is>
          <t>Odoo Universal Unique Brands</t>
        </is>
      </c>
      <c r="AO508" s="59" t="n"/>
      <c r="AP508" s="59" t="n"/>
      <c r="AQ508" s="59" t="n">
        <v>2</v>
      </c>
      <c r="AR508" s="155" t="inlineStr">
        <is>
          <t>Odoo Universal Unique Brands › Bodega 25 › Bodega 25/General: 2</t>
        </is>
      </c>
    </row>
    <row r="509">
      <c r="A509" s="50" t="inlineStr">
        <is>
          <t>717690432249</t>
        </is>
      </c>
      <c r="B509" s="51" t="inlineStr">
        <is>
          <t>27446</t>
        </is>
      </c>
      <c r="C509" s="156" t="inlineStr">
        <is>
          <t>Wrangler</t>
        </is>
      </c>
      <c r="D509" s="156" t="inlineStr">
        <is>
          <t>WG233-3027BK</t>
        </is>
      </c>
      <c r="E509" s="156" t="inlineStr">
        <is>
          <t>WG233-3027BK</t>
        </is>
      </c>
      <c r="F509" s="156" t="inlineStr">
        <is>
          <t>Talla única</t>
        </is>
      </c>
      <c r="G509" s="156" t="inlineStr">
        <is>
          <t>One Size</t>
        </is>
      </c>
      <c r="H509" s="156" t="inlineStr">
        <is>
          <t>Wrangler</t>
        </is>
      </c>
      <c r="I509" s="156" t="inlineStr">
        <is>
          <t>Bolsa Hobo Wrangler Bordada Azteca Grande Negro</t>
        </is>
      </c>
      <c r="J509" s="156" t="inlineStr">
        <is>
          <t>Accesorios</t>
        </is>
      </c>
      <c r="K509" s="156" t="inlineStr">
        <is>
          <t>Bolsos</t>
        </is>
      </c>
      <c r="L509" s="156" t="inlineStr">
        <is>
          <t>Unisex</t>
        </is>
      </c>
      <c r="M509" s="156" t="inlineStr">
        <is>
          <t>Wrangler</t>
        </is>
      </c>
      <c r="N509" s="156" t="n"/>
      <c r="O509" s="156" t="inlineStr">
        <is>
          <t>Core</t>
        </is>
      </c>
      <c r="P509" s="156" t="inlineStr">
        <is>
          <t>Negro</t>
        </is>
      </c>
      <c r="Q509" s="156" t="n"/>
      <c r="R509" s="156" t="n"/>
      <c r="S509" s="156" t="n"/>
      <c r="T509" s="156" t="inlineStr">
        <is>
          <t>Bolsa Hobo Wrangler. Modelo: Bordada Azteca Grande. Color: Negro. Talla única. Unisex. Referencia: WG233-3027BK.</t>
        </is>
      </c>
      <c r="U509" s="156" t="n"/>
      <c r="V509" s="156" t="inlineStr">
        <is>
          <t>PZS</t>
        </is>
      </c>
      <c r="W509" s="51" t="inlineStr">
        <is>
          <t>53121601</t>
        </is>
      </c>
      <c r="X509" s="156" t="inlineStr">
        <is>
          <t>https://cdn.shopify.com/s/files/1/0005/9015/1741/files/Wrangler_Aztec_Embroidered_Wide_Hobo_Bag_Black4.webp?v=1758506401</t>
        </is>
      </c>
      <c r="Y509" s="54" t="n">
        <v>483</v>
      </c>
      <c r="Z509" s="54" t="n">
        <v>799</v>
      </c>
      <c r="AA509" s="55">
        <f>IF(AND(A509="", B509="", E509=""), "", IF(AB509="", "Válido", IF((LEN(AB509)-LEN(SUBSTITUTE(AB509,"; ","")))/2+1&gt;(LEN(AB509)-LEN(SUBSTITUTE(AB509,"[Aviso]","")))/7, "Con Incidencias", "Válido")))</f>
        <v/>
      </c>
      <c r="AB509" s="56">
        <f>IF(AND(A509="", B509="", E509=""), "", TEXTJOIN("; ", TRUE, IF(OR(TRIM(A509&amp;"")="", ISNUMBER(SEARCH("FALTA", A509))), "UPC faltante/inválido", ""), IF(AND(A509&lt;&gt;"", IFERROR(_xlfn.XMATCH(A509,$A$2:$A$1063,0,1)&lt;&gt;_xlfn.XMATCH(A509,$A$2:$A$1063,0,-1),FALSE)), "Código de barras duplicado", ""), IF(AND(E509&lt;&gt;"", COUNTIF($E$2:$E$1063, E509)&gt;1), "SKU duplicado", ""), IF(OR(J509="", J509=""), "[Aviso] División no capturada ()", IF(ISNA(MATCH(J509, Criterios!$A$123:$A$126, 0)), "División no válida", "")), IF(OR(K509="", K509=""), "[Aviso] Categoría no capturada ()", IF(ISNA(MATCH(K509, Criterios!$A$81:$A$120, 0)), "Categoría no válida", IF(AND(J509&lt;&gt;"", J509&lt;&gt;"", J509&lt;&gt;VLOOKUP(K509, Criterios!$A$81:$B$120, 2, FALSE)), "División no coincide con Categoría", ""))), IF(OR(L509="", L509=""), "[Aviso] Género no capturado ()", IF(ISNA(MATCH(L509, Criterios!$B$123:$B$127, 0)), "Género no válido", "")), IF(OR(N509="", N509=""), "[Aviso] Temporada no capturada ()", IF(ISNA(MATCH(N509, Criterios!$C$123:$C$128, 0)), "Temporada no válida", "")), IF(OR(O509="", O509=""), "[Aviso] Ciclo de vida no capturado ()", IF(ISNA(MATCH(O509, Criterios!$D$123:$D$124, 0)), "Ciclo de vida no válido", ""))))</f>
        <v/>
      </c>
      <c r="AC509" s="56" t="n"/>
      <c r="AD509" s="51" t="n"/>
      <c r="AE509" s="156" t="n"/>
      <c r="AF509" s="51" t="n"/>
      <c r="AG509" s="156" t="inlineStr">
        <is>
          <t>Nuevo – Carga Hoja2 01/10/2026</t>
        </is>
      </c>
      <c r="AH509" s="156" t="inlineStr">
        <is>
          <t>Alta 01/10/2026 desde Hoja2 (fila 308) | 01/10/2026: Odoo Universal Unique Brands trae Marca «Montana West» — se conservó el valor de Productos | Homologación G1522 06/10/2026: Enlace de imagen: «» → «https://cdn.shopify.com/s/files/1/0005/9015/1741/files/Wrangler_Aztec_Embroidered_Wide_Hobo_Bag_Black4.webp?v=1758506401» (Completado por investigación en línea) · Validador Shopify: WB: precio con IVA no termina en 9</t>
        </is>
      </c>
      <c r="AI509" s="156" t="n"/>
      <c r="AJ509" s="156" t="n"/>
      <c r="AK509" s="155" t="inlineStr">
        <is>
          <t>Hoja2: fila 308 | Odoo: producto 27446 / plantilla 34146 | Investigación en línea 06/10/2026: https://montanawestworld.com/products/wrangler-aztec-embroidered-wide-hobo-bag</t>
        </is>
      </c>
      <c r="AL509" s="58" t="n"/>
      <c r="AM509" s="58" t="n"/>
      <c r="AN509" s="155" t="inlineStr">
        <is>
          <t>Odoo Universal Unique Brands</t>
        </is>
      </c>
      <c r="AO509" s="59" t="n"/>
      <c r="AP509" s="59" t="n"/>
      <c r="AQ509" s="59" t="n">
        <v>4</v>
      </c>
      <c r="AR509" s="155" t="inlineStr">
        <is>
          <t>Odoo Universal Unique Brands › Bodega 25 › Bodega 25/General: 4</t>
        </is>
      </c>
    </row>
    <row r="510">
      <c r="A510" s="50" t="inlineStr">
        <is>
          <t>717690432256</t>
        </is>
      </c>
      <c r="B510" s="51" t="inlineStr">
        <is>
          <t>27447</t>
        </is>
      </c>
      <c r="C510" s="156" t="inlineStr">
        <is>
          <t>Wrangler</t>
        </is>
      </c>
      <c r="D510" s="156" t="inlineStr">
        <is>
          <t>WG233-3027BR</t>
        </is>
      </c>
      <c r="E510" s="156" t="inlineStr">
        <is>
          <t>WG233-3027BR</t>
        </is>
      </c>
      <c r="F510" s="156" t="inlineStr">
        <is>
          <t>Talla única</t>
        </is>
      </c>
      <c r="G510" s="156" t="inlineStr">
        <is>
          <t>One Size</t>
        </is>
      </c>
      <c r="H510" s="156" t="inlineStr">
        <is>
          <t>Wrangler</t>
        </is>
      </c>
      <c r="I510" s="156" t="inlineStr">
        <is>
          <t>Bolsa Hobo Wrangler Bordada Azteca Grande Café</t>
        </is>
      </c>
      <c r="J510" s="156" t="inlineStr">
        <is>
          <t>Accesorios</t>
        </is>
      </c>
      <c r="K510" s="156" t="inlineStr">
        <is>
          <t>Bolsos</t>
        </is>
      </c>
      <c r="L510" s="156" t="inlineStr">
        <is>
          <t>Unisex</t>
        </is>
      </c>
      <c r="M510" s="156" t="inlineStr">
        <is>
          <t>Wrangler</t>
        </is>
      </c>
      <c r="N510" s="156" t="n"/>
      <c r="O510" s="156" t="inlineStr">
        <is>
          <t>Core</t>
        </is>
      </c>
      <c r="P510" s="156" t="inlineStr">
        <is>
          <t>Cafe</t>
        </is>
      </c>
      <c r="Q510" s="156" t="n"/>
      <c r="R510" s="156" t="n"/>
      <c r="S510" s="156" t="n"/>
      <c r="T510" s="156" t="inlineStr">
        <is>
          <t>Bolsa Hobo Wrangler. Modelo: Bordada Azteca Grande. Color: Café. Talla única. Unisex. Referencia: WG233-3027BR.</t>
        </is>
      </c>
      <c r="U510" s="156" t="n"/>
      <c r="V510" s="156" t="inlineStr">
        <is>
          <t>PZS</t>
        </is>
      </c>
      <c r="W510" s="51" t="inlineStr">
        <is>
          <t>53121601</t>
        </is>
      </c>
      <c r="X510" s="156" t="inlineStr">
        <is>
          <t>https://cdn.shopify.com/s/files/1/0005/9015/1741/files/Wrangler_Aztec_Embroidered_Wide_Hobo_Bag_Brown4.webp?v=1758506401</t>
        </is>
      </c>
      <c r="Y510" s="54" t="n">
        <v>483</v>
      </c>
      <c r="Z510" s="54" t="n">
        <v>799</v>
      </c>
      <c r="AA510" s="55">
        <f>IF(AND(A510="", B510="", E510=""), "", IF(AB510="", "Válido", IF((LEN(AB510)-LEN(SUBSTITUTE(AB510,"; ","")))/2+1&gt;(LEN(AB510)-LEN(SUBSTITUTE(AB510,"[Aviso]","")))/7, "Con Incidencias", "Válido")))</f>
        <v/>
      </c>
      <c r="AB510" s="56">
        <f>IF(AND(A510="", B510="", E510=""), "", TEXTJOIN("; ", TRUE, IF(OR(TRIM(A510&amp;"")="", ISNUMBER(SEARCH("FALTA", A510))), "UPC faltante/inválido", ""), IF(AND(A510&lt;&gt;"", IFERROR(_xlfn.XMATCH(A510,$A$2:$A$1063,0,1)&lt;&gt;_xlfn.XMATCH(A510,$A$2:$A$1063,0,-1),FALSE)), "Código de barras duplicado", ""), IF(AND(E510&lt;&gt;"", COUNTIF($E$2:$E$1063, E510)&gt;1), "SKU duplicado", ""), IF(OR(J510="", J510=""), "[Aviso] División no capturada ()", IF(ISNA(MATCH(J510, Criterios!$A$123:$A$126, 0)), "División no válida", "")), IF(OR(K510="", K510=""), "[Aviso] Categoría no capturada ()", IF(ISNA(MATCH(K510, Criterios!$A$81:$A$120, 0)), "Categoría no válida", IF(AND(J510&lt;&gt;"", J510&lt;&gt;"", J510&lt;&gt;VLOOKUP(K510, Criterios!$A$81:$B$120, 2, FALSE)), "División no coincide con Categoría", ""))), IF(OR(L510="", L510=""), "[Aviso] Género no capturado ()", IF(ISNA(MATCH(L510, Criterios!$B$123:$B$127, 0)), "Género no válido", "")), IF(OR(N510="", N510=""), "[Aviso] Temporada no capturada ()", IF(ISNA(MATCH(N510, Criterios!$C$123:$C$128, 0)), "Temporada no válida", "")), IF(OR(O510="", O510=""), "[Aviso] Ciclo de vida no capturado ()", IF(ISNA(MATCH(O510, Criterios!$D$123:$D$124, 0)), "Ciclo de vida no válido", ""))))</f>
        <v/>
      </c>
      <c r="AC510" s="56" t="n"/>
      <c r="AD510" s="51" t="n"/>
      <c r="AE510" s="156" t="n"/>
      <c r="AF510" s="51" t="n"/>
      <c r="AG510" s="156" t="inlineStr">
        <is>
          <t>Nuevo – Carga Hoja2 01/10/2026</t>
        </is>
      </c>
      <c r="AH510" s="156" t="inlineStr">
        <is>
          <t>Alta 01/10/2026 desde Hoja2 (fila 309) | 01/10/2026: Odoo Universal Unique Brands trae Marca «Montana West» — se conservó el valor de Productos | Homologación G1522 06/10/2026: Enlace de imagen: «» → «https://cdn.shopify.com/s/files/1/0005/9015/1741/files/Wrangler_Aztec_Embroidered_Wide_Hobo_Bag_Brown4.webp?v=1758506401» (Completado por investigación en línea) · Validador Shopify: WB: precio con IVA no termina en 9</t>
        </is>
      </c>
      <c r="AI510" s="156" t="n"/>
      <c r="AJ510" s="156" t="n"/>
      <c r="AK510" s="155" t="inlineStr">
        <is>
          <t>Hoja2: fila 309 | Odoo: producto 27447 / plantilla 34147 | Investigación en línea 06/10/2026: https://montanawestworld.com/products/wrangler-aztec-embroidered-wide-hobo-bag</t>
        </is>
      </c>
      <c r="AL510" s="58" t="n"/>
      <c r="AM510" s="58" t="n"/>
      <c r="AN510" s="155" t="inlineStr">
        <is>
          <t>Odoo Universal Unique Brands</t>
        </is>
      </c>
      <c r="AO510" s="59" t="n"/>
      <c r="AP510" s="59" t="n"/>
      <c r="AQ510" s="59" t="n">
        <v>-5</v>
      </c>
      <c r="AR510" s="155" t="n"/>
    </row>
    <row r="511">
      <c r="A511" s="50" t="inlineStr">
        <is>
          <t>717690432294</t>
        </is>
      </c>
      <c r="B511" s="51" t="inlineStr">
        <is>
          <t>27448</t>
        </is>
      </c>
      <c r="C511" s="156" t="inlineStr">
        <is>
          <t>Wrangler</t>
        </is>
      </c>
      <c r="D511" s="156" t="inlineStr">
        <is>
          <t>WG233-3027TN</t>
        </is>
      </c>
      <c r="E511" s="156" t="inlineStr">
        <is>
          <t>WG233-3027TN</t>
        </is>
      </c>
      <c r="F511" s="156" t="inlineStr">
        <is>
          <t>Talla única</t>
        </is>
      </c>
      <c r="G511" s="156" t="inlineStr">
        <is>
          <t>One Size</t>
        </is>
      </c>
      <c r="H511" s="156" t="inlineStr">
        <is>
          <t>Wrangler</t>
        </is>
      </c>
      <c r="I511" s="156" t="inlineStr">
        <is>
          <t>Bolsa Hobo Wrangler Bordada Azteca Grande Camel</t>
        </is>
      </c>
      <c r="J511" s="156" t="inlineStr">
        <is>
          <t>Accesorios</t>
        </is>
      </c>
      <c r="K511" s="156" t="inlineStr">
        <is>
          <t>Bolsos</t>
        </is>
      </c>
      <c r="L511" s="156" t="inlineStr">
        <is>
          <t>Unisex</t>
        </is>
      </c>
      <c r="M511" s="156" t="inlineStr">
        <is>
          <t>Wrangler</t>
        </is>
      </c>
      <c r="N511" s="156" t="n"/>
      <c r="O511" s="156" t="inlineStr">
        <is>
          <t>Core</t>
        </is>
      </c>
      <c r="P511" s="156" t="inlineStr">
        <is>
          <t>Beige</t>
        </is>
      </c>
      <c r="Q511" s="156" t="n"/>
      <c r="R511" s="156" t="n"/>
      <c r="S511" s="156" t="n"/>
      <c r="T511" s="156" t="inlineStr">
        <is>
          <t>Bolsa Hobo Wrangler. Modelo: Bordada Azteca Grande. Color: Camel. Talla única. Unisex. Referencia: WG233-3027TN.</t>
        </is>
      </c>
      <c r="U511" s="156" t="n"/>
      <c r="V511" s="156" t="inlineStr">
        <is>
          <t>PZS</t>
        </is>
      </c>
      <c r="W511" s="51" t="inlineStr">
        <is>
          <t>53121601</t>
        </is>
      </c>
      <c r="X511" s="156" t="inlineStr">
        <is>
          <t>https://cdn.shopify.com/s/files/1/0005/9015/1741/files/Wrangler_Aztec_Embroidered_Wide_Hobo_Bag_Light_Tan3.webp?v=1758506401</t>
        </is>
      </c>
      <c r="Y511" s="54" t="n">
        <v>483</v>
      </c>
      <c r="Z511" s="54" t="n">
        <v>799</v>
      </c>
      <c r="AA511" s="55">
        <f>IF(AND(A511="", B511="", E511=""), "", IF(AB511="", "Válido", IF((LEN(AB511)-LEN(SUBSTITUTE(AB511,"; ","")))/2+1&gt;(LEN(AB511)-LEN(SUBSTITUTE(AB511,"[Aviso]","")))/7, "Con Incidencias", "Válido")))</f>
        <v/>
      </c>
      <c r="AB511" s="56">
        <f>IF(AND(A511="", B511="", E511=""), "", TEXTJOIN("; ", TRUE, IF(OR(TRIM(A511&amp;"")="", ISNUMBER(SEARCH("FALTA", A511))), "UPC faltante/inválido", ""), IF(AND(A511&lt;&gt;"", IFERROR(_xlfn.XMATCH(A511,$A$2:$A$1063,0,1)&lt;&gt;_xlfn.XMATCH(A511,$A$2:$A$1063,0,-1),FALSE)), "Código de barras duplicado", ""), IF(AND(E511&lt;&gt;"", COUNTIF($E$2:$E$1063, E511)&gt;1), "SKU duplicado", ""), IF(OR(J511="", J511=""), "[Aviso] División no capturada ()", IF(ISNA(MATCH(J511, Criterios!$A$123:$A$126, 0)), "División no válida", "")), IF(OR(K511="", K511=""), "[Aviso] Categoría no capturada ()", IF(ISNA(MATCH(K511, Criterios!$A$81:$A$120, 0)), "Categoría no válida", IF(AND(J511&lt;&gt;"", J511&lt;&gt;"", J511&lt;&gt;VLOOKUP(K511, Criterios!$A$81:$B$120, 2, FALSE)), "División no coincide con Categoría", ""))), IF(OR(L511="", L511=""), "[Aviso] Género no capturado ()", IF(ISNA(MATCH(L511, Criterios!$B$123:$B$127, 0)), "Género no válido", "")), IF(OR(N511="", N511=""), "[Aviso] Temporada no capturada ()", IF(ISNA(MATCH(N511, Criterios!$C$123:$C$128, 0)), "Temporada no válida", "")), IF(OR(O511="", O511=""), "[Aviso] Ciclo de vida no capturado ()", IF(ISNA(MATCH(O511, Criterios!$D$123:$D$124, 0)), "Ciclo de vida no válido", ""))))</f>
        <v/>
      </c>
      <c r="AC511" s="56" t="n"/>
      <c r="AD511" s="51" t="n"/>
      <c r="AE511" s="156" t="n"/>
      <c r="AF511" s="51" t="n"/>
      <c r="AG511" s="156" t="inlineStr">
        <is>
          <t>Nuevo – Carga Hoja2 01/10/2026</t>
        </is>
      </c>
      <c r="AH511" s="156" t="inlineStr">
        <is>
          <t>Alta 01/10/2026 desde Hoja2 (fila 310) | 01/10/2026: Odoo Universal Unique Brands trae Marca «Montana West» — se conservó el valor de Productos | Homologación G1522 06/10/2026: Enlace de imagen: «» → «https://cdn.shopify.com/s/files/1/0005/9015/1741/files/Wrangler_Aztec_Embroidered_Wide_Hobo_Bag_Light_Tan3.webp?v=1758506401» (Completado por investigación en línea) · Validador Shopify: WB: precio con IVA no termina en 9</t>
        </is>
      </c>
      <c r="AI511" s="156" t="n"/>
      <c r="AJ511" s="156" t="n"/>
      <c r="AK511" s="155" t="inlineStr">
        <is>
          <t>Hoja2: fila 310 | Odoo: producto 27448 / plantilla 34148 | Investigación en línea 06/10/2026: https://montanawestworld.com/products/wrangler-aztec-embroidered-wide-hobo-bag</t>
        </is>
      </c>
      <c r="AL511" s="58" t="n"/>
      <c r="AM511" s="58" t="n"/>
      <c r="AN511" s="155" t="inlineStr">
        <is>
          <t>Odoo Universal Unique Brands</t>
        </is>
      </c>
      <c r="AO511" s="59" t="n"/>
      <c r="AP511" s="59" t="n"/>
      <c r="AQ511" s="59" t="n">
        <v>6</v>
      </c>
      <c r="AR511" s="155" t="inlineStr">
        <is>
          <t>Odoo Universal Unique Brands › Bodega 25 › Bodega 25/General: 6</t>
        </is>
      </c>
    </row>
    <row r="512">
      <c r="A512" s="50" t="inlineStr">
        <is>
          <t>717690432362</t>
        </is>
      </c>
      <c r="B512" s="51" t="inlineStr">
        <is>
          <t>27449</t>
        </is>
      </c>
      <c r="C512" s="156" t="inlineStr">
        <is>
          <t>Wrangler</t>
        </is>
      </c>
      <c r="D512" s="156" t="inlineStr">
        <is>
          <t>WG233-8360BG</t>
        </is>
      </c>
      <c r="E512" s="156" t="inlineStr">
        <is>
          <t>WG233-8360BG</t>
        </is>
      </c>
      <c r="F512" s="156" t="inlineStr">
        <is>
          <t>Talla única</t>
        </is>
      </c>
      <c r="G512" s="156" t="inlineStr">
        <is>
          <t>One Size</t>
        </is>
      </c>
      <c r="H512" s="156" t="inlineStr">
        <is>
          <t>Wrangler</t>
        </is>
      </c>
      <c r="I512" s="156" t="inlineStr">
        <is>
          <t>Bolsa Wrangler Beige</t>
        </is>
      </c>
      <c r="J512" s="156" t="inlineStr">
        <is>
          <t>Accesorios</t>
        </is>
      </c>
      <c r="K512" s="156" t="inlineStr">
        <is>
          <t>Bolsos</t>
        </is>
      </c>
      <c r="L512" s="156" t="inlineStr">
        <is>
          <t>Unisex</t>
        </is>
      </c>
      <c r="M512" s="156" t="inlineStr">
        <is>
          <t>Wrangler</t>
        </is>
      </c>
      <c r="N512" s="156" t="n"/>
      <c r="O512" s="156" t="inlineStr">
        <is>
          <t>Core</t>
        </is>
      </c>
      <c r="P512" s="156" t="inlineStr">
        <is>
          <t>Beige</t>
        </is>
      </c>
      <c r="Q512" s="156" t="n"/>
      <c r="R512" s="156" t="n"/>
      <c r="S512" s="156" t="n"/>
      <c r="T512" s="156" t="inlineStr">
        <is>
          <t>Bolsa Wrangler. Color: Beige. Talla única. Unisex. Referencia: WG233-8360BG.</t>
        </is>
      </c>
      <c r="U512" s="156" t="n"/>
      <c r="V512" s="156" t="inlineStr">
        <is>
          <t>PZS</t>
        </is>
      </c>
      <c r="W512" s="51" t="inlineStr">
        <is>
          <t>53121601</t>
        </is>
      </c>
      <c r="X512" s="156" t="n"/>
      <c r="Y512" s="54" t="n">
        <v>396.75</v>
      </c>
      <c r="Z512" s="54" t="n">
        <v>649</v>
      </c>
      <c r="AA512" s="55">
        <f>IF(AND(A512="", B512="", E512=""), "", IF(AB512="", "Válido", IF((LEN(AB512)-LEN(SUBSTITUTE(AB512,"; ","")))/2+1&gt;(LEN(AB512)-LEN(SUBSTITUTE(AB512,"[Aviso]","")))/7, "Con Incidencias", "Válido")))</f>
        <v/>
      </c>
      <c r="AB512" s="56">
        <f>IF(AND(A512="", B512="", E512=""), "", TEXTJOIN("; ", TRUE, IF(OR(TRIM(A512&amp;"")="", ISNUMBER(SEARCH("FALTA", A512))), "UPC faltante/inválido", ""), IF(AND(A512&lt;&gt;"", IFERROR(_xlfn.XMATCH(A512,$A$2:$A$1063,0,1)&lt;&gt;_xlfn.XMATCH(A512,$A$2:$A$1063,0,-1),FALSE)), "Código de barras duplicado", ""), IF(AND(E512&lt;&gt;"", COUNTIF($E$2:$E$1063, E512)&gt;1), "SKU duplicado", ""), IF(OR(J512="", J512=""), "[Aviso] División no capturada ()", IF(ISNA(MATCH(J512, Criterios!$A$123:$A$126, 0)), "División no válida", "")), IF(OR(K512="", K512=""), "[Aviso] Categoría no capturada ()", IF(ISNA(MATCH(K512, Criterios!$A$81:$A$120, 0)), "Categoría no válida", IF(AND(J512&lt;&gt;"", J512&lt;&gt;"", J512&lt;&gt;VLOOKUP(K512, Criterios!$A$81:$B$120, 2, FALSE)), "División no coincide con Categoría", ""))), IF(OR(L512="", L512=""), "[Aviso] Género no capturado ()", IF(ISNA(MATCH(L512, Criterios!$B$123:$B$127, 0)), "Género no válido", "")), IF(OR(N512="", N512=""), "[Aviso] Temporada no capturada ()", IF(ISNA(MATCH(N512, Criterios!$C$123:$C$128, 0)), "Temporada no válida", "")), IF(OR(O512="", O512=""), "[Aviso] Ciclo de vida no capturado ()", IF(ISNA(MATCH(O512, Criterios!$D$123:$D$124, 0)), "Ciclo de vida no válido", ""))))</f>
        <v/>
      </c>
      <c r="AC512" s="56" t="n"/>
      <c r="AD512" s="51" t="n"/>
      <c r="AE512" s="156" t="n"/>
      <c r="AF512" s="51" t="n"/>
      <c r="AG512" s="156" t="inlineStr">
        <is>
          <t>Nuevo – Carga Hoja2 01/10/2026</t>
        </is>
      </c>
      <c r="AH512" s="156" t="inlineStr">
        <is>
          <t>Alta 01/10/2026 desde Hoja2 (fila 311) | 01/10/2026: Odoo Universal Unique Brands trae Marca «Montana West» — se conservó el valor de Productos | Homologación G1522 06/10/2026: Validador Shopify: WB: precio con IVA no termina en 9</t>
        </is>
      </c>
      <c r="AI512" s="156" t="n"/>
      <c r="AJ512" s="156" t="n"/>
      <c r="AK512" s="155" t="inlineStr">
        <is>
          <t>Hoja2: fila 311 | Odoo: producto 27449 / plantilla 34149</t>
        </is>
      </c>
      <c r="AL512" s="58" t="n"/>
      <c r="AM512" s="58" t="n"/>
      <c r="AN512" s="155" t="inlineStr">
        <is>
          <t>Odoo Universal Unique Brands</t>
        </is>
      </c>
      <c r="AO512" s="59" t="n"/>
      <c r="AP512" s="59" t="n"/>
      <c r="AQ512" s="59" t="n">
        <v>-1</v>
      </c>
      <c r="AR512" s="155" t="n"/>
    </row>
    <row r="513">
      <c r="A513" s="50" t="inlineStr">
        <is>
          <t>717690432331</t>
        </is>
      </c>
      <c r="B513" s="51" t="inlineStr">
        <is>
          <t>27450</t>
        </is>
      </c>
      <c r="C513" s="156" t="inlineStr">
        <is>
          <t>Wrangler</t>
        </is>
      </c>
      <c r="D513" s="156" t="inlineStr">
        <is>
          <t>WG233-8360BR</t>
        </is>
      </c>
      <c r="E513" s="156" t="inlineStr">
        <is>
          <t>WG233-8360BR</t>
        </is>
      </c>
      <c r="F513" s="156" t="inlineStr">
        <is>
          <t>Talla única</t>
        </is>
      </c>
      <c r="G513" s="156" t="inlineStr">
        <is>
          <t>One Size</t>
        </is>
      </c>
      <c r="H513" s="156" t="inlineStr">
        <is>
          <t>Wrangler</t>
        </is>
      </c>
      <c r="I513" s="156" t="inlineStr">
        <is>
          <t>Bolsa Wrangler Café</t>
        </is>
      </c>
      <c r="J513" s="156" t="inlineStr">
        <is>
          <t>Accesorios</t>
        </is>
      </c>
      <c r="K513" s="156" t="inlineStr">
        <is>
          <t>Bolsos</t>
        </is>
      </c>
      <c r="L513" s="156" t="inlineStr">
        <is>
          <t>Unisex</t>
        </is>
      </c>
      <c r="M513" s="156" t="inlineStr">
        <is>
          <t>Wrangler</t>
        </is>
      </c>
      <c r="N513" s="156" t="n"/>
      <c r="O513" s="156" t="inlineStr">
        <is>
          <t>Core</t>
        </is>
      </c>
      <c r="P513" s="156" t="inlineStr">
        <is>
          <t>Cafe</t>
        </is>
      </c>
      <c r="Q513" s="156" t="n"/>
      <c r="R513" s="156" t="n"/>
      <c r="S513" s="156" t="n"/>
      <c r="T513" s="156" t="inlineStr">
        <is>
          <t>Bolsa Wrangler. Color: Café. Talla única. Unisex. Referencia: WG233-8360BR.</t>
        </is>
      </c>
      <c r="U513" s="156" t="n"/>
      <c r="V513" s="156" t="inlineStr">
        <is>
          <t>PZS</t>
        </is>
      </c>
      <c r="W513" s="51" t="inlineStr">
        <is>
          <t>53121601</t>
        </is>
      </c>
      <c r="X513" s="156" t="n"/>
      <c r="Y513" s="54" t="n">
        <v>396.75</v>
      </c>
      <c r="Z513" s="54" t="n">
        <v>649</v>
      </c>
      <c r="AA513" s="55">
        <f>IF(AND(A513="", B513="", E513=""), "", IF(AB513="", "Válido", IF((LEN(AB513)-LEN(SUBSTITUTE(AB513,"; ","")))/2+1&gt;(LEN(AB513)-LEN(SUBSTITUTE(AB513,"[Aviso]","")))/7, "Con Incidencias", "Válido")))</f>
        <v/>
      </c>
      <c r="AB513" s="56">
        <f>IF(AND(A513="", B513="", E513=""), "", TEXTJOIN("; ", TRUE, IF(OR(TRIM(A513&amp;"")="", ISNUMBER(SEARCH("FALTA", A513))), "UPC faltante/inválido", ""), IF(AND(A513&lt;&gt;"", IFERROR(_xlfn.XMATCH(A513,$A$2:$A$1063,0,1)&lt;&gt;_xlfn.XMATCH(A513,$A$2:$A$1063,0,-1),FALSE)), "Código de barras duplicado", ""), IF(AND(E513&lt;&gt;"", COUNTIF($E$2:$E$1063, E513)&gt;1), "SKU duplicado", ""), IF(OR(J513="", J513=""), "[Aviso] División no capturada ()", IF(ISNA(MATCH(J513, Criterios!$A$123:$A$126, 0)), "División no válida", "")), IF(OR(K513="", K513=""), "[Aviso] Categoría no capturada ()", IF(ISNA(MATCH(K513, Criterios!$A$81:$A$120, 0)), "Categoría no válida", IF(AND(J513&lt;&gt;"", J513&lt;&gt;"", J513&lt;&gt;VLOOKUP(K513, Criterios!$A$81:$B$120, 2, FALSE)), "División no coincide con Categoría", ""))), IF(OR(L513="", L513=""), "[Aviso] Género no capturado ()", IF(ISNA(MATCH(L513, Criterios!$B$123:$B$127, 0)), "Género no válido", "")), IF(OR(N513="", N513=""), "[Aviso] Temporada no capturada ()", IF(ISNA(MATCH(N513, Criterios!$C$123:$C$128, 0)), "Temporada no válida", "")), IF(OR(O513="", O513=""), "[Aviso] Ciclo de vida no capturado ()", IF(ISNA(MATCH(O513, Criterios!$D$123:$D$124, 0)), "Ciclo de vida no válido", ""))))</f>
        <v/>
      </c>
      <c r="AC513" s="56" t="n"/>
      <c r="AD513" s="51" t="n"/>
      <c r="AE513" s="156" t="n"/>
      <c r="AF513" s="51" t="n"/>
      <c r="AG513" s="156" t="inlineStr">
        <is>
          <t>Nuevo – Carga Hoja2 01/10/2026</t>
        </is>
      </c>
      <c r="AH513" s="156" t="inlineStr">
        <is>
          <t>Alta 01/10/2026 desde Hoja2 (fila 312) | 01/10/2026: Odoo Universal Unique Brands trae Marca «Montana West» — se conservó el valor de Productos | Homologación G1522 06/10/2026: Validador Shopify: WB: precio con IVA no termina en 9</t>
        </is>
      </c>
      <c r="AI513" s="156" t="n"/>
      <c r="AJ513" s="156" t="n"/>
      <c r="AK513" s="155" t="inlineStr">
        <is>
          <t>Hoja2: fila 312 | Odoo: producto 27450 / plantilla 34150</t>
        </is>
      </c>
      <c r="AL513" s="58" t="n"/>
      <c r="AM513" s="58" t="n"/>
      <c r="AN513" s="155" t="inlineStr">
        <is>
          <t>Odoo Universal Unique Brands</t>
        </is>
      </c>
      <c r="AO513" s="59" t="n"/>
      <c r="AP513" s="59" t="n"/>
      <c r="AQ513" s="59" t="n">
        <v>4</v>
      </c>
      <c r="AR513" s="155" t="inlineStr">
        <is>
          <t>Odoo Universal Unique Brands › Bodega 25 › Bodega 25/General: 4</t>
        </is>
      </c>
    </row>
    <row r="514">
      <c r="A514" s="50" t="n"/>
      <c r="B514" s="51" t="inlineStr">
        <is>
          <t>27451</t>
        </is>
      </c>
      <c r="C514" s="156" t="inlineStr">
        <is>
          <t>Montana West</t>
        </is>
      </c>
      <c r="D514" s="156" t="n"/>
      <c r="E514" s="156" t="inlineStr">
        <is>
          <t>WG233-8360LBR</t>
        </is>
      </c>
      <c r="F514" s="156" t="inlineStr">
        <is>
          <t>Talla única</t>
        </is>
      </c>
      <c r="G514" s="156" t="inlineStr">
        <is>
          <t>One Size</t>
        </is>
      </c>
      <c r="H514" s="156" t="inlineStr">
        <is>
          <t>Montana West</t>
        </is>
      </c>
      <c r="I514" s="156" t="inlineStr">
        <is>
          <t>WG BAG</t>
        </is>
      </c>
      <c r="J514" s="156" t="inlineStr">
        <is>
          <t>Accesorios</t>
        </is>
      </c>
      <c r="K514" s="156" t="inlineStr">
        <is>
          <t>Bolsos</t>
        </is>
      </c>
      <c r="L514" s="156" t="inlineStr">
        <is>
          <t>Unisex</t>
        </is>
      </c>
      <c r="M514" s="156" t="n"/>
      <c r="N514" s="156" t="n"/>
      <c r="O514" s="156" t="n"/>
      <c r="P514" s="156" t="n"/>
      <c r="Q514" s="156" t="n"/>
      <c r="R514" s="156" t="n"/>
      <c r="S514" s="156" t="n"/>
      <c r="T514" s="156" t="n"/>
      <c r="U514" s="156" t="n"/>
      <c r="V514" s="156" t="inlineStr">
        <is>
          <t>PZS</t>
        </is>
      </c>
      <c r="W514" s="51" t="inlineStr">
        <is>
          <t>53121601</t>
        </is>
      </c>
      <c r="X514" s="156" t="n"/>
      <c r="Y514" s="54" t="n">
        <v>396.75</v>
      </c>
      <c r="Z514" s="54" t="n">
        <v>649</v>
      </c>
      <c r="AA514" s="55">
        <f>IF(AND(A514="", B514="", E514=""), "", IF(AB514="", "Válido", IF((LEN(AB514)-LEN(SUBSTITUTE(AB514,"; ","")))/2+1&gt;(LEN(AB514)-LEN(SUBSTITUTE(AB514,"[Aviso]","")))/7, "Con Incidencias", "Válido")))</f>
        <v/>
      </c>
      <c r="AB514" s="56">
        <f>IF(AND(A514="", B514="", E514=""), "", TEXTJOIN("; ", TRUE, IF(OR(TRIM(A514&amp;"")="", ISNUMBER(SEARCH("FALTA", A514))), "UPC faltante/inválido", ""), IF(AND(A514&lt;&gt;"", IFERROR(_xlfn.XMATCH(A514,$A$2:$A$1063,0,1)&lt;&gt;_xlfn.XMATCH(A514,$A$2:$A$1063,0,-1),FALSE)), "Código de barras duplicado", ""), IF(AND(E514&lt;&gt;"", COUNTIF($E$2:$E$1063, E514)&gt;1), "SKU duplicado", ""), IF(OR(J514="", J514=""), "[Aviso] División no capturada ()", IF(ISNA(MATCH(J514, Criterios!$A$123:$A$126, 0)), "División no válida", "")), IF(OR(K514="", K514=""), "[Aviso] Categoría no capturada ()", IF(ISNA(MATCH(K514, Criterios!$A$81:$A$120, 0)), "Categoría no válida", IF(AND(J514&lt;&gt;"", J514&lt;&gt;"", J514&lt;&gt;VLOOKUP(K514, Criterios!$A$81:$B$120, 2, FALSE)), "División no coincide con Categoría", ""))), IF(OR(L514="", L514=""), "[Aviso] Género no capturado ()", IF(ISNA(MATCH(L514, Criterios!$B$123:$B$127, 0)), "Género no válido", "")), IF(OR(N514="", N514=""), "[Aviso] Temporada no capturada ()", IF(ISNA(MATCH(N514, Criterios!$C$123:$C$128, 0)), "Temporada no válida", "")), IF(OR(O514="", O514=""), "[Aviso] Ciclo de vida no capturado ()", IF(ISNA(MATCH(O514, Criterios!$D$123:$D$124, 0)), "Ciclo de vida no válido", ""))))</f>
        <v/>
      </c>
      <c r="AC514" s="56" t="n"/>
      <c r="AD514" s="51" t="n"/>
      <c r="AE514" s="156" t="n"/>
      <c r="AF514" s="51" t="n"/>
      <c r="AG514" s="156" t="inlineStr">
        <is>
          <t>Nuevo – Carga Hoja2 01/10/2026</t>
        </is>
      </c>
      <c r="AH514" s="156" t="inlineStr">
        <is>
          <t>Alta 01/10/2026 desde Hoja2 (fila 313)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514" s="156" t="n"/>
      <c r="AJ514" s="156" t="n"/>
      <c r="AK514" s="155" t="inlineStr">
        <is>
          <t>Hoja2: fila 313 | Odoo: producto 27451 / plantilla 34151</t>
        </is>
      </c>
      <c r="AL514" s="58" t="n"/>
      <c r="AM514" s="58" t="n"/>
      <c r="AN514" s="155" t="inlineStr">
        <is>
          <t>Odoo Universal Unique Brands</t>
        </is>
      </c>
      <c r="AO514" s="59" t="n"/>
      <c r="AP514" s="59" t="n"/>
      <c r="AQ514" s="59" t="n">
        <v>0</v>
      </c>
      <c r="AR514" s="155" t="n"/>
    </row>
    <row r="515">
      <c r="A515" s="50" t="inlineStr">
        <is>
          <t>717690432355</t>
        </is>
      </c>
      <c r="B515" s="51" t="inlineStr">
        <is>
          <t>27452</t>
        </is>
      </c>
      <c r="C515" s="156" t="inlineStr">
        <is>
          <t>Wrangler</t>
        </is>
      </c>
      <c r="D515" s="156" t="inlineStr">
        <is>
          <t>WG233-8360TN</t>
        </is>
      </c>
      <c r="E515" s="156" t="inlineStr">
        <is>
          <t>WG233-8360TN</t>
        </is>
      </c>
      <c r="F515" s="156" t="inlineStr">
        <is>
          <t>Talla única</t>
        </is>
      </c>
      <c r="G515" s="156" t="inlineStr">
        <is>
          <t>One Size</t>
        </is>
      </c>
      <c r="H515" s="156" t="inlineStr">
        <is>
          <t>Wrangler</t>
        </is>
      </c>
      <c r="I515" s="156" t="inlineStr">
        <is>
          <t>Bolsa Wrangler Camel</t>
        </is>
      </c>
      <c r="J515" s="156" t="inlineStr">
        <is>
          <t>Accesorios</t>
        </is>
      </c>
      <c r="K515" s="156" t="inlineStr">
        <is>
          <t>Bolsos</t>
        </is>
      </c>
      <c r="L515" s="156" t="inlineStr">
        <is>
          <t>Unisex</t>
        </is>
      </c>
      <c r="M515" s="156" t="inlineStr">
        <is>
          <t>Wrangler</t>
        </is>
      </c>
      <c r="N515" s="156" t="n"/>
      <c r="O515" s="156" t="inlineStr">
        <is>
          <t>Core</t>
        </is>
      </c>
      <c r="P515" s="156" t="inlineStr">
        <is>
          <t>Beige</t>
        </is>
      </c>
      <c r="Q515" s="156" t="n"/>
      <c r="R515" s="156" t="n"/>
      <c r="S515" s="156" t="n"/>
      <c r="T515" s="156" t="inlineStr">
        <is>
          <t>Bolsa Wrangler. Color: Camel. Talla única. Unisex. Referencia: WG233-8360TN.</t>
        </is>
      </c>
      <c r="U515" s="156" t="n"/>
      <c r="V515" s="156" t="inlineStr">
        <is>
          <t>PZS</t>
        </is>
      </c>
      <c r="W515" s="51" t="inlineStr">
        <is>
          <t>53121601</t>
        </is>
      </c>
      <c r="X515" s="156" t="n"/>
      <c r="Y515" s="54" t="n">
        <v>396.75</v>
      </c>
      <c r="Z515" s="54" t="n">
        <v>649</v>
      </c>
      <c r="AA515" s="55">
        <f>IF(AND(A515="", B515="", E515=""), "", IF(AB515="", "Válido", IF((LEN(AB515)-LEN(SUBSTITUTE(AB515,"; ","")))/2+1&gt;(LEN(AB515)-LEN(SUBSTITUTE(AB515,"[Aviso]","")))/7, "Con Incidencias", "Válido")))</f>
        <v/>
      </c>
      <c r="AB515" s="56">
        <f>IF(AND(A515="", B515="", E515=""), "", TEXTJOIN("; ", TRUE, IF(OR(TRIM(A515&amp;"")="", ISNUMBER(SEARCH("FALTA", A515))), "UPC faltante/inválido", ""), IF(AND(A515&lt;&gt;"", IFERROR(_xlfn.XMATCH(A515,$A$2:$A$1063,0,1)&lt;&gt;_xlfn.XMATCH(A515,$A$2:$A$1063,0,-1),FALSE)), "Código de barras duplicado", ""), IF(AND(E515&lt;&gt;"", COUNTIF($E$2:$E$1063, E515)&gt;1), "SKU duplicado", ""), IF(OR(J515="", J515=""), "[Aviso] División no capturada ()", IF(ISNA(MATCH(J515, Criterios!$A$123:$A$126, 0)), "División no válida", "")), IF(OR(K515="", K515=""), "[Aviso] Categoría no capturada ()", IF(ISNA(MATCH(K515, Criterios!$A$81:$A$120, 0)), "Categoría no válida", IF(AND(J515&lt;&gt;"", J515&lt;&gt;"", J515&lt;&gt;VLOOKUP(K515, Criterios!$A$81:$B$120, 2, FALSE)), "División no coincide con Categoría", ""))), IF(OR(L515="", L515=""), "[Aviso] Género no capturado ()", IF(ISNA(MATCH(L515, Criterios!$B$123:$B$127, 0)), "Género no válido", "")), IF(OR(N515="", N515=""), "[Aviso] Temporada no capturada ()", IF(ISNA(MATCH(N515, Criterios!$C$123:$C$128, 0)), "Temporada no válida", "")), IF(OR(O515="", O515=""), "[Aviso] Ciclo de vida no capturado ()", IF(ISNA(MATCH(O515, Criterios!$D$123:$D$124, 0)), "Ciclo de vida no válido", ""))))</f>
        <v/>
      </c>
      <c r="AC515" s="56" t="n"/>
      <c r="AD515" s="51" t="n"/>
      <c r="AE515" s="156" t="n"/>
      <c r="AF515" s="51" t="n"/>
      <c r="AG515" s="156" t="inlineStr">
        <is>
          <t>Nuevo – Carga Hoja2 01/10/2026</t>
        </is>
      </c>
      <c r="AH515" s="156" t="inlineStr">
        <is>
          <t>Alta 01/10/2026 desde Hoja2 (fila 314) | 01/10/2026: Odoo Universal Unique Brands trae Marca «Montana West» — se conservó el valor de Productos | Homologación G1522 06/10/2026: Validador Shopify: WB: precio con IVA no termina en 9</t>
        </is>
      </c>
      <c r="AI515" s="156" t="n"/>
      <c r="AJ515" s="156" t="n"/>
      <c r="AK515" s="155" t="inlineStr">
        <is>
          <t>Hoja2: fila 314 | Odoo: producto 27452 / plantilla 34152</t>
        </is>
      </c>
      <c r="AL515" s="58" t="n"/>
      <c r="AM515" s="58" t="n"/>
      <c r="AN515" s="155" t="inlineStr">
        <is>
          <t>Odoo Universal Unique Brands</t>
        </is>
      </c>
      <c r="AO515" s="59" t="n"/>
      <c r="AP515" s="59" t="n"/>
      <c r="AQ515" s="59" t="n">
        <v>6</v>
      </c>
      <c r="AR515" s="155" t="inlineStr">
        <is>
          <t>Odoo Universal Unique Brands › Bodega 25 › Bodega 25/General: 6</t>
        </is>
      </c>
    </row>
    <row r="516">
      <c r="A516" s="50" t="inlineStr">
        <is>
          <t>717690431891</t>
        </is>
      </c>
      <c r="B516" s="51" t="inlineStr">
        <is>
          <t>27453</t>
        </is>
      </c>
      <c r="C516" s="156" t="inlineStr">
        <is>
          <t>Wrangler</t>
        </is>
      </c>
      <c r="D516" s="156" t="inlineStr">
        <is>
          <t>WG233-W018BG</t>
        </is>
      </c>
      <c r="E516" s="156" t="inlineStr">
        <is>
          <t>WG233-W018BG</t>
        </is>
      </c>
      <c r="F516" s="156" t="inlineStr">
        <is>
          <t>Talla única</t>
        </is>
      </c>
      <c r="G516" s="156" t="inlineStr">
        <is>
          <t>One Size</t>
        </is>
      </c>
      <c r="H516" s="156" t="inlineStr">
        <is>
          <t>Wrangler</t>
        </is>
      </c>
      <c r="I516" s="156" t="inlineStr">
        <is>
          <t>Cartera Cruzada Wrangler Bordada Azteca Con Flecos Beige</t>
        </is>
      </c>
      <c r="J516" s="156" t="inlineStr">
        <is>
          <t>Accesorios</t>
        </is>
      </c>
      <c r="K516" s="156" t="inlineStr">
        <is>
          <t>Carteras</t>
        </is>
      </c>
      <c r="L516" s="156" t="inlineStr">
        <is>
          <t>Unisex</t>
        </is>
      </c>
      <c r="M516" s="156" t="inlineStr">
        <is>
          <t>Wrangler</t>
        </is>
      </c>
      <c r="N516" s="156" t="n"/>
      <c r="O516" s="156" t="inlineStr">
        <is>
          <t>Core</t>
        </is>
      </c>
      <c r="P516" s="156" t="inlineStr">
        <is>
          <t>Beige</t>
        </is>
      </c>
      <c r="Q516" s="156" t="n"/>
      <c r="R516" s="156" t="n"/>
      <c r="S516" s="156" t="n"/>
      <c r="T516" s="156" t="inlineStr">
        <is>
          <t>Cartera Cruzada Wrangler. Modelo: Bordada Azteca Con Flecos. Color: Beige. Talla única. Unisex. Referencia: WG233-W018BG.</t>
        </is>
      </c>
      <c r="U516" s="156" t="n"/>
      <c r="V516" s="156" t="inlineStr">
        <is>
          <t>PZS</t>
        </is>
      </c>
      <c r="W516" s="51" t="inlineStr">
        <is>
          <t>53121700</t>
        </is>
      </c>
      <c r="X516" s="156" t="n"/>
      <c r="Y516" s="54" t="n">
        <v>258.75</v>
      </c>
      <c r="Z516" s="54" t="n">
        <v>449</v>
      </c>
      <c r="AA516" s="55">
        <f>IF(AND(A516="", B516="", E516=""), "", IF(AB516="", "Válido", IF((LEN(AB516)-LEN(SUBSTITUTE(AB516,"; ","")))/2+1&gt;(LEN(AB516)-LEN(SUBSTITUTE(AB516,"[Aviso]","")))/7, "Con Incidencias", "Válido")))</f>
        <v/>
      </c>
      <c r="AB516" s="56">
        <f>IF(AND(A516="", B516="", E516=""), "", TEXTJOIN("; ", TRUE, IF(OR(TRIM(A516&amp;"")="", ISNUMBER(SEARCH("FALTA", A516))), "UPC faltante/inválido", ""), IF(AND(A516&lt;&gt;"", IFERROR(_xlfn.XMATCH(A516,$A$2:$A$1063,0,1)&lt;&gt;_xlfn.XMATCH(A516,$A$2:$A$1063,0,-1),FALSE)), "Código de barras duplicado", ""), IF(AND(E516&lt;&gt;"", COUNTIF($E$2:$E$1063, E516)&gt;1), "SKU duplicado", ""), IF(OR(J516="", J516=""), "[Aviso] División no capturada ()", IF(ISNA(MATCH(J516, Criterios!$A$123:$A$126, 0)), "División no válida", "")), IF(OR(K516="", K516=""), "[Aviso] Categoría no capturada ()", IF(ISNA(MATCH(K516, Criterios!$A$81:$A$120, 0)), "Categoría no válida", IF(AND(J516&lt;&gt;"", J516&lt;&gt;"", J516&lt;&gt;VLOOKUP(K516, Criterios!$A$81:$B$120, 2, FALSE)), "División no coincide con Categoría", ""))), IF(OR(L516="", L516=""), "[Aviso] Género no capturado ()", IF(ISNA(MATCH(L516, Criterios!$B$123:$B$127, 0)), "Género no válido", "")), IF(OR(N516="", N516=""), "[Aviso] Temporada no capturada ()", IF(ISNA(MATCH(N516, Criterios!$C$123:$C$128, 0)), "Temporada no válida", "")), IF(OR(O516="", O516=""), "[Aviso] Ciclo de vida no capturado ()", IF(ISNA(MATCH(O516, Criterios!$D$123:$D$124, 0)), "Ciclo de vida no válido", ""))))</f>
        <v/>
      </c>
      <c r="AC516" s="56" t="n"/>
      <c r="AD516" s="51" t="n"/>
      <c r="AE516" s="156" t="n"/>
      <c r="AF516" s="51" t="n"/>
      <c r="AG516" s="156" t="inlineStr">
        <is>
          <t>Nuevo – Carga Hoja2 01/10/2026</t>
        </is>
      </c>
      <c r="AH516" s="156" t="inlineStr">
        <is>
          <t>Alta 01/10/2026 desde Hoja2 (fila 315) | 01/10/2026: Odoo Universal Unique Brands trae Marca «Montana West» — se conservó el valor de Productos | Homologación G1522 06/10/2026: Validador Shopify: WB: precio con IVA no termina en 9</t>
        </is>
      </c>
      <c r="AI516" s="156" t="n"/>
      <c r="AJ516" s="156" t="n"/>
      <c r="AK516" s="155" t="inlineStr">
        <is>
          <t>Hoja2: fila 315 | Odoo: producto 27453 / plantilla 34153</t>
        </is>
      </c>
      <c r="AL516" s="58" t="n"/>
      <c r="AM516" s="58" t="n"/>
      <c r="AN516" s="155" t="inlineStr">
        <is>
          <t>Odoo Universal Unique Brands</t>
        </is>
      </c>
      <c r="AO516" s="59" t="n"/>
      <c r="AP516" s="59" t="n"/>
      <c r="AQ516" s="59" t="n">
        <v>4</v>
      </c>
      <c r="AR516" s="155" t="inlineStr">
        <is>
          <t>Odoo Universal Unique Brands › Bodega 25 › Bodega 25/General: 4</t>
        </is>
      </c>
    </row>
    <row r="517">
      <c r="A517" s="50" t="inlineStr">
        <is>
          <t>717690431853</t>
        </is>
      </c>
      <c r="B517" s="51" t="inlineStr">
        <is>
          <t>27454</t>
        </is>
      </c>
      <c r="C517" s="156" t="inlineStr">
        <is>
          <t>Wrangler</t>
        </is>
      </c>
      <c r="D517" s="156" t="inlineStr">
        <is>
          <t>WG233-W018BK</t>
        </is>
      </c>
      <c r="E517" s="156" t="inlineStr">
        <is>
          <t>WG233-W018BK</t>
        </is>
      </c>
      <c r="F517" s="156" t="inlineStr">
        <is>
          <t>Talla única</t>
        </is>
      </c>
      <c r="G517" s="156" t="inlineStr">
        <is>
          <t>One Size</t>
        </is>
      </c>
      <c r="H517" s="156" t="inlineStr">
        <is>
          <t>Wrangler</t>
        </is>
      </c>
      <c r="I517" s="156" t="inlineStr">
        <is>
          <t>Cartera Cruzada Wrangler Bordada Azteca Con Flecos Negro</t>
        </is>
      </c>
      <c r="J517" s="156" t="inlineStr">
        <is>
          <t>Accesorios</t>
        </is>
      </c>
      <c r="K517" s="156" t="inlineStr">
        <is>
          <t>Carteras</t>
        </is>
      </c>
      <c r="L517" s="156" t="inlineStr">
        <is>
          <t>Unisex</t>
        </is>
      </c>
      <c r="M517" s="156" t="inlineStr">
        <is>
          <t>Wrangler</t>
        </is>
      </c>
      <c r="N517" s="156" t="n"/>
      <c r="O517" s="156" t="inlineStr">
        <is>
          <t>Core</t>
        </is>
      </c>
      <c r="P517" s="156" t="inlineStr">
        <is>
          <t>Negro</t>
        </is>
      </c>
      <c r="Q517" s="156" t="n"/>
      <c r="R517" s="156" t="n"/>
      <c r="S517" s="156" t="n"/>
      <c r="T517" s="156" t="inlineStr">
        <is>
          <t>Cartera Cruzada Wrangler. Modelo: Bordada Azteca Con Flecos. Color: Negro. Talla única. Unisex. Referencia: WG233-W018BK.</t>
        </is>
      </c>
      <c r="U517" s="156" t="n"/>
      <c r="V517" s="156" t="inlineStr">
        <is>
          <t>PZS</t>
        </is>
      </c>
      <c r="W517" s="51" t="inlineStr">
        <is>
          <t>53121700</t>
        </is>
      </c>
      <c r="X517" s="156" t="n"/>
      <c r="Y517" s="54" t="n">
        <v>258.75</v>
      </c>
      <c r="Z517" s="54" t="n">
        <v>449</v>
      </c>
      <c r="AA517" s="55">
        <f>IF(AND(A517="", B517="", E517=""), "", IF(AB517="", "Válido", IF((LEN(AB517)-LEN(SUBSTITUTE(AB517,"; ","")))/2+1&gt;(LEN(AB517)-LEN(SUBSTITUTE(AB517,"[Aviso]","")))/7, "Con Incidencias", "Válido")))</f>
        <v/>
      </c>
      <c r="AB517" s="56">
        <f>IF(AND(A517="", B517="", E517=""), "", TEXTJOIN("; ", TRUE, IF(OR(TRIM(A517&amp;"")="", ISNUMBER(SEARCH("FALTA", A517))), "UPC faltante/inválido", ""), IF(AND(A517&lt;&gt;"", IFERROR(_xlfn.XMATCH(A517,$A$2:$A$1063,0,1)&lt;&gt;_xlfn.XMATCH(A517,$A$2:$A$1063,0,-1),FALSE)), "Código de barras duplicado", ""), IF(AND(E517&lt;&gt;"", COUNTIF($E$2:$E$1063, E517)&gt;1), "SKU duplicado", ""), IF(OR(J517="", J517=""), "[Aviso] División no capturada ()", IF(ISNA(MATCH(J517, Criterios!$A$123:$A$126, 0)), "División no válida", "")), IF(OR(K517="", K517=""), "[Aviso] Categoría no capturada ()", IF(ISNA(MATCH(K517, Criterios!$A$81:$A$120, 0)), "Categoría no válida", IF(AND(J517&lt;&gt;"", J517&lt;&gt;"", J517&lt;&gt;VLOOKUP(K517, Criterios!$A$81:$B$120, 2, FALSE)), "División no coincide con Categoría", ""))), IF(OR(L517="", L517=""), "[Aviso] Género no capturado ()", IF(ISNA(MATCH(L517, Criterios!$B$123:$B$127, 0)), "Género no válido", "")), IF(OR(N517="", N517=""), "[Aviso] Temporada no capturada ()", IF(ISNA(MATCH(N517, Criterios!$C$123:$C$128, 0)), "Temporada no válida", "")), IF(OR(O517="", O517=""), "[Aviso] Ciclo de vida no capturado ()", IF(ISNA(MATCH(O517, Criterios!$D$123:$D$124, 0)), "Ciclo de vida no válido", ""))))</f>
        <v/>
      </c>
      <c r="AC517" s="56" t="n"/>
      <c r="AD517" s="51" t="n"/>
      <c r="AE517" s="156" t="n"/>
      <c r="AF517" s="51" t="n"/>
      <c r="AG517" s="156" t="inlineStr">
        <is>
          <t>Nuevo – Carga Hoja2 01/10/2026</t>
        </is>
      </c>
      <c r="AH517" s="156" t="inlineStr">
        <is>
          <t>Alta 01/10/2026 desde Hoja2 (fila 316) | 01/10/2026: Odoo Universal Unique Brands trae Marca «Montana West» — se conservó el valor de Productos | Homologación G1522 06/10/2026: Validador Shopify: WB: precio con IVA no termina en 9</t>
        </is>
      </c>
      <c r="AI517" s="156" t="n"/>
      <c r="AJ517" s="156" t="n"/>
      <c r="AK517" s="155" t="inlineStr">
        <is>
          <t>Hoja2: fila 316 | Odoo: producto 27454 / plantilla 34154</t>
        </is>
      </c>
      <c r="AL517" s="58" t="n"/>
      <c r="AM517" s="58" t="n"/>
      <c r="AN517" s="155" t="inlineStr">
        <is>
          <t>Odoo Universal Unique Brands</t>
        </is>
      </c>
      <c r="AO517" s="59" t="n"/>
      <c r="AP517" s="59" t="n"/>
      <c r="AQ517" s="59" t="n">
        <v>-5</v>
      </c>
      <c r="AR517" s="155" t="n"/>
    </row>
    <row r="518">
      <c r="A518" s="50" t="inlineStr">
        <is>
          <t>717690431945</t>
        </is>
      </c>
      <c r="B518" s="51" t="inlineStr">
        <is>
          <t>27456</t>
        </is>
      </c>
      <c r="C518" s="156" t="inlineStr">
        <is>
          <t>Wrangler</t>
        </is>
      </c>
      <c r="D518" s="156" t="inlineStr">
        <is>
          <t>WG233-W069BG</t>
        </is>
      </c>
      <c r="E518" s="156" t="inlineStr">
        <is>
          <t>WG233-W069BG</t>
        </is>
      </c>
      <c r="F518" s="156" t="inlineStr">
        <is>
          <t>Talla única</t>
        </is>
      </c>
      <c r="G518" s="156" t="inlineStr">
        <is>
          <t>One Size</t>
        </is>
      </c>
      <c r="H518" s="156" t="inlineStr">
        <is>
          <t>Wrangler</t>
        </is>
      </c>
      <c r="I518" s="156" t="inlineStr">
        <is>
          <t>Tarjetero Wrangler Beige</t>
        </is>
      </c>
      <c r="J518" s="156" t="inlineStr">
        <is>
          <t>Accesorios</t>
        </is>
      </c>
      <c r="K518" s="156" t="inlineStr">
        <is>
          <t>Carteras</t>
        </is>
      </c>
      <c r="L518" s="156" t="inlineStr">
        <is>
          <t>Unisex</t>
        </is>
      </c>
      <c r="M518" s="156" t="inlineStr">
        <is>
          <t>Wrangler</t>
        </is>
      </c>
      <c r="N518" s="156" t="n"/>
      <c r="O518" s="156" t="inlineStr">
        <is>
          <t>Core</t>
        </is>
      </c>
      <c r="P518" s="156" t="inlineStr">
        <is>
          <t>Beige</t>
        </is>
      </c>
      <c r="Q518" s="156" t="n"/>
      <c r="R518" s="156" t="n"/>
      <c r="S518" s="156" t="n"/>
      <c r="T518" s="156" t="inlineStr">
        <is>
          <t>Tarjetero Wrangler. Color: Beige. Talla única. Unisex. Referencia: WG233-W069BG.</t>
        </is>
      </c>
      <c r="U518" s="156" t="n"/>
      <c r="V518" s="156" t="inlineStr">
        <is>
          <t>PZS</t>
        </is>
      </c>
      <c r="W518" s="51" t="inlineStr">
        <is>
          <t>53121700</t>
        </is>
      </c>
      <c r="X518" s="156" t="inlineStr">
        <is>
          <t>https://cdn.shopify.com/s/files/1/0005/9015/1741/files/WG233-W069BG_1.webp?v=1752127546</t>
        </is>
      </c>
      <c r="Y518" s="54" t="n">
        <v>207</v>
      </c>
      <c r="Z518" s="54" t="n">
        <v>349</v>
      </c>
      <c r="AA518" s="55">
        <f>IF(AND(A518="", B518="", E518=""), "", IF(AB518="", "Válido", IF((LEN(AB518)-LEN(SUBSTITUTE(AB518,"; ","")))/2+1&gt;(LEN(AB518)-LEN(SUBSTITUTE(AB518,"[Aviso]","")))/7, "Con Incidencias", "Válido")))</f>
        <v/>
      </c>
      <c r="AB518" s="56">
        <f>IF(AND(A518="", B518="", E518=""), "", TEXTJOIN("; ", TRUE, IF(OR(TRIM(A518&amp;"")="", ISNUMBER(SEARCH("FALTA", A518))), "UPC faltante/inválido", ""), IF(AND(A518&lt;&gt;"", IFERROR(_xlfn.XMATCH(A518,$A$2:$A$1063,0,1)&lt;&gt;_xlfn.XMATCH(A518,$A$2:$A$1063,0,-1),FALSE)), "Código de barras duplicado", ""), IF(AND(E518&lt;&gt;"", COUNTIF($E$2:$E$1063, E518)&gt;1), "SKU duplicado", ""), IF(OR(J518="", J518=""), "[Aviso] División no capturada ()", IF(ISNA(MATCH(J518, Criterios!$A$123:$A$126, 0)), "División no válida", "")), IF(OR(K518="", K518=""), "[Aviso] Categoría no capturada ()", IF(ISNA(MATCH(K518, Criterios!$A$81:$A$120, 0)), "Categoría no válida", IF(AND(J518&lt;&gt;"", J518&lt;&gt;"", J518&lt;&gt;VLOOKUP(K518, Criterios!$A$81:$B$120, 2, FALSE)), "División no coincide con Categoría", ""))), IF(OR(L518="", L518=""), "[Aviso] Género no capturado ()", IF(ISNA(MATCH(L518, Criterios!$B$123:$B$127, 0)), "Género no válido", "")), IF(OR(N518="", N518=""), "[Aviso] Temporada no capturada ()", IF(ISNA(MATCH(N518, Criterios!$C$123:$C$128, 0)), "Temporada no válida", "")), IF(OR(O518="", O518=""), "[Aviso] Ciclo de vida no capturado ()", IF(ISNA(MATCH(O518, Criterios!$D$123:$D$124, 0)), "Ciclo de vida no válido", ""))))</f>
        <v/>
      </c>
      <c r="AC518" s="56" t="n"/>
      <c r="AD518" s="51" t="n"/>
      <c r="AE518" s="156" t="n"/>
      <c r="AF518" s="51" t="n"/>
      <c r="AG518" s="156" t="inlineStr">
        <is>
          <t>Nuevo – Carga Hoja2 01/10/2026</t>
        </is>
      </c>
      <c r="AH518" s="156" t="inlineStr">
        <is>
          <t>Alta 01/10/2026 desde Hoja2 (fila 317) | 01/10/2026: Odoo Universal Unique Brands trae Marca «Montana West» — se conservó el valor de Productos | Homologación G1522 06/10/2026: Enlace de imagen: «» → «https://cdn.shopify.com/s/files/1/0005/9015/1741/files/WG233-W069BG_1.webp?v=1752127546» (Completado por investigación en línea) · Validador Shopify: WB: precio con IVA no termina en 9</t>
        </is>
      </c>
      <c r="AI518" s="156" t="n"/>
      <c r="AJ518" s="156" t="n"/>
      <c r="AK518" s="155" t="inlineStr">
        <is>
          <t>Hoja2: fila 317 | Odoo: producto 27456 / plantilla 34156 | Investigación en línea 06/10/2026: https://montanawestworld.com/products/wrangler-embroidered-fringe-wristlet-wallet</t>
        </is>
      </c>
      <c r="AL518" s="58" t="n"/>
      <c r="AM518" s="58" t="n"/>
      <c r="AN518" s="155" t="inlineStr">
        <is>
          <t>Odoo Universal Unique Brands</t>
        </is>
      </c>
      <c r="AO518" s="59" t="n"/>
      <c r="AP518" s="59" t="n"/>
      <c r="AQ518" s="59" t="n">
        <v>5</v>
      </c>
      <c r="AR518" s="155" t="inlineStr">
        <is>
          <t>Odoo Universal Unique Brands › Bodega 25 › Bodega 25/General: 5</t>
        </is>
      </c>
    </row>
    <row r="519">
      <c r="A519" s="50" t="inlineStr">
        <is>
          <t>717690431914</t>
        </is>
      </c>
      <c r="B519" s="51" t="inlineStr">
        <is>
          <t>27457</t>
        </is>
      </c>
      <c r="C519" s="156" t="inlineStr">
        <is>
          <t>Wrangler</t>
        </is>
      </c>
      <c r="D519" s="156" t="inlineStr">
        <is>
          <t>WG233-W069BR</t>
        </is>
      </c>
      <c r="E519" s="156" t="inlineStr">
        <is>
          <t>WG233-W069BR</t>
        </is>
      </c>
      <c r="F519" s="156" t="inlineStr">
        <is>
          <t>Talla única</t>
        </is>
      </c>
      <c r="G519" s="156" t="inlineStr">
        <is>
          <t>One Size</t>
        </is>
      </c>
      <c r="H519" s="156" t="inlineStr">
        <is>
          <t>Wrangler</t>
        </is>
      </c>
      <c r="I519" s="156" t="inlineStr">
        <is>
          <t>Tarjetero Wrangler Café</t>
        </is>
      </c>
      <c r="J519" s="156" t="inlineStr">
        <is>
          <t>Accesorios</t>
        </is>
      </c>
      <c r="K519" s="156" t="inlineStr">
        <is>
          <t>Carteras</t>
        </is>
      </c>
      <c r="L519" s="156" t="inlineStr">
        <is>
          <t>Unisex</t>
        </is>
      </c>
      <c r="M519" s="156" t="inlineStr">
        <is>
          <t>Wrangler</t>
        </is>
      </c>
      <c r="N519" s="156" t="n"/>
      <c r="O519" s="156" t="inlineStr">
        <is>
          <t>Core</t>
        </is>
      </c>
      <c r="P519" s="156" t="inlineStr">
        <is>
          <t>Cafe</t>
        </is>
      </c>
      <c r="Q519" s="156" t="n"/>
      <c r="R519" s="156" t="n"/>
      <c r="S519" s="156" t="n"/>
      <c r="T519" s="156" t="inlineStr">
        <is>
          <t>Tarjetero Wrangler. Color: Café. Talla única. Unisex. Referencia: WG233-W069BR.</t>
        </is>
      </c>
      <c r="U519" s="156" t="n"/>
      <c r="V519" s="156" t="inlineStr">
        <is>
          <t>PZS</t>
        </is>
      </c>
      <c r="W519" s="51" t="inlineStr">
        <is>
          <t>53121700</t>
        </is>
      </c>
      <c r="X519" s="156" t="inlineStr">
        <is>
          <t>https://cdn.shopify.com/s/files/1/0005/9015/1741/files/WG233-W069BR_1_1.webp?v=1752127697</t>
        </is>
      </c>
      <c r="Y519" s="54" t="n">
        <v>207</v>
      </c>
      <c r="Z519" s="54" t="n">
        <v>349</v>
      </c>
      <c r="AA519" s="55">
        <f>IF(AND(A519="", B519="", E519=""), "", IF(AB519="", "Válido", IF((LEN(AB519)-LEN(SUBSTITUTE(AB519,"; ","")))/2+1&gt;(LEN(AB519)-LEN(SUBSTITUTE(AB519,"[Aviso]","")))/7, "Con Incidencias", "Válido")))</f>
        <v/>
      </c>
      <c r="AB519" s="56">
        <f>IF(AND(A519="", B519="", E519=""), "", TEXTJOIN("; ", TRUE, IF(OR(TRIM(A519&amp;"")="", ISNUMBER(SEARCH("FALTA", A519))), "UPC faltante/inválido", ""), IF(AND(A519&lt;&gt;"", IFERROR(_xlfn.XMATCH(A519,$A$2:$A$1063,0,1)&lt;&gt;_xlfn.XMATCH(A519,$A$2:$A$1063,0,-1),FALSE)), "Código de barras duplicado", ""), IF(AND(E519&lt;&gt;"", COUNTIF($E$2:$E$1063, E519)&gt;1), "SKU duplicado", ""), IF(OR(J519="", J519=""), "[Aviso] División no capturada ()", IF(ISNA(MATCH(J519, Criterios!$A$123:$A$126, 0)), "División no válida", "")), IF(OR(K519="", K519=""), "[Aviso] Categoría no capturada ()", IF(ISNA(MATCH(K519, Criterios!$A$81:$A$120, 0)), "Categoría no válida", IF(AND(J519&lt;&gt;"", J519&lt;&gt;"", J519&lt;&gt;VLOOKUP(K519, Criterios!$A$81:$B$120, 2, FALSE)), "División no coincide con Categoría", ""))), IF(OR(L519="", L519=""), "[Aviso] Género no capturado ()", IF(ISNA(MATCH(L519, Criterios!$B$123:$B$127, 0)), "Género no válido", "")), IF(OR(N519="", N519=""), "[Aviso] Temporada no capturada ()", IF(ISNA(MATCH(N519, Criterios!$C$123:$C$128, 0)), "Temporada no válida", "")), IF(OR(O519="", O519=""), "[Aviso] Ciclo de vida no capturado ()", IF(ISNA(MATCH(O519, Criterios!$D$123:$D$124, 0)), "Ciclo de vida no válido", ""))))</f>
        <v/>
      </c>
      <c r="AC519" s="56" t="n"/>
      <c r="AD519" s="51" t="n"/>
      <c r="AE519" s="156" t="n"/>
      <c r="AF519" s="51" t="n"/>
      <c r="AG519" s="156" t="inlineStr">
        <is>
          <t>Nuevo – Carga Hoja2 01/10/2026</t>
        </is>
      </c>
      <c r="AH519" s="156" t="inlineStr">
        <is>
          <t>Alta 01/10/2026 desde Hoja2 (fila 318) | 01/10/2026: Odoo Universal Unique Brands trae Marca «Montana West» — se conservó el valor de Productos | Homologación G1522 06/10/2026: Enlace de imagen: «» → «https://cdn.shopify.com/s/files/1/0005/9015/1741/files/WG233-W069BR_1_1.webp?v=1752127697» (Completado por investigación en línea) · Validador Shopify: WB: precio con IVA no termina en 9</t>
        </is>
      </c>
      <c r="AI519" s="156" t="n"/>
      <c r="AJ519" s="156" t="n"/>
      <c r="AK519" s="155" t="inlineStr">
        <is>
          <t>Hoja2: fila 318 | Odoo: producto 27457 / plantilla 34157 | Investigación en línea 06/10/2026: https://montanawestworld.com/products/wrangler-embroidered-fringe-wristlet-wallet</t>
        </is>
      </c>
      <c r="AL519" s="58" t="n"/>
      <c r="AM519" s="58" t="n"/>
      <c r="AN519" s="155" t="inlineStr">
        <is>
          <t>Odoo Universal Unique Brands</t>
        </is>
      </c>
      <c r="AO519" s="59" t="n"/>
      <c r="AP519" s="59" t="n"/>
      <c r="AQ519" s="59" t="n">
        <v>1</v>
      </c>
      <c r="AR519" s="155" t="inlineStr">
        <is>
          <t>Odoo Universal Unique Brands › Bodega 25 › Bodega 25/General: 1</t>
        </is>
      </c>
    </row>
    <row r="520">
      <c r="A520" s="50" t="inlineStr">
        <is>
          <t>717690431921</t>
        </is>
      </c>
      <c r="B520" s="51" t="inlineStr">
        <is>
          <t>27458</t>
        </is>
      </c>
      <c r="C520" s="156" t="inlineStr">
        <is>
          <t>Wrangler</t>
        </is>
      </c>
      <c r="D520" s="156" t="inlineStr">
        <is>
          <t>WG233-W069LBR</t>
        </is>
      </c>
      <c r="E520" s="156" t="inlineStr">
        <is>
          <t>WG233-W069LBR</t>
        </is>
      </c>
      <c r="F520" s="156" t="inlineStr">
        <is>
          <t>Talla única</t>
        </is>
      </c>
      <c r="G520" s="156" t="inlineStr">
        <is>
          <t>One Size</t>
        </is>
      </c>
      <c r="H520" s="156" t="inlineStr">
        <is>
          <t>Wrangler</t>
        </is>
      </c>
      <c r="I520" s="156" t="inlineStr">
        <is>
          <t>Tarjetero Wrangler Leopardo Café</t>
        </is>
      </c>
      <c r="J520" s="156" t="inlineStr">
        <is>
          <t>Accesorios</t>
        </is>
      </c>
      <c r="K520" s="156" t="inlineStr">
        <is>
          <t>Carteras</t>
        </is>
      </c>
      <c r="L520" s="156" t="inlineStr">
        <is>
          <t>Unisex</t>
        </is>
      </c>
      <c r="M520" s="156" t="inlineStr">
        <is>
          <t>Wrangler</t>
        </is>
      </c>
      <c r="N520" s="156" t="n"/>
      <c r="O520" s="156" t="inlineStr">
        <is>
          <t>Core</t>
        </is>
      </c>
      <c r="P520" s="156" t="inlineStr">
        <is>
          <t>Cafe</t>
        </is>
      </c>
      <c r="Q520" s="156" t="n"/>
      <c r="R520" s="156" t="n"/>
      <c r="S520" s="156" t="n"/>
      <c r="T520" s="156" t="inlineStr">
        <is>
          <t>Tarjetero Wrangler. Color: Leopardo Café. Talla única. Unisex. Referencia: WG233-W069LBR.</t>
        </is>
      </c>
      <c r="U520" s="156" t="n"/>
      <c r="V520" s="156" t="inlineStr">
        <is>
          <t>PZS</t>
        </is>
      </c>
      <c r="W520" s="51" t="inlineStr">
        <is>
          <t>53121700</t>
        </is>
      </c>
      <c r="X520" s="156" t="inlineStr">
        <is>
          <t>https://cdn.shopify.com/s/files/1/0005/9015/1741/files/WG233-W069LBR_1.webp?v=1752127697</t>
        </is>
      </c>
      <c r="Y520" s="54" t="n">
        <v>207</v>
      </c>
      <c r="Z520" s="54" t="n">
        <v>349</v>
      </c>
      <c r="AA520" s="55">
        <f>IF(AND(A520="", B520="", E520=""), "", IF(AB520="", "Válido", IF((LEN(AB520)-LEN(SUBSTITUTE(AB520,"; ","")))/2+1&gt;(LEN(AB520)-LEN(SUBSTITUTE(AB520,"[Aviso]","")))/7, "Con Incidencias", "Válido")))</f>
        <v/>
      </c>
      <c r="AB520" s="56">
        <f>IF(AND(A520="", B520="", E520=""), "", TEXTJOIN("; ", TRUE, IF(OR(TRIM(A520&amp;"")="", ISNUMBER(SEARCH("FALTA", A520))), "UPC faltante/inválido", ""), IF(AND(A520&lt;&gt;"", IFERROR(_xlfn.XMATCH(A520,$A$2:$A$1063,0,1)&lt;&gt;_xlfn.XMATCH(A520,$A$2:$A$1063,0,-1),FALSE)), "Código de barras duplicado", ""), IF(AND(E520&lt;&gt;"", COUNTIF($E$2:$E$1063, E520)&gt;1), "SKU duplicado", ""), IF(OR(J520="", J520=""), "[Aviso] División no capturada ()", IF(ISNA(MATCH(J520, Criterios!$A$123:$A$126, 0)), "División no válida", "")), IF(OR(K520="", K520=""), "[Aviso] Categoría no capturada ()", IF(ISNA(MATCH(K520, Criterios!$A$81:$A$120, 0)), "Categoría no válida", IF(AND(J520&lt;&gt;"", J520&lt;&gt;"", J520&lt;&gt;VLOOKUP(K520, Criterios!$A$81:$B$120, 2, FALSE)), "División no coincide con Categoría", ""))), IF(OR(L520="", L520=""), "[Aviso] Género no capturado ()", IF(ISNA(MATCH(L520, Criterios!$B$123:$B$127, 0)), "Género no válido", "")), IF(OR(N520="", N520=""), "[Aviso] Temporada no capturada ()", IF(ISNA(MATCH(N520, Criterios!$C$123:$C$128, 0)), "Temporada no válida", "")), IF(OR(O520="", O520=""), "[Aviso] Ciclo de vida no capturado ()", IF(ISNA(MATCH(O520, Criterios!$D$123:$D$124, 0)), "Ciclo de vida no válido", ""))))</f>
        <v/>
      </c>
      <c r="AC520" s="56" t="n"/>
      <c r="AD520" s="51" t="n"/>
      <c r="AE520" s="156" t="n"/>
      <c r="AF520" s="51" t="n"/>
      <c r="AG520" s="156" t="inlineStr">
        <is>
          <t>Nuevo – Carga Hoja2 01/10/2026</t>
        </is>
      </c>
      <c r="AH520" s="156" t="inlineStr">
        <is>
          <t>Alta 01/10/2026 desde Hoja2 (fila 319) | 01/10/2026: Odoo Universal Unique Brands trae Marca «Montana West» — se conservó el valor de Productos | Homologación G1522 06/10/2026: Enlace de imagen: «» → «https://cdn.shopify.com/s/files/1/0005/9015/1741/files/WG233-W069LBR_1.webp?v=1752127697» (Completado por investigación en línea) · Validador Shopify: WB: precio con IVA no termina en 9</t>
        </is>
      </c>
      <c r="AI520" s="156" t="n"/>
      <c r="AJ520" s="156" t="n"/>
      <c r="AK520" s="155" t="inlineStr">
        <is>
          <t>Hoja2: fila 319 | Odoo: producto 27458 / plantilla 34158 | Investigación en línea 06/10/2026: https://montanawestworld.com/products/wrangler-embroidered-fringe-wristlet-wallet</t>
        </is>
      </c>
      <c r="AL520" s="58" t="n"/>
      <c r="AM520" s="58" t="n"/>
      <c r="AN520" s="155" t="inlineStr">
        <is>
          <t>Odoo Universal Unique Brands</t>
        </is>
      </c>
      <c r="AO520" s="59" t="n"/>
      <c r="AP520" s="59" t="n"/>
      <c r="AQ520" s="59" t="n">
        <v>3</v>
      </c>
      <c r="AR520" s="155" t="inlineStr">
        <is>
          <t>Odoo Universal Unique Brands › Bodega 25 › Bodega 25/General: 3</t>
        </is>
      </c>
    </row>
    <row r="521">
      <c r="A521" s="50" t="inlineStr">
        <is>
          <t>717690431938</t>
        </is>
      </c>
      <c r="B521" s="51" t="inlineStr">
        <is>
          <t>27459</t>
        </is>
      </c>
      <c r="C521" s="156" t="inlineStr">
        <is>
          <t>Wrangler</t>
        </is>
      </c>
      <c r="D521" s="156" t="inlineStr">
        <is>
          <t>WG233-W069TN</t>
        </is>
      </c>
      <c r="E521" s="156" t="inlineStr">
        <is>
          <t>WG233-W069TN</t>
        </is>
      </c>
      <c r="F521" s="156" t="inlineStr">
        <is>
          <t>Talla única</t>
        </is>
      </c>
      <c r="G521" s="156" t="inlineStr">
        <is>
          <t>One Size</t>
        </is>
      </c>
      <c r="H521" s="156" t="inlineStr">
        <is>
          <t>Wrangler</t>
        </is>
      </c>
      <c r="I521" s="156" t="inlineStr">
        <is>
          <t>Tarjetero Wrangler Camel</t>
        </is>
      </c>
      <c r="J521" s="156" t="inlineStr">
        <is>
          <t>Accesorios</t>
        </is>
      </c>
      <c r="K521" s="156" t="inlineStr">
        <is>
          <t>Carteras</t>
        </is>
      </c>
      <c r="L521" s="156" t="inlineStr">
        <is>
          <t>Unisex</t>
        </is>
      </c>
      <c r="M521" s="156" t="inlineStr">
        <is>
          <t>Wrangler</t>
        </is>
      </c>
      <c r="N521" s="156" t="n"/>
      <c r="O521" s="156" t="inlineStr">
        <is>
          <t>Core</t>
        </is>
      </c>
      <c r="P521" s="156" t="inlineStr">
        <is>
          <t>Beige</t>
        </is>
      </c>
      <c r="Q521" s="156" t="n"/>
      <c r="R521" s="156" t="n"/>
      <c r="S521" s="156" t="n"/>
      <c r="T521" s="156" t="inlineStr">
        <is>
          <t>Tarjetero Wrangler. Color: Camel. Talla única. Unisex. Referencia: WG233-W069TN.</t>
        </is>
      </c>
      <c r="U521" s="156" t="n"/>
      <c r="V521" s="156" t="inlineStr">
        <is>
          <t>PZS</t>
        </is>
      </c>
      <c r="W521" s="51" t="inlineStr">
        <is>
          <t>53121700</t>
        </is>
      </c>
      <c r="X521" s="156" t="inlineStr">
        <is>
          <t>https://cdn.shopify.com/s/files/1/0005/9015/1741/files/WG233-W069TN_1.webp?v=1752127697</t>
        </is>
      </c>
      <c r="Y521" s="54" t="n">
        <v>207</v>
      </c>
      <c r="Z521" s="54" t="n">
        <v>349</v>
      </c>
      <c r="AA521" s="55">
        <f>IF(AND(A521="", B521="", E521=""), "", IF(AB521="", "Válido", IF((LEN(AB521)-LEN(SUBSTITUTE(AB521,"; ","")))/2+1&gt;(LEN(AB521)-LEN(SUBSTITUTE(AB521,"[Aviso]","")))/7, "Con Incidencias", "Válido")))</f>
        <v/>
      </c>
      <c r="AB521" s="56">
        <f>IF(AND(A521="", B521="", E521=""), "", TEXTJOIN("; ", TRUE, IF(OR(TRIM(A521&amp;"")="", ISNUMBER(SEARCH("FALTA", A521))), "UPC faltante/inválido", ""), IF(AND(A521&lt;&gt;"", IFERROR(_xlfn.XMATCH(A521,$A$2:$A$1063,0,1)&lt;&gt;_xlfn.XMATCH(A521,$A$2:$A$1063,0,-1),FALSE)), "Código de barras duplicado", ""), IF(AND(E521&lt;&gt;"", COUNTIF($E$2:$E$1063, E521)&gt;1), "SKU duplicado", ""), IF(OR(J521="", J521=""), "[Aviso] División no capturada ()", IF(ISNA(MATCH(J521, Criterios!$A$123:$A$126, 0)), "División no válida", "")), IF(OR(K521="", K521=""), "[Aviso] Categoría no capturada ()", IF(ISNA(MATCH(K521, Criterios!$A$81:$A$120, 0)), "Categoría no válida", IF(AND(J521&lt;&gt;"", J521&lt;&gt;"", J521&lt;&gt;VLOOKUP(K521, Criterios!$A$81:$B$120, 2, FALSE)), "División no coincide con Categoría", ""))), IF(OR(L521="", L521=""), "[Aviso] Género no capturado ()", IF(ISNA(MATCH(L521, Criterios!$B$123:$B$127, 0)), "Género no válido", "")), IF(OR(N521="", N521=""), "[Aviso] Temporada no capturada ()", IF(ISNA(MATCH(N521, Criterios!$C$123:$C$128, 0)), "Temporada no válida", "")), IF(OR(O521="", O521=""), "[Aviso] Ciclo de vida no capturado ()", IF(ISNA(MATCH(O521, Criterios!$D$123:$D$124, 0)), "Ciclo de vida no válido", ""))))</f>
        <v/>
      </c>
      <c r="AC521" s="56" t="n"/>
      <c r="AD521" s="51" t="n"/>
      <c r="AE521" s="156" t="n"/>
      <c r="AF521" s="51" t="n"/>
      <c r="AG521" s="156" t="inlineStr">
        <is>
          <t>Nuevo – Carga Hoja2 01/10/2026</t>
        </is>
      </c>
      <c r="AH521" s="156" t="inlineStr">
        <is>
          <t>Alta 01/10/2026 desde Hoja2 (fila 320) | 01/10/2026: Odoo Universal Unique Brands trae Marca «Montana West» — se conservó el valor de Productos | Homologación G1522 06/10/2026: Enlace de imagen: «» → «https://cdn.shopify.com/s/files/1/0005/9015/1741/files/WG233-W069TN_1.webp?v=1752127697» (Completado por investigación en línea) · Validador Shopify: WB: precio con IVA no termina en 9</t>
        </is>
      </c>
      <c r="AI521" s="156" t="n"/>
      <c r="AJ521" s="156" t="n"/>
      <c r="AK521" s="155" t="inlineStr">
        <is>
          <t>Hoja2: fila 320 | Odoo: producto 27459 / plantilla 34159 | Investigación en línea 06/10/2026: https://montanawestworld.com/products/wrangler-embroidered-fringe-wristlet-wallet</t>
        </is>
      </c>
      <c r="AL521" s="58" t="n"/>
      <c r="AM521" s="58" t="n"/>
      <c r="AN521" s="155" t="inlineStr">
        <is>
          <t>Odoo Universal Unique Brands</t>
        </is>
      </c>
      <c r="AO521" s="59" t="n"/>
      <c r="AP521" s="59" t="n"/>
      <c r="AQ521" s="59" t="n">
        <v>5</v>
      </c>
      <c r="AR521" s="155" t="inlineStr">
        <is>
          <t>Odoo Universal Unique Brands › Bodega 25 › Bodega 25/General: 5</t>
        </is>
      </c>
    </row>
    <row r="522">
      <c r="A522" s="50" t="inlineStr">
        <is>
          <t>717690434359</t>
        </is>
      </c>
      <c r="B522" s="51" t="inlineStr">
        <is>
          <t>27460</t>
        </is>
      </c>
      <c r="C522" s="156" t="inlineStr">
        <is>
          <t>Wrangler</t>
        </is>
      </c>
      <c r="D522" s="156" t="inlineStr">
        <is>
          <t>WG241-2022BK</t>
        </is>
      </c>
      <c r="E522" s="156" t="inlineStr">
        <is>
          <t>WG241-2022BK</t>
        </is>
      </c>
      <c r="F522" s="156" t="inlineStr">
        <is>
          <t>Talla única</t>
        </is>
      </c>
      <c r="G522" s="156" t="inlineStr">
        <is>
          <t>One Size</t>
        </is>
      </c>
      <c r="H522" s="156" t="inlineStr">
        <is>
          <t>Wrangler</t>
        </is>
      </c>
      <c r="I522" s="156" t="inlineStr">
        <is>
          <t>Bolsa Hobo Cruzada Wrangler Con Flecos Y Hebilla Negro</t>
        </is>
      </c>
      <c r="J522" s="156" t="inlineStr">
        <is>
          <t>Accesorios</t>
        </is>
      </c>
      <c r="K522" s="156" t="inlineStr">
        <is>
          <t>Bolsos</t>
        </is>
      </c>
      <c r="L522" s="156" t="inlineStr">
        <is>
          <t>Unisex</t>
        </is>
      </c>
      <c r="M522" s="156" t="inlineStr">
        <is>
          <t>Wrangler</t>
        </is>
      </c>
      <c r="N522" s="156" t="n"/>
      <c r="O522" s="156" t="inlineStr">
        <is>
          <t>Core</t>
        </is>
      </c>
      <c r="P522" s="156" t="inlineStr">
        <is>
          <t>Negro</t>
        </is>
      </c>
      <c r="Q522" s="156" t="n"/>
      <c r="R522" s="156" t="n"/>
      <c r="S522" s="156" t="n"/>
      <c r="T522" s="156" t="inlineStr">
        <is>
          <t>Bolsa Hobo Cruzada Wrangler. Modelo: Con Flecos Y Hebilla. Color: Negro. Talla única. Unisex. Referencia: WG241-2022BK.</t>
        </is>
      </c>
      <c r="U522" s="156" t="n"/>
      <c r="V522" s="156" t="inlineStr">
        <is>
          <t>PZS</t>
        </is>
      </c>
      <c r="W522" s="51" t="inlineStr">
        <is>
          <t>53121601</t>
        </is>
      </c>
      <c r="X522" s="156" t="n"/>
      <c r="Y522" s="54" t="n">
        <v>517.5</v>
      </c>
      <c r="Z522" s="54" t="n">
        <v>839</v>
      </c>
      <c r="AA522" s="55">
        <f>IF(AND(A522="", B522="", E522=""), "", IF(AB522="", "Válido", IF((LEN(AB522)-LEN(SUBSTITUTE(AB522,"; ","")))/2+1&gt;(LEN(AB522)-LEN(SUBSTITUTE(AB522,"[Aviso]","")))/7, "Con Incidencias", "Válido")))</f>
        <v/>
      </c>
      <c r="AB522" s="56">
        <f>IF(AND(A522="", B522="", E522=""), "", TEXTJOIN("; ", TRUE, IF(OR(TRIM(A522&amp;"")="", ISNUMBER(SEARCH("FALTA", A522))), "UPC faltante/inválido", ""), IF(AND(A522&lt;&gt;"", IFERROR(_xlfn.XMATCH(A522,$A$2:$A$1063,0,1)&lt;&gt;_xlfn.XMATCH(A522,$A$2:$A$1063,0,-1),FALSE)), "Código de barras duplicado", ""), IF(AND(E522&lt;&gt;"", COUNTIF($E$2:$E$1063, E522)&gt;1), "SKU duplicado", ""), IF(OR(J522="", J522=""), "[Aviso] División no capturada ()", IF(ISNA(MATCH(J522, Criterios!$A$123:$A$126, 0)), "División no válida", "")), IF(OR(K522="", K522=""), "[Aviso] Categoría no capturada ()", IF(ISNA(MATCH(K522, Criterios!$A$81:$A$120, 0)), "Categoría no válida", IF(AND(J522&lt;&gt;"", J522&lt;&gt;"", J522&lt;&gt;VLOOKUP(K522, Criterios!$A$81:$B$120, 2, FALSE)), "División no coincide con Categoría", ""))), IF(OR(L522="", L522=""), "[Aviso] Género no capturado ()", IF(ISNA(MATCH(L522, Criterios!$B$123:$B$127, 0)), "Género no válido", "")), IF(OR(N522="", N522=""), "[Aviso] Temporada no capturada ()", IF(ISNA(MATCH(N522, Criterios!$C$123:$C$128, 0)), "Temporada no válida", "")), IF(OR(O522="", O522=""), "[Aviso] Ciclo de vida no capturado ()", IF(ISNA(MATCH(O522, Criterios!$D$123:$D$124, 0)), "Ciclo de vida no válido", ""))))</f>
        <v/>
      </c>
      <c r="AC522" s="56" t="n"/>
      <c r="AD522" s="51" t="n"/>
      <c r="AE522" s="156" t="n"/>
      <c r="AF522" s="51" t="n"/>
      <c r="AG522" s="156" t="inlineStr">
        <is>
          <t>Nuevo – Carga Hoja2 01/10/2026</t>
        </is>
      </c>
      <c r="AH522" s="156" t="inlineStr">
        <is>
          <t>Alta 01/10/2026 desde Hoja2 (fila 321) | 01/10/2026: Odoo Universal Unique Brands trae Marca «Montana West» — se conservó el valor de Productos | Homologación G1522 06/10/2026: Validador Shopify: WB: precio con IVA no termina en 9</t>
        </is>
      </c>
      <c r="AI522" s="156" t="n"/>
      <c r="AJ522" s="156" t="n"/>
      <c r="AK522" s="155" t="inlineStr">
        <is>
          <t>Hoja2: fila 321 | Odoo: producto 27460 / plantilla 34160</t>
        </is>
      </c>
      <c r="AL522" s="58" t="n"/>
      <c r="AM522" s="58" t="n"/>
      <c r="AN522" s="155" t="inlineStr">
        <is>
          <t>Odoo Universal Unique Brands</t>
        </is>
      </c>
      <c r="AO522" s="59" t="n"/>
      <c r="AP522" s="59" t="n"/>
      <c r="AQ522" s="59" t="n">
        <v>-1</v>
      </c>
      <c r="AR522" s="155" t="n"/>
    </row>
    <row r="523">
      <c r="A523" s="50" t="inlineStr">
        <is>
          <t>717690434342</t>
        </is>
      </c>
      <c r="B523" s="51" t="inlineStr">
        <is>
          <t>27463</t>
        </is>
      </c>
      <c r="C523" s="156" t="inlineStr">
        <is>
          <t>Wrangler</t>
        </is>
      </c>
      <c r="D523" s="156" t="inlineStr">
        <is>
          <t>WG241-2022JN</t>
        </is>
      </c>
      <c r="E523" s="156" t="inlineStr">
        <is>
          <t>WG241-2022JN</t>
        </is>
      </c>
      <c r="F523" s="156" t="inlineStr">
        <is>
          <t>Talla única</t>
        </is>
      </c>
      <c r="G523" s="156" t="inlineStr">
        <is>
          <t>One Size</t>
        </is>
      </c>
      <c r="H523" s="156" t="inlineStr">
        <is>
          <t>Wrangler</t>
        </is>
      </c>
      <c r="I523" s="156" t="inlineStr">
        <is>
          <t>Bolsa Hobo Cruzada Wrangler Con Flecos Y Hebilla Mezclilla</t>
        </is>
      </c>
      <c r="J523" s="156" t="inlineStr">
        <is>
          <t>Accesorios</t>
        </is>
      </c>
      <c r="K523" s="156" t="inlineStr">
        <is>
          <t>Bolsos</t>
        </is>
      </c>
      <c r="L523" s="156" t="inlineStr">
        <is>
          <t>Unisex</t>
        </is>
      </c>
      <c r="M523" s="156" t="inlineStr">
        <is>
          <t>Wrangler</t>
        </is>
      </c>
      <c r="N523" s="156" t="n"/>
      <c r="O523" s="156" t="inlineStr">
        <is>
          <t>Core</t>
        </is>
      </c>
      <c r="P523" s="156" t="inlineStr">
        <is>
          <t>Varios</t>
        </is>
      </c>
      <c r="Q523" s="156" t="n"/>
      <c r="R523" s="156" t="n"/>
      <c r="S523" s="156" t="n"/>
      <c r="T523" s="156" t="inlineStr">
        <is>
          <t>Bolsa Hobo Cruzada Wrangler. Modelo: Con Flecos Y Hebilla. Color: Mezclilla. Talla única. Unisex. Referencia: WG241-2022JN.</t>
        </is>
      </c>
      <c r="U523" s="156" t="n"/>
      <c r="V523" s="156" t="inlineStr">
        <is>
          <t>PZS</t>
        </is>
      </c>
      <c r="W523" s="51" t="inlineStr">
        <is>
          <t>53121601</t>
        </is>
      </c>
      <c r="X523" s="156" t="n"/>
      <c r="Y523" s="54" t="n">
        <v>517.5</v>
      </c>
      <c r="Z523" s="54" t="n">
        <v>849</v>
      </c>
      <c r="AA523" s="55">
        <f>IF(AND(A523="", B523="", E523=""), "", IF(AB523="", "Válido", IF((LEN(AB523)-LEN(SUBSTITUTE(AB523,"; ","")))/2+1&gt;(LEN(AB523)-LEN(SUBSTITUTE(AB523,"[Aviso]","")))/7, "Con Incidencias", "Válido")))</f>
        <v/>
      </c>
      <c r="AB523" s="56">
        <f>IF(AND(A523="", B523="", E523=""), "", TEXTJOIN("; ", TRUE, IF(OR(TRIM(A523&amp;"")="", ISNUMBER(SEARCH("FALTA", A523))), "UPC faltante/inválido", ""), IF(AND(A523&lt;&gt;"", IFERROR(_xlfn.XMATCH(A523,$A$2:$A$1063,0,1)&lt;&gt;_xlfn.XMATCH(A523,$A$2:$A$1063,0,-1),FALSE)), "Código de barras duplicado", ""), IF(AND(E523&lt;&gt;"", COUNTIF($E$2:$E$1063, E523)&gt;1), "SKU duplicado", ""), IF(OR(J523="", J523=""), "[Aviso] División no capturada ()", IF(ISNA(MATCH(J523, Criterios!$A$123:$A$126, 0)), "División no válida", "")), IF(OR(K523="", K523=""), "[Aviso] Categoría no capturada ()", IF(ISNA(MATCH(K523, Criterios!$A$81:$A$120, 0)), "Categoría no válida", IF(AND(J523&lt;&gt;"", J523&lt;&gt;"", J523&lt;&gt;VLOOKUP(K523, Criterios!$A$81:$B$120, 2, FALSE)), "División no coincide con Categoría", ""))), IF(OR(L523="", L523=""), "[Aviso] Género no capturado ()", IF(ISNA(MATCH(L523, Criterios!$B$123:$B$127, 0)), "Género no válido", "")), IF(OR(N523="", N523=""), "[Aviso] Temporada no capturada ()", IF(ISNA(MATCH(N523, Criterios!$C$123:$C$128, 0)), "Temporada no válida", "")), IF(OR(O523="", O523=""), "[Aviso] Ciclo de vida no capturado ()", IF(ISNA(MATCH(O523, Criterios!$D$123:$D$124, 0)), "Ciclo de vida no válido", ""))))</f>
        <v/>
      </c>
      <c r="AC523" s="56" t="n"/>
      <c r="AD523" s="51" t="n"/>
      <c r="AE523" s="156" t="n"/>
      <c r="AF523" s="51" t="n"/>
      <c r="AG523" s="156" t="inlineStr">
        <is>
          <t>Nuevo – Carga Hoja2 01/10/2026</t>
        </is>
      </c>
      <c r="AH523" s="156" t="inlineStr">
        <is>
          <t>Alta 01/10/2026 desde Hoja2 (fila 323) | 01/10/2026: Odoo Universal Unique Brands trae Marca «Montana West» — se conservó el valor de Productos | Homologación G1522 06/10/2026: Validador Shopify: WB: precio con IVA no termina en 9</t>
        </is>
      </c>
      <c r="AI523" s="156" t="n"/>
      <c r="AJ523" s="156" t="n"/>
      <c r="AK523" s="155" t="inlineStr">
        <is>
          <t>Hoja2: fila 323 | Odoo: producto 27463 / plantilla 34163</t>
        </is>
      </c>
      <c r="AL523" s="58" t="n"/>
      <c r="AM523" s="58" t="n"/>
      <c r="AN523" s="155" t="inlineStr">
        <is>
          <t>Odoo Universal Unique Brands</t>
        </is>
      </c>
      <c r="AO523" s="59" t="n"/>
      <c r="AP523" s="59" t="n"/>
      <c r="AQ523" s="59" t="n">
        <v>6</v>
      </c>
      <c r="AR523" s="155" t="inlineStr">
        <is>
          <t>Odoo Universal Unique Brands › Bodega 25 › Bodega 25/General: 6</t>
        </is>
      </c>
    </row>
    <row r="524">
      <c r="A524" s="50" t="inlineStr">
        <is>
          <t>717690434281</t>
        </is>
      </c>
      <c r="B524" s="51" t="inlineStr">
        <is>
          <t>27464</t>
        </is>
      </c>
      <c r="C524" s="156" t="inlineStr">
        <is>
          <t>Wrangler</t>
        </is>
      </c>
      <c r="D524" s="156" t="inlineStr">
        <is>
          <t>WG241-2022TN</t>
        </is>
      </c>
      <c r="E524" s="156" t="inlineStr">
        <is>
          <t>WG241-2022TN</t>
        </is>
      </c>
      <c r="F524" s="156" t="inlineStr">
        <is>
          <t>Talla única</t>
        </is>
      </c>
      <c r="G524" s="156" t="inlineStr">
        <is>
          <t>One Size</t>
        </is>
      </c>
      <c r="H524" s="156" t="inlineStr">
        <is>
          <t>Wrangler</t>
        </is>
      </c>
      <c r="I524" s="156" t="inlineStr">
        <is>
          <t>Bolsa Hobo Cruzada Wrangler Con Flecos Y Hebilla Camel</t>
        </is>
      </c>
      <c r="J524" s="156" t="inlineStr">
        <is>
          <t>Accesorios</t>
        </is>
      </c>
      <c r="K524" s="156" t="inlineStr">
        <is>
          <t>Bolsos</t>
        </is>
      </c>
      <c r="L524" s="156" t="inlineStr">
        <is>
          <t>Unisex</t>
        </is>
      </c>
      <c r="M524" s="156" t="inlineStr">
        <is>
          <t>Wrangler</t>
        </is>
      </c>
      <c r="N524" s="156" t="n"/>
      <c r="O524" s="156" t="inlineStr">
        <is>
          <t>Core</t>
        </is>
      </c>
      <c r="P524" s="156" t="inlineStr">
        <is>
          <t>Beige</t>
        </is>
      </c>
      <c r="Q524" s="156" t="n"/>
      <c r="R524" s="156" t="n"/>
      <c r="S524" s="156" t="n"/>
      <c r="T524" s="156" t="inlineStr">
        <is>
          <t>Bolsa Hobo Cruzada Wrangler. Modelo: Con Flecos Y Hebilla. Color: Camel. Talla única. Unisex. Referencia: WG241-2022TN.</t>
        </is>
      </c>
      <c r="U524" s="156" t="n"/>
      <c r="V524" s="156" t="inlineStr">
        <is>
          <t>PZS</t>
        </is>
      </c>
      <c r="W524" s="51" t="inlineStr">
        <is>
          <t>53121601</t>
        </is>
      </c>
      <c r="X524" s="156" t="n"/>
      <c r="Y524" s="54" t="n">
        <v>517.5</v>
      </c>
      <c r="Z524" s="54" t="n">
        <v>849</v>
      </c>
      <c r="AA524" s="55">
        <f>IF(AND(A524="", B524="", E524=""), "", IF(AB524="", "Válido", IF((LEN(AB524)-LEN(SUBSTITUTE(AB524,"; ","")))/2+1&gt;(LEN(AB524)-LEN(SUBSTITUTE(AB524,"[Aviso]","")))/7, "Con Incidencias", "Válido")))</f>
        <v/>
      </c>
      <c r="AB524" s="56">
        <f>IF(AND(A524="", B524="", E524=""), "", TEXTJOIN("; ", TRUE, IF(OR(TRIM(A524&amp;"")="", ISNUMBER(SEARCH("FALTA", A524))), "UPC faltante/inválido", ""), IF(AND(A524&lt;&gt;"", IFERROR(_xlfn.XMATCH(A524,$A$2:$A$1063,0,1)&lt;&gt;_xlfn.XMATCH(A524,$A$2:$A$1063,0,-1),FALSE)), "Código de barras duplicado", ""), IF(AND(E524&lt;&gt;"", COUNTIF($E$2:$E$1063, E524)&gt;1), "SKU duplicado", ""), IF(OR(J524="", J524=""), "[Aviso] División no capturada ()", IF(ISNA(MATCH(J524, Criterios!$A$123:$A$126, 0)), "División no válida", "")), IF(OR(K524="", K524=""), "[Aviso] Categoría no capturada ()", IF(ISNA(MATCH(K524, Criterios!$A$81:$A$120, 0)), "Categoría no válida", IF(AND(J524&lt;&gt;"", J524&lt;&gt;"", J524&lt;&gt;VLOOKUP(K524, Criterios!$A$81:$B$120, 2, FALSE)), "División no coincide con Categoría", ""))), IF(OR(L524="", L524=""), "[Aviso] Género no capturado ()", IF(ISNA(MATCH(L524, Criterios!$B$123:$B$127, 0)), "Género no válido", "")), IF(OR(N524="", N524=""), "[Aviso] Temporada no capturada ()", IF(ISNA(MATCH(N524, Criterios!$C$123:$C$128, 0)), "Temporada no válida", "")), IF(OR(O524="", O524=""), "[Aviso] Ciclo de vida no capturado ()", IF(ISNA(MATCH(O524, Criterios!$D$123:$D$124, 0)), "Ciclo de vida no válido", ""))))</f>
        <v/>
      </c>
      <c r="AC524" s="56" t="n"/>
      <c r="AD524" s="51" t="n"/>
      <c r="AE524" s="156" t="n"/>
      <c r="AF524" s="51" t="n"/>
      <c r="AG524" s="156" t="inlineStr">
        <is>
          <t>Nuevo – Carga Hoja2 01/10/2026</t>
        </is>
      </c>
      <c r="AH524" s="156" t="inlineStr">
        <is>
          <t>Alta 01/10/2026 desde Hoja2 (fila 324) | 01/10/2026: Odoo Universal Unique Brands trae Marca «Montana West» — se conservó el valor de Productos | Homologación G1522 06/10/2026: Validador Shopify: WB: precio con IVA no termina en 9</t>
        </is>
      </c>
      <c r="AI524" s="156" t="n"/>
      <c r="AJ524" s="156" t="n"/>
      <c r="AK524" s="155" t="inlineStr">
        <is>
          <t>Hoja2: fila 324 | Odoo: producto 27464 / plantilla 34164</t>
        </is>
      </c>
      <c r="AL524" s="58" t="n"/>
      <c r="AM524" s="58" t="n"/>
      <c r="AN524" s="155" t="inlineStr">
        <is>
          <t>Odoo Universal Unique Brands</t>
        </is>
      </c>
      <c r="AO524" s="59" t="n"/>
      <c r="AP524" s="59" t="n"/>
      <c r="AQ524" s="59" t="n">
        <v>2</v>
      </c>
      <c r="AR524" s="155" t="inlineStr">
        <is>
          <t>Odoo Universal Unique Brands › Bodega 25 › Bodega 25/General: 2</t>
        </is>
      </c>
    </row>
    <row r="525">
      <c r="A525" s="50" t="inlineStr">
        <is>
          <t>717690434328</t>
        </is>
      </c>
      <c r="B525" s="51" t="inlineStr">
        <is>
          <t>27465</t>
        </is>
      </c>
      <c r="C525" s="156" t="inlineStr">
        <is>
          <t>Wrangler</t>
        </is>
      </c>
      <c r="D525" s="156" t="inlineStr">
        <is>
          <t>WG241-2022TQ</t>
        </is>
      </c>
      <c r="E525" s="156" t="inlineStr">
        <is>
          <t>WG241-2022TQ</t>
        </is>
      </c>
      <c r="F525" s="156" t="inlineStr">
        <is>
          <t>Talla única</t>
        </is>
      </c>
      <c r="G525" s="156" t="inlineStr">
        <is>
          <t>One Size</t>
        </is>
      </c>
      <c r="H525" s="156" t="inlineStr">
        <is>
          <t>Wrangler</t>
        </is>
      </c>
      <c r="I525" s="156" t="inlineStr">
        <is>
          <t>Bolsa Hobo Cruzada Wrangler Con Flecos Y Hebilla Turquesa</t>
        </is>
      </c>
      <c r="J525" s="156" t="inlineStr">
        <is>
          <t>Accesorios</t>
        </is>
      </c>
      <c r="K525" s="156" t="inlineStr">
        <is>
          <t>Bolsos</t>
        </is>
      </c>
      <c r="L525" s="156" t="inlineStr">
        <is>
          <t>Unisex</t>
        </is>
      </c>
      <c r="M525" s="156" t="inlineStr">
        <is>
          <t>Wrangler</t>
        </is>
      </c>
      <c r="N525" s="156" t="n"/>
      <c r="O525" s="156" t="inlineStr">
        <is>
          <t>Core</t>
        </is>
      </c>
      <c r="P525" s="156" t="inlineStr">
        <is>
          <t>Azul</t>
        </is>
      </c>
      <c r="Q525" s="156" t="n"/>
      <c r="R525" s="156" t="n"/>
      <c r="S525" s="156" t="n"/>
      <c r="T525" s="156" t="inlineStr">
        <is>
          <t>Bolsa Hobo Cruzada Wrangler. Modelo: Con Flecos Y Hebilla. Color: Turquesa. Talla única. Unisex. Referencia: WG241-2022TQ.</t>
        </is>
      </c>
      <c r="U525" s="156" t="n"/>
      <c r="V525" s="156" t="inlineStr">
        <is>
          <t>PZS</t>
        </is>
      </c>
      <c r="W525" s="51" t="inlineStr">
        <is>
          <t>53121601</t>
        </is>
      </c>
      <c r="X525" s="156" t="n"/>
      <c r="Y525" s="54" t="n">
        <v>517.5</v>
      </c>
      <c r="Z525" s="54" t="n">
        <v>849</v>
      </c>
      <c r="AA525" s="55">
        <f>IF(AND(A525="", B525="", E525=""), "", IF(AB525="", "Válido", IF((LEN(AB525)-LEN(SUBSTITUTE(AB525,"; ","")))/2+1&gt;(LEN(AB525)-LEN(SUBSTITUTE(AB525,"[Aviso]","")))/7, "Con Incidencias", "Válido")))</f>
        <v/>
      </c>
      <c r="AB525" s="56">
        <f>IF(AND(A525="", B525="", E525=""), "", TEXTJOIN("; ", TRUE, IF(OR(TRIM(A525&amp;"")="", ISNUMBER(SEARCH("FALTA", A525))), "UPC faltante/inválido", ""), IF(AND(A525&lt;&gt;"", IFERROR(_xlfn.XMATCH(A525,$A$2:$A$1063,0,1)&lt;&gt;_xlfn.XMATCH(A525,$A$2:$A$1063,0,-1),FALSE)), "Código de barras duplicado", ""), IF(AND(E525&lt;&gt;"", COUNTIF($E$2:$E$1063, E525)&gt;1), "SKU duplicado", ""), IF(OR(J525="", J525=""), "[Aviso] División no capturada ()", IF(ISNA(MATCH(J525, Criterios!$A$123:$A$126, 0)), "División no válida", "")), IF(OR(K525="", K525=""), "[Aviso] Categoría no capturada ()", IF(ISNA(MATCH(K525, Criterios!$A$81:$A$120, 0)), "Categoría no válida", IF(AND(J525&lt;&gt;"", J525&lt;&gt;"", J525&lt;&gt;VLOOKUP(K525, Criterios!$A$81:$B$120, 2, FALSE)), "División no coincide con Categoría", ""))), IF(OR(L525="", L525=""), "[Aviso] Género no capturado ()", IF(ISNA(MATCH(L525, Criterios!$B$123:$B$127, 0)), "Género no válido", "")), IF(OR(N525="", N525=""), "[Aviso] Temporada no capturada ()", IF(ISNA(MATCH(N525, Criterios!$C$123:$C$128, 0)), "Temporada no válida", "")), IF(OR(O525="", O525=""), "[Aviso] Ciclo de vida no capturado ()", IF(ISNA(MATCH(O525, Criterios!$D$123:$D$124, 0)), "Ciclo de vida no válido", ""))))</f>
        <v/>
      </c>
      <c r="AC525" s="56" t="n"/>
      <c r="AD525" s="51" t="n"/>
      <c r="AE525" s="156" t="n"/>
      <c r="AF525" s="51" t="n"/>
      <c r="AG525" s="156" t="inlineStr">
        <is>
          <t>Nuevo – Carga Hoja2 01/10/2026</t>
        </is>
      </c>
      <c r="AH525" s="156" t="inlineStr">
        <is>
          <t>Alta 01/10/2026 desde Hoja2 (fila 325) | 01/10/2026: Odoo Universal Unique Brands trae Marca «Montana West» — se conservó el valor de Productos | Homologación G1522 06/10/2026: Validador Shopify: WB: precio con IVA no termina en 9</t>
        </is>
      </c>
      <c r="AI525" s="156" t="n"/>
      <c r="AJ525" s="156" t="n"/>
      <c r="AK525" s="155" t="inlineStr">
        <is>
          <t>Hoja2: fila 325 | Odoo: producto 27465 / plantilla 34165</t>
        </is>
      </c>
      <c r="AL525" s="58" t="n"/>
      <c r="AM525" s="58" t="n"/>
      <c r="AN525" s="155" t="inlineStr">
        <is>
          <t>Odoo Universal Unique Brands</t>
        </is>
      </c>
      <c r="AO525" s="59" t="n"/>
      <c r="AP525" s="59" t="n"/>
      <c r="AQ525" s="59" t="n">
        <v>0</v>
      </c>
      <c r="AR525" s="155" t="n"/>
    </row>
    <row r="526">
      <c r="A526" s="50" t="n"/>
      <c r="B526" s="51" t="inlineStr">
        <is>
          <t>27467</t>
        </is>
      </c>
      <c r="C526" s="156" t="inlineStr">
        <is>
          <t>Montana West</t>
        </is>
      </c>
      <c r="D526" s="156" t="n"/>
      <c r="E526" s="156" t="inlineStr">
        <is>
          <t>WG244-9182BK</t>
        </is>
      </c>
      <c r="F526" s="156" t="inlineStr">
        <is>
          <t>Talla única</t>
        </is>
      </c>
      <c r="G526" s="156" t="inlineStr">
        <is>
          <t>One Size</t>
        </is>
      </c>
      <c r="H526" s="156" t="inlineStr">
        <is>
          <t>Montana West</t>
        </is>
      </c>
      <c r="I526" s="156" t="inlineStr">
        <is>
          <t>Bolsa Hobo Wrangler Con Flecos Y Tachuelas</t>
        </is>
      </c>
      <c r="J526" s="156" t="inlineStr">
        <is>
          <t>Accesorios</t>
        </is>
      </c>
      <c r="K526" s="156" t="inlineStr">
        <is>
          <t>Bolsos</t>
        </is>
      </c>
      <c r="L526" s="156" t="inlineStr">
        <is>
          <t>Unisex</t>
        </is>
      </c>
      <c r="M526" s="156" t="inlineStr">
        <is>
          <t>Wrangler</t>
        </is>
      </c>
      <c r="N526" s="156" t="n"/>
      <c r="O526" s="156" t="n"/>
      <c r="P526" s="156" t="inlineStr">
        <is>
          <t>Negro</t>
        </is>
      </c>
      <c r="Q526" s="156" t="n"/>
      <c r="R526" s="156" t="n"/>
      <c r="S526" s="156" t="n"/>
      <c r="T526" s="156" t="inlineStr">
        <is>
          <t>Bolsa Hobo</t>
        </is>
      </c>
      <c r="U526" s="156" t="inlineStr">
        <is>
          <t>México</t>
        </is>
      </c>
      <c r="V526" s="156" t="inlineStr">
        <is>
          <t>PZS</t>
        </is>
      </c>
      <c r="W526" s="51" t="inlineStr">
        <is>
          <t>53121601</t>
        </is>
      </c>
      <c r="X526" s="156" t="n"/>
      <c r="Y526" s="54" t="n">
        <v>586.5</v>
      </c>
      <c r="Z526" s="54" t="n">
        <v>949</v>
      </c>
      <c r="AA526" s="55">
        <f>IF(AND(A526="", B526="", E526=""), "", IF(AB526="", "Válido", IF((LEN(AB526)-LEN(SUBSTITUTE(AB526,"; ","")))/2+1&gt;(LEN(AB526)-LEN(SUBSTITUTE(AB526,"[Aviso]","")))/7, "Con Incidencias", "Válido")))</f>
        <v/>
      </c>
      <c r="AB526" s="56">
        <f>IF(AND(A526="", B526="", E526=""), "", TEXTJOIN("; ", TRUE, IF(OR(TRIM(A526&amp;"")="", ISNUMBER(SEARCH("FALTA", A526))), "UPC faltante/inválido", ""), IF(AND(A526&lt;&gt;"", IFERROR(_xlfn.XMATCH(A526,$A$2:$A$1063,0,1)&lt;&gt;_xlfn.XMATCH(A526,$A$2:$A$1063,0,-1),FALSE)), "Código de barras duplicado", ""), IF(AND(E526&lt;&gt;"", COUNTIF($E$2:$E$1063, E526)&gt;1), "SKU duplicado", ""), IF(OR(J526="", J526=""), "[Aviso] División no capturada ()", IF(ISNA(MATCH(J526, Criterios!$A$123:$A$126, 0)), "División no válida", "")), IF(OR(K526="", K526=""), "[Aviso] Categoría no capturada ()", IF(ISNA(MATCH(K526, Criterios!$A$81:$A$120, 0)), "Categoría no válida", IF(AND(J526&lt;&gt;"", J526&lt;&gt;"", J526&lt;&gt;VLOOKUP(K526, Criterios!$A$81:$B$120, 2, FALSE)), "División no coincide con Categoría", ""))), IF(OR(L526="", L526=""), "[Aviso] Género no capturado ()", IF(ISNA(MATCH(L526, Criterios!$B$123:$B$127, 0)), "Género no válido", "")), IF(OR(N526="", N526=""), "[Aviso] Temporada no capturada ()", IF(ISNA(MATCH(N526, Criterios!$C$123:$C$128, 0)), "Temporada no válida", "")), IF(OR(O526="", O526=""), "[Aviso] Ciclo de vida no capturado ()", IF(ISNA(MATCH(O526, Criterios!$D$123:$D$124, 0)), "Ciclo de vida no válido", ""))))</f>
        <v/>
      </c>
      <c r="AC526" s="56" t="n"/>
      <c r="AD526" s="51" t="n"/>
      <c r="AE526" s="156" t="n"/>
      <c r="AF526" s="51" t="n"/>
      <c r="AG526" s="156" t="inlineStr">
        <is>
          <t>Nuevo – Carga Hoja2 01/10/2026</t>
        </is>
      </c>
      <c r="AH526" s="156" t="inlineStr">
        <is>
          <t>Alta 01/10/2026 desde Hoja2 (fila 326) | 01/10/2026: complementado desde Odoo Universal Unique Brands (match por SKU): WB Talla, WB Talla de EE. UU., WB Género | 01/10/2026: complementado desde Odoo Universal Unique Brands (match por SKU): WB Descripcion (antes «WG BAG»), WB Licencia, WB Color, WB Descripción larga, WB País de origen | 01/10/2026: Odoo Universal Unique Brands trae Marca «Wrangler» — se conservó el valor de Productos | Homologación G1522 06/10/2026: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526" s="156" t="n"/>
      <c r="AJ526" s="156" t="n"/>
      <c r="AK526" s="155" t="inlineStr">
        <is>
          <t>Hoja2: fila 326 | Odoo: producto 27467 / plantilla 34167 | Odoo: producto 31023 / plantilla 39672</t>
        </is>
      </c>
      <c r="AL526" s="58" t="n"/>
      <c r="AM526" s="58" t="n"/>
      <c r="AN526" s="155" t="inlineStr">
        <is>
          <t>Odoo Universal Unique Brands</t>
        </is>
      </c>
      <c r="AO526" s="59" t="n"/>
      <c r="AP526" s="59" t="n"/>
      <c r="AQ526" s="59" t="n">
        <v>216</v>
      </c>
      <c r="AR526" s="155" t="inlineStr">
        <is>
          <t>Odoo Universal Unique Brands › Bodega 25 › Bodega 25/General: 216</t>
        </is>
      </c>
    </row>
    <row r="527">
      <c r="A527" s="50" t="inlineStr">
        <is>
          <t>717690451202</t>
        </is>
      </c>
      <c r="B527" s="51" t="inlineStr">
        <is>
          <t>27471</t>
        </is>
      </c>
      <c r="C527" s="156" t="inlineStr">
        <is>
          <t>Wrangler</t>
        </is>
      </c>
      <c r="D527" s="156" t="inlineStr">
        <is>
          <t>WG276-9182KH</t>
        </is>
      </c>
      <c r="E527" s="156" t="inlineStr">
        <is>
          <t>WG276-9182KH</t>
        </is>
      </c>
      <c r="F527" s="156" t="inlineStr">
        <is>
          <t>Talla única</t>
        </is>
      </c>
      <c r="G527" s="156" t="inlineStr">
        <is>
          <t>One Size</t>
        </is>
      </c>
      <c r="H527" s="156" t="inlineStr">
        <is>
          <t>Wrangler</t>
        </is>
      </c>
      <c r="I527" s="156" t="inlineStr">
        <is>
          <t>Bolsa Hobo Wrangler Floral Grabada Con Monedero Caqui</t>
        </is>
      </c>
      <c r="J527" s="156" t="inlineStr">
        <is>
          <t>Accesorios</t>
        </is>
      </c>
      <c r="K527" s="156" t="inlineStr">
        <is>
          <t>Bolsos</t>
        </is>
      </c>
      <c r="L527" s="156" t="inlineStr">
        <is>
          <t>Unisex</t>
        </is>
      </c>
      <c r="M527" s="156" t="inlineStr">
        <is>
          <t>Wrangler</t>
        </is>
      </c>
      <c r="N527" s="156" t="n"/>
      <c r="O527" s="156" t="inlineStr">
        <is>
          <t>Core</t>
        </is>
      </c>
      <c r="P527" s="156" t="inlineStr">
        <is>
          <t>Beige</t>
        </is>
      </c>
      <c r="Q527" s="156" t="n"/>
      <c r="R527" s="156" t="n"/>
      <c r="S527" s="156" t="n"/>
      <c r="T527" s="156" t="inlineStr">
        <is>
          <t>Bolsa Hobo Wrangler. Modelo: Floral Grabada Con Monedero. Color: Caqui. Talla única. Unisex. Referencia: WG276-9182KH.</t>
        </is>
      </c>
      <c r="U527" s="156" t="n"/>
      <c r="V527" s="156" t="inlineStr">
        <is>
          <t>PZS</t>
        </is>
      </c>
      <c r="W527" s="51" t="inlineStr">
        <is>
          <t>53121601</t>
        </is>
      </c>
      <c r="X527" s="156" t="inlineStr">
        <is>
          <t>https://cdn.shopify.com/s/files/1/0005/9015/1741/files/WG276-9182KH.1_745f7cf9-8758-4b26-ae57-9dd39aa22da3.webp?v=1781777757</t>
        </is>
      </c>
      <c r="Y527" s="54" t="n">
        <v>586.5</v>
      </c>
      <c r="Z527" s="54" t="n">
        <v>949</v>
      </c>
      <c r="AA527" s="55">
        <f>IF(AND(A527="", B527="", E527=""), "", IF(AB527="", "Válido", IF((LEN(AB527)-LEN(SUBSTITUTE(AB527,"; ","")))/2+1&gt;(LEN(AB527)-LEN(SUBSTITUTE(AB527,"[Aviso]","")))/7, "Con Incidencias", "Válido")))</f>
        <v/>
      </c>
      <c r="AB527" s="56">
        <f>IF(AND(A527="", B527="", E527=""), "", TEXTJOIN("; ", TRUE, IF(OR(TRIM(A527&amp;"")="", ISNUMBER(SEARCH("FALTA", A527))), "UPC faltante/inválido", ""), IF(AND(A527&lt;&gt;"", IFERROR(_xlfn.XMATCH(A527,$A$2:$A$1063,0,1)&lt;&gt;_xlfn.XMATCH(A527,$A$2:$A$1063,0,-1),FALSE)), "Código de barras duplicado", ""), IF(AND(E527&lt;&gt;"", COUNTIF($E$2:$E$1063, E527)&gt;1), "SKU duplicado", ""), IF(OR(J527="", J527=""), "[Aviso] División no capturada ()", IF(ISNA(MATCH(J527, Criterios!$A$123:$A$126, 0)), "División no válida", "")), IF(OR(K527="", K527=""), "[Aviso] Categoría no capturada ()", IF(ISNA(MATCH(K527, Criterios!$A$81:$A$120, 0)), "Categoría no válida", IF(AND(J527&lt;&gt;"", J527&lt;&gt;"", J527&lt;&gt;VLOOKUP(K527, Criterios!$A$81:$B$120, 2, FALSE)), "División no coincide con Categoría", ""))), IF(OR(L527="", L527=""), "[Aviso] Género no capturado ()", IF(ISNA(MATCH(L527, Criterios!$B$123:$B$127, 0)), "Género no válido", "")), IF(OR(N527="", N527=""), "[Aviso] Temporada no capturada ()", IF(ISNA(MATCH(N527, Criterios!$C$123:$C$128, 0)), "Temporada no válida", "")), IF(OR(O527="", O527=""), "[Aviso] Ciclo de vida no capturado ()", IF(ISNA(MATCH(O527, Criterios!$D$123:$D$124, 0)), "Ciclo de vida no válido", ""))))</f>
        <v/>
      </c>
      <c r="AC527" s="56" t="n"/>
      <c r="AD527" s="51" t="n"/>
      <c r="AE527" s="156" t="n"/>
      <c r="AF527" s="51" t="n"/>
      <c r="AG527" s="156" t="inlineStr">
        <is>
          <t>Nuevo – Carga Hoja2 01/10/2026</t>
        </is>
      </c>
      <c r="AH527" s="156" t="inlineStr">
        <is>
          <t>Alta 01/10/2026 desde Hoja2 (fila 327) | 01/10/2026: Odoo Universal Unique Brands trae Marca «Montana West» — se conservó el valor de Productos | Homologación G1522 06/10/2026: Enlace de imagen: «» → «https://cdn.shopify.com/s/files/1/0005/9015/1741/files/WG276-9182KH.1_745f7cf9-8758-4b26-ae57-9dd39aa22da3.webp?v=1781777757» (Completado por investigación en línea) · Validador Shopify: WB: precio con IVA no termina en 9</t>
        </is>
      </c>
      <c r="AI527" s="156" t="n"/>
      <c r="AJ527" s="156" t="n"/>
      <c r="AK527" s="155" t="inlineStr">
        <is>
          <t>Hoja2: fila 327 | Odoo: producto 27471 / plantilla 34171 | Investigación en línea 06/10/2026: https://montanawestworld.com/products/wrangler-floral-embossed-hobo-bag</t>
        </is>
      </c>
      <c r="AL527" s="58" t="n"/>
      <c r="AM527" s="58" t="n"/>
      <c r="AN527" s="155" t="inlineStr">
        <is>
          <t>Odoo Universal Unique Brands</t>
        </is>
      </c>
      <c r="AO527" s="59" t="n"/>
      <c r="AP527" s="59" t="n"/>
      <c r="AQ527" s="59" t="n">
        <v>5</v>
      </c>
      <c r="AR527" s="155" t="inlineStr">
        <is>
          <t>Odoo Universal Unique Brands › Bodega 25 › Bodega 25/General: 5</t>
        </is>
      </c>
    </row>
    <row r="528">
      <c r="A528" s="50" t="inlineStr">
        <is>
          <t>712288142456</t>
        </is>
      </c>
      <c r="B528" s="51" t="inlineStr">
        <is>
          <t>27472</t>
        </is>
      </c>
      <c r="C528" s="156" t="inlineStr">
        <is>
          <t>Wrangler</t>
        </is>
      </c>
      <c r="D528" s="156" t="inlineStr">
        <is>
          <t>WG284D-8119HPK</t>
        </is>
      </c>
      <c r="E528" s="156" t="inlineStr">
        <is>
          <t>WG284D-8119HPK</t>
        </is>
      </c>
      <c r="F528" s="156" t="inlineStr">
        <is>
          <t>Talla única</t>
        </is>
      </c>
      <c r="G528" s="156" t="inlineStr">
        <is>
          <t>One Size</t>
        </is>
      </c>
      <c r="H528" s="156" t="inlineStr">
        <is>
          <t>Wrangler</t>
        </is>
      </c>
      <c r="I528" s="156" t="inlineStr">
        <is>
          <t>Bolsa Wrangler Rosa Fuerte</t>
        </is>
      </c>
      <c r="J528" s="156" t="inlineStr">
        <is>
          <t>Accesorios</t>
        </is>
      </c>
      <c r="K528" s="156" t="inlineStr">
        <is>
          <t>Bolsos</t>
        </is>
      </c>
      <c r="L528" s="156" t="inlineStr">
        <is>
          <t>Unisex</t>
        </is>
      </c>
      <c r="M528" s="156" t="inlineStr">
        <is>
          <t>Wrangler</t>
        </is>
      </c>
      <c r="N528" s="156" t="n"/>
      <c r="O528" s="156" t="inlineStr">
        <is>
          <t>Core</t>
        </is>
      </c>
      <c r="P528" s="156" t="inlineStr">
        <is>
          <t>Rosa</t>
        </is>
      </c>
      <c r="Q528" s="156" t="n"/>
      <c r="R528" s="156" t="n"/>
      <c r="S528" s="156" t="n"/>
      <c r="T528" s="156" t="inlineStr">
        <is>
          <t>Bolsa Wrangler. Color: Rosa Fuerte. Talla única. Unisex. Referencia: WG284D-8119HPK.</t>
        </is>
      </c>
      <c r="U528" s="156" t="n"/>
      <c r="V528" s="156" t="inlineStr">
        <is>
          <t>PZS</t>
        </is>
      </c>
      <c r="W528" s="51" t="inlineStr">
        <is>
          <t>53121601</t>
        </is>
      </c>
      <c r="X528" s="156" t="n"/>
      <c r="Y528" s="54" t="n">
        <v>517.5</v>
      </c>
      <c r="Z528" s="54" t="n">
        <v>849</v>
      </c>
      <c r="AA528" s="55">
        <f>IF(AND(A528="", B528="", E528=""), "", IF(AB528="", "Válido", IF((LEN(AB528)-LEN(SUBSTITUTE(AB528,"; ","")))/2+1&gt;(LEN(AB528)-LEN(SUBSTITUTE(AB528,"[Aviso]","")))/7, "Con Incidencias", "Válido")))</f>
        <v/>
      </c>
      <c r="AB528" s="56">
        <f>IF(AND(A528="", B528="", E528=""), "", TEXTJOIN("; ", TRUE, IF(OR(TRIM(A528&amp;"")="", ISNUMBER(SEARCH("FALTA", A528))), "UPC faltante/inválido", ""), IF(AND(A528&lt;&gt;"", IFERROR(_xlfn.XMATCH(A528,$A$2:$A$1063,0,1)&lt;&gt;_xlfn.XMATCH(A528,$A$2:$A$1063,0,-1),FALSE)), "Código de barras duplicado", ""), IF(AND(E528&lt;&gt;"", COUNTIF($E$2:$E$1063, E528)&gt;1), "SKU duplicado", ""), IF(OR(J528="", J528=""), "[Aviso] División no capturada ()", IF(ISNA(MATCH(J528, Criterios!$A$123:$A$126, 0)), "División no válida", "")), IF(OR(K528="", K528=""), "[Aviso] Categoría no capturada ()", IF(ISNA(MATCH(K528, Criterios!$A$81:$A$120, 0)), "Categoría no válida", IF(AND(J528&lt;&gt;"", J528&lt;&gt;"", J528&lt;&gt;VLOOKUP(K528, Criterios!$A$81:$B$120, 2, FALSE)), "División no coincide con Categoría", ""))), IF(OR(L528="", L528=""), "[Aviso] Género no capturado ()", IF(ISNA(MATCH(L528, Criterios!$B$123:$B$127, 0)), "Género no válido", "")), IF(OR(N528="", N528=""), "[Aviso] Temporada no capturada ()", IF(ISNA(MATCH(N528, Criterios!$C$123:$C$128, 0)), "Temporada no válida", "")), IF(OR(O528="", O528=""), "[Aviso] Ciclo de vida no capturado ()", IF(ISNA(MATCH(O528, Criterios!$D$123:$D$124, 0)), "Ciclo de vida no válido", ""))))</f>
        <v/>
      </c>
      <c r="AC528" s="56" t="n"/>
      <c r="AD528" s="51" t="n"/>
      <c r="AE528" s="156" t="n"/>
      <c r="AF528" s="51" t="n"/>
      <c r="AG528" s="156" t="inlineStr">
        <is>
          <t>Nuevo – Carga Hoja2 01/10/2026</t>
        </is>
      </c>
      <c r="AH528" s="156" t="inlineStr">
        <is>
          <t>Alta 01/10/2026 desde Hoja2 (fila 328) | 01/10/2026: Odoo Universal Unique Brands trae Marca «Montana West» — se conservó el valor de Productos | Homologación G1522 06/10/2026: Validador Shopify: WB: precio con IVA no termina en 9</t>
        </is>
      </c>
      <c r="AI528" s="156" t="n"/>
      <c r="AJ528" s="156" t="n"/>
      <c r="AK528" s="155" t="inlineStr">
        <is>
          <t>Hoja2: fila 328 | Odoo: producto 27472 / plantilla 34172</t>
        </is>
      </c>
      <c r="AL528" s="58" t="n"/>
      <c r="AM528" s="58" t="n"/>
      <c r="AN528" s="155" t="inlineStr">
        <is>
          <t>Odoo Universal Unique Brands</t>
        </is>
      </c>
      <c r="AO528" s="59" t="n"/>
      <c r="AP528" s="59" t="n"/>
      <c r="AQ528" s="59" t="n">
        <v>5</v>
      </c>
      <c r="AR528" s="155" t="inlineStr">
        <is>
          <t>Odoo Universal Unique Brands › Bodega 25 › Bodega 25/General: 5</t>
        </is>
      </c>
    </row>
    <row r="529">
      <c r="A529" s="50" t="inlineStr">
        <is>
          <t>712288142449</t>
        </is>
      </c>
      <c r="B529" s="51" t="inlineStr">
        <is>
          <t>27473</t>
        </is>
      </c>
      <c r="C529" s="156" t="inlineStr">
        <is>
          <t>Wrangler</t>
        </is>
      </c>
      <c r="D529" s="156" t="inlineStr">
        <is>
          <t>WG284D-8119RD</t>
        </is>
      </c>
      <c r="E529" s="156" t="inlineStr">
        <is>
          <t>WG284D-8119RD</t>
        </is>
      </c>
      <c r="F529" s="156" t="inlineStr">
        <is>
          <t>Talla única</t>
        </is>
      </c>
      <c r="G529" s="156" t="inlineStr">
        <is>
          <t>One Size</t>
        </is>
      </c>
      <c r="H529" s="156" t="inlineStr">
        <is>
          <t>Wrangler</t>
        </is>
      </c>
      <c r="I529" s="156" t="inlineStr">
        <is>
          <t>Bolsa Wrangler Rojo</t>
        </is>
      </c>
      <c r="J529" s="156" t="inlineStr">
        <is>
          <t>Accesorios</t>
        </is>
      </c>
      <c r="K529" s="156" t="inlineStr">
        <is>
          <t>Bolsos</t>
        </is>
      </c>
      <c r="L529" s="156" t="inlineStr">
        <is>
          <t>Unisex</t>
        </is>
      </c>
      <c r="M529" s="156" t="inlineStr">
        <is>
          <t>Wrangler</t>
        </is>
      </c>
      <c r="N529" s="156" t="n"/>
      <c r="O529" s="156" t="inlineStr">
        <is>
          <t>Core</t>
        </is>
      </c>
      <c r="P529" s="156" t="inlineStr">
        <is>
          <t>Rojo</t>
        </is>
      </c>
      <c r="Q529" s="156" t="n"/>
      <c r="R529" s="156" t="n"/>
      <c r="S529" s="156" t="n"/>
      <c r="T529" s="156" t="inlineStr">
        <is>
          <t>Bolsa Wrangler. Color: Rojo. Talla única. Unisex. Referencia: WG284D-8119RD.</t>
        </is>
      </c>
      <c r="U529" s="156" t="n"/>
      <c r="V529" s="156" t="inlineStr">
        <is>
          <t>PZS</t>
        </is>
      </c>
      <c r="W529" s="51" t="inlineStr">
        <is>
          <t>53121601</t>
        </is>
      </c>
      <c r="X529" s="156" t="n"/>
      <c r="Y529" s="54" t="n">
        <v>517.5</v>
      </c>
      <c r="Z529" s="54" t="n">
        <v>849</v>
      </c>
      <c r="AA529" s="55">
        <f>IF(AND(A529="", B529="", E529=""), "", IF(AB529="", "Válido", IF((LEN(AB529)-LEN(SUBSTITUTE(AB529,"; ","")))/2+1&gt;(LEN(AB529)-LEN(SUBSTITUTE(AB529,"[Aviso]","")))/7, "Con Incidencias", "Válido")))</f>
        <v/>
      </c>
      <c r="AB529" s="56">
        <f>IF(AND(A529="", B529="", E529=""), "", TEXTJOIN("; ", TRUE, IF(OR(TRIM(A529&amp;"")="", ISNUMBER(SEARCH("FALTA", A529))), "UPC faltante/inválido", ""), IF(AND(A529&lt;&gt;"", IFERROR(_xlfn.XMATCH(A529,$A$2:$A$1063,0,1)&lt;&gt;_xlfn.XMATCH(A529,$A$2:$A$1063,0,-1),FALSE)), "Código de barras duplicado", ""), IF(AND(E529&lt;&gt;"", COUNTIF($E$2:$E$1063, E529)&gt;1), "SKU duplicado", ""), IF(OR(J529="", J529=""), "[Aviso] División no capturada ()", IF(ISNA(MATCH(J529, Criterios!$A$123:$A$126, 0)), "División no válida", "")), IF(OR(K529="", K529=""), "[Aviso] Categoría no capturada ()", IF(ISNA(MATCH(K529, Criterios!$A$81:$A$120, 0)), "Categoría no válida", IF(AND(J529&lt;&gt;"", J529&lt;&gt;"", J529&lt;&gt;VLOOKUP(K529, Criterios!$A$81:$B$120, 2, FALSE)), "División no coincide con Categoría", ""))), IF(OR(L529="", L529=""), "[Aviso] Género no capturado ()", IF(ISNA(MATCH(L529, Criterios!$B$123:$B$127, 0)), "Género no válido", "")), IF(OR(N529="", N529=""), "[Aviso] Temporada no capturada ()", IF(ISNA(MATCH(N529, Criterios!$C$123:$C$128, 0)), "Temporada no válida", "")), IF(OR(O529="", O529=""), "[Aviso] Ciclo de vida no capturado ()", IF(ISNA(MATCH(O529, Criterios!$D$123:$D$124, 0)), "Ciclo de vida no válido", ""))))</f>
        <v/>
      </c>
      <c r="AC529" s="56" t="n"/>
      <c r="AD529" s="51" t="n"/>
      <c r="AE529" s="156" t="n"/>
      <c r="AF529" s="51" t="n"/>
      <c r="AG529" s="156" t="inlineStr">
        <is>
          <t>Nuevo – Carga Hoja2 01/10/2026</t>
        </is>
      </c>
      <c r="AH529" s="156" t="inlineStr">
        <is>
          <t>Alta 01/10/2026 desde Hoja2 (fila 329) | 01/10/2026: Odoo Universal Unique Brands trae Marca «Montana West» — se conservó el valor de Productos | Homologación G1522 06/10/2026: Validador Shopify: WB: precio con IVA no termina en 9</t>
        </is>
      </c>
      <c r="AI529" s="156" t="n"/>
      <c r="AJ529" s="156" t="n"/>
      <c r="AK529" s="155" t="inlineStr">
        <is>
          <t>Hoja2: fila 329 | Odoo: producto 27473 / plantilla 34173</t>
        </is>
      </c>
      <c r="AL529" s="58" t="n"/>
      <c r="AM529" s="58" t="n"/>
      <c r="AN529" s="155" t="inlineStr">
        <is>
          <t>Odoo Universal Unique Brands</t>
        </is>
      </c>
      <c r="AO529" s="59" t="n"/>
      <c r="AP529" s="59" t="n"/>
      <c r="AQ529" s="59" t="n">
        <v>2</v>
      </c>
      <c r="AR529" s="155" t="inlineStr">
        <is>
          <t>Odoo Universal Unique Brands › Bodega 25 › Bodega 25/General: 2</t>
        </is>
      </c>
    </row>
    <row r="530">
      <c r="A530" s="50" t="inlineStr">
        <is>
          <t>717710491225</t>
        </is>
      </c>
      <c r="B530" s="51" t="inlineStr">
        <is>
          <t>27474</t>
        </is>
      </c>
      <c r="C530" s="156" t="inlineStr">
        <is>
          <t>Wrangler</t>
        </is>
      </c>
      <c r="D530" s="156" t="inlineStr">
        <is>
          <t>WG286-1833BR</t>
        </is>
      </c>
      <c r="E530" s="156" t="inlineStr">
        <is>
          <t>WG286-1833BR</t>
        </is>
      </c>
      <c r="F530" s="156" t="inlineStr">
        <is>
          <t>Talla única</t>
        </is>
      </c>
      <c r="G530" s="156" t="inlineStr">
        <is>
          <t>One Size</t>
        </is>
      </c>
      <c r="H530" s="156" t="inlineStr">
        <is>
          <t>Wrangler</t>
        </is>
      </c>
      <c r="I530" s="156" t="inlineStr">
        <is>
          <t>Clutch Cruzada Wrangler Estampado Camuflaje De Lona Café</t>
        </is>
      </c>
      <c r="J530" s="156" t="inlineStr">
        <is>
          <t>Accesorios</t>
        </is>
      </c>
      <c r="K530" s="156" t="inlineStr">
        <is>
          <t>Bolsos</t>
        </is>
      </c>
      <c r="L530" s="156" t="inlineStr">
        <is>
          <t>Unisex</t>
        </is>
      </c>
      <c r="M530" s="156" t="inlineStr">
        <is>
          <t>Wrangler</t>
        </is>
      </c>
      <c r="N530" s="156" t="n"/>
      <c r="O530" s="156" t="inlineStr">
        <is>
          <t>Core</t>
        </is>
      </c>
      <c r="P530" s="156" t="inlineStr">
        <is>
          <t>Cafe</t>
        </is>
      </c>
      <c r="Q530" s="156" t="n"/>
      <c r="R530" s="156" t="n"/>
      <c r="S530" s="156" t="n"/>
      <c r="T530" s="156" t="inlineStr">
        <is>
          <t>Clutch Cruzada Wrangler. Modelo: Estampado Camuflaje De Lona. Color: Café. Talla única. Unisex. Referencia: WG286-1833BR.</t>
        </is>
      </c>
      <c r="U530" s="156" t="n"/>
      <c r="V530" s="156" t="inlineStr">
        <is>
          <t>PZS</t>
        </is>
      </c>
      <c r="W530" s="51" t="inlineStr">
        <is>
          <t>53121601</t>
        </is>
      </c>
      <c r="X530" s="156" t="n"/>
      <c r="Y530" s="54" t="n">
        <v>379.5</v>
      </c>
      <c r="Z530" s="54" t="n">
        <v>649</v>
      </c>
      <c r="AA530" s="55">
        <f>IF(AND(A530="", B530="", E530=""), "", IF(AB530="", "Válido", IF((LEN(AB530)-LEN(SUBSTITUTE(AB530,"; ","")))/2+1&gt;(LEN(AB530)-LEN(SUBSTITUTE(AB530,"[Aviso]","")))/7, "Con Incidencias", "Válido")))</f>
        <v/>
      </c>
      <c r="AB530" s="56">
        <f>IF(AND(A530="", B530="", E530=""), "", TEXTJOIN("; ", TRUE, IF(OR(TRIM(A530&amp;"")="", ISNUMBER(SEARCH("FALTA", A530))), "UPC faltante/inválido", ""), IF(AND(A530&lt;&gt;"", IFERROR(_xlfn.XMATCH(A530,$A$2:$A$1063,0,1)&lt;&gt;_xlfn.XMATCH(A530,$A$2:$A$1063,0,-1),FALSE)), "Código de barras duplicado", ""), IF(AND(E530&lt;&gt;"", COUNTIF($E$2:$E$1063, E530)&gt;1), "SKU duplicado", ""), IF(OR(J530="", J530=""), "[Aviso] División no capturada ()", IF(ISNA(MATCH(J530, Criterios!$A$123:$A$126, 0)), "División no válida", "")), IF(OR(K530="", K530=""), "[Aviso] Categoría no capturada ()", IF(ISNA(MATCH(K530, Criterios!$A$81:$A$120, 0)), "Categoría no válida", IF(AND(J530&lt;&gt;"", J530&lt;&gt;"", J530&lt;&gt;VLOOKUP(K530, Criterios!$A$81:$B$120, 2, FALSE)), "División no coincide con Categoría", ""))), IF(OR(L530="", L530=""), "[Aviso] Género no capturado ()", IF(ISNA(MATCH(L530, Criterios!$B$123:$B$127, 0)), "Género no válido", "")), IF(OR(N530="", N530=""), "[Aviso] Temporada no capturada ()", IF(ISNA(MATCH(N530, Criterios!$C$123:$C$128, 0)), "Temporada no válida", "")), IF(OR(O530="", O530=""), "[Aviso] Ciclo de vida no capturado ()", IF(ISNA(MATCH(O530, Criterios!$D$123:$D$124, 0)), "Ciclo de vida no válido", ""))))</f>
        <v/>
      </c>
      <c r="AC530" s="56" t="n"/>
      <c r="AD530" s="51" t="n"/>
      <c r="AE530" s="156" t="n"/>
      <c r="AF530" s="51" t="n"/>
      <c r="AG530" s="156" t="inlineStr">
        <is>
          <t>Nuevo – Carga Hoja2 01/10/2026</t>
        </is>
      </c>
      <c r="AH530" s="156" t="inlineStr">
        <is>
          <t>Alta 01/10/2026 desde Hoja2 (fila 330) | 01/10/2026: Odoo Universal Unique Brands trae Marca «Montana West» — se conservó el valor de Productos | Homologación G1522 06/10/2026: Validador Shopify: WB: precio con IVA no termina en 9</t>
        </is>
      </c>
      <c r="AI530" s="156" t="n"/>
      <c r="AJ530" s="156" t="n"/>
      <c r="AK530" s="155" t="inlineStr">
        <is>
          <t>Hoja2: fila 330 | Odoo: producto 27474 / plantilla 34174</t>
        </is>
      </c>
      <c r="AL530" s="58" t="n"/>
      <c r="AM530" s="58" t="n"/>
      <c r="AN530" s="155" t="inlineStr">
        <is>
          <t>Odoo Universal Unique Brands</t>
        </is>
      </c>
      <c r="AO530" s="59" t="n"/>
      <c r="AP530" s="59" t="n"/>
      <c r="AQ530" s="59" t="n">
        <v>0</v>
      </c>
      <c r="AR530" s="155" t="n"/>
    </row>
    <row r="531">
      <c r="A531" s="50" t="inlineStr">
        <is>
          <t>717710491201</t>
        </is>
      </c>
      <c r="B531" s="51" t="inlineStr">
        <is>
          <t>27476</t>
        </is>
      </c>
      <c r="C531" s="156" t="inlineStr">
        <is>
          <t>Wrangler</t>
        </is>
      </c>
      <c r="D531" s="156" t="inlineStr">
        <is>
          <t>WG286-1833GY</t>
        </is>
      </c>
      <c r="E531" s="156" t="inlineStr">
        <is>
          <t>WG286-1833GY</t>
        </is>
      </c>
      <c r="F531" s="156" t="inlineStr">
        <is>
          <t>Talla única</t>
        </is>
      </c>
      <c r="G531" s="156" t="inlineStr">
        <is>
          <t>One Size</t>
        </is>
      </c>
      <c r="H531" s="156" t="inlineStr">
        <is>
          <t>Wrangler</t>
        </is>
      </c>
      <c r="I531" s="156" t="inlineStr">
        <is>
          <t>Clutch Cruzada Wrangler Estampado Camuflaje De Lona Gris</t>
        </is>
      </c>
      <c r="J531" s="156" t="inlineStr">
        <is>
          <t>Accesorios</t>
        </is>
      </c>
      <c r="K531" s="156" t="inlineStr">
        <is>
          <t>Bolsos</t>
        </is>
      </c>
      <c r="L531" s="156" t="inlineStr">
        <is>
          <t>Unisex</t>
        </is>
      </c>
      <c r="M531" s="156" t="inlineStr">
        <is>
          <t>Wrangler</t>
        </is>
      </c>
      <c r="N531" s="156" t="n"/>
      <c r="O531" s="156" t="inlineStr">
        <is>
          <t>Core</t>
        </is>
      </c>
      <c r="P531" s="156" t="inlineStr">
        <is>
          <t>Gris</t>
        </is>
      </c>
      <c r="Q531" s="156" t="n"/>
      <c r="R531" s="156" t="n"/>
      <c r="S531" s="156" t="n"/>
      <c r="T531" s="156" t="inlineStr">
        <is>
          <t>Clutch Cruzada Wrangler. Modelo: Estampado Camuflaje De Lona. Color: Gris. Talla única. Unisex. Referencia: WG286-1833GY.</t>
        </is>
      </c>
      <c r="U531" s="156" t="n"/>
      <c r="V531" s="156" t="inlineStr">
        <is>
          <t>PZS</t>
        </is>
      </c>
      <c r="W531" s="51" t="inlineStr">
        <is>
          <t>53121601</t>
        </is>
      </c>
      <c r="X531" s="156" t="n"/>
      <c r="Y531" s="54" t="n">
        <v>379.5</v>
      </c>
      <c r="Z531" s="54" t="n">
        <v>649</v>
      </c>
      <c r="AA531" s="55">
        <f>IF(AND(A531="", B531="", E531=""), "", IF(AB531="", "Válido", IF((LEN(AB531)-LEN(SUBSTITUTE(AB531,"; ","")))/2+1&gt;(LEN(AB531)-LEN(SUBSTITUTE(AB531,"[Aviso]","")))/7, "Con Incidencias", "Válido")))</f>
        <v/>
      </c>
      <c r="AB531" s="56">
        <f>IF(AND(A531="", B531="", E531=""), "", TEXTJOIN("; ", TRUE, IF(OR(TRIM(A531&amp;"")="", ISNUMBER(SEARCH("FALTA", A531))), "UPC faltante/inválido", ""), IF(AND(A531&lt;&gt;"", IFERROR(_xlfn.XMATCH(A531,$A$2:$A$1063,0,1)&lt;&gt;_xlfn.XMATCH(A531,$A$2:$A$1063,0,-1),FALSE)), "Código de barras duplicado", ""), IF(AND(E531&lt;&gt;"", COUNTIF($E$2:$E$1063, E531)&gt;1), "SKU duplicado", ""), IF(OR(J531="", J531=""), "[Aviso] División no capturada ()", IF(ISNA(MATCH(J531, Criterios!$A$123:$A$126, 0)), "División no válida", "")), IF(OR(K531="", K531=""), "[Aviso] Categoría no capturada ()", IF(ISNA(MATCH(K531, Criterios!$A$81:$A$120, 0)), "Categoría no válida", IF(AND(J531&lt;&gt;"", J531&lt;&gt;"", J531&lt;&gt;VLOOKUP(K531, Criterios!$A$81:$B$120, 2, FALSE)), "División no coincide con Categoría", ""))), IF(OR(L531="", L531=""), "[Aviso] Género no capturado ()", IF(ISNA(MATCH(L531, Criterios!$B$123:$B$127, 0)), "Género no válido", "")), IF(OR(N531="", N531=""), "[Aviso] Temporada no capturada ()", IF(ISNA(MATCH(N531, Criterios!$C$123:$C$128, 0)), "Temporada no válida", "")), IF(OR(O531="", O531=""), "[Aviso] Ciclo de vida no capturado ()", IF(ISNA(MATCH(O531, Criterios!$D$123:$D$124, 0)), "Ciclo de vida no válido", ""))))</f>
        <v/>
      </c>
      <c r="AC531" s="56" t="n"/>
      <c r="AD531" s="51" t="n"/>
      <c r="AE531" s="156" t="n"/>
      <c r="AF531" s="51" t="n"/>
      <c r="AG531" s="156" t="inlineStr">
        <is>
          <t>Nuevo – Carga Hoja2 01/10/2026</t>
        </is>
      </c>
      <c r="AH531" s="156" t="inlineStr">
        <is>
          <t>Alta 01/10/2026 desde Hoja2 (fila 331) | 01/10/2026: Odoo Universal Unique Brands trae Marca «Montana West» — se conservó el valor de Productos | Homologación G1522 06/10/2026: Validador Shopify: WB: precio con IVA no termina en 9</t>
        </is>
      </c>
      <c r="AI531" s="156" t="n"/>
      <c r="AJ531" s="156" t="n"/>
      <c r="AK531" s="155" t="inlineStr">
        <is>
          <t>Hoja2: fila 331 | Odoo: producto 27476 / plantilla 34176</t>
        </is>
      </c>
      <c r="AL531" s="58" t="n"/>
      <c r="AM531" s="58" t="n"/>
      <c r="AN531" s="155" t="inlineStr">
        <is>
          <t>Odoo Universal Unique Brands</t>
        </is>
      </c>
      <c r="AO531" s="59" t="n"/>
      <c r="AP531" s="59" t="n"/>
      <c r="AQ531" s="59" t="n">
        <v>3</v>
      </c>
      <c r="AR531" s="155" t="inlineStr">
        <is>
          <t>Odoo Universal Unique Brands › Bodega 25 › Bodega 25/General: 3</t>
        </is>
      </c>
    </row>
    <row r="532">
      <c r="A532" s="50" t="inlineStr">
        <is>
          <t>717710491249</t>
        </is>
      </c>
      <c r="B532" s="51" t="inlineStr">
        <is>
          <t>27477</t>
        </is>
      </c>
      <c r="C532" s="156" t="inlineStr">
        <is>
          <t>Wrangler</t>
        </is>
      </c>
      <c r="D532" s="156" t="inlineStr">
        <is>
          <t>WG286-1833PK</t>
        </is>
      </c>
      <c r="E532" s="156" t="inlineStr">
        <is>
          <t>WG286-1833PK</t>
        </is>
      </c>
      <c r="F532" s="156" t="inlineStr">
        <is>
          <t>Talla única</t>
        </is>
      </c>
      <c r="G532" s="156" t="inlineStr">
        <is>
          <t>One Size</t>
        </is>
      </c>
      <c r="H532" s="156" t="inlineStr">
        <is>
          <t>Wrangler</t>
        </is>
      </c>
      <c r="I532" s="156" t="inlineStr">
        <is>
          <t>Clutch Cruzada Wrangler Estampado Camuflaje De Lona Rosa</t>
        </is>
      </c>
      <c r="J532" s="156" t="inlineStr">
        <is>
          <t>Accesorios</t>
        </is>
      </c>
      <c r="K532" s="156" t="inlineStr">
        <is>
          <t>Bolsos</t>
        </is>
      </c>
      <c r="L532" s="156" t="inlineStr">
        <is>
          <t>Unisex</t>
        </is>
      </c>
      <c r="M532" s="156" t="inlineStr">
        <is>
          <t>Wrangler</t>
        </is>
      </c>
      <c r="N532" s="156" t="n"/>
      <c r="O532" s="156" t="inlineStr">
        <is>
          <t>Core</t>
        </is>
      </c>
      <c r="P532" s="156" t="inlineStr">
        <is>
          <t>Rosa</t>
        </is>
      </c>
      <c r="Q532" s="156" t="n"/>
      <c r="R532" s="156" t="n"/>
      <c r="S532" s="156" t="n"/>
      <c r="T532" s="156" t="inlineStr">
        <is>
          <t>Clutch Cruzada Wrangler. Modelo: Estampado Camuflaje De Lona. Color: Rosa. Talla única. Unisex. Referencia: WG286-1833PK.</t>
        </is>
      </c>
      <c r="U532" s="156" t="n"/>
      <c r="V532" s="156" t="inlineStr">
        <is>
          <t>PZS</t>
        </is>
      </c>
      <c r="W532" s="51" t="inlineStr">
        <is>
          <t>53121601</t>
        </is>
      </c>
      <c r="X532" s="156" t="n"/>
      <c r="Y532" s="54" t="n">
        <v>379.5</v>
      </c>
      <c r="Z532" s="54" t="n">
        <v>649</v>
      </c>
      <c r="AA532" s="55">
        <f>IF(AND(A532="", B532="", E532=""), "", IF(AB532="", "Válido", IF((LEN(AB532)-LEN(SUBSTITUTE(AB532,"; ","")))/2+1&gt;(LEN(AB532)-LEN(SUBSTITUTE(AB532,"[Aviso]","")))/7, "Con Incidencias", "Válido")))</f>
        <v/>
      </c>
      <c r="AB532" s="56">
        <f>IF(AND(A532="", B532="", E532=""), "", TEXTJOIN("; ", TRUE, IF(OR(TRIM(A532&amp;"")="", ISNUMBER(SEARCH("FALTA", A532))), "UPC faltante/inválido", ""), IF(AND(A532&lt;&gt;"", IFERROR(_xlfn.XMATCH(A532,$A$2:$A$1063,0,1)&lt;&gt;_xlfn.XMATCH(A532,$A$2:$A$1063,0,-1),FALSE)), "Código de barras duplicado", ""), IF(AND(E532&lt;&gt;"", COUNTIF($E$2:$E$1063, E532)&gt;1), "SKU duplicado", ""), IF(OR(J532="", J532=""), "[Aviso] División no capturada ()", IF(ISNA(MATCH(J532, Criterios!$A$123:$A$126, 0)), "División no válida", "")), IF(OR(K532="", K532=""), "[Aviso] Categoría no capturada ()", IF(ISNA(MATCH(K532, Criterios!$A$81:$A$120, 0)), "Categoría no válida", IF(AND(J532&lt;&gt;"", J532&lt;&gt;"", J532&lt;&gt;VLOOKUP(K532, Criterios!$A$81:$B$120, 2, FALSE)), "División no coincide con Categoría", ""))), IF(OR(L532="", L532=""), "[Aviso] Género no capturado ()", IF(ISNA(MATCH(L532, Criterios!$B$123:$B$127, 0)), "Género no válido", "")), IF(OR(N532="", N532=""), "[Aviso] Temporada no capturada ()", IF(ISNA(MATCH(N532, Criterios!$C$123:$C$128, 0)), "Temporada no válida", "")), IF(OR(O532="", O532=""), "[Aviso] Ciclo de vida no capturado ()", IF(ISNA(MATCH(O532, Criterios!$D$123:$D$124, 0)), "Ciclo de vida no válido", ""))))</f>
        <v/>
      </c>
      <c r="AC532" s="56" t="n"/>
      <c r="AD532" s="51" t="n"/>
      <c r="AE532" s="156" t="n"/>
      <c r="AF532" s="51" t="n"/>
      <c r="AG532" s="156" t="inlineStr">
        <is>
          <t>Nuevo – Carga Hoja2 01/10/2026</t>
        </is>
      </c>
      <c r="AH532" s="156" t="inlineStr">
        <is>
          <t>Alta 01/10/2026 desde Hoja2 (fila 332) | 01/10/2026: Odoo Universal Unique Brands trae Marca «Montana West» — se conservó el valor de Productos | Homologación G1522 06/10/2026: Validador Shopify: WB: precio con IVA no termina en 9</t>
        </is>
      </c>
      <c r="AI532" s="156" t="n"/>
      <c r="AJ532" s="156" t="n"/>
      <c r="AK532" s="155" t="inlineStr">
        <is>
          <t>Hoja2: fila 332 | Odoo: producto 27477 / plantilla 34177</t>
        </is>
      </c>
      <c r="AL532" s="58" t="n"/>
      <c r="AM532" s="58" t="n"/>
      <c r="AN532" s="155" t="inlineStr">
        <is>
          <t>Odoo Universal Unique Brands</t>
        </is>
      </c>
      <c r="AO532" s="59" t="n"/>
      <c r="AP532" s="59" t="n"/>
      <c r="AQ532" s="59" t="n">
        <v>2</v>
      </c>
      <c r="AR532" s="155" t="inlineStr">
        <is>
          <t>Odoo Universal Unique Brands › Bodega 25 › Bodega 25/General: 2</t>
        </is>
      </c>
    </row>
    <row r="533">
      <c r="A533" s="50" t="inlineStr">
        <is>
          <t>717690460570</t>
        </is>
      </c>
      <c r="B533" s="51" t="inlineStr">
        <is>
          <t>27478</t>
        </is>
      </c>
      <c r="C533" s="156" t="inlineStr">
        <is>
          <t>Wrangler</t>
        </is>
      </c>
      <c r="D533" s="156" t="inlineStr">
        <is>
          <t>WG286-8120SBR</t>
        </is>
      </c>
      <c r="E533" s="156" t="inlineStr">
        <is>
          <t>WG286-8120SBR</t>
        </is>
      </c>
      <c r="F533" s="156" t="inlineStr">
        <is>
          <t>Talla única</t>
        </is>
      </c>
      <c r="G533" s="156" t="inlineStr">
        <is>
          <t>One Size</t>
        </is>
      </c>
      <c r="H533" s="156" t="inlineStr">
        <is>
          <t>Wrangler</t>
        </is>
      </c>
      <c r="I533" s="156" t="inlineStr">
        <is>
          <t>Bolsa Tote Cruzada Wrangler Camuflaje Café</t>
        </is>
      </c>
      <c r="J533" s="156" t="inlineStr">
        <is>
          <t>Accesorios</t>
        </is>
      </c>
      <c r="K533" s="156" t="inlineStr">
        <is>
          <t>Bolsos</t>
        </is>
      </c>
      <c r="L533" s="156" t="inlineStr">
        <is>
          <t>Unisex</t>
        </is>
      </c>
      <c r="M533" s="156" t="inlineStr">
        <is>
          <t>Wrangler</t>
        </is>
      </c>
      <c r="N533" s="156" t="n"/>
      <c r="O533" s="156" t="inlineStr">
        <is>
          <t>Core</t>
        </is>
      </c>
      <c r="P533" s="156" t="inlineStr">
        <is>
          <t>Cafe</t>
        </is>
      </c>
      <c r="Q533" s="156" t="n"/>
      <c r="R533" s="156" t="n"/>
      <c r="S533" s="156" t="n"/>
      <c r="T533" s="156" t="inlineStr">
        <is>
          <t>Bolsa Tote Cruzada Wrangler. Modelo: Camuflaje. Color: Café. Talla única. Unisex. Referencia: WG286-8120SBR.</t>
        </is>
      </c>
      <c r="U533" s="156" t="n"/>
      <c r="V533" s="156" t="inlineStr">
        <is>
          <t>PZS</t>
        </is>
      </c>
      <c r="W533" s="51" t="inlineStr">
        <is>
          <t>53121601</t>
        </is>
      </c>
      <c r="X533" s="156" t="n"/>
      <c r="Y533" s="54" t="n">
        <v>448.5</v>
      </c>
      <c r="Z533" s="54" t="n">
        <v>749</v>
      </c>
      <c r="AA533" s="55">
        <f>IF(AND(A533="", B533="", E533=""), "", IF(AB533="", "Válido", IF((LEN(AB533)-LEN(SUBSTITUTE(AB533,"; ","")))/2+1&gt;(LEN(AB533)-LEN(SUBSTITUTE(AB533,"[Aviso]","")))/7, "Con Incidencias", "Válido")))</f>
        <v/>
      </c>
      <c r="AB533" s="56">
        <f>IF(AND(A533="", B533="", E533=""), "", TEXTJOIN("; ", TRUE, IF(OR(TRIM(A533&amp;"")="", ISNUMBER(SEARCH("FALTA", A533))), "UPC faltante/inválido", ""), IF(AND(A533&lt;&gt;"", IFERROR(_xlfn.XMATCH(A533,$A$2:$A$1063,0,1)&lt;&gt;_xlfn.XMATCH(A533,$A$2:$A$1063,0,-1),FALSE)), "Código de barras duplicado", ""), IF(AND(E533&lt;&gt;"", COUNTIF($E$2:$E$1063, E533)&gt;1), "SKU duplicado", ""), IF(OR(J533="", J533=""), "[Aviso] División no capturada ()", IF(ISNA(MATCH(J533, Criterios!$A$123:$A$126, 0)), "División no válida", "")), IF(OR(K533="", K533=""), "[Aviso] Categoría no capturada ()", IF(ISNA(MATCH(K533, Criterios!$A$81:$A$120, 0)), "Categoría no válida", IF(AND(J533&lt;&gt;"", J533&lt;&gt;"", J533&lt;&gt;VLOOKUP(K533, Criterios!$A$81:$B$120, 2, FALSE)), "División no coincide con Categoría", ""))), IF(OR(L533="", L533=""), "[Aviso] Género no capturado ()", IF(ISNA(MATCH(L533, Criterios!$B$123:$B$127, 0)), "Género no válido", "")), IF(OR(N533="", N533=""), "[Aviso] Temporada no capturada ()", IF(ISNA(MATCH(N533, Criterios!$C$123:$C$128, 0)), "Temporada no válida", "")), IF(OR(O533="", O533=""), "[Aviso] Ciclo de vida no capturado ()", IF(ISNA(MATCH(O533, Criterios!$D$123:$D$124, 0)), "Ciclo de vida no válido", ""))))</f>
        <v/>
      </c>
      <c r="AC533" s="56" t="n"/>
      <c r="AD533" s="51" t="n"/>
      <c r="AE533" s="156" t="n"/>
      <c r="AF533" s="51" t="n"/>
      <c r="AG533" s="156" t="inlineStr">
        <is>
          <t>Nuevo – Carga Hoja2 01/10/2026</t>
        </is>
      </c>
      <c r="AH533" s="156" t="inlineStr">
        <is>
          <t>Alta 01/10/2026 desde Hoja2 (fila 333) | 01/10/2026: Odoo Universal Unique Brands trae Marca «Montana West» — se conservó el valor de Productos | Homologación G1522 06/10/2026: Validador Shopify: WB: precio con IVA no termina en 9</t>
        </is>
      </c>
      <c r="AI533" s="156" t="n"/>
      <c r="AJ533" s="156" t="n"/>
      <c r="AK533" s="155" t="inlineStr">
        <is>
          <t>Hoja2: fila 333 | Odoo: producto 27478 / plantilla 34178</t>
        </is>
      </c>
      <c r="AL533" s="58" t="n"/>
      <c r="AM533" s="58" t="n"/>
      <c r="AN533" s="155" t="inlineStr">
        <is>
          <t>Odoo Universal Unique Brands</t>
        </is>
      </c>
      <c r="AO533" s="59" t="n"/>
      <c r="AP533" s="59" t="n"/>
      <c r="AQ533" s="59" t="n">
        <v>1</v>
      </c>
      <c r="AR533" s="155" t="inlineStr">
        <is>
          <t>Odoo Universal Unique Brands › Bodega 25 › Bodega 25/General: 1</t>
        </is>
      </c>
    </row>
    <row r="534">
      <c r="A534" s="50" t="n"/>
      <c r="B534" s="51" t="inlineStr">
        <is>
          <t>27479</t>
        </is>
      </c>
      <c r="C534" s="156" t="inlineStr">
        <is>
          <t>Montana West</t>
        </is>
      </c>
      <c r="D534" s="156" t="n"/>
      <c r="E534" s="156" t="inlineStr">
        <is>
          <t>WG286-8120SPK</t>
        </is>
      </c>
      <c r="F534" s="156" t="inlineStr">
        <is>
          <t>Talla única</t>
        </is>
      </c>
      <c r="G534" s="156" t="inlineStr">
        <is>
          <t>One Size</t>
        </is>
      </c>
      <c r="H534" s="156" t="inlineStr">
        <is>
          <t>Montana West</t>
        </is>
      </c>
      <c r="I534" s="156" t="inlineStr">
        <is>
          <t>WG BAG</t>
        </is>
      </c>
      <c r="J534" s="156" t="inlineStr">
        <is>
          <t>Accesorios</t>
        </is>
      </c>
      <c r="K534" s="156" t="inlineStr">
        <is>
          <t>Bolsos</t>
        </is>
      </c>
      <c r="L534" s="156" t="inlineStr">
        <is>
          <t>Unisex</t>
        </is>
      </c>
      <c r="M534" s="156" t="n"/>
      <c r="N534" s="156" t="n"/>
      <c r="O534" s="156" t="n"/>
      <c r="P534" s="156" t="n"/>
      <c r="Q534" s="156" t="n"/>
      <c r="R534" s="156" t="n"/>
      <c r="S534" s="156" t="n"/>
      <c r="T534" s="156" t="n"/>
      <c r="U534" s="156" t="n"/>
      <c r="V534" s="156" t="inlineStr">
        <is>
          <t>PZS</t>
        </is>
      </c>
      <c r="W534" s="51" t="inlineStr">
        <is>
          <t>53121601</t>
        </is>
      </c>
      <c r="X534" s="156" t="n"/>
      <c r="Y534" s="54" t="n">
        <v>448.5</v>
      </c>
      <c r="Z534" s="54" t="n">
        <v>749</v>
      </c>
      <c r="AA534" s="55">
        <f>IF(AND(A534="", B534="", E534=""), "", IF(AB534="", "Válido", IF((LEN(AB534)-LEN(SUBSTITUTE(AB534,"; ","")))/2+1&gt;(LEN(AB534)-LEN(SUBSTITUTE(AB534,"[Aviso]","")))/7, "Con Incidencias", "Válido")))</f>
        <v/>
      </c>
      <c r="AB534" s="56">
        <f>IF(AND(A534="", B534="", E534=""), "", TEXTJOIN("; ", TRUE, IF(OR(TRIM(A534&amp;"")="", ISNUMBER(SEARCH("FALTA", A534))), "UPC faltante/inválido", ""), IF(AND(A534&lt;&gt;"", IFERROR(_xlfn.XMATCH(A534,$A$2:$A$1063,0,1)&lt;&gt;_xlfn.XMATCH(A534,$A$2:$A$1063,0,-1),FALSE)), "Código de barras duplicado", ""), IF(AND(E534&lt;&gt;"", COUNTIF($E$2:$E$1063, E534)&gt;1), "SKU duplicado", ""), IF(OR(J534="", J534=""), "[Aviso] División no capturada ()", IF(ISNA(MATCH(J534, Criterios!$A$123:$A$126, 0)), "División no válida", "")), IF(OR(K534="", K534=""), "[Aviso] Categoría no capturada ()", IF(ISNA(MATCH(K534, Criterios!$A$81:$A$120, 0)), "Categoría no válida", IF(AND(J534&lt;&gt;"", J534&lt;&gt;"", J534&lt;&gt;VLOOKUP(K534, Criterios!$A$81:$B$120, 2, FALSE)), "División no coincide con Categoría", ""))), IF(OR(L534="", L534=""), "[Aviso] Género no capturado ()", IF(ISNA(MATCH(L534, Criterios!$B$123:$B$127, 0)), "Género no válido", "")), IF(OR(N534="", N534=""), "[Aviso] Temporada no capturada ()", IF(ISNA(MATCH(N534, Criterios!$C$123:$C$128, 0)), "Temporada no válida", "")), IF(OR(O534="", O534=""), "[Aviso] Ciclo de vida no capturado ()", IF(ISNA(MATCH(O534, Criterios!$D$123:$D$124, 0)), "Ciclo de vida no válido", ""))))</f>
        <v/>
      </c>
      <c r="AC534" s="56" t="n"/>
      <c r="AD534" s="51" t="n"/>
      <c r="AE534" s="156" t="n"/>
      <c r="AF534" s="51" t="n"/>
      <c r="AG534" s="156" t="inlineStr">
        <is>
          <t>Nuevo – Carga Hoja2 01/10/2026</t>
        </is>
      </c>
      <c r="AH534" s="156" t="inlineStr">
        <is>
          <t>Alta 01/10/2026 desde Hoja2 (fila 334)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534" s="156" t="n"/>
      <c r="AJ534" s="156" t="n"/>
      <c r="AK534" s="155" t="inlineStr">
        <is>
          <t>Hoja2: fila 334 | Odoo: producto 27479 / plantilla 34179</t>
        </is>
      </c>
      <c r="AL534" s="58" t="n"/>
      <c r="AM534" s="58" t="n"/>
      <c r="AN534" s="155" t="inlineStr">
        <is>
          <t>Odoo Universal Unique Brands</t>
        </is>
      </c>
      <c r="AO534" s="59" t="n"/>
      <c r="AP534" s="59" t="n"/>
      <c r="AQ534" s="59" t="n">
        <v>0</v>
      </c>
      <c r="AR534" s="155" t="n"/>
    </row>
    <row r="535">
      <c r="A535" s="50" t="inlineStr">
        <is>
          <t>717690459697</t>
        </is>
      </c>
      <c r="B535" s="51" t="inlineStr">
        <is>
          <t>27480</t>
        </is>
      </c>
      <c r="C535" s="156" t="inlineStr">
        <is>
          <t>Wrangler</t>
        </is>
      </c>
      <c r="D535" s="156" t="inlineStr">
        <is>
          <t>WG313-181GN</t>
        </is>
      </c>
      <c r="E535" s="156" t="inlineStr">
        <is>
          <t>WG313-181GN</t>
        </is>
      </c>
      <c r="F535" s="156" t="inlineStr">
        <is>
          <t>Talla única</t>
        </is>
      </c>
      <c r="G535" s="156" t="inlineStr">
        <is>
          <t>One Size</t>
        </is>
      </c>
      <c r="H535" s="156" t="inlineStr">
        <is>
          <t>Wrangler</t>
        </is>
      </c>
      <c r="I535" s="156" t="inlineStr">
        <is>
          <t>Clutch Wrangler Lona Azteca Sherpa Verde</t>
        </is>
      </c>
      <c r="J535" s="156" t="inlineStr">
        <is>
          <t>Accesorios</t>
        </is>
      </c>
      <c r="K535" s="156" t="inlineStr">
        <is>
          <t>Bolsos</t>
        </is>
      </c>
      <c r="L535" s="156" t="inlineStr">
        <is>
          <t>Unisex</t>
        </is>
      </c>
      <c r="M535" s="156" t="inlineStr">
        <is>
          <t>Wrangler</t>
        </is>
      </c>
      <c r="N535" s="156" t="n"/>
      <c r="O535" s="156" t="inlineStr">
        <is>
          <t>Core</t>
        </is>
      </c>
      <c r="P535" s="156" t="inlineStr">
        <is>
          <t>Verde</t>
        </is>
      </c>
      <c r="Q535" s="156" t="n"/>
      <c r="R535" s="156" t="n"/>
      <c r="S535" s="156" t="n"/>
      <c r="T535" s="156" t="inlineStr">
        <is>
          <t>Clutch Wrangler. Modelo: Lona Azteca Sherpa. Color: Verde. Talla única. Unisex. Referencia: WG313-181GN.</t>
        </is>
      </c>
      <c r="U535" s="156" t="n"/>
      <c r="V535" s="156" t="inlineStr">
        <is>
          <t>PZS</t>
        </is>
      </c>
      <c r="W535" s="51" t="inlineStr">
        <is>
          <t>53121601</t>
        </is>
      </c>
      <c r="X535" s="156" t="n"/>
      <c r="Y535" s="54" t="n">
        <v>241.5</v>
      </c>
      <c r="Z535" s="54" t="n">
        <v>399</v>
      </c>
      <c r="AA535" s="55">
        <f>IF(AND(A535="", B535="", E535=""), "", IF(AB535="", "Válido", IF((LEN(AB535)-LEN(SUBSTITUTE(AB535,"; ","")))/2+1&gt;(LEN(AB535)-LEN(SUBSTITUTE(AB535,"[Aviso]","")))/7, "Con Incidencias", "Válido")))</f>
        <v/>
      </c>
      <c r="AB535" s="56">
        <f>IF(AND(A535="", B535="", E535=""), "", TEXTJOIN("; ", TRUE, IF(OR(TRIM(A535&amp;"")="", ISNUMBER(SEARCH("FALTA", A535))), "UPC faltante/inválido", ""), IF(AND(A535&lt;&gt;"", IFERROR(_xlfn.XMATCH(A535,$A$2:$A$1063,0,1)&lt;&gt;_xlfn.XMATCH(A535,$A$2:$A$1063,0,-1),FALSE)), "Código de barras duplicado", ""), IF(AND(E535&lt;&gt;"", COUNTIF($E$2:$E$1063, E535)&gt;1), "SKU duplicado", ""), IF(OR(J535="", J535=""), "[Aviso] División no capturada ()", IF(ISNA(MATCH(J535, Criterios!$A$123:$A$126, 0)), "División no válida", "")), IF(OR(K535="", K535=""), "[Aviso] Categoría no capturada ()", IF(ISNA(MATCH(K535, Criterios!$A$81:$A$120, 0)), "Categoría no válida", IF(AND(J535&lt;&gt;"", J535&lt;&gt;"", J535&lt;&gt;VLOOKUP(K535, Criterios!$A$81:$B$120, 2, FALSE)), "División no coincide con Categoría", ""))), IF(OR(L535="", L535=""), "[Aviso] Género no capturado ()", IF(ISNA(MATCH(L535, Criterios!$B$123:$B$127, 0)), "Género no válido", "")), IF(OR(N535="", N535=""), "[Aviso] Temporada no capturada ()", IF(ISNA(MATCH(N535, Criterios!$C$123:$C$128, 0)), "Temporada no válida", "")), IF(OR(O535="", O535=""), "[Aviso] Ciclo de vida no capturado ()", IF(ISNA(MATCH(O535, Criterios!$D$123:$D$124, 0)), "Ciclo de vida no válido", ""))))</f>
        <v/>
      </c>
      <c r="AC535" s="56" t="n"/>
      <c r="AD535" s="51" t="n"/>
      <c r="AE535" s="156" t="n"/>
      <c r="AF535" s="51" t="n"/>
      <c r="AG535" s="156" t="inlineStr">
        <is>
          <t>Nuevo – Carga Hoja2 01/10/2026</t>
        </is>
      </c>
      <c r="AH535" s="156" t="inlineStr">
        <is>
          <t>Alta 01/10/2026 desde Hoja2 (fila 335) | 01/10/2026: Odoo Universal Unique Brands trae Marca «Montana West» — se conservó el valor de Productos | Homologación G1522 06/10/2026: Validador Shopify: WB: precio con IVA no termina en 9</t>
        </is>
      </c>
      <c r="AI535" s="156" t="n"/>
      <c r="AJ535" s="156" t="n"/>
      <c r="AK535" s="155" t="inlineStr">
        <is>
          <t>Hoja2: fila 335 | Odoo: producto 27480 / plantilla 34180</t>
        </is>
      </c>
      <c r="AL535" s="58" t="n"/>
      <c r="AM535" s="58" t="n"/>
      <c r="AN535" s="155" t="inlineStr">
        <is>
          <t>Odoo Universal Unique Brands</t>
        </is>
      </c>
      <c r="AO535" s="59" t="n"/>
      <c r="AP535" s="59" t="n"/>
      <c r="AQ535" s="59" t="n">
        <v>5</v>
      </c>
      <c r="AR535" s="155" t="inlineStr">
        <is>
          <t>Odoo Universal Unique Brands › Bodega 25 › Bodega 25/General: 5</t>
        </is>
      </c>
    </row>
    <row r="536">
      <c r="A536" s="50" t="inlineStr">
        <is>
          <t>717690459451</t>
        </is>
      </c>
      <c r="B536" s="51" t="inlineStr">
        <is>
          <t>27481</t>
        </is>
      </c>
      <c r="C536" s="156" t="inlineStr">
        <is>
          <t>Wrangler</t>
        </is>
      </c>
      <c r="D536" s="156" t="inlineStr">
        <is>
          <t>WG313-2003BDY</t>
        </is>
      </c>
      <c r="E536" s="156" t="inlineStr">
        <is>
          <t>WG313-2003BDY</t>
        </is>
      </c>
      <c r="F536" s="156" t="inlineStr">
        <is>
          <t>Talla única</t>
        </is>
      </c>
      <c r="G536" s="156" t="inlineStr">
        <is>
          <t>One Size</t>
        </is>
      </c>
      <c r="H536" s="156" t="inlineStr">
        <is>
          <t>Wrangler</t>
        </is>
      </c>
      <c r="I536" s="156" t="inlineStr">
        <is>
          <t>Bolsa Cruzada Wrangler Sherpa Azteca De Lona Vino</t>
        </is>
      </c>
      <c r="J536" s="156" t="inlineStr">
        <is>
          <t>Accesorios</t>
        </is>
      </c>
      <c r="K536" s="156" t="inlineStr">
        <is>
          <t>Bolsos</t>
        </is>
      </c>
      <c r="L536" s="156" t="inlineStr">
        <is>
          <t>Unisex</t>
        </is>
      </c>
      <c r="M536" s="156" t="inlineStr">
        <is>
          <t>Wrangler</t>
        </is>
      </c>
      <c r="N536" s="156" t="n"/>
      <c r="O536" s="156" t="inlineStr">
        <is>
          <t>Core</t>
        </is>
      </c>
      <c r="P536" s="156" t="inlineStr">
        <is>
          <t>Rojo</t>
        </is>
      </c>
      <c r="Q536" s="156" t="n"/>
      <c r="R536" s="156" t="n"/>
      <c r="S536" s="156" t="n"/>
      <c r="T536" s="156" t="inlineStr">
        <is>
          <t>Bolsa Cruzada Wrangler. Modelo: Sherpa Azteca De Lona. Color: Vino. Talla única. Unisex. Referencia: WG313-2003BDY.</t>
        </is>
      </c>
      <c r="U536" s="156" t="n"/>
      <c r="V536" s="156" t="inlineStr">
        <is>
          <t>PZS</t>
        </is>
      </c>
      <c r="W536" s="51" t="inlineStr">
        <is>
          <t>53121601</t>
        </is>
      </c>
      <c r="X536" s="156" t="n"/>
      <c r="Y536" s="54" t="n">
        <v>396.75</v>
      </c>
      <c r="Z536" s="54" t="n">
        <v>649</v>
      </c>
      <c r="AA536" s="55">
        <f>IF(AND(A536="", B536="", E536=""), "", IF(AB536="", "Válido", IF((LEN(AB536)-LEN(SUBSTITUTE(AB536,"; ","")))/2+1&gt;(LEN(AB536)-LEN(SUBSTITUTE(AB536,"[Aviso]","")))/7, "Con Incidencias", "Válido")))</f>
        <v/>
      </c>
      <c r="AB536" s="56">
        <f>IF(AND(A536="", B536="", E536=""), "", TEXTJOIN("; ", TRUE, IF(OR(TRIM(A536&amp;"")="", ISNUMBER(SEARCH("FALTA", A536))), "UPC faltante/inválido", ""), IF(AND(A536&lt;&gt;"", IFERROR(_xlfn.XMATCH(A536,$A$2:$A$1063,0,1)&lt;&gt;_xlfn.XMATCH(A536,$A$2:$A$1063,0,-1),FALSE)), "Código de barras duplicado", ""), IF(AND(E536&lt;&gt;"", COUNTIF($E$2:$E$1063, E536)&gt;1), "SKU duplicado", ""), IF(OR(J536="", J536=""), "[Aviso] División no capturada ()", IF(ISNA(MATCH(J536, Criterios!$A$123:$A$126, 0)), "División no válida", "")), IF(OR(K536="", K536=""), "[Aviso] Categoría no capturada ()", IF(ISNA(MATCH(K536, Criterios!$A$81:$A$120, 0)), "Categoría no válida", IF(AND(J536&lt;&gt;"", J536&lt;&gt;"", J536&lt;&gt;VLOOKUP(K536, Criterios!$A$81:$B$120, 2, FALSE)), "División no coincide con Categoría", ""))), IF(OR(L536="", L536=""), "[Aviso] Género no capturado ()", IF(ISNA(MATCH(L536, Criterios!$B$123:$B$127, 0)), "Género no válido", "")), IF(OR(N536="", N536=""), "[Aviso] Temporada no capturada ()", IF(ISNA(MATCH(N536, Criterios!$C$123:$C$128, 0)), "Temporada no válida", "")), IF(OR(O536="", O536=""), "[Aviso] Ciclo de vida no capturado ()", IF(ISNA(MATCH(O536, Criterios!$D$123:$D$124, 0)), "Ciclo de vida no válido", ""))))</f>
        <v/>
      </c>
      <c r="AC536" s="56" t="n"/>
      <c r="AD536" s="51" t="n"/>
      <c r="AE536" s="156" t="n"/>
      <c r="AF536" s="51" t="n"/>
      <c r="AG536" s="156" t="inlineStr">
        <is>
          <t>Nuevo – Carga Hoja2 01/10/2026</t>
        </is>
      </c>
      <c r="AH536" s="156" t="inlineStr">
        <is>
          <t>Alta 01/10/2026 desde Hoja2 (fila 336) | 01/10/2026: Odoo Universal Unique Brands trae Marca «Montana West» — se conservó el valor de Productos | Homologación G1522 06/10/2026: Validador Shopify: WB: precio con IVA no termina en 9</t>
        </is>
      </c>
      <c r="AI536" s="156" t="n"/>
      <c r="AJ536" s="156" t="n"/>
      <c r="AK536" s="155" t="inlineStr">
        <is>
          <t>Hoja2: fila 336 | Odoo: producto 27481 / plantilla 34181</t>
        </is>
      </c>
      <c r="AL536" s="58" t="n"/>
      <c r="AM536" s="58" t="n"/>
      <c r="AN536" s="155" t="inlineStr">
        <is>
          <t>Odoo Universal Unique Brands</t>
        </is>
      </c>
      <c r="AO536" s="59" t="n"/>
      <c r="AP536" s="59" t="n"/>
      <c r="AQ536" s="59" t="n">
        <v>2</v>
      </c>
      <c r="AR536" s="155" t="inlineStr">
        <is>
          <t>Odoo Universal Unique Brands › Bodega 25 › Bodega 25/General: 2</t>
        </is>
      </c>
    </row>
    <row r="537">
      <c r="A537" s="50" t="inlineStr">
        <is>
          <t>717690459369</t>
        </is>
      </c>
      <c r="B537" s="51" t="inlineStr">
        <is>
          <t>27482</t>
        </is>
      </c>
      <c r="C537" s="156" t="inlineStr">
        <is>
          <t>Wrangler</t>
        </is>
      </c>
      <c r="D537" s="156" t="inlineStr">
        <is>
          <t>WG313-8119BR</t>
        </is>
      </c>
      <c r="E537" s="156" t="inlineStr">
        <is>
          <t>WG313-8119BR</t>
        </is>
      </c>
      <c r="F537" s="156" t="inlineStr">
        <is>
          <t>Talla única</t>
        </is>
      </c>
      <c r="G537" s="156" t="inlineStr">
        <is>
          <t>One Size</t>
        </is>
      </c>
      <c r="H537" s="156" t="inlineStr">
        <is>
          <t>Wrangler</t>
        </is>
      </c>
      <c r="I537" s="156" t="inlineStr">
        <is>
          <t>Bolsa Tote Cruzada Wrangler Sherpa Azteca De Lona Café</t>
        </is>
      </c>
      <c r="J537" s="156" t="inlineStr">
        <is>
          <t>Accesorios</t>
        </is>
      </c>
      <c r="K537" s="156" t="inlineStr">
        <is>
          <t>Bolsos</t>
        </is>
      </c>
      <c r="L537" s="156" t="inlineStr">
        <is>
          <t>Unisex</t>
        </is>
      </c>
      <c r="M537" s="156" t="inlineStr">
        <is>
          <t>Wrangler</t>
        </is>
      </c>
      <c r="N537" s="156" t="n"/>
      <c r="O537" s="156" t="inlineStr">
        <is>
          <t>Core</t>
        </is>
      </c>
      <c r="P537" s="156" t="inlineStr">
        <is>
          <t>Cafe</t>
        </is>
      </c>
      <c r="Q537" s="156" t="n"/>
      <c r="R537" s="156" t="n"/>
      <c r="S537" s="156" t="n"/>
      <c r="T537" s="156" t="inlineStr">
        <is>
          <t>Bolsa Tote Cruzada Wrangler. Modelo: Sherpa Azteca De Lona. Color: Café. Talla única. Unisex. Referencia: WG313-8119BR.</t>
        </is>
      </c>
      <c r="U537" s="156" t="n"/>
      <c r="V537" s="156" t="inlineStr">
        <is>
          <t>PZS</t>
        </is>
      </c>
      <c r="W537" s="51" t="inlineStr">
        <is>
          <t>53121601</t>
        </is>
      </c>
      <c r="X537" s="156" t="n"/>
      <c r="Y537" s="54" t="n">
        <v>483</v>
      </c>
      <c r="Z537" s="54" t="n">
        <v>799</v>
      </c>
      <c r="AA537" s="55">
        <f>IF(AND(A537="", B537="", E537=""), "", IF(AB537="", "Válido", IF((LEN(AB537)-LEN(SUBSTITUTE(AB537,"; ","")))/2+1&gt;(LEN(AB537)-LEN(SUBSTITUTE(AB537,"[Aviso]","")))/7, "Con Incidencias", "Válido")))</f>
        <v/>
      </c>
      <c r="AB537" s="56">
        <f>IF(AND(A537="", B537="", E537=""), "", TEXTJOIN("; ", TRUE, IF(OR(TRIM(A537&amp;"")="", ISNUMBER(SEARCH("FALTA", A537))), "UPC faltante/inválido", ""), IF(AND(A537&lt;&gt;"", IFERROR(_xlfn.XMATCH(A537,$A$2:$A$1063,0,1)&lt;&gt;_xlfn.XMATCH(A537,$A$2:$A$1063,0,-1),FALSE)), "Código de barras duplicado", ""), IF(AND(E537&lt;&gt;"", COUNTIF($E$2:$E$1063, E537)&gt;1), "SKU duplicado", ""), IF(OR(J537="", J537=""), "[Aviso] División no capturada ()", IF(ISNA(MATCH(J537, Criterios!$A$123:$A$126, 0)), "División no válida", "")), IF(OR(K537="", K537=""), "[Aviso] Categoría no capturada ()", IF(ISNA(MATCH(K537, Criterios!$A$81:$A$120, 0)), "Categoría no válida", IF(AND(J537&lt;&gt;"", J537&lt;&gt;"", J537&lt;&gt;VLOOKUP(K537, Criterios!$A$81:$B$120, 2, FALSE)), "División no coincide con Categoría", ""))), IF(OR(L537="", L537=""), "[Aviso] Género no capturado ()", IF(ISNA(MATCH(L537, Criterios!$B$123:$B$127, 0)), "Género no válido", "")), IF(OR(N537="", N537=""), "[Aviso] Temporada no capturada ()", IF(ISNA(MATCH(N537, Criterios!$C$123:$C$128, 0)), "Temporada no válida", "")), IF(OR(O537="", O537=""), "[Aviso] Ciclo de vida no capturado ()", IF(ISNA(MATCH(O537, Criterios!$D$123:$D$124, 0)), "Ciclo de vida no válido", ""))))</f>
        <v/>
      </c>
      <c r="AC537" s="56" t="n"/>
      <c r="AD537" s="51" t="n"/>
      <c r="AE537" s="156" t="n"/>
      <c r="AF537" s="51" t="n"/>
      <c r="AG537" s="156" t="inlineStr">
        <is>
          <t>Nuevo – Carga Hoja2 01/10/2026</t>
        </is>
      </c>
      <c r="AH537" s="156" t="inlineStr">
        <is>
          <t>Alta 01/10/2026 desde Hoja2 (fila 337) | 01/10/2026: Odoo Universal Unique Brands trae Marca «Montana West» — se conservó el valor de Productos | Homologación G1522 06/10/2026: Validador Shopify: WB: precio con IVA no termina en 9</t>
        </is>
      </c>
      <c r="AI537" s="156" t="n"/>
      <c r="AJ537" s="156" t="n"/>
      <c r="AK537" s="155" t="inlineStr">
        <is>
          <t>Hoja2: fila 337 | Odoo: producto 27482 / plantilla 34182</t>
        </is>
      </c>
      <c r="AL537" s="58" t="n"/>
      <c r="AM537" s="58" t="n"/>
      <c r="AN537" s="155" t="inlineStr">
        <is>
          <t>Odoo Universal Unique Brands</t>
        </is>
      </c>
      <c r="AO537" s="59" t="n"/>
      <c r="AP537" s="59" t="n"/>
      <c r="AQ537" s="59" t="n">
        <v>2</v>
      </c>
      <c r="AR537" s="155" t="inlineStr">
        <is>
          <t>Odoo Universal Unique Brands › Bodega 25 › Bodega 25/General: 2</t>
        </is>
      </c>
    </row>
    <row r="538">
      <c r="A538" s="50" t="inlineStr">
        <is>
          <t>717308772101</t>
        </is>
      </c>
      <c r="B538" s="51" t="inlineStr">
        <is>
          <t>27484</t>
        </is>
      </c>
      <c r="C538" s="156" t="inlineStr">
        <is>
          <t>Wrangler</t>
        </is>
      </c>
      <c r="D538" s="156" t="inlineStr">
        <is>
          <t>WG331-2005RD</t>
        </is>
      </c>
      <c r="E538" s="156" t="inlineStr">
        <is>
          <t>WG331-2005RD</t>
        </is>
      </c>
      <c r="F538" s="156" t="inlineStr">
        <is>
          <t>Talla única</t>
        </is>
      </c>
      <c r="G538" s="156" t="inlineStr">
        <is>
          <t>One Size</t>
        </is>
      </c>
      <c r="H538" s="156" t="inlineStr">
        <is>
          <t>Wrangler</t>
        </is>
      </c>
      <c r="I538" s="156" t="inlineStr">
        <is>
          <t>Bolsa Wrangler Rojo</t>
        </is>
      </c>
      <c r="J538" s="156" t="inlineStr">
        <is>
          <t>Accesorios</t>
        </is>
      </c>
      <c r="K538" s="156" t="inlineStr">
        <is>
          <t>Bolsos</t>
        </is>
      </c>
      <c r="L538" s="156" t="inlineStr">
        <is>
          <t>Unisex</t>
        </is>
      </c>
      <c r="M538" s="156" t="inlineStr">
        <is>
          <t>Wrangler</t>
        </is>
      </c>
      <c r="N538" s="156" t="n"/>
      <c r="O538" s="156" t="inlineStr">
        <is>
          <t>Core</t>
        </is>
      </c>
      <c r="P538" s="156" t="inlineStr">
        <is>
          <t>Rojo</t>
        </is>
      </c>
      <c r="Q538" s="156" t="n"/>
      <c r="R538" s="156" t="n"/>
      <c r="S538" s="156" t="n"/>
      <c r="T538" s="156" t="inlineStr">
        <is>
          <t>Bolsa Wrangler. Color: Rojo. Talla única. Unisex. Referencia: WG331-2005RD.</t>
        </is>
      </c>
      <c r="U538" s="156" t="n"/>
      <c r="V538" s="156" t="inlineStr">
        <is>
          <t>PZS</t>
        </is>
      </c>
      <c r="W538" s="51" t="inlineStr">
        <is>
          <t>53121601</t>
        </is>
      </c>
      <c r="X538" s="156" t="inlineStr">
        <is>
          <t>https://cdn.shopify.com/s/files/1/0005/9015/1741/files/WG331-2005RD_5.webp?v=1769668611</t>
        </is>
      </c>
      <c r="Y538" s="54" t="n">
        <v>450.8</v>
      </c>
      <c r="Z538" s="54" t="n">
        <v>749</v>
      </c>
      <c r="AA538" s="55">
        <f>IF(AND(A538="", B538="", E538=""), "", IF(AB538="", "Válido", IF((LEN(AB538)-LEN(SUBSTITUTE(AB538,"; ","")))/2+1&gt;(LEN(AB538)-LEN(SUBSTITUTE(AB538,"[Aviso]","")))/7, "Con Incidencias", "Válido")))</f>
        <v/>
      </c>
      <c r="AB538" s="56">
        <f>IF(AND(A538="", B538="", E538=""), "", TEXTJOIN("; ", TRUE, IF(OR(TRIM(A538&amp;"")="", ISNUMBER(SEARCH("FALTA", A538))), "UPC faltante/inválido", ""), IF(AND(A538&lt;&gt;"", IFERROR(_xlfn.XMATCH(A538,$A$2:$A$1063,0,1)&lt;&gt;_xlfn.XMATCH(A538,$A$2:$A$1063,0,-1),FALSE)), "Código de barras duplicado", ""), IF(AND(E538&lt;&gt;"", COUNTIF($E$2:$E$1063, E538)&gt;1), "SKU duplicado", ""), IF(OR(J538="", J538=""), "[Aviso] División no capturada ()", IF(ISNA(MATCH(J538, Criterios!$A$123:$A$126, 0)), "División no válida", "")), IF(OR(K538="", K538=""), "[Aviso] Categoría no capturada ()", IF(ISNA(MATCH(K538, Criterios!$A$81:$A$120, 0)), "Categoría no válida", IF(AND(J538&lt;&gt;"", J538&lt;&gt;"", J538&lt;&gt;VLOOKUP(K538, Criterios!$A$81:$B$120, 2, FALSE)), "División no coincide con Categoría", ""))), IF(OR(L538="", L538=""), "[Aviso] Género no capturado ()", IF(ISNA(MATCH(L538, Criterios!$B$123:$B$127, 0)), "Género no válido", "")), IF(OR(N538="", N538=""), "[Aviso] Temporada no capturada ()", IF(ISNA(MATCH(N538, Criterios!$C$123:$C$128, 0)), "Temporada no válida", "")), IF(OR(O538="", O538=""), "[Aviso] Ciclo de vida no capturado ()", IF(ISNA(MATCH(O538, Criterios!$D$123:$D$124, 0)), "Ciclo de vida no válido", ""))))</f>
        <v/>
      </c>
      <c r="AC538" s="56" t="n"/>
      <c r="AD538" s="51" t="n"/>
      <c r="AE538" s="156" t="n"/>
      <c r="AF538" s="51" t="n"/>
      <c r="AG538" s="156" t="inlineStr">
        <is>
          <t>Nuevo – Carga Hoja2 01/10/2026</t>
        </is>
      </c>
      <c r="AH538" s="156" t="inlineStr">
        <is>
          <t>Alta 01/10/2026 desde Hoja2 (fila 339) | 01/10/2026: Odoo Universal Unique Brands trae Marca «Montana West» — se conservó el valor de Productos | Homologación G1522 06/10/2026: Enlace de imagen: «» → «https://cdn.shopify.com/s/files/1/0005/9015/1741/files/WG331-2005RD_5.webp?v=1769668611» (Completado por investigación en línea) · Validador Shopify: WB: precio con IVA no termina en 9</t>
        </is>
      </c>
      <c r="AI538" s="156" t="n"/>
      <c r="AJ538" s="156" t="n"/>
      <c r="AK538" s="155" t="inlineStr">
        <is>
          <t>Hoja2: fila 339 | Odoo: producto 27484 / plantilla 34184 | Investigación en línea 06/10/2026: https://montanawestworld.com/products/wrangler-braided-desert-paisley-handbag-1</t>
        </is>
      </c>
      <c r="AL538" s="58" t="n"/>
      <c r="AM538" s="58" t="n"/>
      <c r="AN538" s="155" t="inlineStr">
        <is>
          <t>Odoo Universal Unique Brands</t>
        </is>
      </c>
      <c r="AO538" s="59" t="n"/>
      <c r="AP538" s="59" t="n"/>
      <c r="AQ538" s="59" t="n">
        <v>0</v>
      </c>
      <c r="AR538" s="155" t="n"/>
    </row>
    <row r="539">
      <c r="A539" s="50" t="inlineStr">
        <is>
          <t>717308772057</t>
        </is>
      </c>
      <c r="B539" s="51" t="inlineStr">
        <is>
          <t>27485</t>
        </is>
      </c>
      <c r="C539" s="156" t="inlineStr">
        <is>
          <t>Wrangler</t>
        </is>
      </c>
      <c r="D539" s="156" t="inlineStr">
        <is>
          <t>WG331-2005TQ</t>
        </is>
      </c>
      <c r="E539" s="156" t="inlineStr">
        <is>
          <t>WG331-2005TQ</t>
        </is>
      </c>
      <c r="F539" s="156" t="inlineStr">
        <is>
          <t>Talla única</t>
        </is>
      </c>
      <c r="G539" s="156" t="inlineStr">
        <is>
          <t>One Size</t>
        </is>
      </c>
      <c r="H539" s="156" t="inlineStr">
        <is>
          <t>Wrangler</t>
        </is>
      </c>
      <c r="I539" s="156" t="inlineStr">
        <is>
          <t>Bolsa Wrangler Turquesa</t>
        </is>
      </c>
      <c r="J539" s="156" t="inlineStr">
        <is>
          <t>Accesorios</t>
        </is>
      </c>
      <c r="K539" s="156" t="inlineStr">
        <is>
          <t>Bolsos</t>
        </is>
      </c>
      <c r="L539" s="156" t="inlineStr">
        <is>
          <t>Unisex</t>
        </is>
      </c>
      <c r="M539" s="156" t="inlineStr">
        <is>
          <t>Wrangler</t>
        </is>
      </c>
      <c r="N539" s="156" t="n"/>
      <c r="O539" s="156" t="inlineStr">
        <is>
          <t>Core</t>
        </is>
      </c>
      <c r="P539" s="156" t="inlineStr">
        <is>
          <t>Azul</t>
        </is>
      </c>
      <c r="Q539" s="156" t="n"/>
      <c r="R539" s="156" t="n"/>
      <c r="S539" s="156" t="n"/>
      <c r="T539" s="156" t="inlineStr">
        <is>
          <t>Bolsa Wrangler. Color: Turquesa. Talla única. Unisex. Referencia: WG331-2005TQ.</t>
        </is>
      </c>
      <c r="U539" s="156" t="n"/>
      <c r="V539" s="156" t="inlineStr">
        <is>
          <t>PZS</t>
        </is>
      </c>
      <c r="W539" s="51" t="inlineStr">
        <is>
          <t>53121601</t>
        </is>
      </c>
      <c r="X539" s="156" t="inlineStr">
        <is>
          <t>https://cdn.shopify.com/s/files/1/0005/9015/1741/files/WG331-2005TQ_5.webp?v=1769668611</t>
        </is>
      </c>
      <c r="Y539" s="54" t="n">
        <v>450.8</v>
      </c>
      <c r="Z539" s="54" t="n">
        <v>749</v>
      </c>
      <c r="AA539" s="55">
        <f>IF(AND(A539="", B539="", E539=""), "", IF(AB539="", "Válido", IF((LEN(AB539)-LEN(SUBSTITUTE(AB539,"; ","")))/2+1&gt;(LEN(AB539)-LEN(SUBSTITUTE(AB539,"[Aviso]","")))/7, "Con Incidencias", "Válido")))</f>
        <v/>
      </c>
      <c r="AB539" s="56">
        <f>IF(AND(A539="", B539="", E539=""), "", TEXTJOIN("; ", TRUE, IF(OR(TRIM(A539&amp;"")="", ISNUMBER(SEARCH("FALTA", A539))), "UPC faltante/inválido", ""), IF(AND(A539&lt;&gt;"", IFERROR(_xlfn.XMATCH(A539,$A$2:$A$1063,0,1)&lt;&gt;_xlfn.XMATCH(A539,$A$2:$A$1063,0,-1),FALSE)), "Código de barras duplicado", ""), IF(AND(E539&lt;&gt;"", COUNTIF($E$2:$E$1063, E539)&gt;1), "SKU duplicado", ""), IF(OR(J539="", J539=""), "[Aviso] División no capturada ()", IF(ISNA(MATCH(J539, Criterios!$A$123:$A$126, 0)), "División no válida", "")), IF(OR(K539="", K539=""), "[Aviso] Categoría no capturada ()", IF(ISNA(MATCH(K539, Criterios!$A$81:$A$120, 0)), "Categoría no válida", IF(AND(J539&lt;&gt;"", J539&lt;&gt;"", J539&lt;&gt;VLOOKUP(K539, Criterios!$A$81:$B$120, 2, FALSE)), "División no coincide con Categoría", ""))), IF(OR(L539="", L539=""), "[Aviso] Género no capturado ()", IF(ISNA(MATCH(L539, Criterios!$B$123:$B$127, 0)), "Género no válido", "")), IF(OR(N539="", N539=""), "[Aviso] Temporada no capturada ()", IF(ISNA(MATCH(N539, Criterios!$C$123:$C$128, 0)), "Temporada no válida", "")), IF(OR(O539="", O539=""), "[Aviso] Ciclo de vida no capturado ()", IF(ISNA(MATCH(O539, Criterios!$D$123:$D$124, 0)), "Ciclo de vida no válido", ""))))</f>
        <v/>
      </c>
      <c r="AC539" s="56" t="n"/>
      <c r="AD539" s="51" t="n"/>
      <c r="AE539" s="156" t="n"/>
      <c r="AF539" s="51" t="n"/>
      <c r="AG539" s="156" t="inlineStr">
        <is>
          <t>Nuevo – Carga Hoja2 01/10/2026</t>
        </is>
      </c>
      <c r="AH539" s="156" t="inlineStr">
        <is>
          <t>Alta 01/10/2026 desde Hoja2 (fila 340) | 01/10/2026: Odoo Universal Unique Brands trae Marca «Montana West» — se conservó el valor de Productos | Homologación G1522 06/10/2026: Enlace de imagen: «» → «https://cdn.shopify.com/s/files/1/0005/9015/1741/files/WG331-2005TQ_5.webp?v=1769668611» (Completado por investigación en línea) · Validador Shopify: WB: precio con IVA no termina en 9</t>
        </is>
      </c>
      <c r="AI539" s="156" t="n"/>
      <c r="AJ539" s="156" t="n"/>
      <c r="AK539" s="155" t="inlineStr">
        <is>
          <t>Hoja2: fila 340 | Odoo: producto 27485 / plantilla 34185 | Investigación en línea 06/10/2026: https://montanawestworld.com/products/wrangler-braided-desert-paisley-handbag-1</t>
        </is>
      </c>
      <c r="AL539" s="58" t="n"/>
      <c r="AM539" s="58" t="n"/>
      <c r="AN539" s="155" t="inlineStr">
        <is>
          <t>Odoo Universal Unique Brands</t>
        </is>
      </c>
      <c r="AO539" s="59" t="n"/>
      <c r="AP539" s="59" t="n"/>
      <c r="AQ539" s="59" t="n">
        <v>11</v>
      </c>
      <c r="AR539" s="155" t="inlineStr">
        <is>
          <t>Odoo Universal Unique Brands › Bodega 25 › Bodega 25/General: 11</t>
        </is>
      </c>
    </row>
    <row r="540">
      <c r="A540" s="50" t="inlineStr">
        <is>
          <t>717308772019</t>
        </is>
      </c>
      <c r="B540" s="51" t="inlineStr">
        <is>
          <t>27487</t>
        </is>
      </c>
      <c r="C540" s="156" t="inlineStr">
        <is>
          <t>Wrangler</t>
        </is>
      </c>
      <c r="D540" s="156" t="inlineStr">
        <is>
          <t>WG331-8120SRD</t>
        </is>
      </c>
      <c r="E540" s="156" t="inlineStr">
        <is>
          <t>WG331-8120SRD</t>
        </is>
      </c>
      <c r="F540" s="156" t="inlineStr">
        <is>
          <t>Talla única</t>
        </is>
      </c>
      <c r="G540" s="156" t="inlineStr">
        <is>
          <t>One Size</t>
        </is>
      </c>
      <c r="H540" s="156" t="inlineStr">
        <is>
          <t>Wrangler</t>
        </is>
      </c>
      <c r="I540" s="156" t="inlineStr">
        <is>
          <t>Bolsa Tote Cruzada Wrangler Estampado Bandana Paisley Rojo</t>
        </is>
      </c>
      <c r="J540" s="156" t="inlineStr">
        <is>
          <t>Accesorios</t>
        </is>
      </c>
      <c r="K540" s="156" t="inlineStr">
        <is>
          <t>Bolsos</t>
        </is>
      </c>
      <c r="L540" s="156" t="inlineStr">
        <is>
          <t>Unisex</t>
        </is>
      </c>
      <c r="M540" s="156" t="inlineStr">
        <is>
          <t>Wrangler</t>
        </is>
      </c>
      <c r="N540" s="156" t="n"/>
      <c r="O540" s="156" t="inlineStr">
        <is>
          <t>Core</t>
        </is>
      </c>
      <c r="P540" s="156" t="inlineStr">
        <is>
          <t>Rojo</t>
        </is>
      </c>
      <c r="Q540" s="156" t="n"/>
      <c r="R540" s="156" t="n"/>
      <c r="S540" s="156" t="n"/>
      <c r="T540" s="156" t="inlineStr">
        <is>
          <t>Bolsa Tote Cruzada Wrangler. Modelo: Estampado Bandana Paisley. Color: Rojo. Talla única. Unisex. Referencia: WG331-8120SRD.</t>
        </is>
      </c>
      <c r="U540" s="156" t="n"/>
      <c r="V540" s="156" t="inlineStr">
        <is>
          <t>PZS</t>
        </is>
      </c>
      <c r="W540" s="51" t="inlineStr">
        <is>
          <t>53121601</t>
        </is>
      </c>
      <c r="X540" s="156" t="inlineStr">
        <is>
          <t>https://cdn.shopify.com/s/files/1/0005/9015/1741/files/1_bd4177b7-e892-45e4-9f5b-878c8aa95614.webp?v=1775720164</t>
        </is>
      </c>
      <c r="Y540" s="54" t="n">
        <v>466.9</v>
      </c>
      <c r="Z540" s="54" t="n">
        <v>749</v>
      </c>
      <c r="AA540" s="55">
        <f>IF(AND(A540="", B540="", E540=""), "", IF(AB540="", "Válido", IF((LEN(AB540)-LEN(SUBSTITUTE(AB540,"; ","")))/2+1&gt;(LEN(AB540)-LEN(SUBSTITUTE(AB540,"[Aviso]","")))/7, "Con Incidencias", "Válido")))</f>
        <v/>
      </c>
      <c r="AB540" s="56">
        <f>IF(AND(A540="", B540="", E540=""), "", TEXTJOIN("; ", TRUE, IF(OR(TRIM(A540&amp;"")="", ISNUMBER(SEARCH("FALTA", A540))), "UPC faltante/inválido", ""), IF(AND(A540&lt;&gt;"", IFERROR(_xlfn.XMATCH(A540,$A$2:$A$1063,0,1)&lt;&gt;_xlfn.XMATCH(A540,$A$2:$A$1063,0,-1),FALSE)), "Código de barras duplicado", ""), IF(AND(E540&lt;&gt;"", COUNTIF($E$2:$E$1063, E540)&gt;1), "SKU duplicado", ""), IF(OR(J540="", J540=""), "[Aviso] División no capturada ()", IF(ISNA(MATCH(J540, Criterios!$A$123:$A$126, 0)), "División no válida", "")), IF(OR(K540="", K540=""), "[Aviso] Categoría no capturada ()", IF(ISNA(MATCH(K540, Criterios!$A$81:$A$120, 0)), "Categoría no válida", IF(AND(J540&lt;&gt;"", J540&lt;&gt;"", J540&lt;&gt;VLOOKUP(K540, Criterios!$A$81:$B$120, 2, FALSE)), "División no coincide con Categoría", ""))), IF(OR(L540="", L540=""), "[Aviso] Género no capturado ()", IF(ISNA(MATCH(L540, Criterios!$B$123:$B$127, 0)), "Género no válido", "")), IF(OR(N540="", N540=""), "[Aviso] Temporada no capturada ()", IF(ISNA(MATCH(N540, Criterios!$C$123:$C$128, 0)), "Temporada no válida", "")), IF(OR(O540="", O540=""), "[Aviso] Ciclo de vida no capturado ()", IF(ISNA(MATCH(O540, Criterios!$D$123:$D$124, 0)), "Ciclo de vida no válido", ""))))</f>
        <v/>
      </c>
      <c r="AC540" s="56" t="n"/>
      <c r="AD540" s="51" t="n"/>
      <c r="AE540" s="156" t="n"/>
      <c r="AF540" s="51" t="n"/>
      <c r="AG540" s="156" t="inlineStr">
        <is>
          <t>Nuevo – Carga Hoja2 01/10/2026</t>
        </is>
      </c>
      <c r="AH540" s="156" t="inlineStr">
        <is>
          <t>Alta 01/10/2026 desde Hoja2 (fila 342) | 01/10/2026: Odoo Universal Unique Brands trae Marca «Montana West» — se conservó el valor de Productos | Homologación G1522 06/10/2026: Enlace de imagen: «» → «https://cdn.shopify.com/s/files/1/0005/9015/1741/files/1_bd4177b7-e892-45e4-9f5b-878c8aa95614.webp?v=1775720164» (Completado por investigación en línea) · Validador Shopify: WB: precio con IVA no termina en 9</t>
        </is>
      </c>
      <c r="AI540" s="156" t="n"/>
      <c r="AJ540" s="156" t="n"/>
      <c r="AK540" s="155" t="inlineStr">
        <is>
          <t>Hoja2: fila 342 | Odoo: producto 27487 / plantilla 34187 | Investigación en línea 06/10/2026: https://montanawestworld.com/products/wrangler-braided-desert-paisley-handbag</t>
        </is>
      </c>
      <c r="AL540" s="58" t="n"/>
      <c r="AM540" s="58" t="n"/>
      <c r="AN540" s="155" t="inlineStr">
        <is>
          <t>Odoo Universal Unique Brands</t>
        </is>
      </c>
      <c r="AO540" s="59" t="n"/>
      <c r="AP540" s="59" t="n"/>
      <c r="AQ540" s="59" t="n">
        <v>-7</v>
      </c>
      <c r="AR540" s="155" t="n"/>
    </row>
    <row r="541">
      <c r="A541" s="50" t="inlineStr">
        <is>
          <t>717308771982</t>
        </is>
      </c>
      <c r="B541" s="51" t="inlineStr">
        <is>
          <t>27489</t>
        </is>
      </c>
      <c r="C541" s="156" t="inlineStr">
        <is>
          <t>Wrangler</t>
        </is>
      </c>
      <c r="D541" s="156" t="inlineStr">
        <is>
          <t>WG331-8120SYL</t>
        </is>
      </c>
      <c r="E541" s="156" t="inlineStr">
        <is>
          <t>WG331-8120SYL</t>
        </is>
      </c>
      <c r="F541" s="156" t="inlineStr">
        <is>
          <t>Talla única</t>
        </is>
      </c>
      <c r="G541" s="156" t="inlineStr">
        <is>
          <t>One Size</t>
        </is>
      </c>
      <c r="H541" s="156" t="inlineStr">
        <is>
          <t>Wrangler</t>
        </is>
      </c>
      <c r="I541" s="156" t="inlineStr">
        <is>
          <t>Bolsa Tote Cruzada Wrangler Estampado Bandana Paisley Amarillo</t>
        </is>
      </c>
      <c r="J541" s="156" t="inlineStr">
        <is>
          <t>Accesorios</t>
        </is>
      </c>
      <c r="K541" s="156" t="inlineStr">
        <is>
          <t>Bolsos</t>
        </is>
      </c>
      <c r="L541" s="156" t="inlineStr">
        <is>
          <t>Unisex</t>
        </is>
      </c>
      <c r="M541" s="156" t="inlineStr">
        <is>
          <t>Wrangler</t>
        </is>
      </c>
      <c r="N541" s="156" t="n"/>
      <c r="O541" s="156" t="inlineStr">
        <is>
          <t>Core</t>
        </is>
      </c>
      <c r="P541" s="156" t="inlineStr">
        <is>
          <t>Amarillo</t>
        </is>
      </c>
      <c r="Q541" s="156" t="n"/>
      <c r="R541" s="156" t="n"/>
      <c r="S541" s="156" t="n"/>
      <c r="T541" s="156" t="inlineStr">
        <is>
          <t>Bolsa Tote Cruzada Wrangler. Modelo: Estampado Bandana Paisley. Color: Amarillo. Talla única. Unisex. Referencia: WG331-8120SYL.</t>
        </is>
      </c>
      <c r="U541" s="156" t="n"/>
      <c r="V541" s="156" t="inlineStr">
        <is>
          <t>PZS</t>
        </is>
      </c>
      <c r="W541" s="51" t="inlineStr">
        <is>
          <t>53121601</t>
        </is>
      </c>
      <c r="X541" s="156" t="inlineStr">
        <is>
          <t>https://cdn.shopify.com/s/files/1/0005/9015/1741/files/1_484284ab-bcab-47e1-b169-678275c7eb47.webp?v=1767691322</t>
        </is>
      </c>
      <c r="Y541" s="54" t="n">
        <v>466.9</v>
      </c>
      <c r="Z541" s="54" t="n">
        <v>749</v>
      </c>
      <c r="AA541" s="55">
        <f>IF(AND(A541="", B541="", E541=""), "", IF(AB541="", "Válido", IF((LEN(AB541)-LEN(SUBSTITUTE(AB541,"; ","")))/2+1&gt;(LEN(AB541)-LEN(SUBSTITUTE(AB541,"[Aviso]","")))/7, "Con Incidencias", "Válido")))</f>
        <v/>
      </c>
      <c r="AB541" s="56">
        <f>IF(AND(A541="", B541="", E541=""), "", TEXTJOIN("; ", TRUE, IF(OR(TRIM(A541&amp;"")="", ISNUMBER(SEARCH("FALTA", A541))), "UPC faltante/inválido", ""), IF(AND(A541&lt;&gt;"", IFERROR(_xlfn.XMATCH(A541,$A$2:$A$1063,0,1)&lt;&gt;_xlfn.XMATCH(A541,$A$2:$A$1063,0,-1),FALSE)), "Código de barras duplicado", ""), IF(AND(E541&lt;&gt;"", COUNTIF($E$2:$E$1063, E541)&gt;1), "SKU duplicado", ""), IF(OR(J541="", J541=""), "[Aviso] División no capturada ()", IF(ISNA(MATCH(J541, Criterios!$A$123:$A$126, 0)), "División no válida", "")), IF(OR(K541="", K541=""), "[Aviso] Categoría no capturada ()", IF(ISNA(MATCH(K541, Criterios!$A$81:$A$120, 0)), "Categoría no válida", IF(AND(J541&lt;&gt;"", J541&lt;&gt;"", J541&lt;&gt;VLOOKUP(K541, Criterios!$A$81:$B$120, 2, FALSE)), "División no coincide con Categoría", ""))), IF(OR(L541="", L541=""), "[Aviso] Género no capturado ()", IF(ISNA(MATCH(L541, Criterios!$B$123:$B$127, 0)), "Género no válido", "")), IF(OR(N541="", N541=""), "[Aviso] Temporada no capturada ()", IF(ISNA(MATCH(N541, Criterios!$C$123:$C$128, 0)), "Temporada no válida", "")), IF(OR(O541="", O541=""), "[Aviso] Ciclo de vida no capturado ()", IF(ISNA(MATCH(O541, Criterios!$D$123:$D$124, 0)), "Ciclo de vida no válido", ""))))</f>
        <v/>
      </c>
      <c r="AC541" s="56" t="n"/>
      <c r="AD541" s="51" t="n"/>
      <c r="AE541" s="156" t="n"/>
      <c r="AF541" s="51" t="n"/>
      <c r="AG541" s="156" t="inlineStr">
        <is>
          <t>Nuevo – Carga Hoja2 01/10/2026</t>
        </is>
      </c>
      <c r="AH541" s="156" t="inlineStr">
        <is>
          <t>Alta 01/10/2026 desde Hoja2 (fila 343) | 01/10/2026: Odoo Universal Unique Brands trae Marca «Montana West» — se conservó el valor de Productos | Homologación G1522 06/10/2026: Enlace de imagen: «» → «https://cdn.shopify.com/s/files/1/0005/9015/1741/files/1_484284ab-bcab-47e1-b169-678275c7eb47.webp?v=1767691322» (Completado por investigación en línea) · Validador Shopify: WB: precio con IVA no termina en 9</t>
        </is>
      </c>
      <c r="AI541" s="156" t="n"/>
      <c r="AJ541" s="156" t="n"/>
      <c r="AK541" s="155" t="inlineStr">
        <is>
          <t>Hoja2: fila 343 | Odoo: producto 27489 / plantilla 34189 | Investigación en línea 06/10/2026: https://montanawestworld.com/products/wrangler-braided-desert-paisley-handbag</t>
        </is>
      </c>
      <c r="AL541" s="58" t="n"/>
      <c r="AM541" s="58" t="n"/>
      <c r="AN541" s="155" t="inlineStr">
        <is>
          <t>Odoo Universal Unique Brands</t>
        </is>
      </c>
      <c r="AO541" s="59" t="n"/>
      <c r="AP541" s="59" t="n"/>
      <c r="AQ541" s="59" t="n">
        <v>3</v>
      </c>
      <c r="AR541" s="155" t="inlineStr">
        <is>
          <t>Odoo Universal Unique Brands › Bodega 25 › Bodega 25/General: 3</t>
        </is>
      </c>
    </row>
    <row r="542">
      <c r="A542" s="50" t="inlineStr">
        <is>
          <t>717308772217</t>
        </is>
      </c>
      <c r="B542" s="51" t="inlineStr">
        <is>
          <t>27490</t>
        </is>
      </c>
      <c r="C542" s="156" t="inlineStr">
        <is>
          <t>Wrangler</t>
        </is>
      </c>
      <c r="D542" s="156" t="inlineStr">
        <is>
          <t>WG331-9012BR</t>
        </is>
      </c>
      <c r="E542" s="156" t="inlineStr">
        <is>
          <t>WG331-9012BR</t>
        </is>
      </c>
      <c r="F542" s="156" t="inlineStr">
        <is>
          <t>Talla única</t>
        </is>
      </c>
      <c r="G542" s="156" t="inlineStr">
        <is>
          <t>One Size</t>
        </is>
      </c>
      <c r="H542" s="156" t="inlineStr">
        <is>
          <t>Wrangler</t>
        </is>
      </c>
      <c r="I542" s="156" t="inlineStr">
        <is>
          <t>Bolsa Boston Wrangler Bandana Paisley Trenzada Café</t>
        </is>
      </c>
      <c r="J542" s="156" t="inlineStr">
        <is>
          <t>Accesorios</t>
        </is>
      </c>
      <c r="K542" s="156" t="inlineStr">
        <is>
          <t>Bolsos</t>
        </is>
      </c>
      <c r="L542" s="156" t="inlineStr">
        <is>
          <t>Unisex</t>
        </is>
      </c>
      <c r="M542" s="156" t="inlineStr">
        <is>
          <t>Wrangler</t>
        </is>
      </c>
      <c r="N542" s="156" t="n"/>
      <c r="O542" s="156" t="inlineStr">
        <is>
          <t>Core</t>
        </is>
      </c>
      <c r="P542" s="156" t="inlineStr">
        <is>
          <t>Cafe</t>
        </is>
      </c>
      <c r="Q542" s="156" t="n"/>
      <c r="R542" s="156" t="n"/>
      <c r="S542" s="156" t="n"/>
      <c r="T542" s="156" t="inlineStr">
        <is>
          <t>Bolsa Boston Wrangler. Modelo: Bandana Paisley Trenzada. Color: Café. Talla única. Unisex. Referencia: WG331-9012BR.</t>
        </is>
      </c>
      <c r="U542" s="156" t="n"/>
      <c r="V542" s="156" t="inlineStr">
        <is>
          <t>PZS</t>
        </is>
      </c>
      <c r="W542" s="51" t="inlineStr">
        <is>
          <t>53121601</t>
        </is>
      </c>
      <c r="X542" s="156" t="inlineStr">
        <is>
          <t>https://cdn.shopify.com/s/files/1/0005/9015/1741/files/WG331-9012BR_1.webp?v=1770780950</t>
        </is>
      </c>
      <c r="Y542" s="54" t="n">
        <v>434.7</v>
      </c>
      <c r="Z542" s="54" t="n">
        <v>699</v>
      </c>
      <c r="AA542" s="55">
        <f>IF(AND(A542="", B542="", E542=""), "", IF(AB542="", "Válido", IF((LEN(AB542)-LEN(SUBSTITUTE(AB542,"; ","")))/2+1&gt;(LEN(AB542)-LEN(SUBSTITUTE(AB542,"[Aviso]","")))/7, "Con Incidencias", "Válido")))</f>
        <v/>
      </c>
      <c r="AB542" s="56">
        <f>IF(AND(A542="", B542="", E542=""), "", TEXTJOIN("; ", TRUE, IF(OR(TRIM(A542&amp;"")="", ISNUMBER(SEARCH("FALTA", A542))), "UPC faltante/inválido", ""), IF(AND(A542&lt;&gt;"", IFERROR(_xlfn.XMATCH(A542,$A$2:$A$1063,0,1)&lt;&gt;_xlfn.XMATCH(A542,$A$2:$A$1063,0,-1),FALSE)), "Código de barras duplicado", ""), IF(AND(E542&lt;&gt;"", COUNTIF($E$2:$E$1063, E542)&gt;1), "SKU duplicado", ""), IF(OR(J542="", J542=""), "[Aviso] División no capturada ()", IF(ISNA(MATCH(J542, Criterios!$A$123:$A$126, 0)), "División no válida", "")), IF(OR(K542="", K542=""), "[Aviso] Categoría no capturada ()", IF(ISNA(MATCH(K542, Criterios!$A$81:$A$120, 0)), "Categoría no válida", IF(AND(J542&lt;&gt;"", J542&lt;&gt;"", J542&lt;&gt;VLOOKUP(K542, Criterios!$A$81:$B$120, 2, FALSE)), "División no coincide con Categoría", ""))), IF(OR(L542="", L542=""), "[Aviso] Género no capturado ()", IF(ISNA(MATCH(L542, Criterios!$B$123:$B$127, 0)), "Género no válido", "")), IF(OR(N542="", N542=""), "[Aviso] Temporada no capturada ()", IF(ISNA(MATCH(N542, Criterios!$C$123:$C$128, 0)), "Temporada no válida", "")), IF(OR(O542="", O542=""), "[Aviso] Ciclo de vida no capturado ()", IF(ISNA(MATCH(O542, Criterios!$D$123:$D$124, 0)), "Ciclo de vida no válido", ""))))</f>
        <v/>
      </c>
      <c r="AC542" s="56" t="n"/>
      <c r="AD542" s="51" t="n"/>
      <c r="AE542" s="156" t="n"/>
      <c r="AF542" s="51" t="n"/>
      <c r="AG542" s="156" t="inlineStr">
        <is>
          <t>Nuevo – Carga Hoja2 01/10/2026</t>
        </is>
      </c>
      <c r="AH542" s="156" t="inlineStr">
        <is>
          <t>Alta 01/10/2026 desde Hoja2 (fila 344) | 01/10/2026: Odoo Universal Unique Brands trae Marca «Montana West» — se conservó el valor de Productos | Homologación G1522 06/10/2026: Enlace de imagen: «» → «https://cdn.shopify.com/s/files/1/0005/9015/1741/files/WG331-9012BR_1.webp?v=1770780950» (Completado por investigación en línea) · Validador Shopify: WB: precio con IVA no termina en 9</t>
        </is>
      </c>
      <c r="AI542" s="156" t="n"/>
      <c r="AJ542" s="156" t="n"/>
      <c r="AK542" s="155" t="inlineStr">
        <is>
          <t>Hoja2: fila 344 | Odoo: producto 27490 / plantilla 34190 | Investigación en línea 06/10/2026: https://montanawestworld.com/products/wrangler-braided-desert-paisley-handbag</t>
        </is>
      </c>
      <c r="AL542" s="58" t="n"/>
      <c r="AM542" s="58" t="n"/>
      <c r="AN542" s="155" t="inlineStr">
        <is>
          <t>Odoo Universal Unique Brands</t>
        </is>
      </c>
      <c r="AO542" s="59" t="n"/>
      <c r="AP542" s="59" t="n"/>
      <c r="AQ542" s="59" t="n">
        <v>-8</v>
      </c>
      <c r="AR542" s="155" t="n"/>
    </row>
    <row r="543">
      <c r="A543" s="50" t="inlineStr">
        <is>
          <t>717308772262</t>
        </is>
      </c>
      <c r="B543" s="51" t="inlineStr">
        <is>
          <t>27491</t>
        </is>
      </c>
      <c r="C543" s="156" t="inlineStr">
        <is>
          <t>Wrangler</t>
        </is>
      </c>
      <c r="D543" s="156" t="inlineStr">
        <is>
          <t>WG331-9012RD</t>
        </is>
      </c>
      <c r="E543" s="156" t="inlineStr">
        <is>
          <t>WG331-9012RD</t>
        </is>
      </c>
      <c r="F543" s="156" t="inlineStr">
        <is>
          <t>Talla única</t>
        </is>
      </c>
      <c r="G543" s="156" t="inlineStr">
        <is>
          <t>One Size</t>
        </is>
      </c>
      <c r="H543" s="156" t="inlineStr">
        <is>
          <t>Wrangler</t>
        </is>
      </c>
      <c r="I543" s="156" t="inlineStr">
        <is>
          <t>Bolsa Boston Wrangler Bandana Paisley Trenzada Rojo</t>
        </is>
      </c>
      <c r="J543" s="156" t="inlineStr">
        <is>
          <t>Accesorios</t>
        </is>
      </c>
      <c r="K543" s="156" t="inlineStr">
        <is>
          <t>Bolsos</t>
        </is>
      </c>
      <c r="L543" s="156" t="inlineStr">
        <is>
          <t>Unisex</t>
        </is>
      </c>
      <c r="M543" s="156" t="inlineStr">
        <is>
          <t>Wrangler</t>
        </is>
      </c>
      <c r="N543" s="156" t="n"/>
      <c r="O543" s="156" t="inlineStr">
        <is>
          <t>Core</t>
        </is>
      </c>
      <c r="P543" s="156" t="inlineStr">
        <is>
          <t>Rojo</t>
        </is>
      </c>
      <c r="Q543" s="156" t="n"/>
      <c r="R543" s="156" t="n"/>
      <c r="S543" s="156" t="n"/>
      <c r="T543" s="156" t="inlineStr">
        <is>
          <t>Bolsa Boston Wrangler. Modelo: Bandana Paisley Trenzada. Color: Rojo. Talla única. Unisex. Referencia: WG331-9012RD.</t>
        </is>
      </c>
      <c r="U543" s="156" t="n"/>
      <c r="V543" s="156" t="inlineStr">
        <is>
          <t>PZS</t>
        </is>
      </c>
      <c r="W543" s="51" t="inlineStr">
        <is>
          <t>53121601</t>
        </is>
      </c>
      <c r="X543" s="156" t="inlineStr">
        <is>
          <t>https://cdn.shopify.com/s/files/1/0005/9015/1741/files/WG331-9012RD_1.webp?v=1770780950</t>
        </is>
      </c>
      <c r="Y543" s="54" t="n">
        <v>434.7</v>
      </c>
      <c r="Z543" s="54" t="n">
        <v>699</v>
      </c>
      <c r="AA543" s="55">
        <f>IF(AND(A543="", B543="", E543=""), "", IF(AB543="", "Válido", IF((LEN(AB543)-LEN(SUBSTITUTE(AB543,"; ","")))/2+1&gt;(LEN(AB543)-LEN(SUBSTITUTE(AB543,"[Aviso]","")))/7, "Con Incidencias", "Válido")))</f>
        <v/>
      </c>
      <c r="AB543" s="56">
        <f>IF(AND(A543="", B543="", E543=""), "", TEXTJOIN("; ", TRUE, IF(OR(TRIM(A543&amp;"")="", ISNUMBER(SEARCH("FALTA", A543))), "UPC faltante/inválido", ""), IF(AND(A543&lt;&gt;"", IFERROR(_xlfn.XMATCH(A543,$A$2:$A$1063,0,1)&lt;&gt;_xlfn.XMATCH(A543,$A$2:$A$1063,0,-1),FALSE)), "Código de barras duplicado", ""), IF(AND(E543&lt;&gt;"", COUNTIF($E$2:$E$1063, E543)&gt;1), "SKU duplicado", ""), IF(OR(J543="", J543=""), "[Aviso] División no capturada ()", IF(ISNA(MATCH(J543, Criterios!$A$123:$A$126, 0)), "División no válida", "")), IF(OR(K543="", K543=""), "[Aviso] Categoría no capturada ()", IF(ISNA(MATCH(K543, Criterios!$A$81:$A$120, 0)), "Categoría no válida", IF(AND(J543&lt;&gt;"", J543&lt;&gt;"", J543&lt;&gt;VLOOKUP(K543, Criterios!$A$81:$B$120, 2, FALSE)), "División no coincide con Categoría", ""))), IF(OR(L543="", L543=""), "[Aviso] Género no capturado ()", IF(ISNA(MATCH(L543, Criterios!$B$123:$B$127, 0)), "Género no válido", "")), IF(OR(N543="", N543=""), "[Aviso] Temporada no capturada ()", IF(ISNA(MATCH(N543, Criterios!$C$123:$C$128, 0)), "Temporada no válida", "")), IF(OR(O543="", O543=""), "[Aviso] Ciclo de vida no capturado ()", IF(ISNA(MATCH(O543, Criterios!$D$123:$D$124, 0)), "Ciclo de vida no válido", ""))))</f>
        <v/>
      </c>
      <c r="AC543" s="56" t="n"/>
      <c r="AD543" s="51" t="n"/>
      <c r="AE543" s="156" t="n"/>
      <c r="AF543" s="51" t="n"/>
      <c r="AG543" s="156" t="inlineStr">
        <is>
          <t>Nuevo – Carga Hoja2 01/10/2026</t>
        </is>
      </c>
      <c r="AH543" s="156" t="inlineStr">
        <is>
          <t>Alta 01/10/2026 desde Hoja2 (fila 345) | 01/10/2026: Odoo Universal Unique Brands trae Marca «Montana West» — se conservó el valor de Productos | Homologación G1522 06/10/2026: Enlace de imagen: «» → «https://cdn.shopify.com/s/files/1/0005/9015/1741/files/WG331-9012RD_1.webp?v=1770780950» (Completado por investigación en línea) · Validador Shopify: WB: precio con IVA no termina en 9</t>
        </is>
      </c>
      <c r="AI543" s="156" t="n"/>
      <c r="AJ543" s="156" t="n"/>
      <c r="AK543" s="155" t="inlineStr">
        <is>
          <t>Hoja2: fila 345 | Odoo: producto 27491 / plantilla 34191 | Investigación en línea 06/10/2026: https://montanawestworld.com/products/wrangler-braided-desert-paisley-handbag</t>
        </is>
      </c>
      <c r="AL543" s="58" t="n"/>
      <c r="AM543" s="58" t="n"/>
      <c r="AN543" s="155" t="inlineStr">
        <is>
          <t>Odoo Universal Unique Brands</t>
        </is>
      </c>
      <c r="AO543" s="59" t="n"/>
      <c r="AP543" s="59" t="n"/>
      <c r="AQ543" s="59" t="n">
        <v>-2</v>
      </c>
      <c r="AR543" s="155" t="n"/>
    </row>
    <row r="544">
      <c r="A544" s="50" t="inlineStr">
        <is>
          <t>717308772224</t>
        </is>
      </c>
      <c r="B544" s="51" t="inlineStr">
        <is>
          <t>27492</t>
        </is>
      </c>
      <c r="C544" s="156" t="inlineStr">
        <is>
          <t>Wrangler</t>
        </is>
      </c>
      <c r="D544" s="156" t="inlineStr">
        <is>
          <t>WG331-9012TQ</t>
        </is>
      </c>
      <c r="E544" s="156" t="inlineStr">
        <is>
          <t>WG331-9012TQ</t>
        </is>
      </c>
      <c r="F544" s="156" t="inlineStr">
        <is>
          <t>Talla única</t>
        </is>
      </c>
      <c r="G544" s="156" t="inlineStr">
        <is>
          <t>One Size</t>
        </is>
      </c>
      <c r="H544" s="156" t="inlineStr">
        <is>
          <t>Wrangler</t>
        </is>
      </c>
      <c r="I544" s="156" t="inlineStr">
        <is>
          <t>Bolsa Boston Wrangler Bandana Paisley Trenzada Turquesa</t>
        </is>
      </c>
      <c r="J544" s="156" t="inlineStr">
        <is>
          <t>Accesorios</t>
        </is>
      </c>
      <c r="K544" s="156" t="inlineStr">
        <is>
          <t>Bolsos</t>
        </is>
      </c>
      <c r="L544" s="156" t="inlineStr">
        <is>
          <t>Unisex</t>
        </is>
      </c>
      <c r="M544" s="156" t="inlineStr">
        <is>
          <t>Wrangler</t>
        </is>
      </c>
      <c r="N544" s="156" t="n"/>
      <c r="O544" s="156" t="inlineStr">
        <is>
          <t>Core</t>
        </is>
      </c>
      <c r="P544" s="156" t="inlineStr">
        <is>
          <t>Azul</t>
        </is>
      </c>
      <c r="Q544" s="156" t="n"/>
      <c r="R544" s="156" t="n"/>
      <c r="S544" s="156" t="n"/>
      <c r="T544" s="156" t="inlineStr">
        <is>
          <t>Bolsa Boston Wrangler. Modelo: Bandana Paisley Trenzada. Color: Turquesa. Talla única. Unisex. Referencia: WG331-9012TQ.</t>
        </is>
      </c>
      <c r="U544" s="156" t="n"/>
      <c r="V544" s="156" t="inlineStr">
        <is>
          <t>PZS</t>
        </is>
      </c>
      <c r="W544" s="51" t="inlineStr">
        <is>
          <t>53121601</t>
        </is>
      </c>
      <c r="X544" s="156" t="inlineStr">
        <is>
          <t>https://cdn.shopify.com/s/files/1/0005/9015/1741/files/WG331-9012TQ_1.webp?v=1770780950</t>
        </is>
      </c>
      <c r="Y544" s="54" t="n">
        <v>434.7</v>
      </c>
      <c r="Z544" s="54" t="n">
        <v>699</v>
      </c>
      <c r="AA544" s="55">
        <f>IF(AND(A544="", B544="", E544=""), "", IF(AB544="", "Válido", IF((LEN(AB544)-LEN(SUBSTITUTE(AB544,"; ","")))/2+1&gt;(LEN(AB544)-LEN(SUBSTITUTE(AB544,"[Aviso]","")))/7, "Con Incidencias", "Válido")))</f>
        <v/>
      </c>
      <c r="AB544" s="56">
        <f>IF(AND(A544="", B544="", E544=""), "", TEXTJOIN("; ", TRUE, IF(OR(TRIM(A544&amp;"")="", ISNUMBER(SEARCH("FALTA", A544))), "UPC faltante/inválido", ""), IF(AND(A544&lt;&gt;"", IFERROR(_xlfn.XMATCH(A544,$A$2:$A$1063,0,1)&lt;&gt;_xlfn.XMATCH(A544,$A$2:$A$1063,0,-1),FALSE)), "Código de barras duplicado", ""), IF(AND(E544&lt;&gt;"", COUNTIF($E$2:$E$1063, E544)&gt;1), "SKU duplicado", ""), IF(OR(J544="", J544=""), "[Aviso] División no capturada ()", IF(ISNA(MATCH(J544, Criterios!$A$123:$A$126, 0)), "División no válida", "")), IF(OR(K544="", K544=""), "[Aviso] Categoría no capturada ()", IF(ISNA(MATCH(K544, Criterios!$A$81:$A$120, 0)), "Categoría no válida", IF(AND(J544&lt;&gt;"", J544&lt;&gt;"", J544&lt;&gt;VLOOKUP(K544, Criterios!$A$81:$B$120, 2, FALSE)), "División no coincide con Categoría", ""))), IF(OR(L544="", L544=""), "[Aviso] Género no capturado ()", IF(ISNA(MATCH(L544, Criterios!$B$123:$B$127, 0)), "Género no válido", "")), IF(OR(N544="", N544=""), "[Aviso] Temporada no capturada ()", IF(ISNA(MATCH(N544, Criterios!$C$123:$C$128, 0)), "Temporada no válida", "")), IF(OR(O544="", O544=""), "[Aviso] Ciclo de vida no capturado ()", IF(ISNA(MATCH(O544, Criterios!$D$123:$D$124, 0)), "Ciclo de vida no válido", ""))))</f>
        <v/>
      </c>
      <c r="AC544" s="56" t="n"/>
      <c r="AD544" s="51" t="n"/>
      <c r="AE544" s="156" t="n"/>
      <c r="AF544" s="51" t="n"/>
      <c r="AG544" s="156" t="inlineStr">
        <is>
          <t>Nuevo – Carga Hoja2 01/10/2026</t>
        </is>
      </c>
      <c r="AH544" s="156" t="inlineStr">
        <is>
          <t>Alta 01/10/2026 desde Hoja2 (fila 346) | 01/10/2026: Odoo Universal Unique Brands trae Marca «Montana West» — se conservó el valor de Productos | Homologación G1522 06/10/2026: Enlace de imagen: «» → «https://cdn.shopify.com/s/files/1/0005/9015/1741/files/WG331-9012TQ_1.webp?v=1770780950» (Completado por investigación en línea) · Validador Shopify: WB: precio con IVA no termina en 9</t>
        </is>
      </c>
      <c r="AI544" s="156" t="n"/>
      <c r="AJ544" s="156" t="n"/>
      <c r="AK544" s="155" t="inlineStr">
        <is>
          <t>Hoja2: fila 346 | Odoo: producto 27492 / plantilla 34192 | Investigación en línea 06/10/2026: https://montanawestworld.com/products/wrangler-braided-desert-paisley-handbag</t>
        </is>
      </c>
      <c r="AL544" s="58" t="n"/>
      <c r="AM544" s="58" t="n"/>
      <c r="AN544" s="155" t="inlineStr">
        <is>
          <t>Odoo Universal Unique Brands</t>
        </is>
      </c>
      <c r="AO544" s="59" t="n"/>
      <c r="AP544" s="59" t="n"/>
      <c r="AQ544" s="59" t="n">
        <v>10</v>
      </c>
      <c r="AR544" s="155" t="inlineStr">
        <is>
          <t>Odoo Universal Unique Brands › Bodega 25 › Bodega 25/General: 10</t>
        </is>
      </c>
    </row>
    <row r="545">
      <c r="A545" s="50" t="inlineStr">
        <is>
          <t>717308772231</t>
        </is>
      </c>
      <c r="B545" s="51" t="inlineStr">
        <is>
          <t>27493</t>
        </is>
      </c>
      <c r="C545" s="156" t="inlineStr">
        <is>
          <t>Wrangler</t>
        </is>
      </c>
      <c r="D545" s="156" t="inlineStr">
        <is>
          <t>WG331-9012YL</t>
        </is>
      </c>
      <c r="E545" s="156" t="inlineStr">
        <is>
          <t>WG331-9012YL</t>
        </is>
      </c>
      <c r="F545" s="156" t="inlineStr">
        <is>
          <t>Talla única</t>
        </is>
      </c>
      <c r="G545" s="156" t="inlineStr">
        <is>
          <t>One Size</t>
        </is>
      </c>
      <c r="H545" s="156" t="inlineStr">
        <is>
          <t>Wrangler</t>
        </is>
      </c>
      <c r="I545" s="156" t="inlineStr">
        <is>
          <t>Bolsa Boston Wrangler Bandana Paisley Trenzada Amarillo</t>
        </is>
      </c>
      <c r="J545" s="156" t="inlineStr">
        <is>
          <t>Accesorios</t>
        </is>
      </c>
      <c r="K545" s="156" t="inlineStr">
        <is>
          <t>Bolsos</t>
        </is>
      </c>
      <c r="L545" s="156" t="inlineStr">
        <is>
          <t>Unisex</t>
        </is>
      </c>
      <c r="M545" s="156" t="inlineStr">
        <is>
          <t>Wrangler</t>
        </is>
      </c>
      <c r="N545" s="156" t="n"/>
      <c r="O545" s="156" t="inlineStr">
        <is>
          <t>Core</t>
        </is>
      </c>
      <c r="P545" s="156" t="inlineStr">
        <is>
          <t>Amarillo</t>
        </is>
      </c>
      <c r="Q545" s="156" t="n"/>
      <c r="R545" s="156" t="n"/>
      <c r="S545" s="156" t="n"/>
      <c r="T545" s="156" t="inlineStr">
        <is>
          <t>Bolsa Boston Wrangler. Modelo: Bandana Paisley Trenzada. Color: Amarillo. Talla única. Unisex. Referencia: WG331-9012YL.</t>
        </is>
      </c>
      <c r="U545" s="156" t="n"/>
      <c r="V545" s="156" t="inlineStr">
        <is>
          <t>PZS</t>
        </is>
      </c>
      <c r="W545" s="51" t="inlineStr">
        <is>
          <t>53121601</t>
        </is>
      </c>
      <c r="X545" s="156" t="inlineStr">
        <is>
          <t>https://cdn.shopify.com/s/files/1/0005/9015/1741/files/WG331-9012YL_1.webp?v=1767690099</t>
        </is>
      </c>
      <c r="Y545" s="54" t="n">
        <v>434.7</v>
      </c>
      <c r="Z545" s="54" t="n">
        <v>699</v>
      </c>
      <c r="AA545" s="55">
        <f>IF(AND(A545="", B545="", E545=""), "", IF(AB545="", "Válido", IF((LEN(AB545)-LEN(SUBSTITUTE(AB545,"; ","")))/2+1&gt;(LEN(AB545)-LEN(SUBSTITUTE(AB545,"[Aviso]","")))/7, "Con Incidencias", "Válido")))</f>
        <v/>
      </c>
      <c r="AB545" s="56">
        <f>IF(AND(A545="", B545="", E545=""), "", TEXTJOIN("; ", TRUE, IF(OR(TRIM(A545&amp;"")="", ISNUMBER(SEARCH("FALTA", A545))), "UPC faltante/inválido", ""), IF(AND(A545&lt;&gt;"", IFERROR(_xlfn.XMATCH(A545,$A$2:$A$1063,0,1)&lt;&gt;_xlfn.XMATCH(A545,$A$2:$A$1063,0,-1),FALSE)), "Código de barras duplicado", ""), IF(AND(E545&lt;&gt;"", COUNTIF($E$2:$E$1063, E545)&gt;1), "SKU duplicado", ""), IF(OR(J545="", J545=""), "[Aviso] División no capturada ()", IF(ISNA(MATCH(J545, Criterios!$A$123:$A$126, 0)), "División no válida", "")), IF(OR(K545="", K545=""), "[Aviso] Categoría no capturada ()", IF(ISNA(MATCH(K545, Criterios!$A$81:$A$120, 0)), "Categoría no válida", IF(AND(J545&lt;&gt;"", J545&lt;&gt;"", J545&lt;&gt;VLOOKUP(K545, Criterios!$A$81:$B$120, 2, FALSE)), "División no coincide con Categoría", ""))), IF(OR(L545="", L545=""), "[Aviso] Género no capturado ()", IF(ISNA(MATCH(L545, Criterios!$B$123:$B$127, 0)), "Género no válido", "")), IF(OR(N545="", N545=""), "[Aviso] Temporada no capturada ()", IF(ISNA(MATCH(N545, Criterios!$C$123:$C$128, 0)), "Temporada no válida", "")), IF(OR(O545="", O545=""), "[Aviso] Ciclo de vida no capturado ()", IF(ISNA(MATCH(O545, Criterios!$D$123:$D$124, 0)), "Ciclo de vida no válido", ""))))</f>
        <v/>
      </c>
      <c r="AC545" s="56" t="n"/>
      <c r="AD545" s="51" t="n"/>
      <c r="AE545" s="156" t="n"/>
      <c r="AF545" s="51" t="n"/>
      <c r="AG545" s="156" t="inlineStr">
        <is>
          <t>Nuevo – Carga Hoja2 01/10/2026</t>
        </is>
      </c>
      <c r="AH545" s="156" t="inlineStr">
        <is>
          <t>Alta 01/10/2026 desde Hoja2 (fila 347) | 01/10/2026: Odoo Universal Unique Brands trae Marca «Montana West» — se conservó el valor de Productos | Homologación G1522 06/10/2026: Enlace de imagen: «» → «https://cdn.shopify.com/s/files/1/0005/9015/1741/files/WG331-9012YL_1.webp?v=1767690099» (Completado por investigación en línea) · Validador Shopify: WB: precio con IVA no termina en 9</t>
        </is>
      </c>
      <c r="AI545" s="156" t="n"/>
      <c r="AJ545" s="156" t="n"/>
      <c r="AK545" s="155" t="inlineStr">
        <is>
          <t>Hoja2: fila 347 | Odoo: producto 27493 / plantilla 34193 | Investigación en línea 06/10/2026: https://montanawestworld.com/products/wrangler-braided-desert-paisley-handbag</t>
        </is>
      </c>
      <c r="AL545" s="58" t="n"/>
      <c r="AM545" s="58" t="n"/>
      <c r="AN545" s="155" t="inlineStr">
        <is>
          <t>Odoo Universal Unique Brands</t>
        </is>
      </c>
      <c r="AO545" s="59" t="n"/>
      <c r="AP545" s="59" t="n"/>
      <c r="AQ545" s="59" t="n">
        <v>9</v>
      </c>
      <c r="AR545" s="155" t="inlineStr">
        <is>
          <t>Odoo Universal Unique Brands › Bodega 25 › Bodega 25/General: 9</t>
        </is>
      </c>
    </row>
    <row r="546">
      <c r="A546" s="50" t="inlineStr">
        <is>
          <t>717308772309</t>
        </is>
      </c>
      <c r="B546" s="51" t="inlineStr">
        <is>
          <t>27494</t>
        </is>
      </c>
      <c r="C546" s="156" t="inlineStr">
        <is>
          <t>Wrangler</t>
        </is>
      </c>
      <c r="D546" s="156" t="inlineStr">
        <is>
          <t>WG331-W115BR</t>
        </is>
      </c>
      <c r="E546" s="156" t="inlineStr">
        <is>
          <t>WG331-W115BR</t>
        </is>
      </c>
      <c r="F546" s="156" t="inlineStr">
        <is>
          <t>Talla única</t>
        </is>
      </c>
      <c r="G546" s="156" t="inlineStr">
        <is>
          <t>One Size</t>
        </is>
      </c>
      <c r="H546" s="156" t="inlineStr">
        <is>
          <t>Wrangler</t>
        </is>
      </c>
      <c r="I546" s="156" t="inlineStr">
        <is>
          <t>Cartera Wrangler Estampado Bandana Paisley Café</t>
        </is>
      </c>
      <c r="J546" s="156" t="inlineStr">
        <is>
          <t>Accesorios</t>
        </is>
      </c>
      <c r="K546" s="156" t="inlineStr">
        <is>
          <t>Carteras</t>
        </is>
      </c>
      <c r="L546" s="156" t="inlineStr">
        <is>
          <t>Unisex</t>
        </is>
      </c>
      <c r="M546" s="156" t="inlineStr">
        <is>
          <t>Wrangler</t>
        </is>
      </c>
      <c r="N546" s="156" t="n"/>
      <c r="O546" s="156" t="inlineStr">
        <is>
          <t>Core</t>
        </is>
      </c>
      <c r="P546" s="156" t="inlineStr">
        <is>
          <t>Cafe</t>
        </is>
      </c>
      <c r="Q546" s="156" t="n"/>
      <c r="R546" s="156" t="n"/>
      <c r="S546" s="156" t="n"/>
      <c r="T546" s="156" t="inlineStr">
        <is>
          <t>Cartera Wrangler. Modelo: Estampado Bandana Paisley. Color: Café. Talla única. Unisex. Referencia: WG331-W115BR.</t>
        </is>
      </c>
      <c r="U546" s="156" t="n"/>
      <c r="V546" s="156" t="inlineStr">
        <is>
          <t>PZS</t>
        </is>
      </c>
      <c r="W546" s="51" t="inlineStr">
        <is>
          <t>53121700</t>
        </is>
      </c>
      <c r="X546" s="156" t="inlineStr">
        <is>
          <t>https://cdn.shopify.com/s/files/1/0005/9015/1741/files/WG331-W115BR_1.webp?v=1770270403</t>
        </is>
      </c>
      <c r="Y546" s="54" t="n">
        <v>257.6</v>
      </c>
      <c r="Z546" s="54" t="n">
        <v>449</v>
      </c>
      <c r="AA546" s="55">
        <f>IF(AND(A546="", B546="", E546=""), "", IF(AB546="", "Válido", IF((LEN(AB546)-LEN(SUBSTITUTE(AB546,"; ","")))/2+1&gt;(LEN(AB546)-LEN(SUBSTITUTE(AB546,"[Aviso]","")))/7, "Con Incidencias", "Válido")))</f>
        <v/>
      </c>
      <c r="AB546" s="56">
        <f>IF(AND(A546="", B546="", E546=""), "", TEXTJOIN("; ", TRUE, IF(OR(TRIM(A546&amp;"")="", ISNUMBER(SEARCH("FALTA", A546))), "UPC faltante/inválido", ""), IF(AND(A546&lt;&gt;"", IFERROR(_xlfn.XMATCH(A546,$A$2:$A$1063,0,1)&lt;&gt;_xlfn.XMATCH(A546,$A$2:$A$1063,0,-1),FALSE)), "Código de barras duplicado", ""), IF(AND(E546&lt;&gt;"", COUNTIF($E$2:$E$1063, E546)&gt;1), "SKU duplicado", ""), IF(OR(J546="", J546=""), "[Aviso] División no capturada ()", IF(ISNA(MATCH(J546, Criterios!$A$123:$A$126, 0)), "División no válida", "")), IF(OR(K546="", K546=""), "[Aviso] Categoría no capturada ()", IF(ISNA(MATCH(K546, Criterios!$A$81:$A$120, 0)), "Categoría no válida", IF(AND(J546&lt;&gt;"", J546&lt;&gt;"", J546&lt;&gt;VLOOKUP(K546, Criterios!$A$81:$B$120, 2, FALSE)), "División no coincide con Categoría", ""))), IF(OR(L546="", L546=""), "[Aviso] Género no capturado ()", IF(ISNA(MATCH(L546, Criterios!$B$123:$B$127, 0)), "Género no válido", "")), IF(OR(N546="", N546=""), "[Aviso] Temporada no capturada ()", IF(ISNA(MATCH(N546, Criterios!$C$123:$C$128, 0)), "Temporada no válida", "")), IF(OR(O546="", O546=""), "[Aviso] Ciclo de vida no capturado ()", IF(ISNA(MATCH(O546, Criterios!$D$123:$D$124, 0)), "Ciclo de vida no válido", ""))))</f>
        <v/>
      </c>
      <c r="AC546" s="56" t="n"/>
      <c r="AD546" s="51" t="n"/>
      <c r="AE546" s="156" t="n"/>
      <c r="AF546" s="51" t="n"/>
      <c r="AG546" s="156" t="inlineStr">
        <is>
          <t>Nuevo – Carga Hoja2 01/10/2026</t>
        </is>
      </c>
      <c r="AH546" s="156" t="inlineStr">
        <is>
          <t>Alta 01/10/2026 desde Hoja2 (fila 348) | 01/10/2026: Odoo Universal Unique Brands trae Marca «Montana West» — se conservó el valor de Productos | Homologación G1522 06/10/2026: Enlace de imagen: «» → «https://cdn.shopify.com/s/files/1/0005/9015/1741/files/WG331-W115BR_1.webp?v=1770270403» (Completado por investigación en línea) · Validador Shopify: WB: precio con IVA no termina en 9</t>
        </is>
      </c>
      <c r="AI546" s="156" t="n"/>
      <c r="AJ546" s="156" t="n"/>
      <c r="AK546" s="155" t="inlineStr">
        <is>
          <t>Hoja2: fila 348 | Odoo: producto 27494 / plantilla 34194 | Investigación en línea 06/10/2026: https://montanawestworld.com/products/wrangler-western-desert-paisley-wallet</t>
        </is>
      </c>
      <c r="AL546" s="58" t="n"/>
      <c r="AM546" s="58" t="n"/>
      <c r="AN546" s="155" t="inlineStr">
        <is>
          <t>Odoo Universal Unique Brands</t>
        </is>
      </c>
      <c r="AO546" s="59" t="n"/>
      <c r="AP546" s="59" t="n"/>
      <c r="AQ546" s="59" t="n">
        <v>-7</v>
      </c>
      <c r="AR546" s="155" t="n"/>
    </row>
    <row r="547">
      <c r="A547" s="50" t="inlineStr">
        <is>
          <t>717308772347</t>
        </is>
      </c>
      <c r="B547" s="51" t="inlineStr">
        <is>
          <t>27495</t>
        </is>
      </c>
      <c r="C547" s="156" t="inlineStr">
        <is>
          <t>Wrangler</t>
        </is>
      </c>
      <c r="D547" s="156" t="inlineStr">
        <is>
          <t>WG331-W115PK</t>
        </is>
      </c>
      <c r="E547" s="156" t="inlineStr">
        <is>
          <t>WG331-W115PK</t>
        </is>
      </c>
      <c r="F547" s="156" t="inlineStr">
        <is>
          <t>Talla única</t>
        </is>
      </c>
      <c r="G547" s="156" t="inlineStr">
        <is>
          <t>One Size</t>
        </is>
      </c>
      <c r="H547" s="156" t="inlineStr">
        <is>
          <t>Wrangler</t>
        </is>
      </c>
      <c r="I547" s="156" t="inlineStr">
        <is>
          <t>Cartera Wrangler Estampado Bandana Paisley Rosa</t>
        </is>
      </c>
      <c r="J547" s="156" t="inlineStr">
        <is>
          <t>Accesorios</t>
        </is>
      </c>
      <c r="K547" s="156" t="inlineStr">
        <is>
          <t>Carteras</t>
        </is>
      </c>
      <c r="L547" s="156" t="inlineStr">
        <is>
          <t>Unisex</t>
        </is>
      </c>
      <c r="M547" s="156" t="inlineStr">
        <is>
          <t>Wrangler</t>
        </is>
      </c>
      <c r="N547" s="156" t="n"/>
      <c r="O547" s="156" t="inlineStr">
        <is>
          <t>Core</t>
        </is>
      </c>
      <c r="P547" s="156" t="inlineStr">
        <is>
          <t>Rosa</t>
        </is>
      </c>
      <c r="Q547" s="156" t="n"/>
      <c r="R547" s="156" t="n"/>
      <c r="S547" s="156" t="n"/>
      <c r="T547" s="156" t="inlineStr">
        <is>
          <t>Cartera Wrangler. Modelo: Estampado Bandana Paisley. Color: Rosa. Talla única. Unisex. Referencia: WG331-W115PK.</t>
        </is>
      </c>
      <c r="U547" s="156" t="n"/>
      <c r="V547" s="156" t="inlineStr">
        <is>
          <t>PZS</t>
        </is>
      </c>
      <c r="W547" s="51" t="inlineStr">
        <is>
          <t>53121700</t>
        </is>
      </c>
      <c r="X547" s="156" t="inlineStr">
        <is>
          <t>https://cdn.shopify.com/s/files/1/0005/9015/1741/files/WG331-W115PK_1.webp?v=1770270464</t>
        </is>
      </c>
      <c r="Y547" s="54" t="n">
        <v>257.6</v>
      </c>
      <c r="Z547" s="54" t="n">
        <v>449</v>
      </c>
      <c r="AA547" s="55">
        <f>IF(AND(A547="", B547="", E547=""), "", IF(AB547="", "Válido", IF((LEN(AB547)-LEN(SUBSTITUTE(AB547,"; ","")))/2+1&gt;(LEN(AB547)-LEN(SUBSTITUTE(AB547,"[Aviso]","")))/7, "Con Incidencias", "Válido")))</f>
        <v/>
      </c>
      <c r="AB547" s="56">
        <f>IF(AND(A547="", B547="", E547=""), "", TEXTJOIN("; ", TRUE, IF(OR(TRIM(A547&amp;"")="", ISNUMBER(SEARCH("FALTA", A547))), "UPC faltante/inválido", ""), IF(AND(A547&lt;&gt;"", IFERROR(_xlfn.XMATCH(A547,$A$2:$A$1063,0,1)&lt;&gt;_xlfn.XMATCH(A547,$A$2:$A$1063,0,-1),FALSE)), "Código de barras duplicado", ""), IF(AND(E547&lt;&gt;"", COUNTIF($E$2:$E$1063, E547)&gt;1), "SKU duplicado", ""), IF(OR(J547="", J547=""), "[Aviso] División no capturada ()", IF(ISNA(MATCH(J547, Criterios!$A$123:$A$126, 0)), "División no válida", "")), IF(OR(K547="", K547=""), "[Aviso] Categoría no capturada ()", IF(ISNA(MATCH(K547, Criterios!$A$81:$A$120, 0)), "Categoría no válida", IF(AND(J547&lt;&gt;"", J547&lt;&gt;"", J547&lt;&gt;VLOOKUP(K547, Criterios!$A$81:$B$120, 2, FALSE)), "División no coincide con Categoría", ""))), IF(OR(L547="", L547=""), "[Aviso] Género no capturado ()", IF(ISNA(MATCH(L547, Criterios!$B$123:$B$127, 0)), "Género no válido", "")), IF(OR(N547="", N547=""), "[Aviso] Temporada no capturada ()", IF(ISNA(MATCH(N547, Criterios!$C$123:$C$128, 0)), "Temporada no válida", "")), IF(OR(O547="", O547=""), "[Aviso] Ciclo de vida no capturado ()", IF(ISNA(MATCH(O547, Criterios!$D$123:$D$124, 0)), "Ciclo de vida no válido", ""))))</f>
        <v/>
      </c>
      <c r="AC547" s="56" t="n"/>
      <c r="AD547" s="51" t="n"/>
      <c r="AE547" s="156" t="n"/>
      <c r="AF547" s="51" t="n"/>
      <c r="AG547" s="156" t="inlineStr">
        <is>
          <t>Nuevo – Carga Hoja2 01/10/2026</t>
        </is>
      </c>
      <c r="AH547" s="156" t="inlineStr">
        <is>
          <t>Alta 01/10/2026 desde Hoja2 (fila 349) | 01/10/2026: Odoo Universal Unique Brands trae Marca «Montana West» — se conservó el valor de Productos | Homologación G1522 06/10/2026: Enlace de imagen: «» → «https://cdn.shopify.com/s/files/1/0005/9015/1741/files/WG331-W115PK_1.webp?v=1770270464» (Completado por investigación en línea) · Validador Shopify: WB: precio con IVA no termina en 9</t>
        </is>
      </c>
      <c r="AI547" s="156" t="n"/>
      <c r="AJ547" s="156" t="n"/>
      <c r="AK547" s="155" t="inlineStr">
        <is>
          <t>Hoja2: fila 349 | Odoo: producto 27495 / plantilla 34195 | Investigación en línea 06/10/2026: https://montanawestworld.com/products/wrangler-western-desert-paisley-wallet</t>
        </is>
      </c>
      <c r="AL547" s="58" t="n"/>
      <c r="AM547" s="58" t="n"/>
      <c r="AN547" s="155" t="inlineStr">
        <is>
          <t>Odoo Universal Unique Brands</t>
        </is>
      </c>
      <c r="AO547" s="59" t="n"/>
      <c r="AP547" s="59" t="n"/>
      <c r="AQ547" s="59" t="n">
        <v>-7</v>
      </c>
      <c r="AR547" s="155" t="n"/>
    </row>
    <row r="548">
      <c r="A548" s="50" t="inlineStr">
        <is>
          <t>717308772354</t>
        </is>
      </c>
      <c r="B548" s="51" t="inlineStr">
        <is>
          <t>27496</t>
        </is>
      </c>
      <c r="C548" s="156" t="inlineStr">
        <is>
          <t>Wrangler</t>
        </is>
      </c>
      <c r="D548" s="156" t="inlineStr">
        <is>
          <t>WG331-W115RD</t>
        </is>
      </c>
      <c r="E548" s="156" t="inlineStr">
        <is>
          <t>WG331-W115RD</t>
        </is>
      </c>
      <c r="F548" s="156" t="inlineStr">
        <is>
          <t>Talla única</t>
        </is>
      </c>
      <c r="G548" s="156" t="inlineStr">
        <is>
          <t>One Size</t>
        </is>
      </c>
      <c r="H548" s="156" t="inlineStr">
        <is>
          <t>Wrangler</t>
        </is>
      </c>
      <c r="I548" s="156" t="inlineStr">
        <is>
          <t>Cartera Wrangler Estampado Bandana Paisley Rojo</t>
        </is>
      </c>
      <c r="J548" s="156" t="inlineStr">
        <is>
          <t>Accesorios</t>
        </is>
      </c>
      <c r="K548" s="156" t="inlineStr">
        <is>
          <t>Carteras</t>
        </is>
      </c>
      <c r="L548" s="156" t="inlineStr">
        <is>
          <t>Unisex</t>
        </is>
      </c>
      <c r="M548" s="156" t="inlineStr">
        <is>
          <t>Wrangler</t>
        </is>
      </c>
      <c r="N548" s="156" t="n"/>
      <c r="O548" s="156" t="inlineStr">
        <is>
          <t>Core</t>
        </is>
      </c>
      <c r="P548" s="156" t="inlineStr">
        <is>
          <t>Rojo</t>
        </is>
      </c>
      <c r="Q548" s="156" t="n"/>
      <c r="R548" s="156" t="n"/>
      <c r="S548" s="156" t="n"/>
      <c r="T548" s="156" t="inlineStr">
        <is>
          <t>Cartera Wrangler. Modelo: Estampado Bandana Paisley. Color: Rojo. Talla única. Unisex. Referencia: WG331-W115RD.</t>
        </is>
      </c>
      <c r="U548" s="156" t="n"/>
      <c r="V548" s="156" t="inlineStr">
        <is>
          <t>PZS</t>
        </is>
      </c>
      <c r="W548" s="51" t="inlineStr">
        <is>
          <t>53121700</t>
        </is>
      </c>
      <c r="X548" s="156" t="inlineStr">
        <is>
          <t>https://cdn.shopify.com/s/files/1/0005/9015/1741/files/WG331-W115RD_1.webp?v=1770270418</t>
        </is>
      </c>
      <c r="Y548" s="54" t="n">
        <v>257.6</v>
      </c>
      <c r="Z548" s="54" t="n">
        <v>449</v>
      </c>
      <c r="AA548" s="55">
        <f>IF(AND(A548="", B548="", E548=""), "", IF(AB548="", "Válido", IF((LEN(AB548)-LEN(SUBSTITUTE(AB548,"; ","")))/2+1&gt;(LEN(AB548)-LEN(SUBSTITUTE(AB548,"[Aviso]","")))/7, "Con Incidencias", "Válido")))</f>
        <v/>
      </c>
      <c r="AB548" s="56">
        <f>IF(AND(A548="", B548="", E548=""), "", TEXTJOIN("; ", TRUE, IF(OR(TRIM(A548&amp;"")="", ISNUMBER(SEARCH("FALTA", A548))), "UPC faltante/inválido", ""), IF(AND(A548&lt;&gt;"", IFERROR(_xlfn.XMATCH(A548,$A$2:$A$1063,0,1)&lt;&gt;_xlfn.XMATCH(A548,$A$2:$A$1063,0,-1),FALSE)), "Código de barras duplicado", ""), IF(AND(E548&lt;&gt;"", COUNTIF($E$2:$E$1063, E548)&gt;1), "SKU duplicado", ""), IF(OR(J548="", J548=""), "[Aviso] División no capturada ()", IF(ISNA(MATCH(J548, Criterios!$A$123:$A$126, 0)), "División no válida", "")), IF(OR(K548="", K548=""), "[Aviso] Categoría no capturada ()", IF(ISNA(MATCH(K548, Criterios!$A$81:$A$120, 0)), "Categoría no válida", IF(AND(J548&lt;&gt;"", J548&lt;&gt;"", J548&lt;&gt;VLOOKUP(K548, Criterios!$A$81:$B$120, 2, FALSE)), "División no coincide con Categoría", ""))), IF(OR(L548="", L548=""), "[Aviso] Género no capturado ()", IF(ISNA(MATCH(L548, Criterios!$B$123:$B$127, 0)), "Género no válido", "")), IF(OR(N548="", N548=""), "[Aviso] Temporada no capturada ()", IF(ISNA(MATCH(N548, Criterios!$C$123:$C$128, 0)), "Temporada no válida", "")), IF(OR(O548="", O548=""), "[Aviso] Ciclo de vida no capturado ()", IF(ISNA(MATCH(O548, Criterios!$D$123:$D$124, 0)), "Ciclo de vida no válido", ""))))</f>
        <v/>
      </c>
      <c r="AC548" s="56" t="n"/>
      <c r="AD548" s="51" t="n"/>
      <c r="AE548" s="156" t="n"/>
      <c r="AF548" s="51" t="n"/>
      <c r="AG548" s="156" t="inlineStr">
        <is>
          <t>Nuevo – Carga Hoja2 01/10/2026</t>
        </is>
      </c>
      <c r="AH548" s="156" t="inlineStr">
        <is>
          <t>Alta 01/10/2026 desde Hoja2 (fila 350) | 01/10/2026: Odoo Universal Unique Brands trae Marca «Montana West» — se conservó el valor de Productos | Homologación G1522 06/10/2026: Enlace de imagen: «» → «https://cdn.shopify.com/s/files/1/0005/9015/1741/files/WG331-W115RD_1.webp?v=1770270418» (Completado por investigación en línea) · Validador Shopify: WB: precio con IVA no termina en 9</t>
        </is>
      </c>
      <c r="AI548" s="156" t="n"/>
      <c r="AJ548" s="156" t="n"/>
      <c r="AK548" s="155" t="inlineStr">
        <is>
          <t>Hoja2: fila 350 | Odoo: producto 27496 / plantilla 34196 | Investigación en línea 06/10/2026: https://montanawestworld.com/products/wrangler-western-desert-paisley-wallet</t>
        </is>
      </c>
      <c r="AL548" s="58" t="n"/>
      <c r="AM548" s="58" t="n"/>
      <c r="AN548" s="155" t="inlineStr">
        <is>
          <t>Odoo Universal Unique Brands</t>
        </is>
      </c>
      <c r="AO548" s="59" t="n"/>
      <c r="AP548" s="59" t="n"/>
      <c r="AQ548" s="59" t="n">
        <v>2</v>
      </c>
      <c r="AR548" s="155" t="inlineStr">
        <is>
          <t>Odoo Universal Unique Brands › Bodega 25 › Bodega 25/General: 2</t>
        </is>
      </c>
    </row>
    <row r="549">
      <c r="A549" s="50" t="inlineStr">
        <is>
          <t>717308772316</t>
        </is>
      </c>
      <c r="B549" s="51" t="inlineStr">
        <is>
          <t>27497</t>
        </is>
      </c>
      <c r="C549" s="156" t="inlineStr">
        <is>
          <t>Wrangler</t>
        </is>
      </c>
      <c r="D549" s="156" t="inlineStr">
        <is>
          <t>WG331-W115TQ</t>
        </is>
      </c>
      <c r="E549" s="156" t="inlineStr">
        <is>
          <t>WG331-W115TQ</t>
        </is>
      </c>
      <c r="F549" s="156" t="inlineStr">
        <is>
          <t>Talla única</t>
        </is>
      </c>
      <c r="G549" s="156" t="inlineStr">
        <is>
          <t>One Size</t>
        </is>
      </c>
      <c r="H549" s="156" t="inlineStr">
        <is>
          <t>Wrangler</t>
        </is>
      </c>
      <c r="I549" s="156" t="inlineStr">
        <is>
          <t>Cartera Wrangler Estampado Bandana Paisley Turquesa</t>
        </is>
      </c>
      <c r="J549" s="156" t="inlineStr">
        <is>
          <t>Accesorios</t>
        </is>
      </c>
      <c r="K549" s="156" t="inlineStr">
        <is>
          <t>Carteras</t>
        </is>
      </c>
      <c r="L549" s="156" t="inlineStr">
        <is>
          <t>Unisex</t>
        </is>
      </c>
      <c r="M549" s="156" t="inlineStr">
        <is>
          <t>Wrangler</t>
        </is>
      </c>
      <c r="N549" s="156" t="n"/>
      <c r="O549" s="156" t="inlineStr">
        <is>
          <t>Core</t>
        </is>
      </c>
      <c r="P549" s="156" t="inlineStr">
        <is>
          <t>Azul</t>
        </is>
      </c>
      <c r="Q549" s="156" t="n"/>
      <c r="R549" s="156" t="n"/>
      <c r="S549" s="156" t="n"/>
      <c r="T549" s="156" t="inlineStr">
        <is>
          <t>Cartera Wrangler. Modelo: Estampado Bandana Paisley. Color: Turquesa. Talla única. Unisex. Referencia: WG331-W115TQ.</t>
        </is>
      </c>
      <c r="U549" s="156" t="n"/>
      <c r="V549" s="156" t="inlineStr">
        <is>
          <t>PZS</t>
        </is>
      </c>
      <c r="W549" s="51" t="inlineStr">
        <is>
          <t>53121700</t>
        </is>
      </c>
      <c r="X549" s="156" t="inlineStr">
        <is>
          <t>https://cdn.shopify.com/s/files/1/0005/9015/1741/files/WG331-W115TQ_1.webp?v=1770270435</t>
        </is>
      </c>
      <c r="Y549" s="54" t="n">
        <v>257.6</v>
      </c>
      <c r="Z549" s="54" t="n">
        <v>449</v>
      </c>
      <c r="AA549" s="55">
        <f>IF(AND(A549="", B549="", E549=""), "", IF(AB549="", "Válido", IF((LEN(AB549)-LEN(SUBSTITUTE(AB549,"; ","")))/2+1&gt;(LEN(AB549)-LEN(SUBSTITUTE(AB549,"[Aviso]","")))/7, "Con Incidencias", "Válido")))</f>
        <v/>
      </c>
      <c r="AB549" s="56">
        <f>IF(AND(A549="", B549="", E549=""), "", TEXTJOIN("; ", TRUE, IF(OR(TRIM(A549&amp;"")="", ISNUMBER(SEARCH("FALTA", A549))), "UPC faltante/inválido", ""), IF(AND(A549&lt;&gt;"", IFERROR(_xlfn.XMATCH(A549,$A$2:$A$1063,0,1)&lt;&gt;_xlfn.XMATCH(A549,$A$2:$A$1063,0,-1),FALSE)), "Código de barras duplicado", ""), IF(AND(E549&lt;&gt;"", COUNTIF($E$2:$E$1063, E549)&gt;1), "SKU duplicado", ""), IF(OR(J549="", J549=""), "[Aviso] División no capturada ()", IF(ISNA(MATCH(J549, Criterios!$A$123:$A$126, 0)), "División no válida", "")), IF(OR(K549="", K549=""), "[Aviso] Categoría no capturada ()", IF(ISNA(MATCH(K549, Criterios!$A$81:$A$120, 0)), "Categoría no válida", IF(AND(J549&lt;&gt;"", J549&lt;&gt;"", J549&lt;&gt;VLOOKUP(K549, Criterios!$A$81:$B$120, 2, FALSE)), "División no coincide con Categoría", ""))), IF(OR(L549="", L549=""), "[Aviso] Género no capturado ()", IF(ISNA(MATCH(L549, Criterios!$B$123:$B$127, 0)), "Género no válido", "")), IF(OR(N549="", N549=""), "[Aviso] Temporada no capturada ()", IF(ISNA(MATCH(N549, Criterios!$C$123:$C$128, 0)), "Temporada no válida", "")), IF(OR(O549="", O549=""), "[Aviso] Ciclo de vida no capturado ()", IF(ISNA(MATCH(O549, Criterios!$D$123:$D$124, 0)), "Ciclo de vida no válido", ""))))</f>
        <v/>
      </c>
      <c r="AC549" s="56" t="n"/>
      <c r="AD549" s="51" t="n"/>
      <c r="AE549" s="156" t="n"/>
      <c r="AF549" s="51" t="n"/>
      <c r="AG549" s="156" t="inlineStr">
        <is>
          <t>Nuevo – Carga Hoja2 01/10/2026</t>
        </is>
      </c>
      <c r="AH549" s="156" t="inlineStr">
        <is>
          <t>Alta 01/10/2026 desde Hoja2 (fila 351) | 01/10/2026: Odoo Universal Unique Brands trae Marca «Montana West» — se conservó el valor de Productos | Homologación G1522 06/10/2026: Enlace de imagen: «» → «https://cdn.shopify.com/s/files/1/0005/9015/1741/files/WG331-W115TQ_1.webp?v=1770270435» (Completado por investigación en línea) · Validador Shopify: WB: precio con IVA no termina en 9</t>
        </is>
      </c>
      <c r="AI549" s="156" t="n"/>
      <c r="AJ549" s="156" t="n"/>
      <c r="AK549" s="155" t="inlineStr">
        <is>
          <t>Hoja2: fila 351 | Odoo: producto 27497 / plantilla 34197 | Investigación en línea 06/10/2026: https://montanawestworld.com/products/wrangler-western-desert-paisley-wallet</t>
        </is>
      </c>
      <c r="AL549" s="58" t="n"/>
      <c r="AM549" s="58" t="n"/>
      <c r="AN549" s="155" t="inlineStr">
        <is>
          <t>Odoo Universal Unique Brands</t>
        </is>
      </c>
      <c r="AO549" s="59" t="n"/>
      <c r="AP549" s="59" t="n"/>
      <c r="AQ549" s="59" t="n">
        <v>18</v>
      </c>
      <c r="AR549" s="155" t="inlineStr">
        <is>
          <t>Odoo Universal Unique Brands › Bodega 25 › Bodega 25/General: 18</t>
        </is>
      </c>
    </row>
    <row r="550">
      <c r="A550" s="50" t="inlineStr">
        <is>
          <t>717710498644</t>
        </is>
      </c>
      <c r="B550" s="51" t="inlineStr">
        <is>
          <t>27501</t>
        </is>
      </c>
      <c r="C550" s="156" t="inlineStr">
        <is>
          <t>Wrangler</t>
        </is>
      </c>
      <c r="D550" s="156" t="inlineStr">
        <is>
          <t>WG337-2003GN</t>
        </is>
      </c>
      <c r="E550" s="156" t="inlineStr">
        <is>
          <t>WG337-2003GN</t>
        </is>
      </c>
      <c r="F550" s="156" t="inlineStr">
        <is>
          <t>Talla única</t>
        </is>
      </c>
      <c r="G550" s="156" t="inlineStr">
        <is>
          <t>One Size</t>
        </is>
      </c>
      <c r="H550" s="156" t="inlineStr">
        <is>
          <t>Wrangler</t>
        </is>
      </c>
      <c r="I550" s="156" t="inlineStr">
        <is>
          <t>Bolsa Wrangler Verde</t>
        </is>
      </c>
      <c r="J550" s="156" t="inlineStr">
        <is>
          <t>Accesorios</t>
        </is>
      </c>
      <c r="K550" s="156" t="inlineStr">
        <is>
          <t>Bolsos</t>
        </is>
      </c>
      <c r="L550" s="156" t="inlineStr">
        <is>
          <t>Unisex</t>
        </is>
      </c>
      <c r="M550" s="156" t="inlineStr">
        <is>
          <t>Wrangler</t>
        </is>
      </c>
      <c r="N550" s="156" t="n"/>
      <c r="O550" s="156" t="inlineStr">
        <is>
          <t>Core</t>
        </is>
      </c>
      <c r="P550" s="156" t="inlineStr">
        <is>
          <t>Verde</t>
        </is>
      </c>
      <c r="Q550" s="156" t="n"/>
      <c r="R550" s="156" t="n"/>
      <c r="S550" s="156" t="n"/>
      <c r="T550" s="156" t="inlineStr">
        <is>
          <t>Bolsa Wrangler. Color: Verde. Talla única. Unisex. Referencia: WG337-2003GN.</t>
        </is>
      </c>
      <c r="U550" s="156" t="n"/>
      <c r="V550" s="156" t="inlineStr">
        <is>
          <t>PZS</t>
        </is>
      </c>
      <c r="W550" s="51" t="inlineStr">
        <is>
          <t>53121601</t>
        </is>
      </c>
      <c r="X550" s="156" t="inlineStr">
        <is>
          <t>https://cdn.shopify.com/s/files/1/0005/9015/1741/files/WG337-2003GN4.webp?v=1766048594</t>
        </is>
      </c>
      <c r="Y550" s="54" t="n">
        <v>370.3</v>
      </c>
      <c r="Z550" s="54" t="n">
        <v>599</v>
      </c>
      <c r="AA550" s="55">
        <f>IF(AND(A550="", B550="", E550=""), "", IF(AB550="", "Válido", IF((LEN(AB550)-LEN(SUBSTITUTE(AB550,"; ","")))/2+1&gt;(LEN(AB550)-LEN(SUBSTITUTE(AB550,"[Aviso]","")))/7, "Con Incidencias", "Válido")))</f>
        <v/>
      </c>
      <c r="AB550" s="56">
        <f>IF(AND(A550="", B550="", E550=""), "", TEXTJOIN("; ", TRUE, IF(OR(TRIM(A550&amp;"")="", ISNUMBER(SEARCH("FALTA", A550))), "UPC faltante/inválido", ""), IF(AND(A550&lt;&gt;"", IFERROR(_xlfn.XMATCH(A550,$A$2:$A$1063,0,1)&lt;&gt;_xlfn.XMATCH(A550,$A$2:$A$1063,0,-1),FALSE)), "Código de barras duplicado", ""), IF(AND(E550&lt;&gt;"", COUNTIF($E$2:$E$1063, E550)&gt;1), "SKU duplicado", ""), IF(OR(J550="", J550=""), "[Aviso] División no capturada ()", IF(ISNA(MATCH(J550, Criterios!$A$123:$A$126, 0)), "División no válida", "")), IF(OR(K550="", K550=""), "[Aviso] Categoría no capturada ()", IF(ISNA(MATCH(K550, Criterios!$A$81:$A$120, 0)), "Categoría no válida", IF(AND(J550&lt;&gt;"", J550&lt;&gt;"", J550&lt;&gt;VLOOKUP(K550, Criterios!$A$81:$B$120, 2, FALSE)), "División no coincide con Categoría", ""))), IF(OR(L550="", L550=""), "[Aviso] Género no capturado ()", IF(ISNA(MATCH(L550, Criterios!$B$123:$B$127, 0)), "Género no válido", "")), IF(OR(N550="", N550=""), "[Aviso] Temporada no capturada ()", IF(ISNA(MATCH(N550, Criterios!$C$123:$C$128, 0)), "Temporada no válida", "")), IF(OR(O550="", O550=""), "[Aviso] Ciclo de vida no capturado ()", IF(ISNA(MATCH(O550, Criterios!$D$123:$D$124, 0)), "Ciclo de vida no válido", ""))))</f>
        <v/>
      </c>
      <c r="AC550" s="56" t="n"/>
      <c r="AD550" s="51" t="n"/>
      <c r="AE550" s="156" t="n"/>
      <c r="AF550" s="51" t="n"/>
      <c r="AG550" s="156" t="inlineStr">
        <is>
          <t>Nuevo – Carga Hoja2 01/10/2026</t>
        </is>
      </c>
      <c r="AH550" s="156" t="inlineStr">
        <is>
          <t>Alta 01/10/2026 desde Hoja2 (fila 354) | 01/10/2026: Odoo Universal Unique Brands trae Marca «Montana West» — se conservó el valor de Productos | Homologación G1522 06/10/2026: Enlace de imagen: «» → «https://cdn.shopify.com/s/files/1/0005/9015/1741/files/WG337-2003GN4.webp?v=1766048594» (Completado por investigación en línea) · Validador Shopify: WB: precio con IVA no termina en 9</t>
        </is>
      </c>
      <c r="AI550" s="156" t="n"/>
      <c r="AJ550" s="156" t="n"/>
      <c r="AK550" s="155" t="inlineStr">
        <is>
          <t>Hoja2: fila 354 | Odoo: producto 27501 / plantilla 34201 | Investigación en línea 06/10/2026: https://montanawestworld.com/products/wrangler-western-embroidered-tote-bag</t>
        </is>
      </c>
      <c r="AL550" s="58" t="n"/>
      <c r="AM550" s="58" t="n"/>
      <c r="AN550" s="155" t="inlineStr">
        <is>
          <t>Odoo Universal Unique Brands</t>
        </is>
      </c>
      <c r="AO550" s="59" t="n"/>
      <c r="AP550" s="59" t="n"/>
      <c r="AQ550" s="59" t="n">
        <v>2</v>
      </c>
      <c r="AR550" s="155" t="inlineStr">
        <is>
          <t>Odoo Universal Unique Brands › Bodega 25 › Bodega 25/General: 2</t>
        </is>
      </c>
    </row>
    <row r="551">
      <c r="A551" s="50" t="n"/>
      <c r="B551" s="51" t="inlineStr">
        <is>
          <t>27505</t>
        </is>
      </c>
      <c r="C551" s="156" t="inlineStr">
        <is>
          <t>Montana West</t>
        </is>
      </c>
      <c r="D551" s="156" t="n"/>
      <c r="E551" s="156" t="inlineStr">
        <is>
          <t>WG386-8120STN</t>
        </is>
      </c>
      <c r="F551" s="156" t="inlineStr">
        <is>
          <t>Talla única</t>
        </is>
      </c>
      <c r="G551" s="156" t="inlineStr">
        <is>
          <t>One Size</t>
        </is>
      </c>
      <c r="H551" s="156" t="inlineStr">
        <is>
          <t>Montana West</t>
        </is>
      </c>
      <c r="I551" s="156" t="inlineStr">
        <is>
          <t>WG BAG</t>
        </is>
      </c>
      <c r="J551" s="156" t="inlineStr">
        <is>
          <t>Accesorios</t>
        </is>
      </c>
      <c r="K551" s="156" t="inlineStr">
        <is>
          <t>Bolsos</t>
        </is>
      </c>
      <c r="L551" s="156" t="inlineStr">
        <is>
          <t>Unisex</t>
        </is>
      </c>
      <c r="M551" s="156" t="n"/>
      <c r="N551" s="156" t="n"/>
      <c r="O551" s="156" t="n"/>
      <c r="P551" s="156" t="inlineStr">
        <is>
          <t>Beige</t>
        </is>
      </c>
      <c r="Q551" s="156" t="n"/>
      <c r="R551" s="156" t="n"/>
      <c r="S551" s="156" t="n"/>
      <c r="T551" s="156" t="n"/>
      <c r="U551" s="156" t="n"/>
      <c r="V551" s="156" t="inlineStr">
        <is>
          <t>PZS</t>
        </is>
      </c>
      <c r="W551" s="51" t="inlineStr">
        <is>
          <t>53121601</t>
        </is>
      </c>
      <c r="X551" s="156" t="inlineStr">
        <is>
          <t>https://cdn.shopify.com/s/files/1/0005/9015/1741/files/Wrangler_CowPrint_Rope_Handle_Tote_Bag_Tan2.webp?v=1762486066</t>
        </is>
      </c>
      <c r="Y551" s="54" t="n">
        <v>483</v>
      </c>
      <c r="Z551" s="54" t="n">
        <v>799</v>
      </c>
      <c r="AA551" s="55">
        <f>IF(AND(A551="", B551="", E551=""), "", IF(AB551="", "Válido", IF((LEN(AB551)-LEN(SUBSTITUTE(AB551,"; ","")))/2+1&gt;(LEN(AB551)-LEN(SUBSTITUTE(AB551,"[Aviso]","")))/7, "Con Incidencias", "Válido")))</f>
        <v/>
      </c>
      <c r="AB551" s="56">
        <f>IF(AND(A551="", B551="", E551=""), "", TEXTJOIN("; ", TRUE, IF(OR(TRIM(A551&amp;"")="", ISNUMBER(SEARCH("FALTA", A551))), "UPC faltante/inválido", ""), IF(AND(A551&lt;&gt;"", IFERROR(_xlfn.XMATCH(A551,$A$2:$A$1063,0,1)&lt;&gt;_xlfn.XMATCH(A551,$A$2:$A$1063,0,-1),FALSE)), "Código de barras duplicado", ""), IF(AND(E551&lt;&gt;"", COUNTIF($E$2:$E$1063, E551)&gt;1), "SKU duplicado", ""), IF(OR(J551="", J551=""), "[Aviso] División no capturada ()", IF(ISNA(MATCH(J551, Criterios!$A$123:$A$126, 0)), "División no válida", "")), IF(OR(K551="", K551=""), "[Aviso] Categoría no capturada ()", IF(ISNA(MATCH(K551, Criterios!$A$81:$A$120, 0)), "Categoría no válida", IF(AND(J551&lt;&gt;"", J551&lt;&gt;"", J551&lt;&gt;VLOOKUP(K551, Criterios!$A$81:$B$120, 2, FALSE)), "División no coincide con Categoría", ""))), IF(OR(L551="", L551=""), "[Aviso] Género no capturado ()", IF(ISNA(MATCH(L551, Criterios!$B$123:$B$127, 0)), "Género no válido", "")), IF(OR(N551="", N551=""), "[Aviso] Temporada no capturada ()", IF(ISNA(MATCH(N551, Criterios!$C$123:$C$128, 0)), "Temporada no válida", "")), IF(OR(O551="", O551=""), "[Aviso] Ciclo de vida no capturado ()", IF(ISNA(MATCH(O551, Criterios!$D$123:$D$124, 0)), "Ciclo de vida no válido", ""))))</f>
        <v/>
      </c>
      <c r="AC551" s="56" t="n"/>
      <c r="AD551" s="51" t="n"/>
      <c r="AE551" s="156" t="n"/>
      <c r="AF551" s="51" t="n"/>
      <c r="AG551" s="156" t="inlineStr">
        <is>
          <t>Nuevo – Carga Hoja2 01/10/2026</t>
        </is>
      </c>
      <c r="AH551" s="156" t="inlineStr">
        <is>
          <t>Alta 01/10/2026 desde Hoja2 (fila 355) | 01/10/2026: complementado desde Odoo Universal Unique Brands (match por SKU): WB Talla, WB Talla de EE. UU., WB Género | Homologación G1522 06/10/2026: Enlace de imagen: «» → «https://cdn.shopify.com/s/files/1/0005/9015/1741/files/Wrangler_CowPrint_Rope_Handle_Tote_Bag_Tan2.webp?v=1762486066» (Completado por investigación en línea) · WB Color: «» → «Beige»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551" s="156" t="n"/>
      <c r="AJ551" s="156" t="n"/>
      <c r="AK551" s="155" t="inlineStr">
        <is>
          <t>Hoja2: fila 355 | Odoo: producto 27505 / plantilla 34205 | Investigación en línea 06/10/2026: https://montanawestworld.com/products/wrangler-cow-print-rope-handle-tote-bag</t>
        </is>
      </c>
      <c r="AL551" s="58" t="n"/>
      <c r="AM551" s="58" t="n"/>
      <c r="AN551" s="155" t="inlineStr">
        <is>
          <t>Odoo Universal Unique Brands</t>
        </is>
      </c>
      <c r="AO551" s="59" t="n"/>
      <c r="AP551" s="59" t="n"/>
      <c r="AQ551" s="59" t="n">
        <v>0</v>
      </c>
      <c r="AR551" s="155" t="n"/>
    </row>
    <row r="552">
      <c r="A552" s="50" t="inlineStr">
        <is>
          <t>717308772392</t>
        </is>
      </c>
      <c r="B552" s="51" t="inlineStr">
        <is>
          <t>27507</t>
        </is>
      </c>
      <c r="C552" s="156" t="inlineStr">
        <is>
          <t>Wrangler</t>
        </is>
      </c>
      <c r="D552" s="156" t="inlineStr">
        <is>
          <t>WG389-8119COW-CF</t>
        </is>
      </c>
      <c r="E552" s="156" t="inlineStr">
        <is>
          <t>WG389-8119COW-CF</t>
        </is>
      </c>
      <c r="F552" s="156" t="inlineStr">
        <is>
          <t>Talla única</t>
        </is>
      </c>
      <c r="G552" s="156" t="inlineStr">
        <is>
          <t>One Size</t>
        </is>
      </c>
      <c r="H552" s="156" t="inlineStr">
        <is>
          <t>Wrangler</t>
        </is>
      </c>
      <c r="I552" s="156" t="inlineStr">
        <is>
          <t>Bolsa Wrangler Vaca Café Oscuro</t>
        </is>
      </c>
      <c r="J552" s="156" t="inlineStr">
        <is>
          <t>Accesorios</t>
        </is>
      </c>
      <c r="K552" s="156" t="inlineStr">
        <is>
          <t>Bolsos</t>
        </is>
      </c>
      <c r="L552" s="156" t="inlineStr">
        <is>
          <t>Unisex</t>
        </is>
      </c>
      <c r="M552" s="156" t="inlineStr">
        <is>
          <t>Wrangler</t>
        </is>
      </c>
      <c r="N552" s="156" t="n"/>
      <c r="O552" s="156" t="inlineStr">
        <is>
          <t>Core</t>
        </is>
      </c>
      <c r="P552" s="156" t="inlineStr">
        <is>
          <t>Cafe</t>
        </is>
      </c>
      <c r="Q552" s="156" t="n"/>
      <c r="R552" s="156" t="n"/>
      <c r="S552" s="156" t="n"/>
      <c r="T552" s="156" t="inlineStr">
        <is>
          <t>Bolsa Wrangler. Color: Vaca Café Oscuro. Talla única. Unisex. Referencia: WG389-8119COW-CF.</t>
        </is>
      </c>
      <c r="U552" s="156" t="n"/>
      <c r="V552" s="156" t="inlineStr">
        <is>
          <t>PZS</t>
        </is>
      </c>
      <c r="W552" s="51" t="inlineStr">
        <is>
          <t>53121601</t>
        </is>
      </c>
      <c r="X552" s="156" t="n"/>
      <c r="Y552" s="54" t="n">
        <v>515.2</v>
      </c>
      <c r="Z552" s="54" t="n">
        <v>849</v>
      </c>
      <c r="AA552" s="55">
        <f>IF(AND(A552="", B552="", E552=""), "", IF(AB552="", "Válido", IF((LEN(AB552)-LEN(SUBSTITUTE(AB552,"; ","")))/2+1&gt;(LEN(AB552)-LEN(SUBSTITUTE(AB552,"[Aviso]","")))/7, "Con Incidencias", "Válido")))</f>
        <v/>
      </c>
      <c r="AB552" s="56">
        <f>IF(AND(A552="", B552="", E552=""), "", TEXTJOIN("; ", TRUE, IF(OR(TRIM(A552&amp;"")="", ISNUMBER(SEARCH("FALTA", A552))), "UPC faltante/inválido", ""), IF(AND(A552&lt;&gt;"", IFERROR(_xlfn.XMATCH(A552,$A$2:$A$1063,0,1)&lt;&gt;_xlfn.XMATCH(A552,$A$2:$A$1063,0,-1),FALSE)), "Código de barras duplicado", ""), IF(AND(E552&lt;&gt;"", COUNTIF($E$2:$E$1063, E552)&gt;1), "SKU duplicado", ""), IF(OR(J552="", J552=""), "[Aviso] División no capturada ()", IF(ISNA(MATCH(J552, Criterios!$A$123:$A$126, 0)), "División no válida", "")), IF(OR(K552="", K552=""), "[Aviso] Categoría no capturada ()", IF(ISNA(MATCH(K552, Criterios!$A$81:$A$120, 0)), "Categoría no válida", IF(AND(J552&lt;&gt;"", J552&lt;&gt;"", J552&lt;&gt;VLOOKUP(K552, Criterios!$A$81:$B$120, 2, FALSE)), "División no coincide con Categoría", ""))), IF(OR(L552="", L552=""), "[Aviso] Género no capturado ()", IF(ISNA(MATCH(L552, Criterios!$B$123:$B$127, 0)), "Género no válido", "")), IF(OR(N552="", N552=""), "[Aviso] Temporada no capturada ()", IF(ISNA(MATCH(N552, Criterios!$C$123:$C$128, 0)), "Temporada no válida", "")), IF(OR(O552="", O552=""), "[Aviso] Ciclo de vida no capturado ()", IF(ISNA(MATCH(O552, Criterios!$D$123:$D$124, 0)), "Ciclo de vida no válido", ""))))</f>
        <v/>
      </c>
      <c r="AC552" s="56" t="n"/>
      <c r="AD552" s="51" t="n"/>
      <c r="AE552" s="156" t="n"/>
      <c r="AF552" s="51" t="n"/>
      <c r="AG552" s="156" t="inlineStr">
        <is>
          <t>Nuevo – Carga Hoja2 01/10/2026</t>
        </is>
      </c>
      <c r="AH552" s="156" t="inlineStr">
        <is>
          <t>Alta 01/10/2026 desde Hoja2 (fila 357) | 01/10/2026: Odoo Universal Unique Brands trae Marca «Montana West» — se conservó el valor de Productos | Homologación G1522 06/10/2026: Validador Shopify: WB: precio con IVA no termina en 9</t>
        </is>
      </c>
      <c r="AI552" s="156" t="n"/>
      <c r="AJ552" s="156" t="n"/>
      <c r="AK552" s="155" t="inlineStr">
        <is>
          <t>Hoja2: fila 357 | Odoo: producto 27507 / plantilla 34207</t>
        </is>
      </c>
      <c r="AL552" s="58" t="n"/>
      <c r="AM552" s="58" t="n"/>
      <c r="AN552" s="155" t="inlineStr">
        <is>
          <t>Odoo Universal Unique Brands</t>
        </is>
      </c>
      <c r="AO552" s="59" t="n"/>
      <c r="AP552" s="59" t="n"/>
      <c r="AQ552" s="59" t="n">
        <v>-6</v>
      </c>
      <c r="AR552" s="155" t="n"/>
    </row>
    <row r="553">
      <c r="A553" s="50" t="inlineStr">
        <is>
          <t>717308772408</t>
        </is>
      </c>
      <c r="B553" s="51" t="inlineStr">
        <is>
          <t>27508</t>
        </is>
      </c>
      <c r="C553" s="156" t="inlineStr">
        <is>
          <t>Wrangler</t>
        </is>
      </c>
      <c r="D553" s="156" t="inlineStr">
        <is>
          <t>WG389-8119COW-RD</t>
        </is>
      </c>
      <c r="E553" s="156" t="inlineStr">
        <is>
          <t>WG389-8119COW-RD</t>
        </is>
      </c>
      <c r="F553" s="156" t="inlineStr">
        <is>
          <t>Talla única</t>
        </is>
      </c>
      <c r="G553" s="156" t="inlineStr">
        <is>
          <t>One Size</t>
        </is>
      </c>
      <c r="H553" s="156" t="inlineStr">
        <is>
          <t>Wrangler</t>
        </is>
      </c>
      <c r="I553" s="156" t="inlineStr">
        <is>
          <t>Bolsa Wrangler Vaca Rojo</t>
        </is>
      </c>
      <c r="J553" s="156" t="inlineStr">
        <is>
          <t>Accesorios</t>
        </is>
      </c>
      <c r="K553" s="156" t="inlineStr">
        <is>
          <t>Bolsos</t>
        </is>
      </c>
      <c r="L553" s="156" t="inlineStr">
        <is>
          <t>Unisex</t>
        </is>
      </c>
      <c r="M553" s="156" t="inlineStr">
        <is>
          <t>Wrangler</t>
        </is>
      </c>
      <c r="N553" s="156" t="n"/>
      <c r="O553" s="156" t="inlineStr">
        <is>
          <t>Core</t>
        </is>
      </c>
      <c r="P553" s="156" t="inlineStr">
        <is>
          <t>Rojo</t>
        </is>
      </c>
      <c r="Q553" s="156" t="n"/>
      <c r="R553" s="156" t="n"/>
      <c r="S553" s="156" t="n"/>
      <c r="T553" s="156" t="inlineStr">
        <is>
          <t>Bolsa Wrangler. Color: Vaca Rojo. Talla única. Unisex. Referencia: WG389-8119COW-RD.</t>
        </is>
      </c>
      <c r="U553" s="156" t="n"/>
      <c r="V553" s="156" t="inlineStr">
        <is>
          <t>PZS</t>
        </is>
      </c>
      <c r="W553" s="51" t="inlineStr">
        <is>
          <t>53121601</t>
        </is>
      </c>
      <c r="X553" s="156" t="n"/>
      <c r="Y553" s="54" t="n">
        <v>515.2</v>
      </c>
      <c r="Z553" s="54" t="n">
        <v>849</v>
      </c>
      <c r="AA553" s="55">
        <f>IF(AND(A553="", B553="", E553=""), "", IF(AB553="", "Válido", IF((LEN(AB553)-LEN(SUBSTITUTE(AB553,"; ","")))/2+1&gt;(LEN(AB553)-LEN(SUBSTITUTE(AB553,"[Aviso]","")))/7, "Con Incidencias", "Válido")))</f>
        <v/>
      </c>
      <c r="AB553" s="56">
        <f>IF(AND(A553="", B553="", E553=""), "", TEXTJOIN("; ", TRUE, IF(OR(TRIM(A553&amp;"")="", ISNUMBER(SEARCH("FALTA", A553))), "UPC faltante/inválido", ""), IF(AND(A553&lt;&gt;"", IFERROR(_xlfn.XMATCH(A553,$A$2:$A$1063,0,1)&lt;&gt;_xlfn.XMATCH(A553,$A$2:$A$1063,0,-1),FALSE)), "Código de barras duplicado", ""), IF(AND(E553&lt;&gt;"", COUNTIF($E$2:$E$1063, E553)&gt;1), "SKU duplicado", ""), IF(OR(J553="", J553=""), "[Aviso] División no capturada ()", IF(ISNA(MATCH(J553, Criterios!$A$123:$A$126, 0)), "División no válida", "")), IF(OR(K553="", K553=""), "[Aviso] Categoría no capturada ()", IF(ISNA(MATCH(K553, Criterios!$A$81:$A$120, 0)), "Categoría no válida", IF(AND(J553&lt;&gt;"", J553&lt;&gt;"", J553&lt;&gt;VLOOKUP(K553, Criterios!$A$81:$B$120, 2, FALSE)), "División no coincide con Categoría", ""))), IF(OR(L553="", L553=""), "[Aviso] Género no capturado ()", IF(ISNA(MATCH(L553, Criterios!$B$123:$B$127, 0)), "Género no válido", "")), IF(OR(N553="", N553=""), "[Aviso] Temporada no capturada ()", IF(ISNA(MATCH(N553, Criterios!$C$123:$C$128, 0)), "Temporada no válida", "")), IF(OR(O553="", O553=""), "[Aviso] Ciclo de vida no capturado ()", IF(ISNA(MATCH(O553, Criterios!$D$123:$D$124, 0)), "Ciclo de vida no válido", ""))))</f>
        <v/>
      </c>
      <c r="AC553" s="56" t="n"/>
      <c r="AD553" s="51" t="n"/>
      <c r="AE553" s="156" t="n"/>
      <c r="AF553" s="51" t="n"/>
      <c r="AG553" s="156" t="inlineStr">
        <is>
          <t>Nuevo – Carga Hoja2 01/10/2026</t>
        </is>
      </c>
      <c r="AH553" s="156" t="inlineStr">
        <is>
          <t>Alta 01/10/2026 desde Hoja2 (fila 358) | 01/10/2026: Odoo Universal Unique Brands trae Marca «Montana West» — se conservó el valor de Productos | Homologación G1522 06/10/2026: Validador Shopify: WB: precio con IVA no termina en 9</t>
        </is>
      </c>
      <c r="AI553" s="156" t="n"/>
      <c r="AJ553" s="156" t="n"/>
      <c r="AK553" s="155" t="inlineStr">
        <is>
          <t>Hoja2: fila 358 | Odoo: producto 27508 / plantilla 34208</t>
        </is>
      </c>
      <c r="AL553" s="58" t="n"/>
      <c r="AM553" s="58" t="n"/>
      <c r="AN553" s="155" t="inlineStr">
        <is>
          <t>Odoo Universal Unique Brands</t>
        </is>
      </c>
      <c r="AO553" s="59" t="n"/>
      <c r="AP553" s="59" t="n"/>
      <c r="AQ553" s="59" t="n">
        <v>-4</v>
      </c>
      <c r="AR553" s="155" t="n"/>
    </row>
    <row r="554">
      <c r="A554" s="50" t="n"/>
      <c r="B554" s="51" t="inlineStr">
        <is>
          <t>27510</t>
        </is>
      </c>
      <c r="C554" s="156" t="inlineStr">
        <is>
          <t>Montana West</t>
        </is>
      </c>
      <c r="D554" s="156" t="n"/>
      <c r="E554" s="156" t="inlineStr">
        <is>
          <t>WG399-5112BK-COW</t>
        </is>
      </c>
      <c r="F554" s="156" t="inlineStr">
        <is>
          <t>Talla única</t>
        </is>
      </c>
      <c r="G554" s="156" t="inlineStr">
        <is>
          <t>One Size</t>
        </is>
      </c>
      <c r="H554" s="156" t="inlineStr">
        <is>
          <t>Montana West</t>
        </is>
      </c>
      <c r="I554" s="156" t="inlineStr">
        <is>
          <t>WG BAG</t>
        </is>
      </c>
      <c r="J554" s="156" t="inlineStr">
        <is>
          <t>Accesorios</t>
        </is>
      </c>
      <c r="K554" s="156" t="inlineStr">
        <is>
          <t>Bolsos</t>
        </is>
      </c>
      <c r="L554" s="156" t="inlineStr">
        <is>
          <t>Unisex</t>
        </is>
      </c>
      <c r="M554" s="156" t="n"/>
      <c r="N554" s="156" t="n"/>
      <c r="O554" s="156" t="n"/>
      <c r="P554" s="156" t="n"/>
      <c r="Q554" s="156" t="n"/>
      <c r="R554" s="156" t="n"/>
      <c r="S554" s="156" t="n"/>
      <c r="T554" s="156" t="n"/>
      <c r="U554" s="156" t="n"/>
      <c r="V554" s="156" t="inlineStr">
        <is>
          <t>PZS</t>
        </is>
      </c>
      <c r="W554" s="51" t="inlineStr">
        <is>
          <t>53121601</t>
        </is>
      </c>
      <c r="X554" s="156" t="n"/>
      <c r="Y554" s="54" t="n">
        <v>310.5</v>
      </c>
      <c r="Z554" s="54" t="n">
        <v>499</v>
      </c>
      <c r="AA554" s="55">
        <f>IF(AND(A554="", B554="", E554=""), "", IF(AB554="", "Válido", IF((LEN(AB554)-LEN(SUBSTITUTE(AB554,"; ","")))/2+1&gt;(LEN(AB554)-LEN(SUBSTITUTE(AB554,"[Aviso]","")))/7, "Con Incidencias", "Válido")))</f>
        <v/>
      </c>
      <c r="AB554" s="56">
        <f>IF(AND(A554="", B554="", E554=""), "", TEXTJOIN("; ", TRUE, IF(OR(TRIM(A554&amp;"")="", ISNUMBER(SEARCH("FALTA", A554))), "UPC faltante/inválido", ""), IF(AND(A554&lt;&gt;"", IFERROR(_xlfn.XMATCH(A554,$A$2:$A$1063,0,1)&lt;&gt;_xlfn.XMATCH(A554,$A$2:$A$1063,0,-1),FALSE)), "Código de barras duplicado", ""), IF(AND(E554&lt;&gt;"", COUNTIF($E$2:$E$1063, E554)&gt;1), "SKU duplicado", ""), IF(OR(J554="", J554=""), "[Aviso] División no capturada ()", IF(ISNA(MATCH(J554, Criterios!$A$123:$A$126, 0)), "División no válida", "")), IF(OR(K554="", K554=""), "[Aviso] Categoría no capturada ()", IF(ISNA(MATCH(K554, Criterios!$A$81:$A$120, 0)), "Categoría no válida", IF(AND(J554&lt;&gt;"", J554&lt;&gt;"", J554&lt;&gt;VLOOKUP(K554, Criterios!$A$81:$B$120, 2, FALSE)), "División no coincide con Categoría", ""))), IF(OR(L554="", L554=""), "[Aviso] Género no capturado ()", IF(ISNA(MATCH(L554, Criterios!$B$123:$B$127, 0)), "Género no válido", "")), IF(OR(N554="", N554=""), "[Aviso] Temporada no capturada ()", IF(ISNA(MATCH(N554, Criterios!$C$123:$C$128, 0)), "Temporada no válida", "")), IF(OR(O554="", O554=""), "[Aviso] Ciclo de vida no capturado ()", IF(ISNA(MATCH(O554, Criterios!$D$123:$D$124, 0)), "Ciclo de vida no válido", ""))))</f>
        <v/>
      </c>
      <c r="AC554" s="56" t="n"/>
      <c r="AD554" s="51" t="n"/>
      <c r="AE554" s="156" t="n"/>
      <c r="AF554" s="51" t="n"/>
      <c r="AG554" s="156" t="inlineStr">
        <is>
          <t>Nuevo – Carga Hoja2 01/10/2026</t>
        </is>
      </c>
      <c r="AH554" s="156" t="inlineStr">
        <is>
          <t>Alta 01/10/2026 desde Hoja2 (fila 360)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barras; WB: precio con IVA no termina en 9</t>
        </is>
      </c>
      <c r="AI554" s="156" t="n"/>
      <c r="AJ554" s="156" t="n"/>
      <c r="AK554" s="155" t="inlineStr">
        <is>
          <t>Hoja2: fila 360 | Odoo: producto 27510 / plantilla 34210</t>
        </is>
      </c>
      <c r="AL554" s="58" t="n"/>
      <c r="AM554" s="58" t="n"/>
      <c r="AN554" s="155" t="inlineStr">
        <is>
          <t>Odoo Universal Unique Brands</t>
        </is>
      </c>
      <c r="AO554" s="59" t="n"/>
      <c r="AP554" s="59" t="n"/>
      <c r="AQ554" s="59" t="n">
        <v>5</v>
      </c>
      <c r="AR554" s="155" t="inlineStr">
        <is>
          <t>Odoo Universal Unique Brands › Bodega 25 › Bodega 25/General: 5</t>
        </is>
      </c>
    </row>
    <row r="555">
      <c r="A555" s="50" t="inlineStr">
        <is>
          <t>717690428600</t>
        </is>
      </c>
      <c r="B555" s="51" t="inlineStr">
        <is>
          <t>27513</t>
        </is>
      </c>
      <c r="C555" s="156" t="inlineStr">
        <is>
          <t>Wrangler</t>
        </is>
      </c>
      <c r="D555" s="156" t="inlineStr">
        <is>
          <t>WG60-1812DK-YL</t>
        </is>
      </c>
      <c r="E555" s="156" t="inlineStr">
        <is>
          <t>WG60-1812DK-YL</t>
        </is>
      </c>
      <c r="F555" s="156" t="inlineStr">
        <is>
          <t>Talla única</t>
        </is>
      </c>
      <c r="G555" s="156" t="inlineStr">
        <is>
          <t>One Size</t>
        </is>
      </c>
      <c r="H555" s="156" t="inlineStr">
        <is>
          <t>Wrangler</t>
        </is>
      </c>
      <c r="I555" s="156" t="inlineStr">
        <is>
          <t>Cartera Cruzada Wrangler Estampado Vaquero Retro Vintage Amarillo Oscuro</t>
        </is>
      </c>
      <c r="J555" s="156" t="inlineStr">
        <is>
          <t>Accesorios</t>
        </is>
      </c>
      <c r="K555" s="156" t="inlineStr">
        <is>
          <t>Carteras</t>
        </is>
      </c>
      <c r="L555" s="156" t="inlineStr">
        <is>
          <t>Unisex</t>
        </is>
      </c>
      <c r="M555" s="156" t="inlineStr">
        <is>
          <t>Wrangler</t>
        </is>
      </c>
      <c r="N555" s="156" t="n"/>
      <c r="O555" s="156" t="inlineStr">
        <is>
          <t>Core</t>
        </is>
      </c>
      <c r="P555" s="156" t="inlineStr">
        <is>
          <t>Amarillo</t>
        </is>
      </c>
      <c r="Q555" s="156" t="n"/>
      <c r="R555" s="156" t="n"/>
      <c r="S555" s="156" t="n"/>
      <c r="T555" s="156" t="inlineStr">
        <is>
          <t>Cartera Cruzada Wrangler. Modelo: Estampado Vaquero Retro Vintage. Color: Amarillo Oscuro. Talla única. Unisex. Referencia: WG60-1812DK-YL.</t>
        </is>
      </c>
      <c r="U555" s="156" t="n"/>
      <c r="V555" s="156" t="inlineStr">
        <is>
          <t>PZS</t>
        </is>
      </c>
      <c r="W555" s="51" t="inlineStr">
        <is>
          <t>53121700</t>
        </is>
      </c>
      <c r="X555" s="156" t="inlineStr">
        <is>
          <t>https://cdn.shopify.com/s/files/1/0005/9015/1741/files/WG60-1812DK-YL.webp?v=1756350132</t>
        </is>
      </c>
      <c r="Y555" s="54" t="n">
        <v>310.5</v>
      </c>
      <c r="Z555" s="54" t="n">
        <v>499</v>
      </c>
      <c r="AA555" s="55">
        <f>IF(AND(A555="", B555="", E555=""), "", IF(AB555="", "Válido", IF((LEN(AB555)-LEN(SUBSTITUTE(AB555,"; ","")))/2+1&gt;(LEN(AB555)-LEN(SUBSTITUTE(AB555,"[Aviso]","")))/7, "Con Incidencias", "Válido")))</f>
        <v/>
      </c>
      <c r="AB555" s="56">
        <f>IF(AND(A555="", B555="", E555=""), "", TEXTJOIN("; ", TRUE, IF(OR(TRIM(A555&amp;"")="", ISNUMBER(SEARCH("FALTA", A555))), "UPC faltante/inválido", ""), IF(AND(A555&lt;&gt;"", IFERROR(_xlfn.XMATCH(A555,$A$2:$A$1063,0,1)&lt;&gt;_xlfn.XMATCH(A555,$A$2:$A$1063,0,-1),FALSE)), "Código de barras duplicado", ""), IF(AND(E555&lt;&gt;"", COUNTIF($E$2:$E$1063, E555)&gt;1), "SKU duplicado", ""), IF(OR(J555="", J555=""), "[Aviso] División no capturada ()", IF(ISNA(MATCH(J555, Criterios!$A$123:$A$126, 0)), "División no válida", "")), IF(OR(K555="", K555=""), "[Aviso] Categoría no capturada ()", IF(ISNA(MATCH(K555, Criterios!$A$81:$A$120, 0)), "Categoría no válida", IF(AND(J555&lt;&gt;"", J555&lt;&gt;"", J555&lt;&gt;VLOOKUP(K555, Criterios!$A$81:$B$120, 2, FALSE)), "División no coincide con Categoría", ""))), IF(OR(L555="", L555=""), "[Aviso] Género no capturado ()", IF(ISNA(MATCH(L555, Criterios!$B$123:$B$127, 0)), "Género no válido", "")), IF(OR(N555="", N555=""), "[Aviso] Temporada no capturada ()", IF(ISNA(MATCH(N555, Criterios!$C$123:$C$128, 0)), "Temporada no válida", "")), IF(OR(O555="", O555=""), "[Aviso] Ciclo de vida no capturado ()", IF(ISNA(MATCH(O555, Criterios!$D$123:$D$124, 0)), "Ciclo de vida no válido", ""))))</f>
        <v/>
      </c>
      <c r="AC555" s="56" t="n"/>
      <c r="AD555" s="51" t="n"/>
      <c r="AE555" s="156" t="n"/>
      <c r="AF555" s="51" t="n"/>
      <c r="AG555" s="156" t="inlineStr">
        <is>
          <t>Nuevo – Carga Hoja2 01/10/2026</t>
        </is>
      </c>
      <c r="AH555" s="156" t="inlineStr">
        <is>
          <t>Alta 01/10/2026 desde Hoja2 (fila 361) | 01/10/2026: Odoo Universal Unique Brands trae Marca «Montana West» — se conservó el valor de Productos | Homologación G1522 06/10/2026: Enlace de imagen: «» → «https://cdn.shopify.com/s/files/1/0005/9015/1741/files/WG60-1812DK-YL.webp?v=1756350132» (Completado por investigación en línea) · Validador Shopify: WB: precio con IVA no termina en 9</t>
        </is>
      </c>
      <c r="AI555" s="156" t="n"/>
      <c r="AJ555" s="156" t="n"/>
      <c r="AK555" s="155" t="inlineStr">
        <is>
          <t>Hoja2: fila 361 | Odoo: producto 27513 / plantilla 34213 | Investigación en línea 06/10/2026: https://montanawestworld.com/products/wrangler-cowboy-print-mini-crossbody-bag</t>
        </is>
      </c>
      <c r="AL555" s="58" t="n"/>
      <c r="AM555" s="58" t="n"/>
      <c r="AN555" s="155" t="inlineStr">
        <is>
          <t>Odoo Universal Unique Brands</t>
        </is>
      </c>
      <c r="AO555" s="59" t="n"/>
      <c r="AP555" s="59" t="n"/>
      <c r="AQ555" s="59" t="n">
        <v>0</v>
      </c>
      <c r="AR555" s="155" t="n"/>
    </row>
    <row r="556">
      <c r="A556" s="50" t="inlineStr">
        <is>
          <t>717690428624</t>
        </is>
      </c>
      <c r="B556" s="51" t="inlineStr">
        <is>
          <t>27514</t>
        </is>
      </c>
      <c r="C556" s="156" t="inlineStr">
        <is>
          <t>Wrangler</t>
        </is>
      </c>
      <c r="D556" s="156" t="inlineStr">
        <is>
          <t>WG60-1812TN</t>
        </is>
      </c>
      <c r="E556" s="156" t="inlineStr">
        <is>
          <t>WG60-1812TN</t>
        </is>
      </c>
      <c r="F556" s="156" t="inlineStr">
        <is>
          <t>Talla única</t>
        </is>
      </c>
      <c r="G556" s="156" t="inlineStr">
        <is>
          <t>One Size</t>
        </is>
      </c>
      <c r="H556" s="156" t="inlineStr">
        <is>
          <t>Wrangler</t>
        </is>
      </c>
      <c r="I556" s="156" t="inlineStr">
        <is>
          <t>Cartera Cruzada Wrangler Estampado Vaquero Retro Vintage Camel</t>
        </is>
      </c>
      <c r="J556" s="156" t="inlineStr">
        <is>
          <t>Accesorios</t>
        </is>
      </c>
      <c r="K556" s="156" t="inlineStr">
        <is>
          <t>Carteras</t>
        </is>
      </c>
      <c r="L556" s="156" t="inlineStr">
        <is>
          <t>Unisex</t>
        </is>
      </c>
      <c r="M556" s="156" t="inlineStr">
        <is>
          <t>Wrangler</t>
        </is>
      </c>
      <c r="N556" s="156" t="n"/>
      <c r="O556" s="156" t="inlineStr">
        <is>
          <t>Core</t>
        </is>
      </c>
      <c r="P556" s="156" t="inlineStr">
        <is>
          <t>Beige</t>
        </is>
      </c>
      <c r="Q556" s="156" t="n"/>
      <c r="R556" s="156" t="n"/>
      <c r="S556" s="156" t="n"/>
      <c r="T556" s="156" t="inlineStr">
        <is>
          <t>Cartera Cruzada Wrangler. Modelo: Estampado Vaquero Retro Vintage. Color: Camel. Talla única. Unisex. Referencia: WG60-1812TN.</t>
        </is>
      </c>
      <c r="U556" s="156" t="n"/>
      <c r="V556" s="156" t="inlineStr">
        <is>
          <t>PZS</t>
        </is>
      </c>
      <c r="W556" s="51" t="inlineStr">
        <is>
          <t>53121700</t>
        </is>
      </c>
      <c r="X556" s="156" t="inlineStr">
        <is>
          <t>https://cdn.shopify.com/s/files/1/0005/9015/1741/files/WG60-1812TN.webp?v=1747221519</t>
        </is>
      </c>
      <c r="Y556" s="54" t="n">
        <v>310.5</v>
      </c>
      <c r="Z556" s="54" t="n">
        <v>499</v>
      </c>
      <c r="AA556" s="55">
        <f>IF(AND(A556="", B556="", E556=""), "", IF(AB556="", "Válido", IF((LEN(AB556)-LEN(SUBSTITUTE(AB556,"; ","")))/2+1&gt;(LEN(AB556)-LEN(SUBSTITUTE(AB556,"[Aviso]","")))/7, "Con Incidencias", "Válido")))</f>
        <v/>
      </c>
      <c r="AB556" s="56">
        <f>IF(AND(A556="", B556="", E556=""), "", TEXTJOIN("; ", TRUE, IF(OR(TRIM(A556&amp;"")="", ISNUMBER(SEARCH("FALTA", A556))), "UPC faltante/inválido", ""), IF(AND(A556&lt;&gt;"", IFERROR(_xlfn.XMATCH(A556,$A$2:$A$1063,0,1)&lt;&gt;_xlfn.XMATCH(A556,$A$2:$A$1063,0,-1),FALSE)), "Código de barras duplicado", ""), IF(AND(E556&lt;&gt;"", COUNTIF($E$2:$E$1063, E556)&gt;1), "SKU duplicado", ""), IF(OR(J556="", J556=""), "[Aviso] División no capturada ()", IF(ISNA(MATCH(J556, Criterios!$A$123:$A$126, 0)), "División no válida", "")), IF(OR(K556="", K556=""), "[Aviso] Categoría no capturada ()", IF(ISNA(MATCH(K556, Criterios!$A$81:$A$120, 0)), "Categoría no válida", IF(AND(J556&lt;&gt;"", J556&lt;&gt;"", J556&lt;&gt;VLOOKUP(K556, Criterios!$A$81:$B$120, 2, FALSE)), "División no coincide con Categoría", ""))), IF(OR(L556="", L556=""), "[Aviso] Género no capturado ()", IF(ISNA(MATCH(L556, Criterios!$B$123:$B$127, 0)), "Género no válido", "")), IF(OR(N556="", N556=""), "[Aviso] Temporada no capturada ()", IF(ISNA(MATCH(N556, Criterios!$C$123:$C$128, 0)), "Temporada no válida", "")), IF(OR(O556="", O556=""), "[Aviso] Ciclo de vida no capturado ()", IF(ISNA(MATCH(O556, Criterios!$D$123:$D$124, 0)), "Ciclo de vida no válido", ""))))</f>
        <v/>
      </c>
      <c r="AC556" s="56" t="n"/>
      <c r="AD556" s="51" t="n"/>
      <c r="AE556" s="156" t="n"/>
      <c r="AF556" s="51" t="n"/>
      <c r="AG556" s="156" t="inlineStr">
        <is>
          <t>Nuevo – Carga Hoja2 01/10/2026</t>
        </is>
      </c>
      <c r="AH556" s="156" t="inlineStr">
        <is>
          <t>Alta 01/10/2026 desde Hoja2 (fila 362) | 01/10/2026: Odoo Universal Unique Brands trae Marca «Montana West» — se conservó el valor de Productos | Homologación G1522 06/10/2026: Enlace de imagen: «» → «https://cdn.shopify.com/s/files/1/0005/9015/1741/files/WG60-1812TN.webp?v=1747221519» (Completado por investigación en línea) · Validador Shopify: WB: precio con IVA no termina en 9</t>
        </is>
      </c>
      <c r="AI556" s="156" t="n"/>
      <c r="AJ556" s="156" t="n"/>
      <c r="AK556" s="155" t="inlineStr">
        <is>
          <t>Hoja2: fila 362 | Odoo: producto 27514 / plantilla 34214 | Investigación en línea 06/10/2026: https://montanawestworld.com/products/wrangler-cowboy-print-mini-crossbody-bag</t>
        </is>
      </c>
      <c r="AL556" s="58" t="n"/>
      <c r="AM556" s="58" t="n"/>
      <c r="AN556" s="155" t="inlineStr">
        <is>
          <t>Odoo Universal Unique Brands</t>
        </is>
      </c>
      <c r="AO556" s="59" t="n"/>
      <c r="AP556" s="59" t="n"/>
      <c r="AQ556" s="59" t="n">
        <v>-9</v>
      </c>
      <c r="AR556" s="155" t="n"/>
    </row>
    <row r="557">
      <c r="A557" s="50" t="n"/>
      <c r="B557" s="51" t="inlineStr">
        <is>
          <t>27516</t>
        </is>
      </c>
      <c r="C557" s="156" t="inlineStr">
        <is>
          <t>Montana West</t>
        </is>
      </c>
      <c r="D557" s="156" t="n"/>
      <c r="E557" s="156" t="inlineStr">
        <is>
          <t>WG67-9182BR</t>
        </is>
      </c>
      <c r="F557" s="156" t="inlineStr">
        <is>
          <t>Talla única</t>
        </is>
      </c>
      <c r="G557" s="156" t="inlineStr">
        <is>
          <t>One Size</t>
        </is>
      </c>
      <c r="H557" s="156" t="inlineStr">
        <is>
          <t>Montana West</t>
        </is>
      </c>
      <c r="I557" s="156" t="inlineStr">
        <is>
          <t>WG BAG</t>
        </is>
      </c>
      <c r="J557" s="156" t="inlineStr">
        <is>
          <t>Accesorios</t>
        </is>
      </c>
      <c r="K557" s="156" t="inlineStr">
        <is>
          <t>Bolsos</t>
        </is>
      </c>
      <c r="L557" s="156" t="inlineStr">
        <is>
          <t>Unisex</t>
        </is>
      </c>
      <c r="M557" s="156" t="n"/>
      <c r="N557" s="156" t="n"/>
      <c r="O557" s="156" t="n"/>
      <c r="P557" s="156" t="inlineStr">
        <is>
          <t>Cafe</t>
        </is>
      </c>
      <c r="Q557" s="156" t="n"/>
      <c r="R557" s="156" t="n"/>
      <c r="S557" s="156" t="n"/>
      <c r="T557" s="156" t="n"/>
      <c r="U557" s="156" t="n"/>
      <c r="V557" s="156" t="inlineStr">
        <is>
          <t>PZS</t>
        </is>
      </c>
      <c r="W557" s="51" t="inlineStr">
        <is>
          <t>53121601</t>
        </is>
      </c>
      <c r="X557" s="156" t="inlineStr">
        <is>
          <t>https://cdn.shopify.com/s/files/1/0005/9015/1741/files/WG67-9182BR4.webp?v=1744713251</t>
        </is>
      </c>
      <c r="Y557" s="54" t="n">
        <v>258.75</v>
      </c>
      <c r="Z557" s="54" t="n">
        <v>449</v>
      </c>
      <c r="AA557" s="55">
        <f>IF(AND(A557="", B557="", E557=""), "", IF(AB557="", "Válido", IF((LEN(AB557)-LEN(SUBSTITUTE(AB557,"; ","")))/2+1&gt;(LEN(AB557)-LEN(SUBSTITUTE(AB557,"[Aviso]","")))/7, "Con Incidencias", "Válido")))</f>
        <v/>
      </c>
      <c r="AB557" s="56">
        <f>IF(AND(A557="", B557="", E557=""), "", TEXTJOIN("; ", TRUE, IF(OR(TRIM(A557&amp;"")="", ISNUMBER(SEARCH("FALTA", A557))), "UPC faltante/inválido", ""), IF(AND(A557&lt;&gt;"", IFERROR(_xlfn.XMATCH(A557,$A$2:$A$1063,0,1)&lt;&gt;_xlfn.XMATCH(A557,$A$2:$A$1063,0,-1),FALSE)), "Código de barras duplicado", ""), IF(AND(E557&lt;&gt;"", COUNTIF($E$2:$E$1063, E557)&gt;1), "SKU duplicado", ""), IF(OR(J557="", J557=""), "[Aviso] División no capturada ()", IF(ISNA(MATCH(J557, Criterios!$A$123:$A$126, 0)), "División no válida", "")), IF(OR(K557="", K557=""), "[Aviso] Categoría no capturada ()", IF(ISNA(MATCH(K557, Criterios!$A$81:$A$120, 0)), "Categoría no válida", IF(AND(J557&lt;&gt;"", J557&lt;&gt;"", J557&lt;&gt;VLOOKUP(K557, Criterios!$A$81:$B$120, 2, FALSE)), "División no coincide con Categoría", ""))), IF(OR(L557="", L557=""), "[Aviso] Género no capturado ()", IF(ISNA(MATCH(L557, Criterios!$B$123:$B$127, 0)), "Género no válido", "")), IF(OR(N557="", N557=""), "[Aviso] Temporada no capturada ()", IF(ISNA(MATCH(N557, Criterios!$C$123:$C$128, 0)), "Temporada no válida", "")), IF(OR(O557="", O557=""), "[Aviso] Ciclo de vida no capturado ()", IF(ISNA(MATCH(O557, Criterios!$D$123:$D$124, 0)), "Ciclo de vida no válido", ""))))</f>
        <v/>
      </c>
      <c r="AC557" s="56" t="n"/>
      <c r="AD557" s="51" t="n"/>
      <c r="AE557" s="156" t="n"/>
      <c r="AF557" s="51" t="n"/>
      <c r="AG557" s="156" t="inlineStr">
        <is>
          <t>Nuevo – Carga Hoja2 01/10/2026</t>
        </is>
      </c>
      <c r="AH557" s="156" t="inlineStr">
        <is>
          <t>Alta 01/10/2026 desde Hoja2 (fila 363) | 01/10/2026: complementado desde Odoo Universal Unique Brands (match por SKU): WB Talla, WB Talla de EE. UU., WB Género | Homologación G1522 06/10/2026: Enlace de imagen: «» → «https://cdn.shopify.com/s/files/1/0005/9015/1741/files/WG67-9182BR4.webp?v=1744713251» (Completado por investigación en línea) · WB Color: «» → «Cafe»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557" s="156" t="n"/>
      <c r="AJ557" s="156" t="n"/>
      <c r="AK557" s="155" t="inlineStr">
        <is>
          <t>Hoja2: fila 363 | Odoo: producto 27516 / plantilla 34216 | Investigación en línea 06/10/2026: https://montanawestworld.com/products/wrangler-cow-print-crossbody-bucket-bag</t>
        </is>
      </c>
      <c r="AL557" s="58" t="n"/>
      <c r="AM557" s="58" t="n"/>
      <c r="AN557" s="155" t="inlineStr">
        <is>
          <t>Odoo Universal Unique Brands</t>
        </is>
      </c>
      <c r="AO557" s="59" t="n"/>
      <c r="AP557" s="59" t="n"/>
      <c r="AQ557" s="59" t="n">
        <v>0</v>
      </c>
      <c r="AR557" s="155" t="n"/>
    </row>
    <row r="558">
      <c r="A558" s="50" t="inlineStr">
        <is>
          <t>717019688661</t>
        </is>
      </c>
      <c r="B558" s="51" t="inlineStr">
        <is>
          <t>27517</t>
        </is>
      </c>
      <c r="C558" s="156" t="inlineStr">
        <is>
          <t>Wrangler</t>
        </is>
      </c>
      <c r="D558" s="156" t="inlineStr">
        <is>
          <t>WG75-014BK</t>
        </is>
      </c>
      <c r="E558" s="156" t="inlineStr">
        <is>
          <t>WG75-014BK</t>
        </is>
      </c>
      <c r="F558" s="156" t="inlineStr">
        <is>
          <t>Talla única</t>
        </is>
      </c>
      <c r="G558" s="156" t="inlineStr">
        <is>
          <t>One Size</t>
        </is>
      </c>
      <c r="H558" s="156" t="inlineStr">
        <is>
          <t>Wrangler</t>
        </is>
      </c>
      <c r="I558" s="156" t="inlineStr">
        <is>
          <t>Bolsa Wrangler Negro</t>
        </is>
      </c>
      <c r="J558" s="156" t="inlineStr">
        <is>
          <t>Accesorios</t>
        </is>
      </c>
      <c r="K558" s="156" t="inlineStr">
        <is>
          <t>Bolsos</t>
        </is>
      </c>
      <c r="L558" s="156" t="inlineStr">
        <is>
          <t>Unisex</t>
        </is>
      </c>
      <c r="M558" s="156" t="inlineStr">
        <is>
          <t>Wrangler</t>
        </is>
      </c>
      <c r="N558" s="156" t="n"/>
      <c r="O558" s="156" t="inlineStr">
        <is>
          <t>Core</t>
        </is>
      </c>
      <c r="P558" s="156" t="inlineStr">
        <is>
          <t>Negro</t>
        </is>
      </c>
      <c r="Q558" s="156" t="n"/>
      <c r="R558" s="156" t="n"/>
      <c r="S558" s="156" t="n"/>
      <c r="T558" s="156" t="inlineStr">
        <is>
          <t>Bolsa Wrangler. Color: Negro. Talla única. Unisex. Referencia: WG75-014BK.</t>
        </is>
      </c>
      <c r="U558" s="156" t="n"/>
      <c r="V558" s="156" t="inlineStr">
        <is>
          <t>PZS</t>
        </is>
      </c>
      <c r="W558" s="51" t="inlineStr">
        <is>
          <t>53121601</t>
        </is>
      </c>
      <c r="X558" s="156" t="n"/>
      <c r="Y558" s="54" t="n">
        <v>2070</v>
      </c>
      <c r="Z558" s="54" t="n">
        <v>3349</v>
      </c>
      <c r="AA558" s="55">
        <f>IF(AND(A558="", B558="", E558=""), "", IF(AB558="", "Válido", IF((LEN(AB558)-LEN(SUBSTITUTE(AB558,"; ","")))/2+1&gt;(LEN(AB558)-LEN(SUBSTITUTE(AB558,"[Aviso]","")))/7, "Con Incidencias", "Válido")))</f>
        <v/>
      </c>
      <c r="AB558" s="56">
        <f>IF(AND(A558="", B558="", E558=""), "", TEXTJOIN("; ", TRUE, IF(OR(TRIM(A558&amp;"")="", ISNUMBER(SEARCH("FALTA", A558))), "UPC faltante/inválido", ""), IF(AND(A558&lt;&gt;"", IFERROR(_xlfn.XMATCH(A558,$A$2:$A$1063,0,1)&lt;&gt;_xlfn.XMATCH(A558,$A$2:$A$1063,0,-1),FALSE)), "Código de barras duplicado", ""), IF(AND(E558&lt;&gt;"", COUNTIF($E$2:$E$1063, E558)&gt;1), "SKU duplicado", ""), IF(OR(J558="", J558=""), "[Aviso] División no capturada ()", IF(ISNA(MATCH(J558, Criterios!$A$123:$A$126, 0)), "División no válida", "")), IF(OR(K558="", K558=""), "[Aviso] Categoría no capturada ()", IF(ISNA(MATCH(K558, Criterios!$A$81:$A$120, 0)), "Categoría no válida", IF(AND(J558&lt;&gt;"", J558&lt;&gt;"", J558&lt;&gt;VLOOKUP(K558, Criterios!$A$81:$B$120, 2, FALSE)), "División no coincide con Categoría", ""))), IF(OR(L558="", L558=""), "[Aviso] Género no capturado ()", IF(ISNA(MATCH(L558, Criterios!$B$123:$B$127, 0)), "Género no válido", "")), IF(OR(N558="", N558=""), "[Aviso] Temporada no capturada ()", IF(ISNA(MATCH(N558, Criterios!$C$123:$C$128, 0)), "Temporada no válida", "")), IF(OR(O558="", O558=""), "[Aviso] Ciclo de vida no capturado ()", IF(ISNA(MATCH(O558, Criterios!$D$123:$D$124, 0)), "Ciclo de vida no válido", ""))))</f>
        <v/>
      </c>
      <c r="AC558" s="56" t="n"/>
      <c r="AD558" s="51" t="n"/>
      <c r="AE558" s="156" t="n"/>
      <c r="AF558" s="51" t="n"/>
      <c r="AG558" s="156" t="inlineStr">
        <is>
          <t>Nuevo – Carga Hoja2 01/10/2026</t>
        </is>
      </c>
      <c r="AH558" s="156" t="inlineStr">
        <is>
          <t>Alta 01/10/2026 desde Hoja2 (fila 364) | 01/10/2026: Odoo Universal Unique Brands trae Marca «Montana West» — se conservó el valor de Productos | Homologación G1522 06/10/2026: Validador Shopify: WB: precio con IVA no termina en 9</t>
        </is>
      </c>
      <c r="AI558" s="156" t="n"/>
      <c r="AJ558" s="156" t="n"/>
      <c r="AK558" s="155" t="inlineStr">
        <is>
          <t>Hoja2: fila 364 | Odoo: producto 27517 / plantilla 34217</t>
        </is>
      </c>
      <c r="AL558" s="58" t="n"/>
      <c r="AM558" s="58" t="n"/>
      <c r="AN558" s="155" t="inlineStr">
        <is>
          <t>Odoo Universal Unique Brands</t>
        </is>
      </c>
      <c r="AO558" s="59" t="n"/>
      <c r="AP558" s="59" t="n"/>
      <c r="AQ558" s="59" t="n">
        <v>1</v>
      </c>
      <c r="AR558" s="155" t="inlineStr">
        <is>
          <t>Odoo Universal Unique Brands › Bodega 25 › Bodega 25/General: 1</t>
        </is>
      </c>
    </row>
    <row r="559">
      <c r="A559" s="50" t="inlineStr">
        <is>
          <t>717019688722</t>
        </is>
      </c>
      <c r="B559" s="51" t="inlineStr">
        <is>
          <t>27518</t>
        </is>
      </c>
      <c r="C559" s="156" t="inlineStr">
        <is>
          <t>Wrangler</t>
        </is>
      </c>
      <c r="D559" s="156" t="inlineStr">
        <is>
          <t>WG75-014CF</t>
        </is>
      </c>
      <c r="E559" s="156" t="inlineStr">
        <is>
          <t>WG75-014CF</t>
        </is>
      </c>
      <c r="F559" s="156" t="inlineStr">
        <is>
          <t>Talla única</t>
        </is>
      </c>
      <c r="G559" s="156" t="inlineStr">
        <is>
          <t>One Size</t>
        </is>
      </c>
      <c r="H559" s="156" t="inlineStr">
        <is>
          <t>Wrangler</t>
        </is>
      </c>
      <c r="I559" s="156" t="inlineStr">
        <is>
          <t>Bolsa Wrangler Café Oscuro</t>
        </is>
      </c>
      <c r="J559" s="156" t="inlineStr">
        <is>
          <t>Accesorios</t>
        </is>
      </c>
      <c r="K559" s="156" t="inlineStr">
        <is>
          <t>Bolsos</t>
        </is>
      </c>
      <c r="L559" s="156" t="inlineStr">
        <is>
          <t>Unisex</t>
        </is>
      </c>
      <c r="M559" s="156" t="inlineStr">
        <is>
          <t>Wrangler</t>
        </is>
      </c>
      <c r="N559" s="156" t="n"/>
      <c r="O559" s="156" t="inlineStr">
        <is>
          <t>Core</t>
        </is>
      </c>
      <c r="P559" s="156" t="inlineStr">
        <is>
          <t>Cafe</t>
        </is>
      </c>
      <c r="Q559" s="156" t="n"/>
      <c r="R559" s="156" t="n"/>
      <c r="S559" s="156" t="n"/>
      <c r="T559" s="156" t="inlineStr">
        <is>
          <t>Bolsa Wrangler. Color: Café Oscuro. Talla única. Unisex. Referencia: WG75-014CF.</t>
        </is>
      </c>
      <c r="U559" s="156" t="n"/>
      <c r="V559" s="156" t="inlineStr">
        <is>
          <t>PZS</t>
        </is>
      </c>
      <c r="W559" s="51" t="inlineStr">
        <is>
          <t>53121601</t>
        </is>
      </c>
      <c r="X559" s="156" t="n"/>
      <c r="Y559" s="54" t="n">
        <v>2070</v>
      </c>
      <c r="Z559" s="54" t="n">
        <v>3349</v>
      </c>
      <c r="AA559" s="55">
        <f>IF(AND(A559="", B559="", E559=""), "", IF(AB559="", "Válido", IF((LEN(AB559)-LEN(SUBSTITUTE(AB559,"; ","")))/2+1&gt;(LEN(AB559)-LEN(SUBSTITUTE(AB559,"[Aviso]","")))/7, "Con Incidencias", "Válido")))</f>
        <v/>
      </c>
      <c r="AB559" s="56">
        <f>IF(AND(A559="", B559="", E559=""), "", TEXTJOIN("; ", TRUE, IF(OR(TRIM(A559&amp;"")="", ISNUMBER(SEARCH("FALTA", A559))), "UPC faltante/inválido", ""), IF(AND(A559&lt;&gt;"", IFERROR(_xlfn.XMATCH(A559,$A$2:$A$1063,0,1)&lt;&gt;_xlfn.XMATCH(A559,$A$2:$A$1063,0,-1),FALSE)), "Código de barras duplicado", ""), IF(AND(E559&lt;&gt;"", COUNTIF($E$2:$E$1063, E559)&gt;1), "SKU duplicado", ""), IF(OR(J559="", J559=""), "[Aviso] División no capturada ()", IF(ISNA(MATCH(J559, Criterios!$A$123:$A$126, 0)), "División no válida", "")), IF(OR(K559="", K559=""), "[Aviso] Categoría no capturada ()", IF(ISNA(MATCH(K559, Criterios!$A$81:$A$120, 0)), "Categoría no válida", IF(AND(J559&lt;&gt;"", J559&lt;&gt;"", J559&lt;&gt;VLOOKUP(K559, Criterios!$A$81:$B$120, 2, FALSE)), "División no coincide con Categoría", ""))), IF(OR(L559="", L559=""), "[Aviso] Género no capturado ()", IF(ISNA(MATCH(L559, Criterios!$B$123:$B$127, 0)), "Género no válido", "")), IF(OR(N559="", N559=""), "[Aviso] Temporada no capturada ()", IF(ISNA(MATCH(N559, Criterios!$C$123:$C$128, 0)), "Temporada no válida", "")), IF(OR(O559="", O559=""), "[Aviso] Ciclo de vida no capturado ()", IF(ISNA(MATCH(O559, Criterios!$D$123:$D$124, 0)), "Ciclo de vida no válido", ""))))</f>
        <v/>
      </c>
      <c r="AC559" s="56" t="n"/>
      <c r="AD559" s="51" t="n"/>
      <c r="AE559" s="156" t="n"/>
      <c r="AF559" s="51" t="n"/>
      <c r="AG559" s="156" t="inlineStr">
        <is>
          <t>Nuevo – Carga Hoja2 01/10/2026</t>
        </is>
      </c>
      <c r="AH559" s="156" t="inlineStr">
        <is>
          <t>Alta 01/10/2026 desde Hoja2 (fila 365) | 01/10/2026: Odoo Universal Unique Brands trae Marca «Montana West» — se conservó el valor de Productos | Homologación G1522 06/10/2026: Validador Shopify: WB: precio con IVA no termina en 9</t>
        </is>
      </c>
      <c r="AI559" s="156" t="n"/>
      <c r="AJ559" s="156" t="n"/>
      <c r="AK559" s="155" t="inlineStr">
        <is>
          <t>Hoja2: fila 365 | Odoo: producto 27518 / plantilla 34218</t>
        </is>
      </c>
      <c r="AL559" s="58" t="n"/>
      <c r="AM559" s="58" t="n"/>
      <c r="AN559" s="155" t="inlineStr">
        <is>
          <t>Odoo Universal Unique Brands</t>
        </is>
      </c>
      <c r="AO559" s="59" t="n"/>
      <c r="AP559" s="59" t="n"/>
      <c r="AQ559" s="59" t="n">
        <v>5</v>
      </c>
      <c r="AR559" s="155" t="inlineStr">
        <is>
          <t>Odoo Universal Unique Brands › Bodega 25 › Bodega 25/General: 5</t>
        </is>
      </c>
    </row>
    <row r="560">
      <c r="A560" s="50" t="inlineStr">
        <is>
          <t>717012194909</t>
        </is>
      </c>
      <c r="B560" s="51" t="inlineStr">
        <is>
          <t>27519</t>
        </is>
      </c>
      <c r="C560" s="156" t="inlineStr">
        <is>
          <t>Wrangler</t>
        </is>
      </c>
      <c r="D560" s="156" t="inlineStr">
        <is>
          <t>WG87-227CF</t>
        </is>
      </c>
      <c r="E560" s="156" t="inlineStr">
        <is>
          <t>WG87-227CF</t>
        </is>
      </c>
      <c r="F560" s="156" t="inlineStr">
        <is>
          <t>Talla única</t>
        </is>
      </c>
      <c r="G560" s="156" t="inlineStr">
        <is>
          <t>One Size</t>
        </is>
      </c>
      <c r="H560" s="156" t="inlineStr">
        <is>
          <t>Wrangler</t>
        </is>
      </c>
      <c r="I560" s="156" t="inlineStr">
        <is>
          <t>Bolsa Wrangler Café Oscuro</t>
        </is>
      </c>
      <c r="J560" s="156" t="inlineStr">
        <is>
          <t>Accesorios</t>
        </is>
      </c>
      <c r="K560" s="156" t="inlineStr">
        <is>
          <t>Bolsos</t>
        </is>
      </c>
      <c r="L560" s="156" t="inlineStr">
        <is>
          <t>Unisex</t>
        </is>
      </c>
      <c r="M560" s="156" t="inlineStr">
        <is>
          <t>Wrangler</t>
        </is>
      </c>
      <c r="N560" s="156" t="n"/>
      <c r="O560" s="156" t="inlineStr">
        <is>
          <t>Core</t>
        </is>
      </c>
      <c r="P560" s="156" t="inlineStr">
        <is>
          <t>Cafe</t>
        </is>
      </c>
      <c r="Q560" s="156" t="n"/>
      <c r="R560" s="156" t="n"/>
      <c r="S560" s="156" t="n"/>
      <c r="T560" s="156" t="inlineStr">
        <is>
          <t>Bolsa Wrangler. Color: Café Oscuro. Talla única. Unisex. Referencia: WG87-227CF.</t>
        </is>
      </c>
      <c r="U560" s="156" t="n"/>
      <c r="V560" s="156" t="inlineStr">
        <is>
          <t>PZS</t>
        </is>
      </c>
      <c r="W560" s="51" t="inlineStr">
        <is>
          <t>53121601</t>
        </is>
      </c>
      <c r="X560" s="156" t="n"/>
      <c r="Y560" s="54" t="n">
        <v>258.75</v>
      </c>
      <c r="Z560" s="54" t="n">
        <v>449</v>
      </c>
      <c r="AA560" s="55">
        <f>IF(AND(A560="", B560="", E560=""), "", IF(AB560="", "Válido", IF((LEN(AB560)-LEN(SUBSTITUTE(AB560,"; ","")))/2+1&gt;(LEN(AB560)-LEN(SUBSTITUTE(AB560,"[Aviso]","")))/7, "Con Incidencias", "Válido")))</f>
        <v/>
      </c>
      <c r="AB560" s="56">
        <f>IF(AND(A560="", B560="", E560=""), "", TEXTJOIN("; ", TRUE, IF(OR(TRIM(A560&amp;"")="", ISNUMBER(SEARCH("FALTA", A560))), "UPC faltante/inválido", ""), IF(AND(A560&lt;&gt;"", IFERROR(_xlfn.XMATCH(A560,$A$2:$A$1063,0,1)&lt;&gt;_xlfn.XMATCH(A560,$A$2:$A$1063,0,-1),FALSE)), "Código de barras duplicado", ""), IF(AND(E560&lt;&gt;"", COUNTIF($E$2:$E$1063, E560)&gt;1), "SKU duplicado", ""), IF(OR(J560="", J560=""), "[Aviso] División no capturada ()", IF(ISNA(MATCH(J560, Criterios!$A$123:$A$126, 0)), "División no válida", "")), IF(OR(K560="", K560=""), "[Aviso] Categoría no capturada ()", IF(ISNA(MATCH(K560, Criterios!$A$81:$A$120, 0)), "Categoría no válida", IF(AND(J560&lt;&gt;"", J560&lt;&gt;"", J560&lt;&gt;VLOOKUP(K560, Criterios!$A$81:$B$120, 2, FALSE)), "División no coincide con Categoría", ""))), IF(OR(L560="", L560=""), "[Aviso] Género no capturado ()", IF(ISNA(MATCH(L560, Criterios!$B$123:$B$127, 0)), "Género no válido", "")), IF(OR(N560="", N560=""), "[Aviso] Temporada no capturada ()", IF(ISNA(MATCH(N560, Criterios!$C$123:$C$128, 0)), "Temporada no válida", "")), IF(OR(O560="", O560=""), "[Aviso] Ciclo de vida no capturado ()", IF(ISNA(MATCH(O560, Criterios!$D$123:$D$124, 0)), "Ciclo de vida no válido", ""))))</f>
        <v/>
      </c>
      <c r="AC560" s="56" t="n"/>
      <c r="AD560" s="51" t="n"/>
      <c r="AE560" s="156" t="n"/>
      <c r="AF560" s="51" t="n"/>
      <c r="AG560" s="156" t="inlineStr">
        <is>
          <t>Nuevo – Carga Hoja2 01/10/2026</t>
        </is>
      </c>
      <c r="AH560" s="156" t="inlineStr">
        <is>
          <t>Alta 01/10/2026 desde Hoja2 (fila 366) | 01/10/2026: Odoo Universal Unique Brands trae Marca «Montana West» — se conservó el valor de Productos | Homologación G1522 06/10/2026: Validador Shopify: WB: precio con IVA no termina en 9</t>
        </is>
      </c>
      <c r="AI560" s="156" t="n"/>
      <c r="AJ560" s="156" t="n"/>
      <c r="AK560" s="155" t="inlineStr">
        <is>
          <t>Hoja2: fila 366 | Odoo: producto 27519 / plantilla 34219</t>
        </is>
      </c>
      <c r="AL560" s="58" t="n"/>
      <c r="AM560" s="58" t="n"/>
      <c r="AN560" s="155" t="inlineStr">
        <is>
          <t>Odoo Universal Unique Brands</t>
        </is>
      </c>
      <c r="AO560" s="59" t="n"/>
      <c r="AP560" s="59" t="n"/>
      <c r="AQ560" s="59" t="n">
        <v>0</v>
      </c>
      <c r="AR560" s="155" t="n"/>
    </row>
    <row r="561">
      <c r="A561" s="50" t="inlineStr">
        <is>
          <t>712288118581</t>
        </is>
      </c>
      <c r="B561" s="51" t="inlineStr">
        <is>
          <t>27520</t>
        </is>
      </c>
      <c r="C561" s="156" t="inlineStr">
        <is>
          <t>Wrangler</t>
        </is>
      </c>
      <c r="D561" s="156" t="inlineStr">
        <is>
          <t>WG87-227LGY</t>
        </is>
      </c>
      <c r="E561" s="156" t="inlineStr">
        <is>
          <t>WG87-227LGY</t>
        </is>
      </c>
      <c r="F561" s="156" t="inlineStr">
        <is>
          <t>Talla única</t>
        </is>
      </c>
      <c r="G561" s="156" t="inlineStr">
        <is>
          <t>One Size</t>
        </is>
      </c>
      <c r="H561" s="156" t="inlineStr">
        <is>
          <t>Wrangler</t>
        </is>
      </c>
      <c r="I561" s="156" t="inlineStr">
        <is>
          <t>Bolsa Wrangler Gris Claro</t>
        </is>
      </c>
      <c r="J561" s="156" t="inlineStr">
        <is>
          <t>Accesorios</t>
        </is>
      </c>
      <c r="K561" s="156" t="inlineStr">
        <is>
          <t>Bolsos</t>
        </is>
      </c>
      <c r="L561" s="156" t="inlineStr">
        <is>
          <t>Unisex</t>
        </is>
      </c>
      <c r="M561" s="156" t="inlineStr">
        <is>
          <t>Wrangler</t>
        </is>
      </c>
      <c r="N561" s="156" t="n"/>
      <c r="O561" s="156" t="inlineStr">
        <is>
          <t>Core</t>
        </is>
      </c>
      <c r="P561" s="156" t="inlineStr">
        <is>
          <t>Gris</t>
        </is>
      </c>
      <c r="Q561" s="156" t="n"/>
      <c r="R561" s="156" t="n"/>
      <c r="S561" s="156" t="n"/>
      <c r="T561" s="156" t="inlineStr">
        <is>
          <t>Bolsa Wrangler. Color: Gris Claro. Talla única. Unisex. Referencia: WG87-227LGY.</t>
        </is>
      </c>
      <c r="U561" s="156" t="n"/>
      <c r="V561" s="156" t="inlineStr">
        <is>
          <t>PZS</t>
        </is>
      </c>
      <c r="W561" s="51" t="inlineStr">
        <is>
          <t>53121601</t>
        </is>
      </c>
      <c r="X561" s="156" t="n"/>
      <c r="Y561" s="54" t="n">
        <v>258.75</v>
      </c>
      <c r="Z561" s="54" t="n">
        <v>449</v>
      </c>
      <c r="AA561" s="55">
        <f>IF(AND(A561="", B561="", E561=""), "", IF(AB561="", "Válido", IF((LEN(AB561)-LEN(SUBSTITUTE(AB561,"; ","")))/2+1&gt;(LEN(AB561)-LEN(SUBSTITUTE(AB561,"[Aviso]","")))/7, "Con Incidencias", "Válido")))</f>
        <v/>
      </c>
      <c r="AB561" s="56">
        <f>IF(AND(A561="", B561="", E561=""), "", TEXTJOIN("; ", TRUE, IF(OR(TRIM(A561&amp;"")="", ISNUMBER(SEARCH("FALTA", A561))), "UPC faltante/inválido", ""), IF(AND(A561&lt;&gt;"", IFERROR(_xlfn.XMATCH(A561,$A$2:$A$1063,0,1)&lt;&gt;_xlfn.XMATCH(A561,$A$2:$A$1063,0,-1),FALSE)), "Código de barras duplicado", ""), IF(AND(E561&lt;&gt;"", COUNTIF($E$2:$E$1063, E561)&gt;1), "SKU duplicado", ""), IF(OR(J561="", J561=""), "[Aviso] División no capturada ()", IF(ISNA(MATCH(J561, Criterios!$A$123:$A$126, 0)), "División no válida", "")), IF(OR(K561="", K561=""), "[Aviso] Categoría no capturada ()", IF(ISNA(MATCH(K561, Criterios!$A$81:$A$120, 0)), "Categoría no válida", IF(AND(J561&lt;&gt;"", J561&lt;&gt;"", J561&lt;&gt;VLOOKUP(K561, Criterios!$A$81:$B$120, 2, FALSE)), "División no coincide con Categoría", ""))), IF(OR(L561="", L561=""), "[Aviso] Género no capturado ()", IF(ISNA(MATCH(L561, Criterios!$B$123:$B$127, 0)), "Género no válido", "")), IF(OR(N561="", N561=""), "[Aviso] Temporada no capturada ()", IF(ISNA(MATCH(N561, Criterios!$C$123:$C$128, 0)), "Temporada no válida", "")), IF(OR(O561="", O561=""), "[Aviso] Ciclo de vida no capturado ()", IF(ISNA(MATCH(O561, Criterios!$D$123:$D$124, 0)), "Ciclo de vida no válido", ""))))</f>
        <v/>
      </c>
      <c r="AC561" s="56" t="n"/>
      <c r="AD561" s="51" t="n"/>
      <c r="AE561" s="156" t="n"/>
      <c r="AF561" s="51" t="n"/>
      <c r="AG561" s="156" t="inlineStr">
        <is>
          <t>Nuevo – Carga Hoja2 01/10/2026</t>
        </is>
      </c>
      <c r="AH561" s="156" t="inlineStr">
        <is>
          <t>Alta 01/10/2026 desde Hoja2 (fila 367) | 01/10/2026: Odoo Universal Unique Brands trae Marca «Montana West» — se conservó el valor de Productos | Homologación G1522 06/10/2026: Validador Shopify: WB: precio con IVA no termina en 9</t>
        </is>
      </c>
      <c r="AI561" s="156" t="n"/>
      <c r="AJ561" s="156" t="n"/>
      <c r="AK561" s="155" t="inlineStr">
        <is>
          <t>Hoja2: fila 367 | Odoo: producto 27520 / plantilla 34220</t>
        </is>
      </c>
      <c r="AL561" s="58" t="n"/>
      <c r="AM561" s="58" t="n"/>
      <c r="AN561" s="155" t="inlineStr">
        <is>
          <t>Odoo Universal Unique Brands</t>
        </is>
      </c>
      <c r="AO561" s="59" t="n"/>
      <c r="AP561" s="59" t="n"/>
      <c r="AQ561" s="59" t="n">
        <v>0</v>
      </c>
      <c r="AR561" s="155" t="n"/>
    </row>
    <row r="562">
      <c r="A562" s="50" t="inlineStr">
        <is>
          <t>717012194930</t>
        </is>
      </c>
      <c r="B562" s="51" t="inlineStr">
        <is>
          <t>27521</t>
        </is>
      </c>
      <c r="C562" s="156" t="inlineStr">
        <is>
          <t>Wrangler</t>
        </is>
      </c>
      <c r="D562" s="156" t="inlineStr">
        <is>
          <t>WG87-227PK</t>
        </is>
      </c>
      <c r="E562" s="156" t="inlineStr">
        <is>
          <t>WG87-227PK</t>
        </is>
      </c>
      <c r="F562" s="156" t="inlineStr">
        <is>
          <t>Talla única</t>
        </is>
      </c>
      <c r="G562" s="156" t="inlineStr">
        <is>
          <t>One Size</t>
        </is>
      </c>
      <c r="H562" s="156" t="inlineStr">
        <is>
          <t>Wrangler</t>
        </is>
      </c>
      <c r="I562" s="156" t="inlineStr">
        <is>
          <t>Bolsa Wrangler Rosa</t>
        </is>
      </c>
      <c r="J562" s="156" t="inlineStr">
        <is>
          <t>Accesorios</t>
        </is>
      </c>
      <c r="K562" s="156" t="inlineStr">
        <is>
          <t>Bolsos</t>
        </is>
      </c>
      <c r="L562" s="156" t="inlineStr">
        <is>
          <t>Unisex</t>
        </is>
      </c>
      <c r="M562" s="156" t="inlineStr">
        <is>
          <t>Wrangler</t>
        </is>
      </c>
      <c r="N562" s="156" t="n"/>
      <c r="O562" s="156" t="inlineStr">
        <is>
          <t>Core</t>
        </is>
      </c>
      <c r="P562" s="156" t="inlineStr">
        <is>
          <t>Rosa</t>
        </is>
      </c>
      <c r="Q562" s="156" t="n"/>
      <c r="R562" s="156" t="n"/>
      <c r="S562" s="156" t="n"/>
      <c r="T562" s="156" t="inlineStr">
        <is>
          <t>Bolsa Wrangler. Color: Rosa. Talla única. Unisex. Referencia: WG87-227PK.</t>
        </is>
      </c>
      <c r="U562" s="156" t="n"/>
      <c r="V562" s="156" t="inlineStr">
        <is>
          <t>PZS</t>
        </is>
      </c>
      <c r="W562" s="51" t="inlineStr">
        <is>
          <t>53121601</t>
        </is>
      </c>
      <c r="X562" s="156" t="n"/>
      <c r="Y562" s="54" t="n">
        <v>258.75</v>
      </c>
      <c r="Z562" s="54" t="n">
        <v>449</v>
      </c>
      <c r="AA562" s="55">
        <f>IF(AND(A562="", B562="", E562=""), "", IF(AB562="", "Válido", IF((LEN(AB562)-LEN(SUBSTITUTE(AB562,"; ","")))/2+1&gt;(LEN(AB562)-LEN(SUBSTITUTE(AB562,"[Aviso]","")))/7, "Con Incidencias", "Válido")))</f>
        <v/>
      </c>
      <c r="AB562" s="56">
        <f>IF(AND(A562="", B562="", E562=""), "", TEXTJOIN("; ", TRUE, IF(OR(TRIM(A562&amp;"")="", ISNUMBER(SEARCH("FALTA", A562))), "UPC faltante/inválido", ""), IF(AND(A562&lt;&gt;"", IFERROR(_xlfn.XMATCH(A562,$A$2:$A$1063,0,1)&lt;&gt;_xlfn.XMATCH(A562,$A$2:$A$1063,0,-1),FALSE)), "Código de barras duplicado", ""), IF(AND(E562&lt;&gt;"", COUNTIF($E$2:$E$1063, E562)&gt;1), "SKU duplicado", ""), IF(OR(J562="", J562=""), "[Aviso] División no capturada ()", IF(ISNA(MATCH(J562, Criterios!$A$123:$A$126, 0)), "División no válida", "")), IF(OR(K562="", K562=""), "[Aviso] Categoría no capturada ()", IF(ISNA(MATCH(K562, Criterios!$A$81:$A$120, 0)), "Categoría no válida", IF(AND(J562&lt;&gt;"", J562&lt;&gt;"", J562&lt;&gt;VLOOKUP(K562, Criterios!$A$81:$B$120, 2, FALSE)), "División no coincide con Categoría", ""))), IF(OR(L562="", L562=""), "[Aviso] Género no capturado ()", IF(ISNA(MATCH(L562, Criterios!$B$123:$B$127, 0)), "Género no válido", "")), IF(OR(N562="", N562=""), "[Aviso] Temporada no capturada ()", IF(ISNA(MATCH(N562, Criterios!$C$123:$C$128, 0)), "Temporada no válida", "")), IF(OR(O562="", O562=""), "[Aviso] Ciclo de vida no capturado ()", IF(ISNA(MATCH(O562, Criterios!$D$123:$D$124, 0)), "Ciclo de vida no válido", ""))))</f>
        <v/>
      </c>
      <c r="AC562" s="56" t="n"/>
      <c r="AD562" s="51" t="n"/>
      <c r="AE562" s="156" t="n"/>
      <c r="AF562" s="51" t="n"/>
      <c r="AG562" s="156" t="inlineStr">
        <is>
          <t>Nuevo – Carga Hoja2 01/10/2026</t>
        </is>
      </c>
      <c r="AH562" s="156" t="inlineStr">
        <is>
          <t>Alta 01/10/2026 desde Hoja2 (fila 368) | 01/10/2026: Odoo Universal Unique Brands trae Marca «Montana West» — se conservó el valor de Productos | Homologación G1522 06/10/2026: Validador Shopify: WB: precio con IVA no termina en 9</t>
        </is>
      </c>
      <c r="AI562" s="156" t="n"/>
      <c r="AJ562" s="156" t="n"/>
      <c r="AK562" s="155" t="inlineStr">
        <is>
          <t>Hoja2: fila 368 | Odoo: producto 27521 / plantilla 34221</t>
        </is>
      </c>
      <c r="AL562" s="58" t="n"/>
      <c r="AM562" s="58" t="n"/>
      <c r="AN562" s="155" t="inlineStr">
        <is>
          <t>Odoo Universal Unique Brands</t>
        </is>
      </c>
      <c r="AO562" s="59" t="n"/>
      <c r="AP562" s="59" t="n"/>
      <c r="AQ562" s="59" t="n">
        <v>0</v>
      </c>
      <c r="AR562" s="155" t="n"/>
    </row>
    <row r="563">
      <c r="A563" s="50" t="inlineStr">
        <is>
          <t>717205901482</t>
        </is>
      </c>
      <c r="B563" s="51" t="inlineStr">
        <is>
          <t>27522</t>
        </is>
      </c>
      <c r="C563" s="156" t="inlineStr">
        <is>
          <t>Wrangler</t>
        </is>
      </c>
      <c r="D563" s="156" t="inlineStr">
        <is>
          <t>WG87-324DBR</t>
        </is>
      </c>
      <c r="E563" s="156" t="inlineStr">
        <is>
          <t>WG87-324DBR</t>
        </is>
      </c>
      <c r="F563" s="156" t="inlineStr">
        <is>
          <t>Talla única</t>
        </is>
      </c>
      <c r="G563" s="156" t="inlineStr">
        <is>
          <t>One Size</t>
        </is>
      </c>
      <c r="H563" s="156" t="inlineStr">
        <is>
          <t>Wrangler</t>
        </is>
      </c>
      <c r="I563" s="156" t="inlineStr">
        <is>
          <t>Bolsa Wrangler Café Oscuro</t>
        </is>
      </c>
      <c r="J563" s="156" t="inlineStr">
        <is>
          <t>Accesorios</t>
        </is>
      </c>
      <c r="K563" s="156" t="inlineStr">
        <is>
          <t>Bolsos</t>
        </is>
      </c>
      <c r="L563" s="156" t="inlineStr">
        <is>
          <t>Unisex</t>
        </is>
      </c>
      <c r="M563" s="156" t="inlineStr">
        <is>
          <t>Wrangler</t>
        </is>
      </c>
      <c r="N563" s="156" t="n"/>
      <c r="O563" s="156" t="inlineStr">
        <is>
          <t>Core</t>
        </is>
      </c>
      <c r="P563" s="156" t="inlineStr">
        <is>
          <t>Cafe</t>
        </is>
      </c>
      <c r="Q563" s="156" t="n"/>
      <c r="R563" s="156" t="n"/>
      <c r="S563" s="156" t="n"/>
      <c r="T563" s="156" t="inlineStr">
        <is>
          <t>Bolsa Wrangler. Color: Café Oscuro. Talla única. Unisex. Referencia: WG87-324DBR.</t>
        </is>
      </c>
      <c r="U563" s="156" t="n"/>
      <c r="V563" s="156" t="inlineStr">
        <is>
          <t>PZS</t>
        </is>
      </c>
      <c r="W563" s="51" t="inlineStr">
        <is>
          <t>53121601</t>
        </is>
      </c>
      <c r="X563" s="156" t="n"/>
      <c r="Y563" s="54" t="n">
        <v>232.875</v>
      </c>
      <c r="Z563" s="54" t="n">
        <v>399</v>
      </c>
      <c r="AA563" s="55">
        <f>IF(AND(A563="", B563="", E563=""), "", IF(AB563="", "Válido", IF((LEN(AB563)-LEN(SUBSTITUTE(AB563,"; ","")))/2+1&gt;(LEN(AB563)-LEN(SUBSTITUTE(AB563,"[Aviso]","")))/7, "Con Incidencias", "Válido")))</f>
        <v/>
      </c>
      <c r="AB563" s="56">
        <f>IF(AND(A563="", B563="", E563=""), "", TEXTJOIN("; ", TRUE, IF(OR(TRIM(A563&amp;"")="", ISNUMBER(SEARCH("FALTA", A563))), "UPC faltante/inválido", ""), IF(AND(A563&lt;&gt;"", IFERROR(_xlfn.XMATCH(A563,$A$2:$A$1063,0,1)&lt;&gt;_xlfn.XMATCH(A563,$A$2:$A$1063,0,-1),FALSE)), "Código de barras duplicado", ""), IF(AND(E563&lt;&gt;"", COUNTIF($E$2:$E$1063, E563)&gt;1), "SKU duplicado", ""), IF(OR(J563="", J563=""), "[Aviso] División no capturada ()", IF(ISNA(MATCH(J563, Criterios!$A$123:$A$126, 0)), "División no válida", "")), IF(OR(K563="", K563=""), "[Aviso] Categoría no capturada ()", IF(ISNA(MATCH(K563, Criterios!$A$81:$A$120, 0)), "Categoría no válida", IF(AND(J563&lt;&gt;"", J563&lt;&gt;"", J563&lt;&gt;VLOOKUP(K563, Criterios!$A$81:$B$120, 2, FALSE)), "División no coincide con Categoría", ""))), IF(OR(L563="", L563=""), "[Aviso] Género no capturado ()", IF(ISNA(MATCH(L563, Criterios!$B$123:$B$127, 0)), "Género no válido", "")), IF(OR(N563="", N563=""), "[Aviso] Temporada no capturada ()", IF(ISNA(MATCH(N563, Criterios!$C$123:$C$128, 0)), "Temporada no válida", "")), IF(OR(O563="", O563=""), "[Aviso] Ciclo de vida no capturado ()", IF(ISNA(MATCH(O563, Criterios!$D$123:$D$124, 0)), "Ciclo de vida no válido", ""))))</f>
        <v/>
      </c>
      <c r="AC563" s="56" t="n"/>
      <c r="AD563" s="51" t="n"/>
      <c r="AE563" s="156" t="n"/>
      <c r="AF563" s="51" t="n"/>
      <c r="AG563" s="156" t="inlineStr">
        <is>
          <t>Nuevo – Carga Hoja2 01/10/2026</t>
        </is>
      </c>
      <c r="AH563" s="156" t="inlineStr">
        <is>
          <t>Alta 01/10/2026 desde Hoja2 (fila 369) | 01/10/2026: Odoo Universal Unique Brands trae Marca «Montana West» — se conservó el valor de Productos | Homologación G1522 06/10/2026: Validador Shopify: WB: precio con IVA no termina en 9</t>
        </is>
      </c>
      <c r="AI563" s="156" t="n"/>
      <c r="AJ563" s="156" t="n"/>
      <c r="AK563" s="155" t="inlineStr">
        <is>
          <t>Hoja2: fila 369 | Odoo: producto 27522 / plantilla 34222</t>
        </is>
      </c>
      <c r="AL563" s="58" t="n"/>
      <c r="AM563" s="58" t="n"/>
      <c r="AN563" s="155" t="inlineStr">
        <is>
          <t>Odoo Universal Unique Brands</t>
        </is>
      </c>
      <c r="AO563" s="59" t="n"/>
      <c r="AP563" s="59" t="n"/>
      <c r="AQ563" s="59" t="n">
        <v>0</v>
      </c>
      <c r="AR563" s="155" t="n"/>
    </row>
    <row r="564">
      <c r="A564" s="50" t="n"/>
      <c r="B564" s="51" t="inlineStr">
        <is>
          <t>12521</t>
        </is>
      </c>
      <c r="C564" s="156" t="inlineStr">
        <is>
          <t>Montana West</t>
        </is>
      </c>
      <c r="D564" s="156" t="n"/>
      <c r="E564" s="156" t="inlineStr">
        <is>
          <t>WST-008</t>
        </is>
      </c>
      <c r="F564" s="156" t="inlineStr">
        <is>
          <t>Talla única</t>
        </is>
      </c>
      <c r="G564" s="156" t="inlineStr">
        <is>
          <t>One Size</t>
        </is>
      </c>
      <c r="H564" s="156" t="inlineStr">
        <is>
          <t>Montana West</t>
        </is>
      </c>
      <c r="I564" s="156" t="inlineStr">
        <is>
          <t>Montana West-Wrangler Metal Display Rack</t>
        </is>
      </c>
      <c r="J564" s="156" t="inlineStr">
        <is>
          <t>Accesorios</t>
        </is>
      </c>
      <c r="K564" s="156" t="inlineStr">
        <is>
          <t>Bolsos</t>
        </is>
      </c>
      <c r="L564" s="156" t="inlineStr">
        <is>
          <t>Unisex</t>
        </is>
      </c>
      <c r="M564" s="156" t="n"/>
      <c r="N564" s="156" t="n"/>
      <c r="O564" s="156" t="n"/>
      <c r="P564" s="156" t="n"/>
      <c r="Q564" s="156" t="n"/>
      <c r="R564" s="156" t="n"/>
      <c r="S564" s="156" t="n"/>
      <c r="T564" s="156" t="n"/>
      <c r="U564" s="156" t="n"/>
      <c r="V564" s="156" t="inlineStr">
        <is>
          <t>PZS</t>
        </is>
      </c>
      <c r="W564" s="51" t="inlineStr">
        <is>
          <t>56131600</t>
        </is>
      </c>
      <c r="X564" s="156" t="n"/>
      <c r="Y564" s="54" t="n">
        <v>1466.25</v>
      </c>
      <c r="Z564" s="54" t="n">
        <v>2189</v>
      </c>
      <c r="AA564" s="55">
        <f>IF(AND(A564="", B564="", E564=""), "", IF(AB564="", "Válido", IF((LEN(AB564)-LEN(SUBSTITUTE(AB564,"; ","")))/2+1&gt;(LEN(AB564)-LEN(SUBSTITUTE(AB564,"[Aviso]","")))/7, "Con Incidencias", "Válido")))</f>
        <v/>
      </c>
      <c r="AB564" s="56">
        <f>IF(AND(A564="", B564="", E564=""), "", TEXTJOIN("; ", TRUE, IF(OR(TRIM(A564&amp;"")="", ISNUMBER(SEARCH("FALTA", A564))), "UPC faltante/inválido", ""), IF(AND(A564&lt;&gt;"", IFERROR(_xlfn.XMATCH(A564,$A$2:$A$1063,0,1)&lt;&gt;_xlfn.XMATCH(A564,$A$2:$A$1063,0,-1),FALSE)), "Código de barras duplicado", ""), IF(AND(E564&lt;&gt;"", COUNTIF($E$2:$E$1063, E564)&gt;1), "SKU duplicado", ""), IF(OR(J564="", J564=""), "[Aviso] División no capturada ()", IF(ISNA(MATCH(J564, Criterios!$A$123:$A$126, 0)), "División no válida", "")), IF(OR(K564="", K564=""), "[Aviso] Categoría no capturada ()", IF(ISNA(MATCH(K564, Criterios!$A$81:$A$120, 0)), "Categoría no válida", IF(AND(J564&lt;&gt;"", J564&lt;&gt;"", J564&lt;&gt;VLOOKUP(K564, Criterios!$A$81:$B$120, 2, FALSE)), "División no coincide con Categoría", ""))), IF(OR(L564="", L564=""), "[Aviso] Género no capturado ()", IF(ISNA(MATCH(L564, Criterios!$B$123:$B$127, 0)), "Género no válido", "")), IF(OR(N564="", N564=""), "[Aviso] Temporada no capturada ()", IF(ISNA(MATCH(N564, Criterios!$C$123:$C$128, 0)), "Temporada no válida", "")), IF(OR(O564="", O564=""), "[Aviso] Ciclo de vida no capturado ()", IF(ISNA(MATCH(O564, Criterios!$D$123:$D$124, 0)), "Ciclo de vida no válido", ""))))</f>
        <v/>
      </c>
      <c r="AC564" s="56" t="n"/>
      <c r="AD564" s="51" t="n"/>
      <c r="AE564" s="156" t="n"/>
      <c r="AF564" s="51" t="n"/>
      <c r="AG564" s="156" t="inlineStr">
        <is>
          <t>Nuevo – Carga Hoja2 01/10/2026</t>
        </is>
      </c>
      <c r="AH564" s="156" t="inlineStr">
        <is>
          <t>Alta 01/10/2026 desde Hoja2 (fila 370) | 01/10/2026: complementado desde Odoo Universal Unique Brands (match por SKU): WB Talla, WB Talla de EE. UU., WB Género | Homologación G1522 06/10/2026: Validación G1522: Código de barras faltante · Validador NetSuite / Odoo: V1: falta código de barras · Validador Shopify: V1: falta código de barras</t>
        </is>
      </c>
      <c r="AI564" s="156" t="n"/>
      <c r="AJ564" s="156" t="n"/>
      <c r="AK564" s="155" t="inlineStr">
        <is>
          <t>Hoja2: fila 370 | Odoo: producto 12521 / plantilla 16098</t>
        </is>
      </c>
      <c r="AL564" s="58" t="n"/>
      <c r="AM564" s="58" t="n"/>
      <c r="AN564" s="155" t="inlineStr">
        <is>
          <t>Odoo Universal Unique Brands</t>
        </is>
      </c>
      <c r="AO564" s="59" t="n"/>
      <c r="AP564" s="59" t="n"/>
      <c r="AQ564" s="59" t="n">
        <v>16</v>
      </c>
      <c r="AR564" s="155" t="inlineStr">
        <is>
          <t>Odoo Universal Unique Brands › Bodega 25 › Bodega 25/General: 16</t>
        </is>
      </c>
    </row>
    <row r="565">
      <c r="A565" s="50" t="inlineStr">
        <is>
          <t>712288132129</t>
        </is>
      </c>
      <c r="B565" s="51" t="inlineStr">
        <is>
          <t>11263</t>
        </is>
      </c>
      <c r="C565" s="156" t="inlineStr">
        <is>
          <t>Montana West</t>
        </is>
      </c>
      <c r="D565" s="156" t="inlineStr">
        <is>
          <t>TR162G-2001BK</t>
        </is>
      </c>
      <c r="E565" s="156" t="inlineStr">
        <is>
          <t>TR162G-2001BK</t>
        </is>
      </c>
      <c r="F565" s="156" t="inlineStr">
        <is>
          <t>Talla única</t>
        </is>
      </c>
      <c r="G565" s="156" t="inlineStr">
        <is>
          <t>One Size</t>
        </is>
      </c>
      <c r="H565" s="156" t="inlineStr">
        <is>
          <t>Montana West</t>
        </is>
      </c>
      <c r="I565" s="156" t="inlineStr">
        <is>
          <t>Bolsa Trinity Ranch Negro</t>
        </is>
      </c>
      <c r="J565" s="156" t="inlineStr">
        <is>
          <t>Accesorios</t>
        </is>
      </c>
      <c r="K565" s="156" t="inlineStr">
        <is>
          <t>Bolsos</t>
        </is>
      </c>
      <c r="L565" s="156" t="inlineStr">
        <is>
          <t>Mujer</t>
        </is>
      </c>
      <c r="M565" s="156" t="inlineStr">
        <is>
          <t>Trinity Ranch</t>
        </is>
      </c>
      <c r="N565" s="156" t="n"/>
      <c r="O565" s="156" t="inlineStr">
        <is>
          <t>Core</t>
        </is>
      </c>
      <c r="P565" s="156" t="inlineStr">
        <is>
          <t>Negro</t>
        </is>
      </c>
      <c r="Q565" s="156" t="n"/>
      <c r="R565" s="156" t="n"/>
      <c r="S565" s="156" t="n"/>
      <c r="T565" s="156" t="inlineStr">
        <is>
          <t>Bolsa Trinity Ranch. Color: Negro. Talla única. Mujer. Referencia: TR162G-2001BK.</t>
        </is>
      </c>
      <c r="U565" s="156" t="n"/>
      <c r="V565" s="156" t="inlineStr">
        <is>
          <t>PZS</t>
        </is>
      </c>
      <c r="W565" s="51" t="inlineStr">
        <is>
          <t>53121601</t>
        </is>
      </c>
      <c r="X565" s="156" t="n"/>
      <c r="Y565" s="54" t="n">
        <v>517.5</v>
      </c>
      <c r="Z565" s="54" t="n">
        <v>779</v>
      </c>
      <c r="AA565" s="55">
        <f>IF(AND(A565="", B565="", E565=""), "", IF(AB565="", "Válido", IF((LEN(AB565)-LEN(SUBSTITUTE(AB565,"; ","")))/2+1&gt;(LEN(AB565)-LEN(SUBSTITUTE(AB565,"[Aviso]","")))/7, "Con Incidencias", "Válido")))</f>
        <v/>
      </c>
      <c r="AB565" s="56">
        <f>IF(AND(A565="", B565="", E565=""), "", TEXTJOIN("; ", TRUE, IF(OR(TRIM(A565&amp;"")="", ISNUMBER(SEARCH("FALTA", A565))), "UPC faltante/inválido", ""), IF(AND(A565&lt;&gt;"", IFERROR(_xlfn.XMATCH(A565,$A$2:$A$1063,0,1)&lt;&gt;_xlfn.XMATCH(A565,$A$2:$A$1063,0,-1),FALSE)), "Código de barras duplicado", ""), IF(AND(E565&lt;&gt;"", COUNTIF($E$2:$E$1063, E565)&gt;1), "SKU duplicado", ""), IF(OR(J565="", J565=""), "[Aviso] División no capturada ()", IF(ISNA(MATCH(J565, Criterios!$A$123:$A$126, 0)), "División no válida", "")), IF(OR(K565="", K565=""), "[Aviso] Categoría no capturada ()", IF(ISNA(MATCH(K565, Criterios!$A$81:$A$120, 0)), "Categoría no válida", IF(AND(J565&lt;&gt;"", J565&lt;&gt;"", J565&lt;&gt;VLOOKUP(K565, Criterios!$A$81:$B$120, 2, FALSE)), "División no coincide con Categoría", ""))), IF(OR(L565="", L565=""), "[Aviso] Género no capturado ()", IF(ISNA(MATCH(L565, Criterios!$B$123:$B$127, 0)), "Género no válido", "")), IF(OR(N565="", N565=""), "[Aviso] Temporada no capturada ()", IF(ISNA(MATCH(N565, Criterios!$C$123:$C$128, 0)), "Temporada no válida", "")), IF(OR(O565="", O565=""), "[Aviso] Ciclo de vida no capturado ()", IF(ISNA(MATCH(O565, Criterios!$D$123:$D$124, 0)), "Ciclo de vida no válido", ""))))</f>
        <v/>
      </c>
      <c r="AC565" s="56" t="n"/>
      <c r="AD565" s="51" t="n"/>
      <c r="AE565" s="156" t="n"/>
      <c r="AF565" s="51" t="n"/>
      <c r="AG565" s="156" t="inlineStr">
        <is>
          <t>Nuevo – Carga Hoja2 01/10/2026</t>
        </is>
      </c>
      <c r="AH565" s="156" t="inlineStr">
        <is>
          <t>Alta 01/10/2026 desde Hoja2 (fila 371); Marca original 'Trinity Ranch' (submarca de Montana West) | 01/10/2026: Odoo Universal Unique Brands trae Género «Unisex» — se conservó el valor de Productos | 01/10/2026: Odoo Universal Unique Brands trae Género «Unisex» — se conservó el valor de Productos | Homologación G1522 06/10/2026: Validador Shopify: WB: precio con IVA no termina en 9</t>
        </is>
      </c>
      <c r="AI565" s="156" t="n"/>
      <c r="AJ565" s="156" t="n"/>
      <c r="AK565" s="155" t="inlineStr">
        <is>
          <t>Hoja2: fila 371 | Odoo: producto 11263 / plantilla 14698 | Odoo: producto 27162 / plantilla 33862</t>
        </is>
      </c>
      <c r="AL565" s="58" t="n"/>
      <c r="AM565" s="58" t="n"/>
      <c r="AN565" s="155" t="inlineStr">
        <is>
          <t>Odoo Universal Unique Brands</t>
        </is>
      </c>
      <c r="AO565" s="59" t="n"/>
      <c r="AP565" s="59" t="n"/>
      <c r="AQ565" s="59" t="n">
        <v>20</v>
      </c>
      <c r="AR565" s="155" t="inlineStr">
        <is>
          <t>Odoo Universal Unique Brands › Bodega 25 › Bodega 25/General: 23</t>
        </is>
      </c>
    </row>
    <row r="566">
      <c r="A566" s="50" t="inlineStr">
        <is>
          <t>712288132099</t>
        </is>
      </c>
      <c r="B566" s="51" t="inlineStr">
        <is>
          <t>11262</t>
        </is>
      </c>
      <c r="C566" s="156" t="inlineStr">
        <is>
          <t>Montana West</t>
        </is>
      </c>
      <c r="D566" s="156" t="inlineStr">
        <is>
          <t>TR162G-2001TN</t>
        </is>
      </c>
      <c r="E566" s="156" t="inlineStr">
        <is>
          <t>TR162G-2001TN</t>
        </is>
      </c>
      <c r="F566" s="156" t="inlineStr">
        <is>
          <t>Talla única</t>
        </is>
      </c>
      <c r="G566" s="156" t="inlineStr">
        <is>
          <t>One Size</t>
        </is>
      </c>
      <c r="H566" s="156" t="inlineStr">
        <is>
          <t>Montana West</t>
        </is>
      </c>
      <c r="I566" s="156" t="inlineStr">
        <is>
          <t>Bolsa Trinity Ranch Camel</t>
        </is>
      </c>
      <c r="J566" s="156" t="inlineStr">
        <is>
          <t>Accesorios</t>
        </is>
      </c>
      <c r="K566" s="156" t="inlineStr">
        <is>
          <t>Bolsos</t>
        </is>
      </c>
      <c r="L566" s="156" t="inlineStr">
        <is>
          <t>Mujer</t>
        </is>
      </c>
      <c r="M566" s="156" t="inlineStr">
        <is>
          <t>Trinity Ranch</t>
        </is>
      </c>
      <c r="N566" s="156" t="n"/>
      <c r="O566" s="156" t="inlineStr">
        <is>
          <t>Core</t>
        </is>
      </c>
      <c r="P566" s="156" t="inlineStr">
        <is>
          <t>Beige</t>
        </is>
      </c>
      <c r="Q566" s="156" t="n"/>
      <c r="R566" s="156" t="n"/>
      <c r="S566" s="156" t="n"/>
      <c r="T566" s="156" t="inlineStr">
        <is>
          <t>Bolsa Trinity Ranch. Color: Camel. Talla única. Mujer. Referencia: TR162G-2001TN.</t>
        </is>
      </c>
      <c r="U566" s="156" t="n"/>
      <c r="V566" s="156" t="inlineStr">
        <is>
          <t>PZS</t>
        </is>
      </c>
      <c r="W566" s="51" t="inlineStr">
        <is>
          <t>53121601</t>
        </is>
      </c>
      <c r="X566" s="156" t="n"/>
      <c r="Y566" s="54" t="n">
        <v>517.5</v>
      </c>
      <c r="Z566" s="54" t="n">
        <v>779</v>
      </c>
      <c r="AA566" s="55">
        <f>IF(AND(A566="", B566="", E566=""), "", IF(AB566="", "Válido", IF((LEN(AB566)-LEN(SUBSTITUTE(AB566,"; ","")))/2+1&gt;(LEN(AB566)-LEN(SUBSTITUTE(AB566,"[Aviso]","")))/7, "Con Incidencias", "Válido")))</f>
        <v/>
      </c>
      <c r="AB566" s="56">
        <f>IF(AND(A566="", B566="", E566=""), "", TEXTJOIN("; ", TRUE, IF(OR(TRIM(A566&amp;"")="", ISNUMBER(SEARCH("FALTA", A566))), "UPC faltante/inválido", ""), IF(AND(A566&lt;&gt;"", IFERROR(_xlfn.XMATCH(A566,$A$2:$A$1063,0,1)&lt;&gt;_xlfn.XMATCH(A566,$A$2:$A$1063,0,-1),FALSE)), "Código de barras duplicado", ""), IF(AND(E566&lt;&gt;"", COUNTIF($E$2:$E$1063, E566)&gt;1), "SKU duplicado", ""), IF(OR(J566="", J566=""), "[Aviso] División no capturada ()", IF(ISNA(MATCH(J566, Criterios!$A$123:$A$126, 0)), "División no válida", "")), IF(OR(K566="", K566=""), "[Aviso] Categoría no capturada ()", IF(ISNA(MATCH(K566, Criterios!$A$81:$A$120, 0)), "Categoría no válida", IF(AND(J566&lt;&gt;"", J566&lt;&gt;"", J566&lt;&gt;VLOOKUP(K566, Criterios!$A$81:$B$120, 2, FALSE)), "División no coincide con Categoría", ""))), IF(OR(L566="", L566=""), "[Aviso] Género no capturado ()", IF(ISNA(MATCH(L566, Criterios!$B$123:$B$127, 0)), "Género no válido", "")), IF(OR(N566="", N566=""), "[Aviso] Temporada no capturada ()", IF(ISNA(MATCH(N566, Criterios!$C$123:$C$128, 0)), "Temporada no válida", "")), IF(OR(O566="", O566=""), "[Aviso] Ciclo de vida no capturado ()", IF(ISNA(MATCH(O566, Criterios!$D$123:$D$124, 0)), "Ciclo de vida no válido", ""))))</f>
        <v/>
      </c>
      <c r="AC566" s="56" t="n"/>
      <c r="AD566" s="51" t="n"/>
      <c r="AE566" s="156" t="n"/>
      <c r="AF566" s="51" t="n"/>
      <c r="AG566" s="156" t="inlineStr">
        <is>
          <t>Nuevo – Carga Hoja2 01/10/2026</t>
        </is>
      </c>
      <c r="AH566" s="156" t="inlineStr">
        <is>
          <t>Alta 01/10/2026 desde Hoja2 (fila 372);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566" s="156" t="n"/>
      <c r="AJ566" s="156" t="n"/>
      <c r="AK566" s="155" t="inlineStr">
        <is>
          <t>Hoja2: fila 372 | Odoo: producto 11262 / plantilla 14697</t>
        </is>
      </c>
      <c r="AL566" s="58" t="n"/>
      <c r="AM566" s="58" t="n"/>
      <c r="AN566" s="155" t="inlineStr">
        <is>
          <t>Odoo Universal Unique Brands</t>
        </is>
      </c>
      <c r="AO566" s="59" t="n"/>
      <c r="AP566" s="59" t="n"/>
      <c r="AQ566" s="59" t="n">
        <v>41</v>
      </c>
      <c r="AR566" s="155" t="inlineStr">
        <is>
          <t>Odoo Universal Unique Brands › Bodega 25 › Bodega 25/General: 41</t>
        </is>
      </c>
    </row>
    <row r="567">
      <c r="A567" s="50" t="inlineStr">
        <is>
          <t>717205852432</t>
        </is>
      </c>
      <c r="B567" s="51" t="inlineStr">
        <is>
          <t>15644</t>
        </is>
      </c>
      <c r="C567" s="156" t="inlineStr">
        <is>
          <t>Montana West</t>
        </is>
      </c>
      <c r="D567" s="156" t="inlineStr">
        <is>
          <t>TR180-8360BR</t>
        </is>
      </c>
      <c r="E567" s="156" t="inlineStr">
        <is>
          <t>TR180-8360BR</t>
        </is>
      </c>
      <c r="F567" s="156" t="inlineStr">
        <is>
          <t>Talla única</t>
        </is>
      </c>
      <c r="G567" s="156" t="inlineStr">
        <is>
          <t>One Size</t>
        </is>
      </c>
      <c r="H567" s="156" t="inlineStr">
        <is>
          <t>Montana West</t>
        </is>
      </c>
      <c r="I567" s="156" t="inlineStr">
        <is>
          <t>Bolsa Trinity Ranch Café</t>
        </is>
      </c>
      <c r="J567" s="156" t="inlineStr">
        <is>
          <t>Accesorios</t>
        </is>
      </c>
      <c r="K567" s="156" t="inlineStr">
        <is>
          <t>Bolsos</t>
        </is>
      </c>
      <c r="L567" s="156" t="inlineStr">
        <is>
          <t>Mujer</t>
        </is>
      </c>
      <c r="M567" s="156" t="inlineStr">
        <is>
          <t>Trinity Ranch</t>
        </is>
      </c>
      <c r="N567" s="156" t="n"/>
      <c r="O567" s="156" t="inlineStr">
        <is>
          <t>Core</t>
        </is>
      </c>
      <c r="P567" s="156" t="inlineStr">
        <is>
          <t>Cafe</t>
        </is>
      </c>
      <c r="Q567" s="156" t="n"/>
      <c r="R567" s="156" t="n"/>
      <c r="S567" s="156" t="n"/>
      <c r="T567" s="156" t="inlineStr">
        <is>
          <t>Bolsa Trinity Ranch. Color: Café. Talla única. Mujer. Referencia: TR180-8360BR.</t>
        </is>
      </c>
      <c r="U567" s="156" t="n"/>
      <c r="V567" s="156" t="inlineStr">
        <is>
          <t>PZS</t>
        </is>
      </c>
      <c r="W567" s="51" t="inlineStr">
        <is>
          <t>53121601</t>
        </is>
      </c>
      <c r="X567" s="156" t="n"/>
      <c r="Y567" s="54" t="n"/>
      <c r="Z567" s="54" t="n">
        <v>699</v>
      </c>
      <c r="AA567" s="55">
        <f>IF(AND(A567="", B567="", E567=""), "", IF(AB567="", "Válido", IF((LEN(AB567)-LEN(SUBSTITUTE(AB567,"; ","")))/2+1&gt;(LEN(AB567)-LEN(SUBSTITUTE(AB567,"[Aviso]","")))/7, "Con Incidencias", "Válido")))</f>
        <v/>
      </c>
      <c r="AB567" s="56">
        <f>IF(AND(A567="", B567="", E567=""), "", TEXTJOIN("; ", TRUE, IF(OR(TRIM(A567&amp;"")="", ISNUMBER(SEARCH("FALTA", A567))), "UPC faltante/inválido", ""), IF(AND(A567&lt;&gt;"", IFERROR(_xlfn.XMATCH(A567,$A$2:$A$1063,0,1)&lt;&gt;_xlfn.XMATCH(A567,$A$2:$A$1063,0,-1),FALSE)), "Código de barras duplicado", ""), IF(AND(E567&lt;&gt;"", COUNTIF($E$2:$E$1063, E567)&gt;1), "SKU duplicado", ""), IF(OR(J567="", J567=""), "[Aviso] División no capturada ()", IF(ISNA(MATCH(J567, Criterios!$A$123:$A$126, 0)), "División no válida", "")), IF(OR(K567="", K567=""), "[Aviso] Categoría no capturada ()", IF(ISNA(MATCH(K567, Criterios!$A$81:$A$120, 0)), "Categoría no válida", IF(AND(J567&lt;&gt;"", J567&lt;&gt;"", J567&lt;&gt;VLOOKUP(K567, Criterios!$A$81:$B$120, 2, FALSE)), "División no coincide con Categoría", ""))), IF(OR(L567="", L567=""), "[Aviso] Género no capturado ()", IF(ISNA(MATCH(L567, Criterios!$B$123:$B$127, 0)), "Género no válido", "")), IF(OR(N567="", N567=""), "[Aviso] Temporada no capturada ()", IF(ISNA(MATCH(N567, Criterios!$C$123:$C$128, 0)), "Temporada no válida", "")), IF(OR(O567="", O567=""), "[Aviso] Ciclo de vida no capturado ()", IF(ISNA(MATCH(O567, Criterios!$D$123:$D$124, 0)), "Ciclo de vida no válido", ""))))</f>
        <v/>
      </c>
      <c r="AC567" s="56" t="n"/>
      <c r="AD567" s="51" t="n"/>
      <c r="AE567" s="156" t="n"/>
      <c r="AF567" s="51" t="n"/>
      <c r="AG567" s="156" t="inlineStr">
        <is>
          <t>Nuevo – Carga Hoja2 01/10/2026</t>
        </is>
      </c>
      <c r="AH567" s="156" t="inlineStr">
        <is>
          <t>Alta 01/10/2026 desde Hoja2 (fila 373); Marca original 'Trinity Ranch' (submarca de Montana West); Precio de compra en 0/vacío en origen | 01/10/2026: Odoo Universal Unique Brands trae Género «Unisex» — se conservó el valor de Productos | 01/10/2026: Odoo Universal Unique Brands trae Género «Unisex» — se conservó el valor de Productos | Homologación G1522 06/10/2026: Validador Shopify: WB: precio con IVA no termina en 9</t>
        </is>
      </c>
      <c r="AI567" s="156" t="n"/>
      <c r="AJ567" s="156" t="n"/>
      <c r="AK567" s="155" t="inlineStr">
        <is>
          <t>Hoja2: fila 373 | Odoo: producto 15644 / plantilla 19997 | Odoo: producto 27173 / plantilla 33873</t>
        </is>
      </c>
      <c r="AL567" s="58" t="n"/>
      <c r="AM567" s="58" t="n"/>
      <c r="AN567" s="155" t="inlineStr">
        <is>
          <t>Odoo Universal Unique Brands</t>
        </is>
      </c>
      <c r="AO567" s="59" t="n"/>
      <c r="AP567" s="59" t="n"/>
      <c r="AQ567" s="59" t="n">
        <v>43</v>
      </c>
      <c r="AR567" s="155" t="inlineStr">
        <is>
          <t>Odoo Universal Unique Brands › Bodega 25 › Bodega 25/General: 49</t>
        </is>
      </c>
    </row>
    <row r="568">
      <c r="A568" s="50" t="inlineStr">
        <is>
          <t>717205852401</t>
        </is>
      </c>
      <c r="B568" s="51" t="inlineStr">
        <is>
          <t>15665</t>
        </is>
      </c>
      <c r="C568" s="156" t="inlineStr">
        <is>
          <t>Montana West</t>
        </is>
      </c>
      <c r="D568" s="156" t="n"/>
      <c r="E568" s="156" t="inlineStr">
        <is>
          <t>TR180-8360CF</t>
        </is>
      </c>
      <c r="F568" s="156" t="inlineStr">
        <is>
          <t>Talla única</t>
        </is>
      </c>
      <c r="G568" s="156" t="inlineStr">
        <is>
          <t>One Size</t>
        </is>
      </c>
      <c r="H568" s="156" t="inlineStr">
        <is>
          <t>Montana West</t>
        </is>
      </c>
      <c r="I568" s="156" t="inlineStr">
        <is>
          <t>TRINITY RANCH TR BAG</t>
        </is>
      </c>
      <c r="J568" s="156" t="inlineStr">
        <is>
          <t>Accesorios</t>
        </is>
      </c>
      <c r="K568" s="156" t="inlineStr">
        <is>
          <t>Bolsos</t>
        </is>
      </c>
      <c r="L568" s="156" t="inlineStr">
        <is>
          <t>Unisex</t>
        </is>
      </c>
      <c r="M568" s="156" t="n"/>
      <c r="N568" s="156" t="n"/>
      <c r="O568" s="156" t="n"/>
      <c r="P568" s="156" t="n"/>
      <c r="Q568" s="156" t="n"/>
      <c r="R568" s="156" t="n"/>
      <c r="S568" s="156" t="n"/>
      <c r="T568" s="156" t="n"/>
      <c r="U568" s="156" t="n"/>
      <c r="V568" s="156" t="inlineStr">
        <is>
          <t>PZS</t>
        </is>
      </c>
      <c r="W568" s="51" t="inlineStr">
        <is>
          <t>53121601</t>
        </is>
      </c>
      <c r="X568" s="156" t="n"/>
      <c r="Y568" s="54" t="n"/>
      <c r="Z568" s="54" t="n">
        <v>699</v>
      </c>
      <c r="AA568" s="55">
        <f>IF(AND(A568="", B568="", E568=""), "", IF(AB568="", "Válido", IF((LEN(AB568)-LEN(SUBSTITUTE(AB568,"; ","")))/2+1&gt;(LEN(AB568)-LEN(SUBSTITUTE(AB568,"[Aviso]","")))/7, "Con Incidencias", "Válido")))</f>
        <v/>
      </c>
      <c r="AB568" s="56">
        <f>IF(AND(A568="", B568="", E568=""), "", TEXTJOIN("; ", TRUE, IF(OR(TRIM(A568&amp;"")="", ISNUMBER(SEARCH("FALTA", A568))), "UPC faltante/inválido", ""), IF(AND(A568&lt;&gt;"", IFERROR(_xlfn.XMATCH(A568,$A$2:$A$1063,0,1)&lt;&gt;_xlfn.XMATCH(A568,$A$2:$A$1063,0,-1),FALSE)), "Código de barras duplicado", ""), IF(AND(E568&lt;&gt;"", COUNTIF($E$2:$E$1063, E568)&gt;1), "SKU duplicado", ""), IF(OR(J568="", J568=""), "[Aviso] División no capturada ()", IF(ISNA(MATCH(J568, Criterios!$A$123:$A$126, 0)), "División no válida", "")), IF(OR(K568="", K568=""), "[Aviso] Categoría no capturada ()", IF(ISNA(MATCH(K568, Criterios!$A$81:$A$120, 0)), "Categoría no válida", IF(AND(J568&lt;&gt;"", J568&lt;&gt;"", J568&lt;&gt;VLOOKUP(K568, Criterios!$A$81:$B$120, 2, FALSE)), "División no coincide con Categoría", ""))), IF(OR(L568="", L568=""), "[Aviso] Género no capturado ()", IF(ISNA(MATCH(L568, Criterios!$B$123:$B$127, 0)), "Género no válido", "")), IF(OR(N568="", N568=""), "[Aviso] Temporada no capturada ()", IF(ISNA(MATCH(N568, Criterios!$C$123:$C$128, 0)), "Temporada no válida", "")), IF(OR(O568="", O568=""), "[Aviso] Ciclo de vida no capturado ()", IF(ISNA(MATCH(O568, Criterios!$D$123:$D$124, 0)), "Ciclo de vida no válido", ""))))</f>
        <v/>
      </c>
      <c r="AC568" s="56" t="n"/>
      <c r="AD568" s="51" t="n"/>
      <c r="AE568" s="156" t="n"/>
      <c r="AF568" s="51" t="n"/>
      <c r="AG568" s="156" t="inlineStr">
        <is>
          <t>Nuevo – Carga Hoja2 01/10/2026</t>
        </is>
      </c>
      <c r="AH568" s="156" t="inlineStr">
        <is>
          <t>Alta 01/10/2026 desde Hoja2 (fila 374); Marca original 'Trinity Ranch' (submarca de Montana West);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568" s="156" t="n"/>
      <c r="AJ568" s="156" t="n"/>
      <c r="AK568" s="155" t="inlineStr">
        <is>
          <t>Hoja2: fila 374 | Odoo: producto 15665 / plantilla 20018</t>
        </is>
      </c>
      <c r="AL568" s="58" t="n"/>
      <c r="AM568" s="58" t="n"/>
      <c r="AN568" s="155" t="inlineStr">
        <is>
          <t>Odoo Universal Unique Brands</t>
        </is>
      </c>
      <c r="AO568" s="59" t="n"/>
      <c r="AP568" s="59" t="n"/>
      <c r="AQ568" s="59" t="n">
        <v>25</v>
      </c>
      <c r="AR568" s="155" t="inlineStr">
        <is>
          <t>Odoo Universal Unique Brands › Bodega 25 › Bodega 25/General: 25</t>
        </is>
      </c>
    </row>
    <row r="569">
      <c r="A569" s="50" t="inlineStr">
        <is>
          <t>717205840798</t>
        </is>
      </c>
      <c r="B569" s="51" t="inlineStr">
        <is>
          <t>11269</t>
        </is>
      </c>
      <c r="C569" s="156" t="inlineStr">
        <is>
          <t>Montana West</t>
        </is>
      </c>
      <c r="D569" s="156" t="n"/>
      <c r="E569" s="156" t="inlineStr">
        <is>
          <t>TR185G-9360BK</t>
        </is>
      </c>
      <c r="F569" s="156" t="inlineStr">
        <is>
          <t>Talla única</t>
        </is>
      </c>
      <c r="G569" s="156" t="inlineStr">
        <is>
          <t>One Size</t>
        </is>
      </c>
      <c r="H569" s="156" t="inlineStr">
        <is>
          <t>Montana West</t>
        </is>
      </c>
      <c r="I569" s="156" t="inlineStr">
        <is>
          <t>TRINITY RANCH TR185G-9360</t>
        </is>
      </c>
      <c r="J569" s="156" t="inlineStr">
        <is>
          <t>Accesorios</t>
        </is>
      </c>
      <c r="K569" s="156" t="inlineStr">
        <is>
          <t>Bolsos</t>
        </is>
      </c>
      <c r="L569" s="156" t="inlineStr">
        <is>
          <t>Unisex</t>
        </is>
      </c>
      <c r="M569" s="156" t="n"/>
      <c r="N569" s="156" t="n"/>
      <c r="O569" s="156" t="n"/>
      <c r="P569" s="156" t="n"/>
      <c r="Q569" s="156" t="n"/>
      <c r="R569" s="156" t="n"/>
      <c r="S569" s="156" t="n"/>
      <c r="T569" s="156" t="n"/>
      <c r="U569" s="156" t="n"/>
      <c r="V569" s="156" t="inlineStr">
        <is>
          <t>PZS</t>
        </is>
      </c>
      <c r="W569" s="51" t="inlineStr">
        <is>
          <t>53121601</t>
        </is>
      </c>
      <c r="X569" s="156" t="n"/>
      <c r="Y569" s="54" t="n">
        <v>517.5</v>
      </c>
      <c r="Z569" s="54" t="n">
        <v>779</v>
      </c>
      <c r="AA569" s="55">
        <f>IF(AND(A569="", B569="", E569=""), "", IF(AB569="", "Válido", IF((LEN(AB569)-LEN(SUBSTITUTE(AB569,"; ","")))/2+1&gt;(LEN(AB569)-LEN(SUBSTITUTE(AB569,"[Aviso]","")))/7, "Con Incidencias", "Válido")))</f>
        <v/>
      </c>
      <c r="AB569" s="56">
        <f>IF(AND(A569="", B569="", E569=""), "", TEXTJOIN("; ", TRUE, IF(OR(TRIM(A569&amp;"")="", ISNUMBER(SEARCH("FALTA", A569))), "UPC faltante/inválido", ""), IF(AND(A569&lt;&gt;"", IFERROR(_xlfn.XMATCH(A569,$A$2:$A$1063,0,1)&lt;&gt;_xlfn.XMATCH(A569,$A$2:$A$1063,0,-1),FALSE)), "Código de barras duplicado", ""), IF(AND(E569&lt;&gt;"", COUNTIF($E$2:$E$1063, E569)&gt;1), "SKU duplicado", ""), IF(OR(J569="", J569=""), "[Aviso] División no capturada ()", IF(ISNA(MATCH(J569, Criterios!$A$123:$A$126, 0)), "División no válida", "")), IF(OR(K569="", K569=""), "[Aviso] Categoría no capturada ()", IF(ISNA(MATCH(K569, Criterios!$A$81:$A$120, 0)), "Categoría no válida", IF(AND(J569&lt;&gt;"", J569&lt;&gt;"", J569&lt;&gt;VLOOKUP(K569, Criterios!$A$81:$B$120, 2, FALSE)), "División no coincide con Categoría", ""))), IF(OR(L569="", L569=""), "[Aviso] Género no capturado ()", IF(ISNA(MATCH(L569, Criterios!$B$123:$B$127, 0)), "Género no válido", "")), IF(OR(N569="", N569=""), "[Aviso] Temporada no capturada ()", IF(ISNA(MATCH(N569, Criterios!$C$123:$C$128, 0)), "Temporada no válida", "")), IF(OR(O569="", O569=""), "[Aviso] Ciclo de vida no capturado ()", IF(ISNA(MATCH(O569, Criterios!$D$123:$D$124, 0)), "Ciclo de vida no válido", ""))))</f>
        <v/>
      </c>
      <c r="AC569" s="56" t="n"/>
      <c r="AD569" s="51" t="n"/>
      <c r="AE569" s="156" t="n"/>
      <c r="AF569" s="51" t="n"/>
      <c r="AG569" s="156" t="inlineStr">
        <is>
          <t>Nuevo – Carga Hoja2 01/10/2026</t>
        </is>
      </c>
      <c r="AH569" s="156" t="inlineStr">
        <is>
          <t>Alta 01/10/2026 desde Hoja2 (fila 375); Marca original 'Trinity Ranch' (submarca de Montana West)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569" s="156" t="n"/>
      <c r="AJ569" s="156" t="n"/>
      <c r="AK569" s="155" t="inlineStr">
        <is>
          <t>Hoja2: fila 375 | Odoo: producto 11269 / plantilla 14704</t>
        </is>
      </c>
      <c r="AL569" s="58" t="n"/>
      <c r="AM569" s="58" t="n"/>
      <c r="AN569" s="155" t="inlineStr">
        <is>
          <t>Odoo Universal Unique Brands</t>
        </is>
      </c>
      <c r="AO569" s="59" t="n"/>
      <c r="AP569" s="59" t="n"/>
      <c r="AQ569" s="59" t="n">
        <v>12</v>
      </c>
      <c r="AR569" s="155" t="inlineStr">
        <is>
          <t>Odoo Universal Unique Brands › Bodega 25 › Bodega 25/General: 12</t>
        </is>
      </c>
    </row>
    <row r="570">
      <c r="A570" s="50" t="inlineStr">
        <is>
          <t>717205840705</t>
        </is>
      </c>
      <c r="B570" s="51" t="inlineStr">
        <is>
          <t>11268</t>
        </is>
      </c>
      <c r="C570" s="156" t="inlineStr">
        <is>
          <t>Montana West</t>
        </is>
      </c>
      <c r="D570" s="156" t="inlineStr">
        <is>
          <t>TR185G-9360TN</t>
        </is>
      </c>
      <c r="E570" s="156" t="inlineStr">
        <is>
          <t>TR185G-9360TN</t>
        </is>
      </c>
      <c r="F570" s="156" t="inlineStr">
        <is>
          <t>Talla única</t>
        </is>
      </c>
      <c r="G570" s="156" t="inlineStr">
        <is>
          <t>One Size</t>
        </is>
      </c>
      <c r="H570" s="156" t="inlineStr">
        <is>
          <t>Montana West</t>
        </is>
      </c>
      <c r="I570" s="156" t="inlineStr">
        <is>
          <t>Bolsa Trinity Ranch Camel</t>
        </is>
      </c>
      <c r="J570" s="156" t="inlineStr">
        <is>
          <t>Accesorios</t>
        </is>
      </c>
      <c r="K570" s="156" t="inlineStr">
        <is>
          <t>Bolsos</t>
        </is>
      </c>
      <c r="L570" s="156" t="inlineStr">
        <is>
          <t>Mujer</t>
        </is>
      </c>
      <c r="M570" s="156" t="inlineStr">
        <is>
          <t>Trinity Ranch</t>
        </is>
      </c>
      <c r="N570" s="156" t="n"/>
      <c r="O570" s="156" t="inlineStr">
        <is>
          <t>Core</t>
        </is>
      </c>
      <c r="P570" s="156" t="inlineStr">
        <is>
          <t>Beige</t>
        </is>
      </c>
      <c r="Q570" s="156" t="n"/>
      <c r="R570" s="156" t="n"/>
      <c r="S570" s="156" t="n"/>
      <c r="T570" s="156" t="inlineStr">
        <is>
          <t>Bolsa Trinity Ranch. Color: Camel. Talla única. Mujer. Referencia: TR185G-9360TN.</t>
        </is>
      </c>
      <c r="U570" s="156" t="n"/>
      <c r="V570" s="156" t="inlineStr">
        <is>
          <t>PZS</t>
        </is>
      </c>
      <c r="W570" s="51" t="inlineStr">
        <is>
          <t>53121601</t>
        </is>
      </c>
      <c r="X570" s="156" t="n"/>
      <c r="Y570" s="54" t="n">
        <v>517.5</v>
      </c>
      <c r="Z570" s="54" t="n">
        <v>779</v>
      </c>
      <c r="AA570" s="55">
        <f>IF(AND(A570="", B570="", E570=""), "", IF(AB570="", "Válido", IF((LEN(AB570)-LEN(SUBSTITUTE(AB570,"; ","")))/2+1&gt;(LEN(AB570)-LEN(SUBSTITUTE(AB570,"[Aviso]","")))/7, "Con Incidencias", "Válido")))</f>
        <v/>
      </c>
      <c r="AB570" s="56">
        <f>IF(AND(A570="", B570="", E570=""), "", TEXTJOIN("; ", TRUE, IF(OR(TRIM(A570&amp;"")="", ISNUMBER(SEARCH("FALTA", A570))), "UPC faltante/inválido", ""), IF(AND(A570&lt;&gt;"", IFERROR(_xlfn.XMATCH(A570,$A$2:$A$1063,0,1)&lt;&gt;_xlfn.XMATCH(A570,$A$2:$A$1063,0,-1),FALSE)), "Código de barras duplicado", ""), IF(AND(E570&lt;&gt;"", COUNTIF($E$2:$E$1063, E570)&gt;1), "SKU duplicado", ""), IF(OR(J570="", J570=""), "[Aviso] División no capturada ()", IF(ISNA(MATCH(J570, Criterios!$A$123:$A$126, 0)), "División no válida", "")), IF(OR(K570="", K570=""), "[Aviso] Categoría no capturada ()", IF(ISNA(MATCH(K570, Criterios!$A$81:$A$120, 0)), "Categoría no válida", IF(AND(J570&lt;&gt;"", J570&lt;&gt;"", J570&lt;&gt;VLOOKUP(K570, Criterios!$A$81:$B$120, 2, FALSE)), "División no coincide con Categoría", ""))), IF(OR(L570="", L570=""), "[Aviso] Género no capturado ()", IF(ISNA(MATCH(L570, Criterios!$B$123:$B$127, 0)), "Género no válido", "")), IF(OR(N570="", N570=""), "[Aviso] Temporada no capturada ()", IF(ISNA(MATCH(N570, Criterios!$C$123:$C$128, 0)), "Temporada no válida", "")), IF(OR(O570="", O570=""), "[Aviso] Ciclo de vida no capturado ()", IF(ISNA(MATCH(O570, Criterios!$D$123:$D$124, 0)), "Ciclo de vida no válido", ""))))</f>
        <v/>
      </c>
      <c r="AC570" s="56" t="n"/>
      <c r="AD570" s="51" t="n"/>
      <c r="AE570" s="156" t="n"/>
      <c r="AF570" s="51" t="n"/>
      <c r="AG570" s="156" t="inlineStr">
        <is>
          <t>Nuevo – Carga Hoja2 01/10/2026</t>
        </is>
      </c>
      <c r="AH570" s="156" t="inlineStr">
        <is>
          <t>Alta 01/10/2026 desde Hoja2 (fila 376);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570" s="156" t="n"/>
      <c r="AJ570" s="156" t="n"/>
      <c r="AK570" s="155" t="inlineStr">
        <is>
          <t>Hoja2: fila 376 | Odoo: producto 11268 / plantilla 14703</t>
        </is>
      </c>
      <c r="AL570" s="58" t="n"/>
      <c r="AM570" s="58" t="n"/>
      <c r="AN570" s="155" t="inlineStr">
        <is>
          <t>Odoo Universal Unique Brands</t>
        </is>
      </c>
      <c r="AO570" s="59" t="n"/>
      <c r="AP570" s="59" t="n"/>
      <c r="AQ570" s="59" t="n">
        <v>49</v>
      </c>
      <c r="AR570" s="155" t="inlineStr">
        <is>
          <t>Odoo Universal Unique Brands › Bodega 25 › Bodega 25/General: 49</t>
        </is>
      </c>
    </row>
    <row r="571">
      <c r="A571" s="50" t="inlineStr">
        <is>
          <t>717019698295</t>
        </is>
      </c>
      <c r="B571" s="51" t="inlineStr">
        <is>
          <t>11417</t>
        </is>
      </c>
      <c r="C571" s="156" t="inlineStr">
        <is>
          <t>Montana West</t>
        </is>
      </c>
      <c r="D571" s="156" t="inlineStr">
        <is>
          <t>TR187-8360CF</t>
        </is>
      </c>
      <c r="E571" s="156" t="inlineStr">
        <is>
          <t>TR187-8360CF</t>
        </is>
      </c>
      <c r="F571" s="156" t="inlineStr">
        <is>
          <t>Talla única</t>
        </is>
      </c>
      <c r="G571" s="156" t="inlineStr">
        <is>
          <t>One Size</t>
        </is>
      </c>
      <c r="H571" s="156" t="inlineStr">
        <is>
          <t>Montana West</t>
        </is>
      </c>
      <c r="I571" s="156" t="inlineStr">
        <is>
          <t>Bolsa Trinity Ranch Café Oscuro</t>
        </is>
      </c>
      <c r="J571" s="156" t="inlineStr">
        <is>
          <t>Accesorios</t>
        </is>
      </c>
      <c r="K571" s="156" t="inlineStr">
        <is>
          <t>Bolsos</t>
        </is>
      </c>
      <c r="L571" s="156" t="inlineStr">
        <is>
          <t>Mujer</t>
        </is>
      </c>
      <c r="M571" s="156" t="inlineStr">
        <is>
          <t>Trinity Ranch</t>
        </is>
      </c>
      <c r="N571" s="156" t="n"/>
      <c r="O571" s="156" t="inlineStr">
        <is>
          <t>Core</t>
        </is>
      </c>
      <c r="P571" s="156" t="inlineStr">
        <is>
          <t>Cafe</t>
        </is>
      </c>
      <c r="Q571" s="156" t="n"/>
      <c r="R571" s="156" t="n"/>
      <c r="S571" s="156" t="n"/>
      <c r="T571" s="156" t="inlineStr">
        <is>
          <t>Bolsa Trinity Ranch. Color: Café Oscuro. Talla única. Mujer. Referencia: TR187-8360CF.</t>
        </is>
      </c>
      <c r="U571" s="156" t="n"/>
      <c r="V571" s="156" t="inlineStr">
        <is>
          <t>PZS</t>
        </is>
      </c>
      <c r="W571" s="51" t="inlineStr">
        <is>
          <t>53121601</t>
        </is>
      </c>
      <c r="X571" s="156" t="n"/>
      <c r="Y571" s="54" t="n">
        <v>500.25</v>
      </c>
      <c r="Z571" s="54" t="n">
        <v>749</v>
      </c>
      <c r="AA571" s="55">
        <f>IF(AND(A571="", B571="", E571=""), "", IF(AB571="", "Válido", IF((LEN(AB571)-LEN(SUBSTITUTE(AB571,"; ","")))/2+1&gt;(LEN(AB571)-LEN(SUBSTITUTE(AB571,"[Aviso]","")))/7, "Con Incidencias", "Válido")))</f>
        <v/>
      </c>
      <c r="AB571" s="56">
        <f>IF(AND(A571="", B571="", E571=""), "", TEXTJOIN("; ", TRUE, IF(OR(TRIM(A571&amp;"")="", ISNUMBER(SEARCH("FALTA", A571))), "UPC faltante/inválido", ""), IF(AND(A571&lt;&gt;"", IFERROR(_xlfn.XMATCH(A571,$A$2:$A$1063,0,1)&lt;&gt;_xlfn.XMATCH(A571,$A$2:$A$1063,0,-1),FALSE)), "Código de barras duplicado", ""), IF(AND(E571&lt;&gt;"", COUNTIF($E$2:$E$1063, E571)&gt;1), "SKU duplicado", ""), IF(OR(J571="", J571=""), "[Aviso] División no capturada ()", IF(ISNA(MATCH(J571, Criterios!$A$123:$A$126, 0)), "División no válida", "")), IF(OR(K571="", K571=""), "[Aviso] Categoría no capturada ()", IF(ISNA(MATCH(K571, Criterios!$A$81:$A$120, 0)), "Categoría no válida", IF(AND(J571&lt;&gt;"", J571&lt;&gt;"", J571&lt;&gt;VLOOKUP(K571, Criterios!$A$81:$B$120, 2, FALSE)), "División no coincide con Categoría", ""))), IF(OR(L571="", L571=""), "[Aviso] Género no capturado ()", IF(ISNA(MATCH(L571, Criterios!$B$123:$B$127, 0)), "Género no válido", "")), IF(OR(N571="", N571=""), "[Aviso] Temporada no capturada ()", IF(ISNA(MATCH(N571, Criterios!$C$123:$C$128, 0)), "Temporada no válida", "")), IF(OR(O571="", O571=""), "[Aviso] Ciclo de vida no capturado ()", IF(ISNA(MATCH(O571, Criterios!$D$123:$D$124, 0)), "Ciclo de vida no válido", ""))))</f>
        <v/>
      </c>
      <c r="AC571" s="56" t="n"/>
      <c r="AD571" s="51" t="n"/>
      <c r="AE571" s="156" t="n"/>
      <c r="AF571" s="51" t="n"/>
      <c r="AG571" s="156" t="inlineStr">
        <is>
          <t>Nuevo – Carga Hoja2 01/10/2026</t>
        </is>
      </c>
      <c r="AH571" s="156" t="inlineStr">
        <is>
          <t>Alta 01/10/2026 desde Hoja2 (fila 377); Marca original 'Trinity Ranch' (submarca de Montana West) | 01/10/2026: Odoo Universal Unique Brands trae Género «Unisex» — se conservó el valor de Productos | Homologación G1522 06/10/2026: Validador Shopify: WB: precio con IVA no termina en 9</t>
        </is>
      </c>
      <c r="AI571" s="156" t="n"/>
      <c r="AJ571" s="156" t="n"/>
      <c r="AK571" s="155" t="inlineStr">
        <is>
          <t>Hoja2: fila 377 | Odoo: producto 11417 / plantilla 14852</t>
        </is>
      </c>
      <c r="AL571" s="58" t="n"/>
      <c r="AM571" s="58" t="n"/>
      <c r="AN571" s="155" t="inlineStr">
        <is>
          <t>Odoo Universal Unique Brands</t>
        </is>
      </c>
      <c r="AO571" s="59" t="n"/>
      <c r="AP571" s="59" t="n"/>
      <c r="AQ571" s="59" t="n">
        <v>42</v>
      </c>
      <c r="AR571" s="155" t="inlineStr">
        <is>
          <t>Odoo Universal Unique Brands › Bodega 25 › Bodega 25/General: 42</t>
        </is>
      </c>
    </row>
    <row r="572">
      <c r="A572" s="50" t="inlineStr">
        <is>
          <t>717325206023</t>
        </is>
      </c>
      <c r="B572" s="51" t="inlineStr">
        <is>
          <t>15636</t>
        </is>
      </c>
      <c r="C572" s="156" t="inlineStr">
        <is>
          <t>Montana West</t>
        </is>
      </c>
      <c r="D572" s="156" t="inlineStr">
        <is>
          <t>TR190-5110BR</t>
        </is>
      </c>
      <c r="E572" s="156" t="inlineStr">
        <is>
          <t>TR190-5110BR</t>
        </is>
      </c>
      <c r="F572" s="156" t="inlineStr">
        <is>
          <t>Talla única</t>
        </is>
      </c>
      <c r="G572" s="156" t="inlineStr">
        <is>
          <t>One Size</t>
        </is>
      </c>
      <c r="H572" s="156" t="inlineStr">
        <is>
          <t>Montana West</t>
        </is>
      </c>
      <c r="I572" s="156" t="inlineStr">
        <is>
          <t>Maleta Duffle Trinity Ranch Café</t>
        </is>
      </c>
      <c r="J572" s="156" t="inlineStr">
        <is>
          <t>Accesorios</t>
        </is>
      </c>
      <c r="K572" s="156" t="inlineStr">
        <is>
          <t>Equipaje</t>
        </is>
      </c>
      <c r="L572" s="156" t="inlineStr">
        <is>
          <t>Mujer</t>
        </is>
      </c>
      <c r="M572" s="156" t="inlineStr">
        <is>
          <t>Trinity Ranch</t>
        </is>
      </c>
      <c r="N572" s="156" t="n"/>
      <c r="O572" s="156" t="inlineStr">
        <is>
          <t>Core</t>
        </is>
      </c>
      <c r="P572" s="156" t="inlineStr">
        <is>
          <t>Cafe</t>
        </is>
      </c>
      <c r="Q572" s="156" t="n"/>
      <c r="R572" s="156" t="n"/>
      <c r="S572" s="156" t="n"/>
      <c r="T572" s="156" t="inlineStr">
        <is>
          <t>Maleta Duffle Trinity Ranch. Color: Café. Talla única. Mujer. Referencia: TR190-5110BR.</t>
        </is>
      </c>
      <c r="U572" s="156" t="n"/>
      <c r="V572" s="156" t="inlineStr">
        <is>
          <t>PZS</t>
        </is>
      </c>
      <c r="W572" s="51" t="inlineStr">
        <is>
          <t>53121600</t>
        </is>
      </c>
      <c r="X572" s="156" t="n"/>
      <c r="Y572" s="54" t="n"/>
      <c r="Z572" s="54" t="n">
        <v>909</v>
      </c>
      <c r="AA572" s="55">
        <f>IF(AND(A572="", B572="", E572=""), "", IF(AB572="", "Válido", IF((LEN(AB572)-LEN(SUBSTITUTE(AB572,"; ","")))/2+1&gt;(LEN(AB572)-LEN(SUBSTITUTE(AB572,"[Aviso]","")))/7, "Con Incidencias", "Válido")))</f>
        <v/>
      </c>
      <c r="AB572" s="56">
        <f>IF(AND(A572="", B572="", E572=""), "", TEXTJOIN("; ", TRUE, IF(OR(TRIM(A572&amp;"")="", ISNUMBER(SEARCH("FALTA", A572))), "UPC faltante/inválido", ""), IF(AND(A572&lt;&gt;"", IFERROR(_xlfn.XMATCH(A572,$A$2:$A$1063,0,1)&lt;&gt;_xlfn.XMATCH(A572,$A$2:$A$1063,0,-1),FALSE)), "Código de barras duplicado", ""), IF(AND(E572&lt;&gt;"", COUNTIF($E$2:$E$1063, E572)&gt;1), "SKU duplicado", ""), IF(OR(J572="", J572=""), "[Aviso] División no capturada ()", IF(ISNA(MATCH(J572, Criterios!$A$123:$A$126, 0)), "División no válida", "")), IF(OR(K572="", K572=""), "[Aviso] Categoría no capturada ()", IF(ISNA(MATCH(K572, Criterios!$A$81:$A$120, 0)), "Categoría no válida", IF(AND(J572&lt;&gt;"", J572&lt;&gt;"", J572&lt;&gt;VLOOKUP(K572, Criterios!$A$81:$B$120, 2, FALSE)), "División no coincide con Categoría", ""))), IF(OR(L572="", L572=""), "[Aviso] Género no capturado ()", IF(ISNA(MATCH(L572, Criterios!$B$123:$B$127, 0)), "Género no válido", "")), IF(OR(N572="", N572=""), "[Aviso] Temporada no capturada ()", IF(ISNA(MATCH(N572, Criterios!$C$123:$C$128, 0)), "Temporada no válida", "")), IF(OR(O572="", O572=""), "[Aviso] Ciclo de vida no capturado ()", IF(ISNA(MATCH(O572, Criterios!$D$123:$D$124, 0)), "Ciclo de vida no válido", ""))))</f>
        <v/>
      </c>
      <c r="AC572" s="56" t="n"/>
      <c r="AD572" s="51" t="n"/>
      <c r="AE572" s="156" t="n"/>
      <c r="AF572" s="51" t="n"/>
      <c r="AG572" s="156" t="inlineStr">
        <is>
          <t>Nuevo – Carga Hoja2 01/10/2026</t>
        </is>
      </c>
      <c r="AH572" s="156" t="inlineStr">
        <is>
          <t>Alta 01/10/2026 desde Hoja2 (fila 378); Marca original 'Trinity Ranch' (submarca de Montana West); Precio de compra en 0/vacío en origen | 01/10/2026: Odoo Universal Unique Brands trae Categoría «Bolsos», Género «Unisex» — se conservó el valor de Productos | 01/10/2026: Odoo Universal Unique Brands trae Categoría «Bolsos», Género «Unisex» — se conservó el valor de Productos | Homologación G1522 06/10/2026: Validador Shopify: WB: precio con IVA no termina en 9</t>
        </is>
      </c>
      <c r="AI572" s="156" t="n"/>
      <c r="AJ572" s="156" t="n"/>
      <c r="AK572" s="155" t="inlineStr">
        <is>
          <t>Hoja2: fila 378 | Odoo: producto 15636 / plantilla 19989 | Odoo: producto 27192 / plantilla 33892</t>
        </is>
      </c>
      <c r="AL572" s="58" t="n"/>
      <c r="AM572" s="58" t="n"/>
      <c r="AN572" s="155" t="inlineStr">
        <is>
          <t>Odoo Universal Unique Brands</t>
        </is>
      </c>
      <c r="AO572" s="59" t="n"/>
      <c r="AP572" s="59" t="n"/>
      <c r="AQ572" s="59" t="n">
        <v>36</v>
      </c>
      <c r="AR572" s="155" t="inlineStr">
        <is>
          <t>Odoo Universal Unique Brands › Bodega 25 › Bodega 25/General: 32 | Odoo Universal Unique Brands › Bodega 25 › Bodega 25/General: 4</t>
        </is>
      </c>
    </row>
    <row r="573">
      <c r="A573" s="50" t="inlineStr">
        <is>
          <t>717325205996</t>
        </is>
      </c>
      <c r="B573" s="51" t="inlineStr">
        <is>
          <t>15664</t>
        </is>
      </c>
      <c r="C573" s="156" t="inlineStr">
        <is>
          <t>Montana West</t>
        </is>
      </c>
      <c r="D573" s="156" t="inlineStr">
        <is>
          <t>TR190-5110CF</t>
        </is>
      </c>
      <c r="E573" s="156" t="inlineStr">
        <is>
          <t>TR190-5110CF</t>
        </is>
      </c>
      <c r="F573" s="156" t="inlineStr">
        <is>
          <t>Talla única</t>
        </is>
      </c>
      <c r="G573" s="156" t="inlineStr">
        <is>
          <t>One Size</t>
        </is>
      </c>
      <c r="H573" s="156" t="inlineStr">
        <is>
          <t>Montana West</t>
        </is>
      </c>
      <c r="I573" s="156" t="inlineStr">
        <is>
          <t>Maleta Duffle Trinity Ranch Café Oscuro</t>
        </is>
      </c>
      <c r="J573" s="156" t="inlineStr">
        <is>
          <t>Accesorios</t>
        </is>
      </c>
      <c r="K573" s="156" t="inlineStr">
        <is>
          <t>Equipaje</t>
        </is>
      </c>
      <c r="L573" s="156" t="inlineStr">
        <is>
          <t>Mujer</t>
        </is>
      </c>
      <c r="M573" s="156" t="inlineStr">
        <is>
          <t>Trinity Ranch</t>
        </is>
      </c>
      <c r="N573" s="156" t="n"/>
      <c r="O573" s="156" t="inlineStr">
        <is>
          <t>Core</t>
        </is>
      </c>
      <c r="P573" s="156" t="inlineStr">
        <is>
          <t>Cafe</t>
        </is>
      </c>
      <c r="Q573" s="156" t="n"/>
      <c r="R573" s="156" t="n"/>
      <c r="S573" s="156" t="n"/>
      <c r="T573" s="156" t="inlineStr">
        <is>
          <t>Maleta Duffle Trinity Ranch. Color: Café Oscuro. Talla única. Mujer. Referencia: TR190-5110CF.</t>
        </is>
      </c>
      <c r="U573" s="156" t="n"/>
      <c r="V573" s="156" t="inlineStr">
        <is>
          <t>PZS</t>
        </is>
      </c>
      <c r="W573" s="51" t="inlineStr">
        <is>
          <t>53121600</t>
        </is>
      </c>
      <c r="X573" s="156" t="n"/>
      <c r="Y573" s="54" t="n"/>
      <c r="Z573" s="54" t="n">
        <v>909</v>
      </c>
      <c r="AA573" s="55">
        <f>IF(AND(A573="", B573="", E573=""), "", IF(AB573="", "Válido", IF((LEN(AB573)-LEN(SUBSTITUTE(AB573,"; ","")))/2+1&gt;(LEN(AB573)-LEN(SUBSTITUTE(AB573,"[Aviso]","")))/7, "Con Incidencias", "Válido")))</f>
        <v/>
      </c>
      <c r="AB573" s="56">
        <f>IF(AND(A573="", B573="", E573=""), "", TEXTJOIN("; ", TRUE, IF(OR(TRIM(A573&amp;"")="", ISNUMBER(SEARCH("FALTA", A573))), "UPC faltante/inválido", ""), IF(AND(A573&lt;&gt;"", IFERROR(_xlfn.XMATCH(A573,$A$2:$A$1063,0,1)&lt;&gt;_xlfn.XMATCH(A573,$A$2:$A$1063,0,-1),FALSE)), "Código de barras duplicado", ""), IF(AND(E573&lt;&gt;"", COUNTIF($E$2:$E$1063, E573)&gt;1), "SKU duplicado", ""), IF(OR(J573="", J573=""), "[Aviso] División no capturada ()", IF(ISNA(MATCH(J573, Criterios!$A$123:$A$126, 0)), "División no válida", "")), IF(OR(K573="", K573=""), "[Aviso] Categoría no capturada ()", IF(ISNA(MATCH(K573, Criterios!$A$81:$A$120, 0)), "Categoría no válida", IF(AND(J573&lt;&gt;"", J573&lt;&gt;"", J573&lt;&gt;VLOOKUP(K573, Criterios!$A$81:$B$120, 2, FALSE)), "División no coincide con Categoría", ""))), IF(OR(L573="", L573=""), "[Aviso] Género no capturado ()", IF(ISNA(MATCH(L573, Criterios!$B$123:$B$127, 0)), "Género no válido", "")), IF(OR(N573="", N573=""), "[Aviso] Temporada no capturada ()", IF(ISNA(MATCH(N573, Criterios!$C$123:$C$128, 0)), "Temporada no válida", "")), IF(OR(O573="", O573=""), "[Aviso] Ciclo de vida no capturado ()", IF(ISNA(MATCH(O573, Criterios!$D$123:$D$124, 0)), "Ciclo de vida no válido", ""))))</f>
        <v/>
      </c>
      <c r="AC573" s="56" t="n"/>
      <c r="AD573" s="51" t="n"/>
      <c r="AE573" s="156" t="n"/>
      <c r="AF573" s="51" t="n"/>
      <c r="AG573" s="156" t="inlineStr">
        <is>
          <t>Nuevo – Carga Hoja2 01/10/2026</t>
        </is>
      </c>
      <c r="AH573" s="156" t="inlineStr">
        <is>
          <t>Alta 01/10/2026 desde Hoja2 (fila 379); Marca original 'Trinity Ranch' (submarca de Montana West); Precio de compra en 0/vacío en origen | 01/10/2026: Odoo Universal Unique Brands trae Categoría «Bolsos», Género «Unisex» — se conservó el valor de Productos | 01/10/2026: Odoo Universal Unique Brands trae Categoría «Bolsos», Género «Unisex» — se conservó el valor de Productos | Homologación G1522 06/10/2026: Validador Shopify: WB: precio con IVA no termina en 9</t>
        </is>
      </c>
      <c r="AI573" s="156" t="n"/>
      <c r="AJ573" s="156" t="n"/>
      <c r="AK573" s="155" t="inlineStr">
        <is>
          <t>Hoja2: fila 379 | Odoo: producto 15664 / plantilla 20017 | Odoo: producto 27193 / plantilla 33893</t>
        </is>
      </c>
      <c r="AL573" s="58" t="n"/>
      <c r="AM573" s="58" t="n"/>
      <c r="AN573" s="155" t="inlineStr">
        <is>
          <t>Odoo Universal Unique Brands</t>
        </is>
      </c>
      <c r="AO573" s="59" t="n"/>
      <c r="AP573" s="59" t="n"/>
      <c r="AQ573" s="59" t="n">
        <v>30</v>
      </c>
      <c r="AR573" s="155" t="inlineStr">
        <is>
          <t>Odoo Universal Unique Brands › Bodega 25 › Bodega 25/General: 33</t>
        </is>
      </c>
    </row>
    <row r="574">
      <c r="A574" s="50" t="inlineStr">
        <is>
          <t>717325206009</t>
        </is>
      </c>
      <c r="B574" s="51" t="inlineStr">
        <is>
          <t>15653</t>
        </is>
      </c>
      <c r="C574" s="156" t="inlineStr">
        <is>
          <t>Montana West</t>
        </is>
      </c>
      <c r="D574" s="156" t="inlineStr">
        <is>
          <t>TR190-5110TN</t>
        </is>
      </c>
      <c r="E574" s="156" t="inlineStr">
        <is>
          <t>TR190-5110TN</t>
        </is>
      </c>
      <c r="F574" s="156" t="inlineStr">
        <is>
          <t>Talla única</t>
        </is>
      </c>
      <c r="G574" s="156" t="inlineStr">
        <is>
          <t>One Size</t>
        </is>
      </c>
      <c r="H574" s="156" t="inlineStr">
        <is>
          <t>Montana West</t>
        </is>
      </c>
      <c r="I574" s="156" t="inlineStr">
        <is>
          <t>Maleta Duffle Trinity Ranch Camel</t>
        </is>
      </c>
      <c r="J574" s="156" t="inlineStr">
        <is>
          <t>Accesorios</t>
        </is>
      </c>
      <c r="K574" s="156" t="inlineStr">
        <is>
          <t>Equipaje</t>
        </is>
      </c>
      <c r="L574" s="156" t="inlineStr">
        <is>
          <t>Mujer</t>
        </is>
      </c>
      <c r="M574" s="156" t="inlineStr">
        <is>
          <t>Trinity Ranch</t>
        </is>
      </c>
      <c r="N574" s="156" t="n"/>
      <c r="O574" s="156" t="inlineStr">
        <is>
          <t>Core</t>
        </is>
      </c>
      <c r="P574" s="156" t="inlineStr">
        <is>
          <t>Beige</t>
        </is>
      </c>
      <c r="Q574" s="156" t="n"/>
      <c r="R574" s="156" t="n"/>
      <c r="S574" s="156" t="n"/>
      <c r="T574" s="156" t="inlineStr">
        <is>
          <t>Maleta Duffle Trinity Ranch. Color: Camel. Talla única. Mujer. Referencia: TR190-5110TN.</t>
        </is>
      </c>
      <c r="U574" s="156" t="n"/>
      <c r="V574" s="156" t="inlineStr">
        <is>
          <t>PZS</t>
        </is>
      </c>
      <c r="W574" s="51" t="inlineStr">
        <is>
          <t>53121600</t>
        </is>
      </c>
      <c r="X574" s="156" t="n"/>
      <c r="Y574" s="54" t="n"/>
      <c r="Z574" s="54" t="n">
        <v>909</v>
      </c>
      <c r="AA574" s="55">
        <f>IF(AND(A574="", B574="", E574=""), "", IF(AB574="", "Válido", IF((LEN(AB574)-LEN(SUBSTITUTE(AB574,"; ","")))/2+1&gt;(LEN(AB574)-LEN(SUBSTITUTE(AB574,"[Aviso]","")))/7, "Con Incidencias", "Válido")))</f>
        <v/>
      </c>
      <c r="AB574" s="56">
        <f>IF(AND(A574="", B574="", E574=""), "", TEXTJOIN("; ", TRUE, IF(OR(TRIM(A574&amp;"")="", ISNUMBER(SEARCH("FALTA", A574))), "UPC faltante/inválido", ""), IF(AND(A574&lt;&gt;"", IFERROR(_xlfn.XMATCH(A574,$A$2:$A$1063,0,1)&lt;&gt;_xlfn.XMATCH(A574,$A$2:$A$1063,0,-1),FALSE)), "Código de barras duplicado", ""), IF(AND(E574&lt;&gt;"", COUNTIF($E$2:$E$1063, E574)&gt;1), "SKU duplicado", ""), IF(OR(J574="", J574=""), "[Aviso] División no capturada ()", IF(ISNA(MATCH(J574, Criterios!$A$123:$A$126, 0)), "División no válida", "")), IF(OR(K574="", K574=""), "[Aviso] Categoría no capturada ()", IF(ISNA(MATCH(K574, Criterios!$A$81:$A$120, 0)), "Categoría no válida", IF(AND(J574&lt;&gt;"", J574&lt;&gt;"", J574&lt;&gt;VLOOKUP(K574, Criterios!$A$81:$B$120, 2, FALSE)), "División no coincide con Categoría", ""))), IF(OR(L574="", L574=""), "[Aviso] Género no capturado ()", IF(ISNA(MATCH(L574, Criterios!$B$123:$B$127, 0)), "Género no válido", "")), IF(OR(N574="", N574=""), "[Aviso] Temporada no capturada ()", IF(ISNA(MATCH(N574, Criterios!$C$123:$C$128, 0)), "Temporada no válida", "")), IF(OR(O574="", O574=""), "[Aviso] Ciclo de vida no capturado ()", IF(ISNA(MATCH(O574, Criterios!$D$123:$D$124, 0)), "Ciclo de vida no válido", ""))))</f>
        <v/>
      </c>
      <c r="AC574" s="56" t="n"/>
      <c r="AD574" s="51" t="n"/>
      <c r="AE574" s="156" t="n"/>
      <c r="AF574" s="51" t="n"/>
      <c r="AG574" s="156" t="inlineStr">
        <is>
          <t>Nuevo – Carga Hoja2 01/10/2026</t>
        </is>
      </c>
      <c r="AH574" s="156" t="inlineStr">
        <is>
          <t>Alta 01/10/2026 desde Hoja2 (fila 380); Marca original 'Trinity Ranch' (submarca de Montana West); Precio de compra en 0/vacío en origen | 01/10/2026: Odoo Universal Unique Brands trae Categoría «Bolsos», Género «Unisex» — se conservó el valor de Productos | Homologación G1522 06/10/2026: Validador Shopify: WB: precio con IVA no termina en 9</t>
        </is>
      </c>
      <c r="AI574" s="156" t="n"/>
      <c r="AJ574" s="156" t="n"/>
      <c r="AK574" s="155" t="inlineStr">
        <is>
          <t>Hoja2: fila 380 | Odoo: producto 15653 / plantilla 20006</t>
        </is>
      </c>
      <c r="AL574" s="58" t="n"/>
      <c r="AM574" s="58" t="n"/>
      <c r="AN574" s="155" t="inlineStr">
        <is>
          <t>Odoo Universal Unique Brands</t>
        </is>
      </c>
      <c r="AO574" s="59" t="n"/>
      <c r="AP574" s="59" t="n"/>
      <c r="AQ574" s="59" t="n">
        <v>30</v>
      </c>
      <c r="AR574" s="155" t="inlineStr">
        <is>
          <t>Odoo Universal Unique Brands › Bodega 25 › Bodega 25/General: 30</t>
        </is>
      </c>
    </row>
    <row r="575">
      <c r="A575" s="50" t="inlineStr">
        <is>
          <t>717325224720</t>
        </is>
      </c>
      <c r="B575" s="51" t="inlineStr">
        <is>
          <t>11280</t>
        </is>
      </c>
      <c r="C575" s="156" t="inlineStr">
        <is>
          <t>Montana West</t>
        </is>
      </c>
      <c r="D575" s="156" t="inlineStr">
        <is>
          <t>TR192-1605BR</t>
        </is>
      </c>
      <c r="E575" s="156" t="inlineStr">
        <is>
          <t>TR192-1605BR</t>
        </is>
      </c>
      <c r="F575" s="156" t="inlineStr">
        <is>
          <t>Talla única</t>
        </is>
      </c>
      <c r="G575" s="156" t="inlineStr">
        <is>
          <t>One Size</t>
        </is>
      </c>
      <c r="H575" s="156" t="inlineStr">
        <is>
          <t>Montana West</t>
        </is>
      </c>
      <c r="I575" s="156" t="inlineStr">
        <is>
          <t>Bolsa Trinity Ranch Café</t>
        </is>
      </c>
      <c r="J575" s="156" t="inlineStr">
        <is>
          <t>Accesorios</t>
        </is>
      </c>
      <c r="K575" s="156" t="inlineStr">
        <is>
          <t>Bolsos</t>
        </is>
      </c>
      <c r="L575" s="156" t="inlineStr">
        <is>
          <t>Mujer</t>
        </is>
      </c>
      <c r="M575" s="156" t="inlineStr">
        <is>
          <t>Trinity Ranch</t>
        </is>
      </c>
      <c r="N575" s="156" t="n"/>
      <c r="O575" s="156" t="inlineStr">
        <is>
          <t>Core</t>
        </is>
      </c>
      <c r="P575" s="156" t="inlineStr">
        <is>
          <t>Cafe</t>
        </is>
      </c>
      <c r="Q575" s="156" t="n"/>
      <c r="R575" s="156" t="n"/>
      <c r="S575" s="156" t="n"/>
      <c r="T575" s="156" t="inlineStr">
        <is>
          <t>Bolsa Trinity Ranch. Color: Café. Talla única. Mujer. Referencia: TR192-1605BR.</t>
        </is>
      </c>
      <c r="U575" s="156" t="n"/>
      <c r="V575" s="156" t="inlineStr">
        <is>
          <t>PZS</t>
        </is>
      </c>
      <c r="W575" s="51" t="inlineStr">
        <is>
          <t>53121601</t>
        </is>
      </c>
      <c r="X575" s="156" t="inlineStr">
        <is>
          <t>https://cdn.shopify.com/s/files/1/0005/9015/1741/files/Trinity_Ranch_Floral_Tooled_Concho_Mini_Crossbody_Brown3.webp?v=1760084459</t>
        </is>
      </c>
      <c r="Y575" s="54" t="n">
        <v>418.6</v>
      </c>
      <c r="Z575" s="54" t="n">
        <v>669</v>
      </c>
      <c r="AA575" s="55">
        <f>IF(AND(A575="", B575="", E575=""), "", IF(AB575="", "Válido", IF((LEN(AB575)-LEN(SUBSTITUTE(AB575,"; ","")))/2+1&gt;(LEN(AB575)-LEN(SUBSTITUTE(AB575,"[Aviso]","")))/7, "Con Incidencias", "Válido")))</f>
        <v/>
      </c>
      <c r="AB575" s="56">
        <f>IF(AND(A575="", B575="", E575=""), "", TEXTJOIN("; ", TRUE, IF(OR(TRIM(A575&amp;"")="", ISNUMBER(SEARCH("FALTA", A575))), "UPC faltante/inválido", ""), IF(AND(A575&lt;&gt;"", IFERROR(_xlfn.XMATCH(A575,$A$2:$A$1063,0,1)&lt;&gt;_xlfn.XMATCH(A575,$A$2:$A$1063,0,-1),FALSE)), "Código de barras duplicado", ""), IF(AND(E575&lt;&gt;"", COUNTIF($E$2:$E$1063, E575)&gt;1), "SKU duplicado", ""), IF(OR(J575="", J575=""), "[Aviso] División no capturada ()", IF(ISNA(MATCH(J575, Criterios!$A$123:$A$126, 0)), "División no válida", "")), IF(OR(K575="", K575=""), "[Aviso] Categoría no capturada ()", IF(ISNA(MATCH(K575, Criterios!$A$81:$A$120, 0)), "Categoría no válida", IF(AND(J575&lt;&gt;"", J575&lt;&gt;"", J575&lt;&gt;VLOOKUP(K575, Criterios!$A$81:$B$120, 2, FALSE)), "División no coincide con Categoría", ""))), IF(OR(L575="", L575=""), "[Aviso] Género no capturado ()", IF(ISNA(MATCH(L575, Criterios!$B$123:$B$127, 0)), "Género no válido", "")), IF(OR(N575="", N575=""), "[Aviso] Temporada no capturada ()", IF(ISNA(MATCH(N575, Criterios!$C$123:$C$128, 0)), "Temporada no válida", "")), IF(OR(O575="", O575=""), "[Aviso] Ciclo de vida no capturado ()", IF(ISNA(MATCH(O575, Criterios!$D$123:$D$124, 0)), "Ciclo de vida no válido", ""))))</f>
        <v/>
      </c>
      <c r="AC575" s="56" t="n"/>
      <c r="AD575" s="51" t="n"/>
      <c r="AE575" s="156" t="n"/>
      <c r="AF575" s="51" t="n"/>
      <c r="AG575" s="156" t="inlineStr">
        <is>
          <t>Nuevo – Carga Hoja2 01/10/2026</t>
        </is>
      </c>
      <c r="AH575" s="156" t="inlineStr">
        <is>
          <t>Alta 01/10/2026 desde Hoja2 (fila 383); Marca original 'Trinity Ranch' (submarca de Montana West) | 01/10/2026: Odoo Universal Unique Brands trae Género «Unisex» — se conservó el valor de Productos | 01/10/2026: Odoo Universal Unique Brands trae Género «Unisex» — se conservó el valor de Productos | Homologación G1522 06/10/2026: Enlace de imagen: «» → «https://cdn.shopify.com/s/files/1/0005/9015/1741/files/Trinity_Ranch_Floral_Tooled_Concho_Mini_Crossbody_Brown3.webp?v=1760084459» (Completado por investigación en línea) · Validador Shopify: WB: precio con IVA no termina en 9</t>
        </is>
      </c>
      <c r="AI575" s="156" t="n"/>
      <c r="AJ575" s="156" t="n"/>
      <c r="AK575" s="155" t="inlineStr">
        <is>
          <t>Hoja2: fila 383 | Odoo: producto 11280 / plantilla 14715 | Odoo: producto 27198 / plantilla 33898 | Investigación en línea 06/10/2026: https://montanawestworld.com/products/trinity-ranch-floral-tooled-concho-mini-crossbody</t>
        </is>
      </c>
      <c r="AL575" s="58" t="n"/>
      <c r="AM575" s="58" t="n"/>
      <c r="AN575" s="155" t="inlineStr">
        <is>
          <t>Odoo Universal Unique Brands</t>
        </is>
      </c>
      <c r="AO575" s="59" t="n"/>
      <c r="AP575" s="59" t="n"/>
      <c r="AQ575" s="59" t="n">
        <v>50</v>
      </c>
      <c r="AR575" s="155" t="inlineStr">
        <is>
          <t>Odoo Universal Unique Brands › Bodega 25 › Bodega 25/General: 51</t>
        </is>
      </c>
    </row>
    <row r="576">
      <c r="A576" s="50" t="inlineStr">
        <is>
          <t>717325224775</t>
        </is>
      </c>
      <c r="B576" s="51" t="inlineStr">
        <is>
          <t>15646</t>
        </is>
      </c>
      <c r="C576" s="156" t="inlineStr">
        <is>
          <t>Montana West</t>
        </is>
      </c>
      <c r="D576" s="156" t="inlineStr">
        <is>
          <t>TR192-1605JN</t>
        </is>
      </c>
      <c r="E576" s="156" t="inlineStr">
        <is>
          <t>TR192-1605JN</t>
        </is>
      </c>
      <c r="F576" s="156" t="inlineStr">
        <is>
          <t>Talla única</t>
        </is>
      </c>
      <c r="G576" s="156" t="inlineStr">
        <is>
          <t>One Size</t>
        </is>
      </c>
      <c r="H576" s="156" t="inlineStr">
        <is>
          <t>Montana West</t>
        </is>
      </c>
      <c r="I576" s="156" t="inlineStr">
        <is>
          <t>Bolsa Trinity Ranch Mezclilla</t>
        </is>
      </c>
      <c r="J576" s="156" t="inlineStr">
        <is>
          <t>Accesorios</t>
        </is>
      </c>
      <c r="K576" s="156" t="inlineStr">
        <is>
          <t>Bolsos</t>
        </is>
      </c>
      <c r="L576" s="156" t="inlineStr">
        <is>
          <t>Mujer</t>
        </is>
      </c>
      <c r="M576" s="156" t="inlineStr">
        <is>
          <t>Trinity Ranch</t>
        </is>
      </c>
      <c r="N576" s="156" t="n"/>
      <c r="O576" s="156" t="inlineStr">
        <is>
          <t>Core</t>
        </is>
      </c>
      <c r="P576" s="156" t="inlineStr">
        <is>
          <t>Varios</t>
        </is>
      </c>
      <c r="Q576" s="156" t="n"/>
      <c r="R576" s="156" t="n"/>
      <c r="S576" s="156" t="n"/>
      <c r="T576" s="156" t="inlineStr">
        <is>
          <t>Bolsa Trinity Ranch. Color: Mezclilla. Talla única. Mujer. Referencia: TR192-1605JN.</t>
        </is>
      </c>
      <c r="U576" s="156" t="n"/>
      <c r="V576" s="156" t="inlineStr">
        <is>
          <t>PZS</t>
        </is>
      </c>
      <c r="W576" s="51" t="inlineStr">
        <is>
          <t>53121601</t>
        </is>
      </c>
      <c r="X576" s="156" t="inlineStr">
        <is>
          <t>https://cdn.shopify.com/s/files/1/0005/9015/1741/files/Trinity_Ranch_Floral_Tooled_Concho_Mini_Crossbody_Jean3.webp?v=1760084459</t>
        </is>
      </c>
      <c r="Y576" s="54" t="n"/>
      <c r="Z576" s="54" t="n">
        <v>579</v>
      </c>
      <c r="AA576" s="55">
        <f>IF(AND(A576="", B576="", E576=""), "", IF(AB576="", "Válido", IF((LEN(AB576)-LEN(SUBSTITUTE(AB576,"; ","")))/2+1&gt;(LEN(AB576)-LEN(SUBSTITUTE(AB576,"[Aviso]","")))/7, "Con Incidencias", "Válido")))</f>
        <v/>
      </c>
      <c r="AB576" s="56">
        <f>IF(AND(A576="", B576="", E576=""), "", TEXTJOIN("; ", TRUE, IF(OR(TRIM(A576&amp;"")="", ISNUMBER(SEARCH("FALTA", A576))), "UPC faltante/inválido", ""), IF(AND(A576&lt;&gt;"", IFERROR(_xlfn.XMATCH(A576,$A$2:$A$1063,0,1)&lt;&gt;_xlfn.XMATCH(A576,$A$2:$A$1063,0,-1),FALSE)), "Código de barras duplicado", ""), IF(AND(E576&lt;&gt;"", COUNTIF($E$2:$E$1063, E576)&gt;1), "SKU duplicado", ""), IF(OR(J576="", J576=""), "[Aviso] División no capturada ()", IF(ISNA(MATCH(J576, Criterios!$A$123:$A$126, 0)), "División no válida", "")), IF(OR(K576="", K576=""), "[Aviso] Categoría no capturada ()", IF(ISNA(MATCH(K576, Criterios!$A$81:$A$120, 0)), "Categoría no válida", IF(AND(J576&lt;&gt;"", J576&lt;&gt;"", J576&lt;&gt;VLOOKUP(K576, Criterios!$A$81:$B$120, 2, FALSE)), "División no coincide con Categoría", ""))), IF(OR(L576="", L576=""), "[Aviso] Género no capturado ()", IF(ISNA(MATCH(L576, Criterios!$B$123:$B$127, 0)), "Género no válido", "")), IF(OR(N576="", N576=""), "[Aviso] Temporada no capturada ()", IF(ISNA(MATCH(N576, Criterios!$C$123:$C$128, 0)), "Temporada no válida", "")), IF(OR(O576="", O576=""), "[Aviso] Ciclo de vida no capturado ()", IF(ISNA(MATCH(O576, Criterios!$D$123:$D$124, 0)), "Ciclo de vida no válido", ""))))</f>
        <v/>
      </c>
      <c r="AC576" s="56" t="n"/>
      <c r="AD576" s="51" t="n"/>
      <c r="AE576" s="156" t="n"/>
      <c r="AF576" s="51" t="n"/>
      <c r="AG576" s="156" t="inlineStr">
        <is>
          <t>Nuevo – Carga Hoja2 01/10/2026</t>
        </is>
      </c>
      <c r="AH576" s="156" t="inlineStr">
        <is>
          <t>Alta 01/10/2026 desde Hoja2 (fila 384); Marca original 'Trinity Ranch' (submarca de Montana West); Precio de compra en 0/vacío en origen | 01/10/2026: Odoo Universal Unique Brands trae Género «Unisex» — se conservó el valor de Productos | 01/10/2026: Odoo Universal Unique Brands trae Género «Unisex» — se conservó el valor de Productos | Homologación G1522 06/10/2026: Enlace de imagen: «» → «https://cdn.shopify.com/s/files/1/0005/9015/1741/files/Trinity_Ranch_Floral_Tooled_Concho_Mini_Crossbody_Jean3.webp?v=1760084459» (Completado por investigación en línea) · Validador Shopify: WB: precio con IVA no termina en 9</t>
        </is>
      </c>
      <c r="AI576" s="156" t="n"/>
      <c r="AJ576" s="156" t="n"/>
      <c r="AK576" s="155" t="inlineStr">
        <is>
          <t>Hoja2: fila 384 | Odoo: producto 15646 / plantilla 19999 | Odoo: producto 27199 / plantilla 33899 | Investigación en línea 06/10/2026: https://montanawestworld.com/products/trinity-ranch-floral-tooled-concho-mini-crossbody</t>
        </is>
      </c>
      <c r="AL576" s="58" t="n"/>
      <c r="AM576" s="58" t="n"/>
      <c r="AN576" s="155" t="inlineStr">
        <is>
          <t>Odoo Universal Unique Brands</t>
        </is>
      </c>
      <c r="AO576" s="59" t="n"/>
      <c r="AP576" s="59" t="n"/>
      <c r="AQ576" s="59" t="n">
        <v>33</v>
      </c>
      <c r="AR576" s="155" t="inlineStr">
        <is>
          <t>Odoo Universal Unique Brands › Bodega 25 › Bodega 25/General: 33</t>
        </is>
      </c>
    </row>
    <row r="577">
      <c r="A577" s="50" t="inlineStr">
        <is>
          <t>717325224713</t>
        </is>
      </c>
      <c r="B577" s="51" t="inlineStr">
        <is>
          <t>11279</t>
        </is>
      </c>
      <c r="C577" s="156" t="inlineStr">
        <is>
          <t>Montana West</t>
        </is>
      </c>
      <c r="D577" s="156" t="inlineStr">
        <is>
          <t>TR192-1605LBR</t>
        </is>
      </c>
      <c r="E577" s="156" t="inlineStr">
        <is>
          <t>TR192-1605LBR</t>
        </is>
      </c>
      <c r="F577" s="156" t="inlineStr">
        <is>
          <t>Talla única</t>
        </is>
      </c>
      <c r="G577" s="156" t="inlineStr">
        <is>
          <t>One Size</t>
        </is>
      </c>
      <c r="H577" s="156" t="inlineStr">
        <is>
          <t>Montana West</t>
        </is>
      </c>
      <c r="I577" s="156" t="inlineStr">
        <is>
          <t>Bolsa Trinity Ranch Leopardo Café</t>
        </is>
      </c>
      <c r="J577" s="156" t="inlineStr">
        <is>
          <t>Accesorios</t>
        </is>
      </c>
      <c r="K577" s="156" t="inlineStr">
        <is>
          <t>Bolsos</t>
        </is>
      </c>
      <c r="L577" s="156" t="inlineStr">
        <is>
          <t>Mujer</t>
        </is>
      </c>
      <c r="M577" s="156" t="inlineStr">
        <is>
          <t>Trinity Ranch</t>
        </is>
      </c>
      <c r="N577" s="156" t="n"/>
      <c r="O577" s="156" t="inlineStr">
        <is>
          <t>Core</t>
        </is>
      </c>
      <c r="P577" s="156" t="inlineStr">
        <is>
          <t>Cafe</t>
        </is>
      </c>
      <c r="Q577" s="156" t="n"/>
      <c r="R577" s="156" t="n"/>
      <c r="S577" s="156" t="n"/>
      <c r="T577" s="156" t="inlineStr">
        <is>
          <t>Bolsa Trinity Ranch. Color: Leopardo Café. Talla única. Mujer. Referencia: TR192-1605LBR.</t>
        </is>
      </c>
      <c r="U577" s="156" t="n"/>
      <c r="V577" s="156" t="inlineStr">
        <is>
          <t>PZS</t>
        </is>
      </c>
      <c r="W577" s="51" t="inlineStr">
        <is>
          <t>53121601</t>
        </is>
      </c>
      <c r="X577" s="156" t="inlineStr">
        <is>
          <t>https://cdn.shopify.com/s/files/1/0005/9015/1741/files/Trinity_Ranch_Floral_Tooled_Concho_Mini_Crossbody_Light_Brown3.webp?v=1760084459</t>
        </is>
      </c>
      <c r="Y577" s="54" t="n">
        <v>418.6</v>
      </c>
      <c r="Z577" s="54" t="n">
        <v>669</v>
      </c>
      <c r="AA577" s="55">
        <f>IF(AND(A577="", B577="", E577=""), "", IF(AB577="", "Válido", IF((LEN(AB577)-LEN(SUBSTITUTE(AB577,"; ","")))/2+1&gt;(LEN(AB577)-LEN(SUBSTITUTE(AB577,"[Aviso]","")))/7, "Con Incidencias", "Válido")))</f>
        <v/>
      </c>
      <c r="AB577" s="56">
        <f>IF(AND(A577="", B577="", E577=""), "", TEXTJOIN("; ", TRUE, IF(OR(TRIM(A577&amp;"")="", ISNUMBER(SEARCH("FALTA", A577))), "UPC faltante/inválido", ""), IF(AND(A577&lt;&gt;"", IFERROR(_xlfn.XMATCH(A577,$A$2:$A$1063,0,1)&lt;&gt;_xlfn.XMATCH(A577,$A$2:$A$1063,0,-1),FALSE)), "Código de barras duplicado", ""), IF(AND(E577&lt;&gt;"", COUNTIF($E$2:$E$1063, E577)&gt;1), "SKU duplicado", ""), IF(OR(J577="", J577=""), "[Aviso] División no capturada ()", IF(ISNA(MATCH(J577, Criterios!$A$123:$A$126, 0)), "División no válida", "")), IF(OR(K577="", K577=""), "[Aviso] Categoría no capturada ()", IF(ISNA(MATCH(K577, Criterios!$A$81:$A$120, 0)), "Categoría no válida", IF(AND(J577&lt;&gt;"", J577&lt;&gt;"", J577&lt;&gt;VLOOKUP(K577, Criterios!$A$81:$B$120, 2, FALSE)), "División no coincide con Categoría", ""))), IF(OR(L577="", L577=""), "[Aviso] Género no capturado ()", IF(ISNA(MATCH(L577, Criterios!$B$123:$B$127, 0)), "Género no válido", "")), IF(OR(N577="", N577=""), "[Aviso] Temporada no capturada ()", IF(ISNA(MATCH(N577, Criterios!$C$123:$C$128, 0)), "Temporada no válida", "")), IF(OR(O577="", O577=""), "[Aviso] Ciclo de vida no capturado ()", IF(ISNA(MATCH(O577, Criterios!$D$123:$D$124, 0)), "Ciclo de vida no válido", ""))))</f>
        <v/>
      </c>
      <c r="AC577" s="56" t="n"/>
      <c r="AD577" s="51" t="n"/>
      <c r="AE577" s="156" t="n"/>
      <c r="AF577" s="51" t="n"/>
      <c r="AG577" s="156" t="inlineStr">
        <is>
          <t>Nuevo – Carga Hoja2 01/10/2026</t>
        </is>
      </c>
      <c r="AH577" s="156" t="inlineStr">
        <is>
          <t>Alta 01/10/2026 desde Hoja2 (fila 385); Marca original 'Trinity Ranch' (submarca de Montana West) | 01/10/2026: Odoo Universal Unique Brands trae Género «Unisex» — se conservó el valor de Productos | Homologación G1522 06/10/2026: Enlace de imagen: «» → «https://cdn.shopify.com/s/files/1/0005/9015/1741/files/Trinity_Ranch_Floral_Tooled_Concho_Mini_Crossbody_Light_Brown3.webp?v=1760084459» (Completado por investigación en línea) · Validador Shopify: WB: precio con IVA no termina en 9</t>
        </is>
      </c>
      <c r="AI577" s="156" t="n"/>
      <c r="AJ577" s="156" t="n"/>
      <c r="AK577" s="155" t="inlineStr">
        <is>
          <t>Hoja2: fila 385 | Odoo: producto 11279 / plantilla 14714 | Investigación en línea 06/10/2026: https://montanawestworld.com/products/trinity-ranch-floral-tooled-concho-mini-crossbody</t>
        </is>
      </c>
      <c r="AL577" s="58" t="n"/>
      <c r="AM577" s="58" t="n"/>
      <c r="AN577" s="155" t="inlineStr">
        <is>
          <t>Odoo Universal Unique Brands</t>
        </is>
      </c>
      <c r="AO577" s="59" t="n"/>
      <c r="AP577" s="59" t="n"/>
      <c r="AQ577" s="59" t="n">
        <v>22</v>
      </c>
      <c r="AR577" s="155" t="inlineStr">
        <is>
          <t>Odoo Universal Unique Brands › Bodega 25 › Bodega 25/General: 22</t>
        </is>
      </c>
    </row>
    <row r="578">
      <c r="A578" s="50" t="inlineStr">
        <is>
          <t>717325224744</t>
        </is>
      </c>
      <c r="B578" s="51" t="inlineStr">
        <is>
          <t>11278</t>
        </is>
      </c>
      <c r="C578" s="156" t="inlineStr">
        <is>
          <t>Montana West</t>
        </is>
      </c>
      <c r="D578" s="156" t="n"/>
      <c r="E578" s="156" t="inlineStr">
        <is>
          <t>TR192-1605TN</t>
        </is>
      </c>
      <c r="F578" s="156" t="inlineStr">
        <is>
          <t>Talla única</t>
        </is>
      </c>
      <c r="G578" s="156" t="inlineStr">
        <is>
          <t>One Size</t>
        </is>
      </c>
      <c r="H578" s="156" t="inlineStr">
        <is>
          <t>Montana West</t>
        </is>
      </c>
      <c r="I578" s="156" t="inlineStr">
        <is>
          <t>TRINITY RANCH TR192-1605</t>
        </is>
      </c>
      <c r="J578" s="156" t="inlineStr">
        <is>
          <t>Accesorios</t>
        </is>
      </c>
      <c r="K578" s="156" t="inlineStr">
        <is>
          <t>Bolsos</t>
        </is>
      </c>
      <c r="L578" s="156" t="inlineStr">
        <is>
          <t>Unisex</t>
        </is>
      </c>
      <c r="M578" s="156" t="n"/>
      <c r="N578" s="156" t="n"/>
      <c r="O578" s="156" t="n"/>
      <c r="P578" s="156" t="inlineStr">
        <is>
          <t>Beige</t>
        </is>
      </c>
      <c r="Q578" s="156" t="n"/>
      <c r="R578" s="156" t="n"/>
      <c r="S578" s="156" t="n"/>
      <c r="T578" s="156" t="n"/>
      <c r="U578" s="156" t="n"/>
      <c r="V578" s="156" t="inlineStr">
        <is>
          <t>PZS</t>
        </is>
      </c>
      <c r="W578" s="51" t="inlineStr">
        <is>
          <t>53121601</t>
        </is>
      </c>
      <c r="X578" s="156" t="inlineStr">
        <is>
          <t>https://cdn.shopify.com/s/files/1/0005/9015/1741/files/Trinity_Ranch_Floral_Tooled_Concho_Mini_Crossbody_Tan.webp?v=1752041453</t>
        </is>
      </c>
      <c r="Y578" s="54" t="n">
        <v>418.6</v>
      </c>
      <c r="Z578" s="54" t="n">
        <v>669</v>
      </c>
      <c r="AA578" s="55">
        <f>IF(AND(A578="", B578="", E578=""), "", IF(AB578="", "Válido", IF((LEN(AB578)-LEN(SUBSTITUTE(AB578,"; ","")))/2+1&gt;(LEN(AB578)-LEN(SUBSTITUTE(AB578,"[Aviso]","")))/7, "Con Incidencias", "Válido")))</f>
        <v/>
      </c>
      <c r="AB578" s="56">
        <f>IF(AND(A578="", B578="", E578=""), "", TEXTJOIN("; ", TRUE, IF(OR(TRIM(A578&amp;"")="", ISNUMBER(SEARCH("FALTA", A578))), "UPC faltante/inválido", ""), IF(AND(A578&lt;&gt;"", IFERROR(_xlfn.XMATCH(A578,$A$2:$A$1063,0,1)&lt;&gt;_xlfn.XMATCH(A578,$A$2:$A$1063,0,-1),FALSE)), "Código de barras duplicado", ""), IF(AND(E578&lt;&gt;"", COUNTIF($E$2:$E$1063, E578)&gt;1), "SKU duplicado", ""), IF(OR(J578="", J578=""), "[Aviso] División no capturada ()", IF(ISNA(MATCH(J578, Criterios!$A$123:$A$126, 0)), "División no válida", "")), IF(OR(K578="", K578=""), "[Aviso] Categoría no capturada ()", IF(ISNA(MATCH(K578, Criterios!$A$81:$A$120, 0)), "Categoría no válida", IF(AND(J578&lt;&gt;"", J578&lt;&gt;"", J578&lt;&gt;VLOOKUP(K578, Criterios!$A$81:$B$120, 2, FALSE)), "División no coincide con Categoría", ""))), IF(OR(L578="", L578=""), "[Aviso] Género no capturado ()", IF(ISNA(MATCH(L578, Criterios!$B$123:$B$127, 0)), "Género no válido", "")), IF(OR(N578="", N578=""), "[Aviso] Temporada no capturada ()", IF(ISNA(MATCH(N578, Criterios!$C$123:$C$128, 0)), "Temporada no válida", "")), IF(OR(O578="", O578=""), "[Aviso] Ciclo de vida no capturado ()", IF(ISNA(MATCH(O578, Criterios!$D$123:$D$124, 0)), "Ciclo de vida no válido", ""))))</f>
        <v/>
      </c>
      <c r="AC578" s="56" t="n"/>
      <c r="AD578" s="51" t="n"/>
      <c r="AE578" s="156" t="n"/>
      <c r="AF578" s="51" t="n"/>
      <c r="AG578" s="156" t="inlineStr">
        <is>
          <t>Nuevo – Carga Hoja2 01/10/2026</t>
        </is>
      </c>
      <c r="AH578" s="156" t="inlineStr">
        <is>
          <t>Alta 01/10/2026 desde Hoja2 (fila 386); Marca original 'Trinity Ranch' (submarca de Montana West) | 01/10/2026: complementado desde Odoo Universal Unique Brands (match por código de barras): WB Talla, WB Talla de EE. UU., WB Género | Homologación G1522 06/10/2026: Enlace de imagen: «» → «https://cdn.shopify.com/s/files/1/0005/9015/1741/files/Trinity_Ranch_Floral_Tooled_Concho_Mini_Crossbody_Tan.webp?v=1752041453» (Completado por investigación en línea) · WB Color: «» → «Beige» (Completado por investigación en línea) · Validación G1522: Falta estilo · Validador NetSuite / Odoo: V6: falta estilo · Validador Shopify: V6: falta estilo; WB: precio con IVA no termina en 9</t>
        </is>
      </c>
      <c r="AI578" s="156" t="n"/>
      <c r="AJ578" s="156" t="n"/>
      <c r="AK578" s="155" t="inlineStr">
        <is>
          <t>Hoja2: fila 386 | Odoo: producto 11278 / plantilla 14713 | Investigación en línea 06/10/2026: https://montanawestworld.com/products/trinity-ranch-floral-tooled-concho-mini-crossbody</t>
        </is>
      </c>
      <c r="AL578" s="58" t="n"/>
      <c r="AM578" s="58" t="n"/>
      <c r="AN578" s="155" t="inlineStr">
        <is>
          <t>Odoo Universal Unique Brands</t>
        </is>
      </c>
      <c r="AO578" s="59" t="n"/>
      <c r="AP578" s="59" t="n"/>
      <c r="AQ578" s="59" t="n">
        <v>192</v>
      </c>
      <c r="AR578" s="155" t="inlineStr">
        <is>
          <t>Odoo Universal Unique Brands › Bodega 25 › Bodega 25/General: 192</t>
        </is>
      </c>
    </row>
    <row r="579">
      <c r="A579" s="50" t="inlineStr">
        <is>
          <t>717325230820</t>
        </is>
      </c>
      <c r="B579" s="51" t="inlineStr">
        <is>
          <t>15657</t>
        </is>
      </c>
      <c r="C579" s="156" t="inlineStr">
        <is>
          <t>Montana West</t>
        </is>
      </c>
      <c r="D579" s="156" t="inlineStr">
        <is>
          <t>TR192-8800BR</t>
        </is>
      </c>
      <c r="E579" s="156" t="inlineStr">
        <is>
          <t>TR192-8800BR</t>
        </is>
      </c>
      <c r="F579" s="156" t="inlineStr">
        <is>
          <t>Talla única</t>
        </is>
      </c>
      <c r="G579" s="156" t="inlineStr">
        <is>
          <t>One Size</t>
        </is>
      </c>
      <c r="H579" s="156" t="inlineStr">
        <is>
          <t>Montana West</t>
        </is>
      </c>
      <c r="I579" s="156" t="inlineStr">
        <is>
          <t>Bolsa Mini Trinity Ranch Café</t>
        </is>
      </c>
      <c r="J579" s="156" t="inlineStr">
        <is>
          <t>Accesorios</t>
        </is>
      </c>
      <c r="K579" s="156" t="inlineStr">
        <is>
          <t>Bolsos</t>
        </is>
      </c>
      <c r="L579" s="156" t="inlineStr">
        <is>
          <t>Mujer</t>
        </is>
      </c>
      <c r="M579" s="156" t="inlineStr">
        <is>
          <t>Trinity Ranch</t>
        </is>
      </c>
      <c r="N579" s="156" t="n"/>
      <c r="O579" s="156" t="inlineStr">
        <is>
          <t>Core</t>
        </is>
      </c>
      <c r="P579" s="156" t="inlineStr">
        <is>
          <t>Cafe</t>
        </is>
      </c>
      <c r="Q579" s="156" t="n"/>
      <c r="R579" s="156" t="n"/>
      <c r="S579" s="156" t="n"/>
      <c r="T579" s="156" t="inlineStr">
        <is>
          <t>Bolsa Mini Trinity Ranch. Color: Café. Talla única. Mujer. Referencia: TR192-8800BR.</t>
        </is>
      </c>
      <c r="U579" s="156" t="n"/>
      <c r="V579" s="156" t="inlineStr">
        <is>
          <t>PZS</t>
        </is>
      </c>
      <c r="W579" s="51" t="inlineStr">
        <is>
          <t>53121601</t>
        </is>
      </c>
      <c r="X579" s="156" t="n"/>
      <c r="Y579" s="54" t="n"/>
      <c r="Z579" s="54" t="n">
        <v>599</v>
      </c>
      <c r="AA579" s="55">
        <f>IF(AND(A579="", B579="", E579=""), "", IF(AB579="", "Válido", IF((LEN(AB579)-LEN(SUBSTITUTE(AB579,"; ","")))/2+1&gt;(LEN(AB579)-LEN(SUBSTITUTE(AB579,"[Aviso]","")))/7, "Con Incidencias", "Válido")))</f>
        <v/>
      </c>
      <c r="AB579" s="56">
        <f>IF(AND(A579="", B579="", E579=""), "", TEXTJOIN("; ", TRUE, IF(OR(TRIM(A579&amp;"")="", ISNUMBER(SEARCH("FALTA", A579))), "UPC faltante/inválido", ""), IF(AND(A579&lt;&gt;"", IFERROR(_xlfn.XMATCH(A579,$A$2:$A$1063,0,1)&lt;&gt;_xlfn.XMATCH(A579,$A$2:$A$1063,0,-1),FALSE)), "Código de barras duplicado", ""), IF(AND(E579&lt;&gt;"", COUNTIF($E$2:$E$1063, E579)&gt;1), "SKU duplicado", ""), IF(OR(J579="", J579=""), "[Aviso] División no capturada ()", IF(ISNA(MATCH(J579, Criterios!$A$123:$A$126, 0)), "División no válida", "")), IF(OR(K579="", K579=""), "[Aviso] Categoría no capturada ()", IF(ISNA(MATCH(K579, Criterios!$A$81:$A$120, 0)), "Categoría no válida", IF(AND(J579&lt;&gt;"", J579&lt;&gt;"", J579&lt;&gt;VLOOKUP(K579, Criterios!$A$81:$B$120, 2, FALSE)), "División no coincide con Categoría", ""))), IF(OR(L579="", L579=""), "[Aviso] Género no capturado ()", IF(ISNA(MATCH(L579, Criterios!$B$123:$B$127, 0)), "Género no válido", "")), IF(OR(N579="", N579=""), "[Aviso] Temporada no capturada ()", IF(ISNA(MATCH(N579, Criterios!$C$123:$C$128, 0)), "Temporada no válida", "")), IF(OR(O579="", O579=""), "[Aviso] Ciclo de vida no capturado ()", IF(ISNA(MATCH(O579, Criterios!$D$123:$D$124, 0)), "Ciclo de vida no válido", ""))))</f>
        <v/>
      </c>
      <c r="AC579" s="56" t="n"/>
      <c r="AD579" s="51" t="n"/>
      <c r="AE579" s="156" t="n"/>
      <c r="AF579" s="51" t="n"/>
      <c r="AG579" s="156" t="inlineStr">
        <is>
          <t>Nuevo – Carga Hoja2 01/10/2026</t>
        </is>
      </c>
      <c r="AH579" s="156" t="inlineStr">
        <is>
          <t>Alta 01/10/2026 desde Hoja2 (fila 387); Marca original 'Trinity Ranch' (submarca de Montana West); Precio de compra en 0/vacío en origen | 01/10/2026: Odoo Universal Unique Brands trae Género «Unisex» — se conservó el valor de Productos | Homologación G1522 06/10/2026: Validador Shopify: WB: precio con IVA no termina en 9</t>
        </is>
      </c>
      <c r="AI579" s="156" t="n"/>
      <c r="AJ579" s="156" t="n"/>
      <c r="AK579" s="155" t="inlineStr">
        <is>
          <t>Hoja2: fila 387 | Odoo: producto 15657 / plantilla 20010</t>
        </is>
      </c>
      <c r="AL579" s="58" t="n"/>
      <c r="AM579" s="58" t="n"/>
      <c r="AN579" s="155" t="inlineStr">
        <is>
          <t>Odoo Universal Unique Brands</t>
        </is>
      </c>
      <c r="AO579" s="59" t="n"/>
      <c r="AP579" s="59" t="n"/>
      <c r="AQ579" s="59" t="n">
        <v>15</v>
      </c>
      <c r="AR579" s="155" t="inlineStr">
        <is>
          <t>Odoo Universal Unique Brands › Bodega 25 › Bodega 25/General: 15</t>
        </is>
      </c>
    </row>
    <row r="580">
      <c r="A580" s="50" t="inlineStr">
        <is>
          <t>717325230813</t>
        </is>
      </c>
      <c r="B580" s="51" t="inlineStr">
        <is>
          <t>15621</t>
        </is>
      </c>
      <c r="C580" s="156" t="inlineStr">
        <is>
          <t>Montana West</t>
        </is>
      </c>
      <c r="D580" s="156" t="inlineStr">
        <is>
          <t>TR192-8800TN</t>
        </is>
      </c>
      <c r="E580" s="156" t="inlineStr">
        <is>
          <t>TR192-8800TN</t>
        </is>
      </c>
      <c r="F580" s="156" t="inlineStr">
        <is>
          <t>Talla única</t>
        </is>
      </c>
      <c r="G580" s="156" t="inlineStr">
        <is>
          <t>One Size</t>
        </is>
      </c>
      <c r="H580" s="156" t="inlineStr">
        <is>
          <t>Montana West</t>
        </is>
      </c>
      <c r="I580" s="156" t="inlineStr">
        <is>
          <t>Bolsa Mini Trinity Ranch Camel</t>
        </is>
      </c>
      <c r="J580" s="156" t="inlineStr">
        <is>
          <t>Accesorios</t>
        </is>
      </c>
      <c r="K580" s="156" t="inlineStr">
        <is>
          <t>Bolsos</t>
        </is>
      </c>
      <c r="L580" s="156" t="inlineStr">
        <is>
          <t>Mujer</t>
        </is>
      </c>
      <c r="M580" s="156" t="inlineStr">
        <is>
          <t>Trinity Ranch</t>
        </is>
      </c>
      <c r="N580" s="156" t="n"/>
      <c r="O580" s="156" t="inlineStr">
        <is>
          <t>Core</t>
        </is>
      </c>
      <c r="P580" s="156" t="inlineStr">
        <is>
          <t>Beige</t>
        </is>
      </c>
      <c r="Q580" s="156" t="n"/>
      <c r="R580" s="156" t="n"/>
      <c r="S580" s="156" t="n"/>
      <c r="T580" s="156" t="inlineStr">
        <is>
          <t>Bolsa Mini Trinity Ranch. Color: Camel. Talla única. Mujer. Referencia: TR192-8800TN.</t>
        </is>
      </c>
      <c r="U580" s="156" t="n"/>
      <c r="V580" s="156" t="inlineStr">
        <is>
          <t>PZS</t>
        </is>
      </c>
      <c r="W580" s="51" t="inlineStr">
        <is>
          <t>53121601</t>
        </is>
      </c>
      <c r="X580" s="156" t="n"/>
      <c r="Y580" s="54" t="n"/>
      <c r="Z580" s="54" t="n">
        <v>599</v>
      </c>
      <c r="AA580" s="55">
        <f>IF(AND(A580="", B580="", E580=""), "", IF(AB580="", "Válido", IF((LEN(AB580)-LEN(SUBSTITUTE(AB580,"; ","")))/2+1&gt;(LEN(AB580)-LEN(SUBSTITUTE(AB580,"[Aviso]","")))/7, "Con Incidencias", "Válido")))</f>
        <v/>
      </c>
      <c r="AB580" s="56">
        <f>IF(AND(A580="", B580="", E580=""), "", TEXTJOIN("; ", TRUE, IF(OR(TRIM(A580&amp;"")="", ISNUMBER(SEARCH("FALTA", A580))), "UPC faltante/inválido", ""), IF(AND(A580&lt;&gt;"", IFERROR(_xlfn.XMATCH(A580,$A$2:$A$1063,0,1)&lt;&gt;_xlfn.XMATCH(A580,$A$2:$A$1063,0,-1),FALSE)), "Código de barras duplicado", ""), IF(AND(E580&lt;&gt;"", COUNTIF($E$2:$E$1063, E580)&gt;1), "SKU duplicado", ""), IF(OR(J580="", J580=""), "[Aviso] División no capturada ()", IF(ISNA(MATCH(J580, Criterios!$A$123:$A$126, 0)), "División no válida", "")), IF(OR(K580="", K580=""), "[Aviso] Categoría no capturada ()", IF(ISNA(MATCH(K580, Criterios!$A$81:$A$120, 0)), "Categoría no válida", IF(AND(J580&lt;&gt;"", J580&lt;&gt;"", J580&lt;&gt;VLOOKUP(K580, Criterios!$A$81:$B$120, 2, FALSE)), "División no coincide con Categoría", ""))), IF(OR(L580="", L580=""), "[Aviso] Género no capturado ()", IF(ISNA(MATCH(L580, Criterios!$B$123:$B$127, 0)), "Género no válido", "")), IF(OR(N580="", N580=""), "[Aviso] Temporada no capturada ()", IF(ISNA(MATCH(N580, Criterios!$C$123:$C$128, 0)), "Temporada no válida", "")), IF(OR(O580="", O580=""), "[Aviso] Ciclo de vida no capturado ()", IF(ISNA(MATCH(O580, Criterios!$D$123:$D$124, 0)), "Ciclo de vida no válido", ""))))</f>
        <v/>
      </c>
      <c r="AC580" s="56" t="n"/>
      <c r="AD580" s="51" t="n"/>
      <c r="AE580" s="156" t="n"/>
      <c r="AF580" s="51" t="n"/>
      <c r="AG580" s="156" t="inlineStr">
        <is>
          <t>Nuevo – Carga Hoja2 01/10/2026</t>
        </is>
      </c>
      <c r="AH580" s="156" t="inlineStr">
        <is>
          <t>Alta 01/10/2026 desde Hoja2 (fila 388); Marca original 'Trinity Ranch' (submarca de Montana West); Precio de compra en 0/vacío en origen | 01/10/2026: Odoo Universal Unique Brands trae Género «Unisex» — se conservó el valor de Productos | Homologación G1522 06/10/2026: Validador Shopify: WB: precio con IVA no termina en 9</t>
        </is>
      </c>
      <c r="AI580" s="156" t="n"/>
      <c r="AJ580" s="156" t="n"/>
      <c r="AK580" s="155" t="inlineStr">
        <is>
          <t>Hoja2: fila 388 | Odoo: producto 15621 / plantilla 19974</t>
        </is>
      </c>
      <c r="AL580" s="58" t="n"/>
      <c r="AM580" s="58" t="n"/>
      <c r="AN580" s="155" t="inlineStr">
        <is>
          <t>Odoo Universal Unique Brands</t>
        </is>
      </c>
      <c r="AO580" s="59" t="n"/>
      <c r="AP580" s="59" t="n"/>
      <c r="AQ580" s="59" t="n">
        <v>18</v>
      </c>
      <c r="AR580" s="155" t="inlineStr">
        <is>
          <t>Odoo Universal Unique Brands › Bodega 25 › Bodega 25/General: 18</t>
        </is>
      </c>
    </row>
    <row r="581">
      <c r="A581" s="50" t="inlineStr">
        <is>
          <t>717325224836</t>
        </is>
      </c>
      <c r="B581" s="51" t="inlineStr">
        <is>
          <t>15632</t>
        </is>
      </c>
      <c r="C581" s="156" t="inlineStr">
        <is>
          <t>Montana West</t>
        </is>
      </c>
      <c r="D581" s="156" t="inlineStr">
        <is>
          <t>TR192-W002BK</t>
        </is>
      </c>
      <c r="E581" s="156" t="inlineStr">
        <is>
          <t>TR192-W002BK</t>
        </is>
      </c>
      <c r="F581" s="156" t="inlineStr">
        <is>
          <t>Talla única</t>
        </is>
      </c>
      <c r="G581" s="156" t="inlineStr">
        <is>
          <t>One Size</t>
        </is>
      </c>
      <c r="H581" s="156" t="inlineStr">
        <is>
          <t>Montana West</t>
        </is>
      </c>
      <c r="I581" s="156" t="inlineStr">
        <is>
          <t>Cartera Trinity Ranch Negro</t>
        </is>
      </c>
      <c r="J581" s="156" t="inlineStr">
        <is>
          <t>Accesorios</t>
        </is>
      </c>
      <c r="K581" s="156" t="inlineStr">
        <is>
          <t>Carteras</t>
        </is>
      </c>
      <c r="L581" s="156" t="inlineStr">
        <is>
          <t>Mujer</t>
        </is>
      </c>
      <c r="M581" s="156" t="inlineStr">
        <is>
          <t>Trinity Ranch</t>
        </is>
      </c>
      <c r="N581" s="156" t="n"/>
      <c r="O581" s="156" t="inlineStr">
        <is>
          <t>Core</t>
        </is>
      </c>
      <c r="P581" s="156" t="inlineStr">
        <is>
          <t>Negro</t>
        </is>
      </c>
      <c r="Q581" s="156" t="n"/>
      <c r="R581" s="156" t="n"/>
      <c r="S581" s="156" t="n"/>
      <c r="T581" s="156" t="inlineStr">
        <is>
          <t>Cartera Trinity Ranch. Color: Negro. Talla única. Mujer. Referencia: TR192-W002BK.</t>
        </is>
      </c>
      <c r="U581" s="156" t="n"/>
      <c r="V581" s="156" t="inlineStr">
        <is>
          <t>PZS</t>
        </is>
      </c>
      <c r="W581" s="51" t="inlineStr">
        <is>
          <t>53121700</t>
        </is>
      </c>
      <c r="X581" s="156" t="n"/>
      <c r="Y581" s="54" t="n"/>
      <c r="Z581" s="54" t="n">
        <v>439</v>
      </c>
      <c r="AA581" s="55">
        <f>IF(AND(A581="", B581="", E581=""), "", IF(AB581="", "Válido", IF((LEN(AB581)-LEN(SUBSTITUTE(AB581,"; ","")))/2+1&gt;(LEN(AB581)-LEN(SUBSTITUTE(AB581,"[Aviso]","")))/7, "Con Incidencias", "Válido")))</f>
        <v/>
      </c>
      <c r="AB581" s="56">
        <f>IF(AND(A581="", B581="", E581=""), "", TEXTJOIN("; ", TRUE, IF(OR(TRIM(A581&amp;"")="", ISNUMBER(SEARCH("FALTA", A581))), "UPC faltante/inválido", ""), IF(AND(A581&lt;&gt;"", IFERROR(_xlfn.XMATCH(A581,$A$2:$A$1063,0,1)&lt;&gt;_xlfn.XMATCH(A581,$A$2:$A$1063,0,-1),FALSE)), "Código de barras duplicado", ""), IF(AND(E581&lt;&gt;"", COUNTIF($E$2:$E$1063, E581)&gt;1), "SKU duplicado", ""), IF(OR(J581="", J581=""), "[Aviso] División no capturada ()", IF(ISNA(MATCH(J581, Criterios!$A$123:$A$126, 0)), "División no válida", "")), IF(OR(K581="", K581=""), "[Aviso] Categoría no capturada ()", IF(ISNA(MATCH(K581, Criterios!$A$81:$A$120, 0)), "Categoría no válida", IF(AND(J581&lt;&gt;"", J581&lt;&gt;"", J581&lt;&gt;VLOOKUP(K581, Criterios!$A$81:$B$120, 2, FALSE)), "División no coincide con Categoría", ""))), IF(OR(L581="", L581=""), "[Aviso] Género no capturado ()", IF(ISNA(MATCH(L581, Criterios!$B$123:$B$127, 0)), "Género no válido", "")), IF(OR(N581="", N581=""), "[Aviso] Temporada no capturada ()", IF(ISNA(MATCH(N581, Criterios!$C$123:$C$128, 0)), "Temporada no válida", "")), IF(OR(O581="", O581=""), "[Aviso] Ciclo de vida no capturado ()", IF(ISNA(MATCH(O581, Criterios!$D$123:$D$124, 0)), "Ciclo de vida no válido", ""))))</f>
        <v/>
      </c>
      <c r="AC581" s="56" t="n"/>
      <c r="AD581" s="51" t="n"/>
      <c r="AE581" s="156" t="n"/>
      <c r="AF581" s="51" t="n"/>
      <c r="AG581" s="156" t="inlineStr">
        <is>
          <t>Nuevo – Carga Hoja2 01/10/2026</t>
        </is>
      </c>
      <c r="AH581" s="156" t="inlineStr">
        <is>
          <t>Alta 01/10/2026 desde Hoja2 (fila 389); Marca original 'Trinity Ranch' (submarca de Montana West); Precio de compra en 0/vacío en origen | 01/10/2026: Odoo Universal Unique Brands trae Género «Unisex» — se conservó el valor de Productos | 01/10/2026: Odoo Universal Unique Brands trae Género «Unisex» — se conservó el valor de Productos</t>
        </is>
      </c>
      <c r="AI581" s="156" t="n"/>
      <c r="AJ581" s="156" t="n"/>
      <c r="AK581" s="155" t="inlineStr">
        <is>
          <t>Hoja2: fila 389 | Odoo: producto 15632 / plantilla 19985 | Odoo: producto 27208 / plantilla 33908</t>
        </is>
      </c>
      <c r="AL581" s="58" t="n"/>
      <c r="AM581" s="58" t="n"/>
      <c r="AN581" s="155" t="inlineStr">
        <is>
          <t>Odoo Universal Unique Brands</t>
        </is>
      </c>
      <c r="AO581" s="59" t="n"/>
      <c r="AP581" s="59" t="n"/>
      <c r="AQ581" s="59" t="n">
        <v>29</v>
      </c>
      <c r="AR581" s="155" t="inlineStr">
        <is>
          <t>Odoo Universal Unique Brands › Bodega 25 › Bodega 25/General: 29</t>
        </is>
      </c>
    </row>
    <row r="582">
      <c r="A582" s="50" t="inlineStr">
        <is>
          <t>717325224805</t>
        </is>
      </c>
      <c r="B582" s="51" t="inlineStr">
        <is>
          <t>15658</t>
        </is>
      </c>
      <c r="C582" s="156" t="inlineStr">
        <is>
          <t>Montana West</t>
        </is>
      </c>
      <c r="D582" s="156" t="n"/>
      <c r="E582" s="156" t="inlineStr">
        <is>
          <t>TR192-W002BR</t>
        </is>
      </c>
      <c r="F582" s="156" t="inlineStr">
        <is>
          <t>Talla única</t>
        </is>
      </c>
      <c r="G582" s="156" t="inlineStr">
        <is>
          <t>One Size</t>
        </is>
      </c>
      <c r="H582" s="156" t="inlineStr">
        <is>
          <t>Montana West</t>
        </is>
      </c>
      <c r="I582" s="156" t="inlineStr">
        <is>
          <t>TRINITY RANCH TR WALLET</t>
        </is>
      </c>
      <c r="J582" s="156" t="inlineStr">
        <is>
          <t>Accesorios</t>
        </is>
      </c>
      <c r="K582" s="156" t="inlineStr">
        <is>
          <t>Carteras</t>
        </is>
      </c>
      <c r="L582" s="156" t="inlineStr">
        <is>
          <t>Unisex</t>
        </is>
      </c>
      <c r="M582" s="156" t="n"/>
      <c r="N582" s="156" t="n"/>
      <c r="O582" s="156" t="n"/>
      <c r="P582" s="156" t="n"/>
      <c r="Q582" s="156" t="n"/>
      <c r="R582" s="156" t="n"/>
      <c r="S582" s="156" t="n"/>
      <c r="T582" s="156" t="n"/>
      <c r="U582" s="156" t="n"/>
      <c r="V582" s="156" t="inlineStr">
        <is>
          <t>PZS</t>
        </is>
      </c>
      <c r="W582" s="51" t="inlineStr">
        <is>
          <t>53121600</t>
        </is>
      </c>
      <c r="X582" s="156" t="n"/>
      <c r="Y582" s="54" t="n"/>
      <c r="Z582" s="54" t="n">
        <v>439</v>
      </c>
      <c r="AA582" s="55">
        <f>IF(AND(A582="", B582="", E582=""), "", IF(AB582="", "Válido", IF((LEN(AB582)-LEN(SUBSTITUTE(AB582,"; ","")))/2+1&gt;(LEN(AB582)-LEN(SUBSTITUTE(AB582,"[Aviso]","")))/7, "Con Incidencias", "Válido")))</f>
        <v/>
      </c>
      <c r="AB582" s="56">
        <f>IF(AND(A582="", B582="", E582=""), "", TEXTJOIN("; ", TRUE, IF(OR(TRIM(A582&amp;"")="", ISNUMBER(SEARCH("FALTA", A582))), "UPC faltante/inválido", ""), IF(AND(A582&lt;&gt;"", IFERROR(_xlfn.XMATCH(A582,$A$2:$A$1063,0,1)&lt;&gt;_xlfn.XMATCH(A582,$A$2:$A$1063,0,-1),FALSE)), "Código de barras duplicado", ""), IF(AND(E582&lt;&gt;"", COUNTIF($E$2:$E$1063, E582)&gt;1), "SKU duplicado", ""), IF(OR(J582="", J582=""), "[Aviso] División no capturada ()", IF(ISNA(MATCH(J582, Criterios!$A$123:$A$126, 0)), "División no válida", "")), IF(OR(K582="", K582=""), "[Aviso] Categoría no capturada ()", IF(ISNA(MATCH(K582, Criterios!$A$81:$A$120, 0)), "Categoría no válida", IF(AND(J582&lt;&gt;"", J582&lt;&gt;"", J582&lt;&gt;VLOOKUP(K582, Criterios!$A$81:$B$120, 2, FALSE)), "División no coincide con Categoría", ""))), IF(OR(L582="", L582=""), "[Aviso] Género no capturado ()", IF(ISNA(MATCH(L582, Criterios!$B$123:$B$127, 0)), "Género no válido", "")), IF(OR(N582="", N582=""), "[Aviso] Temporada no capturada ()", IF(ISNA(MATCH(N582, Criterios!$C$123:$C$128, 0)), "Temporada no válida", "")), IF(OR(O582="", O582=""), "[Aviso] Ciclo de vida no capturado ()", IF(ISNA(MATCH(O582, Criterios!$D$123:$D$124, 0)), "Ciclo de vida no válido", ""))))</f>
        <v/>
      </c>
      <c r="AC582" s="56" t="n"/>
      <c r="AD582" s="51" t="n"/>
      <c r="AE582" s="156" t="n"/>
      <c r="AF582" s="51" t="n"/>
      <c r="AG582" s="156" t="inlineStr">
        <is>
          <t>Nuevo – Carga Hoja2 01/10/2026</t>
        </is>
      </c>
      <c r="AH582" s="156" t="inlineStr">
        <is>
          <t>Alta 01/10/2026 desde Hoja2 (fila 390); Marca original 'Trinity Ranch' (submarca de Montana West);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</t>
        </is>
      </c>
      <c r="AI582" s="156" t="n"/>
      <c r="AJ582" s="156" t="n"/>
      <c r="AK582" s="155" t="inlineStr">
        <is>
          <t>Hoja2: fila 390 | Odoo: producto 15658 / plantilla 20011</t>
        </is>
      </c>
      <c r="AL582" s="58" t="n"/>
      <c r="AM582" s="58" t="n"/>
      <c r="AN582" s="155" t="inlineStr">
        <is>
          <t>Odoo Universal Unique Brands</t>
        </is>
      </c>
      <c r="AO582" s="59" t="n"/>
      <c r="AP582" s="59" t="n"/>
      <c r="AQ582" s="59" t="n">
        <v>32</v>
      </c>
      <c r="AR582" s="155" t="inlineStr">
        <is>
          <t>Odoo Universal Unique Brands › Bodega 25 › Bodega 25/General: 32</t>
        </is>
      </c>
    </row>
    <row r="583">
      <c r="A583" s="50" t="inlineStr">
        <is>
          <t>717325224843</t>
        </is>
      </c>
      <c r="B583" s="51" t="inlineStr">
        <is>
          <t>15610</t>
        </is>
      </c>
      <c r="C583" s="156" t="inlineStr">
        <is>
          <t>Montana West</t>
        </is>
      </c>
      <c r="D583" s="156" t="inlineStr">
        <is>
          <t>TR192-W002JN</t>
        </is>
      </c>
      <c r="E583" s="156" t="inlineStr">
        <is>
          <t>TR192-W002JN</t>
        </is>
      </c>
      <c r="F583" s="156" t="inlineStr">
        <is>
          <t>Talla única</t>
        </is>
      </c>
      <c r="G583" s="156" t="inlineStr">
        <is>
          <t>One Size</t>
        </is>
      </c>
      <c r="H583" s="156" t="inlineStr">
        <is>
          <t>Montana West</t>
        </is>
      </c>
      <c r="I583" s="156" t="inlineStr">
        <is>
          <t>Cartera Trinity Ranch Mezclilla</t>
        </is>
      </c>
      <c r="J583" s="156" t="inlineStr">
        <is>
          <t>Accesorios</t>
        </is>
      </c>
      <c r="K583" s="156" t="inlineStr">
        <is>
          <t>Carteras</t>
        </is>
      </c>
      <c r="L583" s="156" t="inlineStr">
        <is>
          <t>Mujer</t>
        </is>
      </c>
      <c r="M583" s="156" t="inlineStr">
        <is>
          <t>Trinity Ranch</t>
        </is>
      </c>
      <c r="N583" s="156" t="n"/>
      <c r="O583" s="156" t="inlineStr">
        <is>
          <t>Core</t>
        </is>
      </c>
      <c r="P583" s="156" t="inlineStr">
        <is>
          <t>Varios</t>
        </is>
      </c>
      <c r="Q583" s="156" t="n"/>
      <c r="R583" s="156" t="n"/>
      <c r="S583" s="156" t="n"/>
      <c r="T583" s="156" t="inlineStr">
        <is>
          <t>Cartera Trinity Ranch. Color: Mezclilla. Talla única. Mujer. Referencia: TR192-W002JN.</t>
        </is>
      </c>
      <c r="U583" s="156" t="n"/>
      <c r="V583" s="156" t="inlineStr">
        <is>
          <t>PZS</t>
        </is>
      </c>
      <c r="W583" s="51" t="inlineStr">
        <is>
          <t>53121700</t>
        </is>
      </c>
      <c r="X583" s="156" t="n"/>
      <c r="Y583" s="54" t="n"/>
      <c r="Z583" s="54" t="n">
        <v>439</v>
      </c>
      <c r="AA583" s="55">
        <f>IF(AND(A583="", B583="", E583=""), "", IF(AB583="", "Válido", IF((LEN(AB583)-LEN(SUBSTITUTE(AB583,"; ","")))/2+1&gt;(LEN(AB583)-LEN(SUBSTITUTE(AB583,"[Aviso]","")))/7, "Con Incidencias", "Válido")))</f>
        <v/>
      </c>
      <c r="AB583" s="56">
        <f>IF(AND(A583="", B583="", E583=""), "", TEXTJOIN("; ", TRUE, IF(OR(TRIM(A583&amp;"")="", ISNUMBER(SEARCH("FALTA", A583))), "UPC faltante/inválido", ""), IF(AND(A583&lt;&gt;"", IFERROR(_xlfn.XMATCH(A583,$A$2:$A$1063,0,1)&lt;&gt;_xlfn.XMATCH(A583,$A$2:$A$1063,0,-1),FALSE)), "Código de barras duplicado", ""), IF(AND(E583&lt;&gt;"", COUNTIF($E$2:$E$1063, E583)&gt;1), "SKU duplicado", ""), IF(OR(J583="", J583=""), "[Aviso] División no capturada ()", IF(ISNA(MATCH(J583, Criterios!$A$123:$A$126, 0)), "División no válida", "")), IF(OR(K583="", K583=""), "[Aviso] Categoría no capturada ()", IF(ISNA(MATCH(K583, Criterios!$A$81:$A$120, 0)), "Categoría no válida", IF(AND(J583&lt;&gt;"", J583&lt;&gt;"", J583&lt;&gt;VLOOKUP(K583, Criterios!$A$81:$B$120, 2, FALSE)), "División no coincide con Categoría", ""))), IF(OR(L583="", L583=""), "[Aviso] Género no capturado ()", IF(ISNA(MATCH(L583, Criterios!$B$123:$B$127, 0)), "Género no válido", "")), IF(OR(N583="", N583=""), "[Aviso] Temporada no capturada ()", IF(ISNA(MATCH(N583, Criterios!$C$123:$C$128, 0)), "Temporada no válida", "")), IF(OR(O583="", O583=""), "[Aviso] Ciclo de vida no capturado ()", IF(ISNA(MATCH(O583, Criterios!$D$123:$D$124, 0)), "Ciclo de vida no válido", ""))))</f>
        <v/>
      </c>
      <c r="AC583" s="56" t="n"/>
      <c r="AD583" s="51" t="n"/>
      <c r="AE583" s="156" t="n"/>
      <c r="AF583" s="51" t="n"/>
      <c r="AG583" s="156" t="inlineStr">
        <is>
          <t>Nuevo – Carga Hoja2 01/10/2026</t>
        </is>
      </c>
      <c r="AH583" s="156" t="inlineStr">
        <is>
          <t>Alta 01/10/2026 desde Hoja2 (fila 391); Marca original 'Trinity Ranch' (submarca de Montana West); Precio de compra en 0/vacío en origen | 01/10/2026: Odoo Universal Unique Brands trae Género «Unisex» — se conservó el valor de Productos | 01/10/2026: Odoo Universal Unique Brands trae Género «Unisex» — se conservó el valor de Productos</t>
        </is>
      </c>
      <c r="AI583" s="156" t="n"/>
      <c r="AJ583" s="156" t="n"/>
      <c r="AK583" s="155" t="inlineStr">
        <is>
          <t>Hoja2: fila 391 | Odoo: producto 15610 / plantilla 19963 | Odoo: producto 27209 / plantilla 33909</t>
        </is>
      </c>
      <c r="AL583" s="58" t="n"/>
      <c r="AM583" s="58" t="n"/>
      <c r="AN583" s="155" t="inlineStr">
        <is>
          <t>Odoo Universal Unique Brands</t>
        </is>
      </c>
      <c r="AO583" s="59" t="n"/>
      <c r="AP583" s="59" t="n"/>
      <c r="AQ583" s="59" t="n">
        <v>31</v>
      </c>
      <c r="AR583" s="155" t="inlineStr">
        <is>
          <t>Odoo Universal Unique Brands › Bodega 25 › Bodega 25/General: 30 | Odoo Universal Unique Brands › Bodega 25 › Bodega 25/General: 1</t>
        </is>
      </c>
    </row>
    <row r="584">
      <c r="A584" s="50" t="inlineStr">
        <is>
          <t>717325224782</t>
        </is>
      </c>
      <c r="B584" s="51" t="inlineStr">
        <is>
          <t>15666</t>
        </is>
      </c>
      <c r="C584" s="156" t="inlineStr">
        <is>
          <t>Montana West</t>
        </is>
      </c>
      <c r="D584" s="156" t="inlineStr">
        <is>
          <t>TR192-W002LBR</t>
        </is>
      </c>
      <c r="E584" s="156" t="inlineStr">
        <is>
          <t>TR192-W002LBR</t>
        </is>
      </c>
      <c r="F584" s="156" t="inlineStr">
        <is>
          <t>Talla única</t>
        </is>
      </c>
      <c r="G584" s="156" t="inlineStr">
        <is>
          <t>One Size</t>
        </is>
      </c>
      <c r="H584" s="156" t="inlineStr">
        <is>
          <t>Montana West</t>
        </is>
      </c>
      <c r="I584" s="156" t="inlineStr">
        <is>
          <t>Cartera Trinity Ranch Leopardo Café</t>
        </is>
      </c>
      <c r="J584" s="156" t="inlineStr">
        <is>
          <t>Accesorios</t>
        </is>
      </c>
      <c r="K584" s="156" t="inlineStr">
        <is>
          <t>Carteras</t>
        </is>
      </c>
      <c r="L584" s="156" t="inlineStr">
        <is>
          <t>Mujer</t>
        </is>
      </c>
      <c r="M584" s="156" t="inlineStr">
        <is>
          <t>Trinity Ranch</t>
        </is>
      </c>
      <c r="N584" s="156" t="n"/>
      <c r="O584" s="156" t="inlineStr">
        <is>
          <t>Core</t>
        </is>
      </c>
      <c r="P584" s="156" t="inlineStr">
        <is>
          <t>Cafe</t>
        </is>
      </c>
      <c r="Q584" s="156" t="n"/>
      <c r="R584" s="156" t="n"/>
      <c r="S584" s="156" t="n"/>
      <c r="T584" s="156" t="inlineStr">
        <is>
          <t>Cartera Trinity Ranch. Color: Leopardo Café. Talla única. Mujer. Referencia: TR192-W002LBR.</t>
        </is>
      </c>
      <c r="U584" s="156" t="n"/>
      <c r="V584" s="156" t="inlineStr">
        <is>
          <t>PZS</t>
        </is>
      </c>
      <c r="W584" s="51" t="inlineStr">
        <is>
          <t>53121700</t>
        </is>
      </c>
      <c r="X584" s="156" t="n"/>
      <c r="Y584" s="54" t="n"/>
      <c r="Z584" s="54" t="n">
        <v>439</v>
      </c>
      <c r="AA584" s="55">
        <f>IF(AND(A584="", B584="", E584=""), "", IF(AB584="", "Válido", IF((LEN(AB584)-LEN(SUBSTITUTE(AB584,"; ","")))/2+1&gt;(LEN(AB584)-LEN(SUBSTITUTE(AB584,"[Aviso]","")))/7, "Con Incidencias", "Válido")))</f>
        <v/>
      </c>
      <c r="AB584" s="56">
        <f>IF(AND(A584="", B584="", E584=""), "", TEXTJOIN("; ", TRUE, IF(OR(TRIM(A584&amp;"")="", ISNUMBER(SEARCH("FALTA", A584))), "UPC faltante/inválido", ""), IF(AND(A584&lt;&gt;"", IFERROR(_xlfn.XMATCH(A584,$A$2:$A$1063,0,1)&lt;&gt;_xlfn.XMATCH(A584,$A$2:$A$1063,0,-1),FALSE)), "Código de barras duplicado", ""), IF(AND(E584&lt;&gt;"", COUNTIF($E$2:$E$1063, E584)&gt;1), "SKU duplicado", ""), IF(OR(J584="", J584=""), "[Aviso] División no capturada ()", IF(ISNA(MATCH(J584, Criterios!$A$123:$A$126, 0)), "División no válida", "")), IF(OR(K584="", K584=""), "[Aviso] Categoría no capturada ()", IF(ISNA(MATCH(K584, Criterios!$A$81:$A$120, 0)), "Categoría no válida", IF(AND(J584&lt;&gt;"", J584&lt;&gt;"", J584&lt;&gt;VLOOKUP(K584, Criterios!$A$81:$B$120, 2, FALSE)), "División no coincide con Categoría", ""))), IF(OR(L584="", L584=""), "[Aviso] Género no capturado ()", IF(ISNA(MATCH(L584, Criterios!$B$123:$B$127, 0)), "Género no válido", "")), IF(OR(N584="", N584=""), "[Aviso] Temporada no capturada ()", IF(ISNA(MATCH(N584, Criterios!$C$123:$C$128, 0)), "Temporada no válida", "")), IF(OR(O584="", O584=""), "[Aviso] Ciclo de vida no capturado ()", IF(ISNA(MATCH(O584, Criterios!$D$123:$D$124, 0)), "Ciclo de vida no válido", ""))))</f>
        <v/>
      </c>
      <c r="AC584" s="56" t="n"/>
      <c r="AD584" s="51" t="n"/>
      <c r="AE584" s="156" t="n"/>
      <c r="AF584" s="51" t="n"/>
      <c r="AG584" s="156" t="inlineStr">
        <is>
          <t>Nuevo – Carga Hoja2 01/10/2026</t>
        </is>
      </c>
      <c r="AH584" s="156" t="inlineStr">
        <is>
          <t>Alta 01/10/2026 desde Hoja2 (fila 392); Marca original 'Trinity Ranch' (submarca de Montana West); Precio de compra en 0/vacío en origen | 01/10/2026: Odoo Universal Unique Brands trae Género «Unisex» — se conservó el valor de Productos</t>
        </is>
      </c>
      <c r="AI584" s="156" t="n"/>
      <c r="AJ584" s="156" t="n"/>
      <c r="AK584" s="155" t="inlineStr">
        <is>
          <t>Hoja2: fila 392 | Odoo: producto 15666 / plantilla 20019</t>
        </is>
      </c>
      <c r="AL584" s="58" t="n"/>
      <c r="AM584" s="58" t="n"/>
      <c r="AN584" s="155" t="inlineStr">
        <is>
          <t>Odoo Universal Unique Brands</t>
        </is>
      </c>
      <c r="AO584" s="59" t="n"/>
      <c r="AP584" s="59" t="n"/>
      <c r="AQ584" s="59" t="n">
        <v>33</v>
      </c>
      <c r="AR584" s="155" t="inlineStr">
        <is>
          <t>Odoo Universal Unique Brands › Bodega 25 › Bodega 25/General: 33</t>
        </is>
      </c>
    </row>
    <row r="585">
      <c r="A585" s="50" t="inlineStr">
        <is>
          <t>717325224812</t>
        </is>
      </c>
      <c r="B585" s="51" t="inlineStr">
        <is>
          <t>15614</t>
        </is>
      </c>
      <c r="C585" s="156" t="inlineStr">
        <is>
          <t>Montana West</t>
        </is>
      </c>
      <c r="D585" s="156" t="inlineStr">
        <is>
          <t>TR192-W002TN</t>
        </is>
      </c>
      <c r="E585" s="156" t="inlineStr">
        <is>
          <t>TR192-W002TN</t>
        </is>
      </c>
      <c r="F585" s="156" t="inlineStr">
        <is>
          <t>Talla única</t>
        </is>
      </c>
      <c r="G585" s="156" t="inlineStr">
        <is>
          <t>One Size</t>
        </is>
      </c>
      <c r="H585" s="156" t="inlineStr">
        <is>
          <t>Montana West</t>
        </is>
      </c>
      <c r="I585" s="156" t="inlineStr">
        <is>
          <t>Cartera Trinity Ranch Camel</t>
        </is>
      </c>
      <c r="J585" s="156" t="inlineStr">
        <is>
          <t>Accesorios</t>
        </is>
      </c>
      <c r="K585" s="156" t="inlineStr">
        <is>
          <t>Carteras</t>
        </is>
      </c>
      <c r="L585" s="156" t="inlineStr">
        <is>
          <t>Mujer</t>
        </is>
      </c>
      <c r="M585" s="156" t="inlineStr">
        <is>
          <t>Trinity Ranch</t>
        </is>
      </c>
      <c r="N585" s="156" t="n"/>
      <c r="O585" s="156" t="inlineStr">
        <is>
          <t>Core</t>
        </is>
      </c>
      <c r="P585" s="156" t="inlineStr">
        <is>
          <t>Beige</t>
        </is>
      </c>
      <c r="Q585" s="156" t="n"/>
      <c r="R585" s="156" t="n"/>
      <c r="S585" s="156" t="n"/>
      <c r="T585" s="156" t="inlineStr">
        <is>
          <t>Cartera Trinity Ranch. Color: Camel. Talla única. Mujer. Referencia: TR192-W002TN.</t>
        </is>
      </c>
      <c r="U585" s="156" t="n"/>
      <c r="V585" s="156" t="inlineStr">
        <is>
          <t>PZS</t>
        </is>
      </c>
      <c r="W585" s="51" t="inlineStr">
        <is>
          <t>53121700</t>
        </is>
      </c>
      <c r="X585" s="156" t="n"/>
      <c r="Y585" s="54" t="n"/>
      <c r="Z585" s="54" t="n">
        <v>439</v>
      </c>
      <c r="AA585" s="55">
        <f>IF(AND(A585="", B585="", E585=""), "", IF(AB585="", "Válido", IF((LEN(AB585)-LEN(SUBSTITUTE(AB585,"; ","")))/2+1&gt;(LEN(AB585)-LEN(SUBSTITUTE(AB585,"[Aviso]","")))/7, "Con Incidencias", "Válido")))</f>
        <v/>
      </c>
      <c r="AB585" s="56">
        <f>IF(AND(A585="", B585="", E585=""), "", TEXTJOIN("; ", TRUE, IF(OR(TRIM(A585&amp;"")="", ISNUMBER(SEARCH("FALTA", A585))), "UPC faltante/inválido", ""), IF(AND(A585&lt;&gt;"", IFERROR(_xlfn.XMATCH(A585,$A$2:$A$1063,0,1)&lt;&gt;_xlfn.XMATCH(A585,$A$2:$A$1063,0,-1),FALSE)), "Código de barras duplicado", ""), IF(AND(E585&lt;&gt;"", COUNTIF($E$2:$E$1063, E585)&gt;1), "SKU duplicado", ""), IF(OR(J585="", J585=""), "[Aviso] División no capturada ()", IF(ISNA(MATCH(J585, Criterios!$A$123:$A$126, 0)), "División no válida", "")), IF(OR(K585="", K585=""), "[Aviso] Categoría no capturada ()", IF(ISNA(MATCH(K585, Criterios!$A$81:$A$120, 0)), "Categoría no válida", IF(AND(J585&lt;&gt;"", J585&lt;&gt;"", J585&lt;&gt;VLOOKUP(K585, Criterios!$A$81:$B$120, 2, FALSE)), "División no coincide con Categoría", ""))), IF(OR(L585="", L585=""), "[Aviso] Género no capturado ()", IF(ISNA(MATCH(L585, Criterios!$B$123:$B$127, 0)), "Género no válido", "")), IF(OR(N585="", N585=""), "[Aviso] Temporada no capturada ()", IF(ISNA(MATCH(N585, Criterios!$C$123:$C$128, 0)), "Temporada no válida", "")), IF(OR(O585="", O585=""), "[Aviso] Ciclo de vida no capturado ()", IF(ISNA(MATCH(O585, Criterios!$D$123:$D$124, 0)), "Ciclo de vida no válido", ""))))</f>
        <v/>
      </c>
      <c r="AC585" s="56" t="n"/>
      <c r="AD585" s="51" t="n"/>
      <c r="AE585" s="156" t="n"/>
      <c r="AF585" s="51" t="n"/>
      <c r="AG585" s="156" t="inlineStr">
        <is>
          <t>Nuevo – Carga Hoja2 01/10/2026</t>
        </is>
      </c>
      <c r="AH585" s="156" t="inlineStr">
        <is>
          <t>Alta 01/10/2026 desde Hoja2 (fila 393); Marca original 'Trinity Ranch' (submarca de Montana West); Precio de compra en 0/vacío en origen | 01/10/2026: Odoo Universal Unique Brands trae Género «Unisex» — se conservó el valor de Productos | 01/10/2026: Odoo Universal Unique Brands trae Género «Unisex» — se conservó el valor de Productos</t>
        </is>
      </c>
      <c r="AI585" s="156" t="n"/>
      <c r="AJ585" s="156" t="n"/>
      <c r="AK585" s="155" t="inlineStr">
        <is>
          <t>Hoja2: fila 393 | Odoo: producto 15614 / plantilla 19967 | Odoo: producto 27211 / plantilla 33911</t>
        </is>
      </c>
      <c r="AL585" s="58" t="n"/>
      <c r="AM585" s="58" t="n"/>
      <c r="AN585" s="155" t="inlineStr">
        <is>
          <t>Odoo Universal Unique Brands</t>
        </is>
      </c>
      <c r="AO585" s="59" t="n"/>
      <c r="AP585" s="59" t="n"/>
      <c r="AQ585" s="59" t="n">
        <v>28</v>
      </c>
      <c r="AR585" s="155" t="inlineStr">
        <is>
          <t>Odoo Universal Unique Brands › Bodega 25 › Bodega 25/General: 28</t>
        </is>
      </c>
    </row>
    <row r="586">
      <c r="A586" s="50" t="inlineStr">
        <is>
          <t>717325224577</t>
        </is>
      </c>
      <c r="B586" s="51" t="inlineStr">
        <is>
          <t>15611</t>
        </is>
      </c>
      <c r="C586" s="156" t="inlineStr">
        <is>
          <t>Montana West</t>
        </is>
      </c>
      <c r="D586" s="156" t="inlineStr">
        <is>
          <t>TR192G-8317BR</t>
        </is>
      </c>
      <c r="E586" s="156" t="inlineStr">
        <is>
          <t>TR192G-8317BR</t>
        </is>
      </c>
      <c r="F586" s="156" t="inlineStr">
        <is>
          <t>Talla única</t>
        </is>
      </c>
      <c r="G586" s="156" t="inlineStr">
        <is>
          <t>One Size</t>
        </is>
      </c>
      <c r="H586" s="156" t="inlineStr">
        <is>
          <t>Montana West</t>
        </is>
      </c>
      <c r="I586" s="156" t="inlineStr">
        <is>
          <t>Bolsa Trinity Ranch Café</t>
        </is>
      </c>
      <c r="J586" s="156" t="inlineStr">
        <is>
          <t>Accesorios</t>
        </is>
      </c>
      <c r="K586" s="156" t="inlineStr">
        <is>
          <t>Bolsos</t>
        </is>
      </c>
      <c r="L586" s="156" t="inlineStr">
        <is>
          <t>Mujer</t>
        </is>
      </c>
      <c r="M586" s="156" t="inlineStr">
        <is>
          <t>Trinity Ranch</t>
        </is>
      </c>
      <c r="N586" s="156" t="n"/>
      <c r="O586" s="156" t="inlineStr">
        <is>
          <t>Core</t>
        </is>
      </c>
      <c r="P586" s="156" t="inlineStr">
        <is>
          <t>Cafe</t>
        </is>
      </c>
      <c r="Q586" s="156" t="n"/>
      <c r="R586" s="156" t="n"/>
      <c r="S586" s="156" t="n"/>
      <c r="T586" s="156" t="inlineStr">
        <is>
          <t>Bolsa Trinity Ranch. Color: Café. Talla única. Mujer. Referencia: TR192G-8317BR.</t>
        </is>
      </c>
      <c r="U586" s="156" t="n"/>
      <c r="V586" s="156" t="inlineStr">
        <is>
          <t>PZS</t>
        </is>
      </c>
      <c r="W586" s="51" t="inlineStr">
        <is>
          <t>53121601</t>
        </is>
      </c>
      <c r="X586" s="156" t="inlineStr">
        <is>
          <t>https://cdn.shopify.com/s/files/1/0005/9015/1741/files/TR192G-8317BR.webp?v=1787763510</t>
        </is>
      </c>
      <c r="Y586" s="54" t="n"/>
      <c r="Z586" s="54" t="n">
        <v>819</v>
      </c>
      <c r="AA586" s="55">
        <f>IF(AND(A586="", B586="", E586=""), "", IF(AB586="", "Válido", IF((LEN(AB586)-LEN(SUBSTITUTE(AB586,"; ","")))/2+1&gt;(LEN(AB586)-LEN(SUBSTITUTE(AB586,"[Aviso]","")))/7, "Con Incidencias", "Válido")))</f>
        <v/>
      </c>
      <c r="AB586" s="56">
        <f>IF(AND(A586="", B586="", E586=""), "", TEXTJOIN("; ", TRUE, IF(OR(TRIM(A586&amp;"")="", ISNUMBER(SEARCH("FALTA", A586))), "UPC faltante/inválido", ""), IF(AND(A586&lt;&gt;"", IFERROR(_xlfn.XMATCH(A586,$A$2:$A$1063,0,1)&lt;&gt;_xlfn.XMATCH(A586,$A$2:$A$1063,0,-1),FALSE)), "Código de barras duplicado", ""), IF(AND(E586&lt;&gt;"", COUNTIF($E$2:$E$1063, E586)&gt;1), "SKU duplicado", ""), IF(OR(J586="", J586=""), "[Aviso] División no capturada ()", IF(ISNA(MATCH(J586, Criterios!$A$123:$A$126, 0)), "División no válida", "")), IF(OR(K586="", K586=""), "[Aviso] Categoría no capturada ()", IF(ISNA(MATCH(K586, Criterios!$A$81:$A$120, 0)), "Categoría no válida", IF(AND(J586&lt;&gt;"", J586&lt;&gt;"", J586&lt;&gt;VLOOKUP(K586, Criterios!$A$81:$B$120, 2, FALSE)), "División no coincide con Categoría", ""))), IF(OR(L586="", L586=""), "[Aviso] Género no capturado ()", IF(ISNA(MATCH(L586, Criterios!$B$123:$B$127, 0)), "Género no válido", "")), IF(OR(N586="", N586=""), "[Aviso] Temporada no capturada ()", IF(ISNA(MATCH(N586, Criterios!$C$123:$C$128, 0)), "Temporada no válida", "")), IF(OR(O586="", O586=""), "[Aviso] Ciclo de vida no capturado ()", IF(ISNA(MATCH(O586, Criterios!$D$123:$D$124, 0)), "Ciclo de vida no válido", ""))))</f>
        <v/>
      </c>
      <c r="AC586" s="56" t="n"/>
      <c r="AD586" s="51" t="n"/>
      <c r="AE586" s="156" t="n"/>
      <c r="AF586" s="51" t="n"/>
      <c r="AG586" s="156" t="inlineStr">
        <is>
          <t>Nuevo – Carga Hoja2 01/10/2026</t>
        </is>
      </c>
      <c r="AH586" s="156" t="inlineStr">
        <is>
          <t>Alta 01/10/2026 desde Hoja2 (fila 394); Marca original 'Trinity Ranch' (submarca de Montana West); Precio de compra en 0/vacío en origen | 01/10/2026: Odoo Universal Unique Brands trae Género «Unisex» — se conservó el valor de Productos | 01/10/2026: Odoo Universal Unique Brands trae Género «Unisex» — se conservó el valor de Productos | Homologación G1522 06/10/2026: Enlace de imagen: «» → «https://cdn.shopify.com/s/files/1/0005/9015/1741/files/TR192G-8317BR.webp?v=1787763510» (Completado por investigación en línea) · Validador Shopify: WB: precio con IVA no termina en 9</t>
        </is>
      </c>
      <c r="AI586" s="156" t="n"/>
      <c r="AJ586" s="156" t="n"/>
      <c r="AK586" s="155" t="inlineStr">
        <is>
          <t>Hoja2: fila 394 | Odoo: producto 15611 / plantilla 19964 | Odoo: producto 27203 / plantilla 33903 | Investigación en línea 06/10/2026: https://montanawestworld.com/products/trinity-ranch-floral-tooled-concealed-carry-tote-bag-collection</t>
        </is>
      </c>
      <c r="AL586" s="58" t="n"/>
      <c r="AM586" s="58" t="n"/>
      <c r="AN586" s="155" t="inlineStr">
        <is>
          <t>Odoo Universal Unique Brands</t>
        </is>
      </c>
      <c r="AO586" s="59" t="n"/>
      <c r="AP586" s="59" t="n"/>
      <c r="AQ586" s="59" t="n">
        <v>40</v>
      </c>
      <c r="AR586" s="155" t="inlineStr">
        <is>
          <t>Odoo Universal Unique Brands › Bodega 25 › Bodega 25/General: 36 | Odoo Universal Unique Brands › Bodega 25 › Bodega 25/General: 4</t>
        </is>
      </c>
    </row>
    <row r="587">
      <c r="A587" s="50" t="inlineStr">
        <is>
          <t>717690430269</t>
        </is>
      </c>
      <c r="B587" s="51" t="inlineStr">
        <is>
          <t>15606</t>
        </is>
      </c>
      <c r="C587" s="156" t="inlineStr">
        <is>
          <t>Montana West</t>
        </is>
      </c>
      <c r="D587" s="156" t="inlineStr">
        <is>
          <t>TR193-2102BR</t>
        </is>
      </c>
      <c r="E587" s="156" t="inlineStr">
        <is>
          <t>TR193-2102BR</t>
        </is>
      </c>
      <c r="F587" s="156" t="inlineStr">
        <is>
          <t>Talla única</t>
        </is>
      </c>
      <c r="G587" s="156" t="inlineStr">
        <is>
          <t>One Size</t>
        </is>
      </c>
      <c r="H587" s="156" t="inlineStr">
        <is>
          <t>Montana West</t>
        </is>
      </c>
      <c r="I587" s="156" t="inlineStr">
        <is>
          <t>Bolsa Trinity Ranch Café</t>
        </is>
      </c>
      <c r="J587" s="156" t="inlineStr">
        <is>
          <t>Accesorios</t>
        </is>
      </c>
      <c r="K587" s="156" t="inlineStr">
        <is>
          <t>Bolsos</t>
        </is>
      </c>
      <c r="L587" s="156" t="inlineStr">
        <is>
          <t>Mujer</t>
        </is>
      </c>
      <c r="M587" s="156" t="inlineStr">
        <is>
          <t>Trinity Ranch</t>
        </is>
      </c>
      <c r="N587" s="156" t="n"/>
      <c r="O587" s="156" t="inlineStr">
        <is>
          <t>Core</t>
        </is>
      </c>
      <c r="P587" s="156" t="inlineStr">
        <is>
          <t>Cafe</t>
        </is>
      </c>
      <c r="Q587" s="156" t="n"/>
      <c r="R587" s="156" t="n"/>
      <c r="S587" s="156" t="n"/>
      <c r="T587" s="156" t="inlineStr">
        <is>
          <t>Bolsa Trinity Ranch. Color: Café. Talla única. Mujer. Referencia: TR193-2102BR.</t>
        </is>
      </c>
      <c r="U587" s="156" t="n"/>
      <c r="V587" s="156" t="inlineStr">
        <is>
          <t>PZS</t>
        </is>
      </c>
      <c r="W587" s="51" t="inlineStr">
        <is>
          <t>53121601</t>
        </is>
      </c>
      <c r="X587" s="156" t="n"/>
      <c r="Y587" s="54" t="n"/>
      <c r="Z587" s="54" t="n">
        <v>629</v>
      </c>
      <c r="AA587" s="55">
        <f>IF(AND(A587="", B587="", E587=""), "", IF(AB587="", "Válido", IF((LEN(AB587)-LEN(SUBSTITUTE(AB587,"; ","")))/2+1&gt;(LEN(AB587)-LEN(SUBSTITUTE(AB587,"[Aviso]","")))/7, "Con Incidencias", "Válido")))</f>
        <v/>
      </c>
      <c r="AB587" s="56">
        <f>IF(AND(A587="", B587="", E587=""), "", TEXTJOIN("; ", TRUE, IF(OR(TRIM(A587&amp;"")="", ISNUMBER(SEARCH("FALTA", A587))), "UPC faltante/inválido", ""), IF(AND(A587&lt;&gt;"", IFERROR(_xlfn.XMATCH(A587,$A$2:$A$1063,0,1)&lt;&gt;_xlfn.XMATCH(A587,$A$2:$A$1063,0,-1),FALSE)), "Código de barras duplicado", ""), IF(AND(E587&lt;&gt;"", COUNTIF($E$2:$E$1063, E587)&gt;1), "SKU duplicado", ""), IF(OR(J587="", J587=""), "[Aviso] División no capturada ()", IF(ISNA(MATCH(J587, Criterios!$A$123:$A$126, 0)), "División no válida", "")), IF(OR(K587="", K587=""), "[Aviso] Categoría no capturada ()", IF(ISNA(MATCH(K587, Criterios!$A$81:$A$120, 0)), "Categoría no válida", IF(AND(J587&lt;&gt;"", J587&lt;&gt;"", J587&lt;&gt;VLOOKUP(K587, Criterios!$A$81:$B$120, 2, FALSE)), "División no coincide con Categoría", ""))), IF(OR(L587="", L587=""), "[Aviso] Género no capturado ()", IF(ISNA(MATCH(L587, Criterios!$B$123:$B$127, 0)), "Género no válido", "")), IF(OR(N587="", N587=""), "[Aviso] Temporada no capturada ()", IF(ISNA(MATCH(N587, Criterios!$C$123:$C$128, 0)), "Temporada no válida", "")), IF(OR(O587="", O587=""), "[Aviso] Ciclo de vida no capturado ()", IF(ISNA(MATCH(O587, Criterios!$D$123:$D$124, 0)), "Ciclo de vida no válido", ""))))</f>
        <v/>
      </c>
      <c r="AC587" s="56" t="n"/>
      <c r="AD587" s="51" t="n"/>
      <c r="AE587" s="156" t="n"/>
      <c r="AF587" s="51" t="n"/>
      <c r="AG587" s="156" t="inlineStr">
        <is>
          <t>Nuevo – Carga Hoja2 01/10/2026</t>
        </is>
      </c>
      <c r="AH587" s="156" t="inlineStr">
        <is>
          <t>Alta 01/10/2026 desde Hoja2 (fila 396); Marca original 'Trinity Ranch' (submarca de Montana West); Precio de compra en 0/vacío en origen | 01/10/2026: Odoo Universal Unique Brands trae Género «Unisex» — se conservó el valor de Productos</t>
        </is>
      </c>
      <c r="AI587" s="156" t="n"/>
      <c r="AJ587" s="156" t="n"/>
      <c r="AK587" s="155" t="inlineStr">
        <is>
          <t>Hoja2: fila 396 | Odoo: producto 15606 / plantilla 19959</t>
        </is>
      </c>
      <c r="AL587" s="58" t="n"/>
      <c r="AM587" s="58" t="n"/>
      <c r="AN587" s="155" t="inlineStr">
        <is>
          <t>Odoo Universal Unique Brands</t>
        </is>
      </c>
      <c r="AO587" s="59" t="n"/>
      <c r="AP587" s="59" t="n"/>
      <c r="AQ587" s="59" t="n">
        <v>34</v>
      </c>
      <c r="AR587" s="155" t="inlineStr">
        <is>
          <t>Odoo Universal Unique Brands › Bodega 25 › Bodega 25/General: 34</t>
        </is>
      </c>
    </row>
    <row r="588">
      <c r="A588" s="50" t="inlineStr">
        <is>
          <t>717690445386</t>
        </is>
      </c>
      <c r="B588" s="51" t="inlineStr">
        <is>
          <t>15605</t>
        </is>
      </c>
      <c r="C588" s="156" t="inlineStr">
        <is>
          <t>Montana West</t>
        </is>
      </c>
      <c r="D588" s="156" t="inlineStr">
        <is>
          <t>TR194-181BK</t>
        </is>
      </c>
      <c r="E588" s="156" t="inlineStr">
        <is>
          <t>TR194-181BK</t>
        </is>
      </c>
      <c r="F588" s="156" t="inlineStr">
        <is>
          <t>Talla única</t>
        </is>
      </c>
      <c r="G588" s="156" t="inlineStr">
        <is>
          <t>One Size</t>
        </is>
      </c>
      <c r="H588" s="156" t="inlineStr">
        <is>
          <t>Montana West</t>
        </is>
      </c>
      <c r="I588" s="156" t="inlineStr">
        <is>
          <t>Clutch Trinity Ranch Negro</t>
        </is>
      </c>
      <c r="J588" s="156" t="inlineStr">
        <is>
          <t>Accesorios</t>
        </is>
      </c>
      <c r="K588" s="156" t="inlineStr">
        <is>
          <t>Bolsos</t>
        </is>
      </c>
      <c r="L588" s="156" t="inlineStr">
        <is>
          <t>Mujer</t>
        </is>
      </c>
      <c r="M588" s="156" t="inlineStr">
        <is>
          <t>Trinity Ranch</t>
        </is>
      </c>
      <c r="N588" s="156" t="n"/>
      <c r="O588" s="156" t="inlineStr">
        <is>
          <t>Core</t>
        </is>
      </c>
      <c r="P588" s="156" t="inlineStr">
        <is>
          <t>Negro</t>
        </is>
      </c>
      <c r="Q588" s="156" t="n"/>
      <c r="R588" s="156" t="n"/>
      <c r="S588" s="156" t="n"/>
      <c r="T588" s="156" t="inlineStr">
        <is>
          <t>Clutch Trinity Ranch. Color: Negro. Talla única. Mujer. Referencia: TR194-181BK.</t>
        </is>
      </c>
      <c r="U588" s="156" t="n"/>
      <c r="V588" s="156" t="inlineStr">
        <is>
          <t>PZS</t>
        </is>
      </c>
      <c r="W588" s="51" t="inlineStr">
        <is>
          <t>53121601</t>
        </is>
      </c>
      <c r="X588" s="156" t="n"/>
      <c r="Y588" s="54" t="n"/>
      <c r="Z588" s="54" t="n">
        <v>389</v>
      </c>
      <c r="AA588" s="55">
        <f>IF(AND(A588="", B588="", E588=""), "", IF(AB588="", "Válido", IF((LEN(AB588)-LEN(SUBSTITUTE(AB588,"; ","")))/2+1&gt;(LEN(AB588)-LEN(SUBSTITUTE(AB588,"[Aviso]","")))/7, "Con Incidencias", "Válido")))</f>
        <v/>
      </c>
      <c r="AB588" s="56">
        <f>IF(AND(A588="", B588="", E588=""), "", TEXTJOIN("; ", TRUE, IF(OR(TRIM(A588&amp;"")="", ISNUMBER(SEARCH("FALTA", A588))), "UPC faltante/inválido", ""), IF(AND(A588&lt;&gt;"", IFERROR(_xlfn.XMATCH(A588,$A$2:$A$1063,0,1)&lt;&gt;_xlfn.XMATCH(A588,$A$2:$A$1063,0,-1),FALSE)), "Código de barras duplicado", ""), IF(AND(E588&lt;&gt;"", COUNTIF($E$2:$E$1063, E588)&gt;1), "SKU duplicado", ""), IF(OR(J588="", J588=""), "[Aviso] División no capturada ()", IF(ISNA(MATCH(J588, Criterios!$A$123:$A$126, 0)), "División no válida", "")), IF(OR(K588="", K588=""), "[Aviso] Categoría no capturada ()", IF(ISNA(MATCH(K588, Criterios!$A$81:$A$120, 0)), "Categoría no válida", IF(AND(J588&lt;&gt;"", J588&lt;&gt;"", J588&lt;&gt;VLOOKUP(K588, Criterios!$A$81:$B$120, 2, FALSE)), "División no coincide con Categoría", ""))), IF(OR(L588="", L588=""), "[Aviso] Género no capturado ()", IF(ISNA(MATCH(L588, Criterios!$B$123:$B$127, 0)), "Género no válido", "")), IF(OR(N588="", N588=""), "[Aviso] Temporada no capturada ()", IF(ISNA(MATCH(N588, Criterios!$C$123:$C$128, 0)), "Temporada no válida", "")), IF(OR(O588="", O588=""), "[Aviso] Ciclo de vida no capturado ()", IF(ISNA(MATCH(O588, Criterios!$D$123:$D$124, 0)), "Ciclo de vida no válido", ""))))</f>
        <v/>
      </c>
      <c r="AC588" s="56" t="n"/>
      <c r="AD588" s="51" t="n"/>
      <c r="AE588" s="156" t="n"/>
      <c r="AF588" s="51" t="n"/>
      <c r="AG588" s="156" t="inlineStr">
        <is>
          <t>Nuevo – Carga Hoja2 01/10/2026</t>
        </is>
      </c>
      <c r="AH588" s="156" t="inlineStr">
        <is>
          <t>Alta 01/10/2026 desde Hoja2 (fila 397); Marca original 'Trinity Ranch' (submarca de Montana West); Precio de compra en 0/vacío en origen | 01/10/2026: Odoo Universal Unique Brands trae Género «Unisex» — se conservó el valor de Productos | Homologación G1522 06/10/2026: Validador Shopify: WB: precio con IVA no termina en 9</t>
        </is>
      </c>
      <c r="AI588" s="156" t="n"/>
      <c r="AJ588" s="156" t="n"/>
      <c r="AK588" s="155" t="inlineStr">
        <is>
          <t>Hoja2: fila 397 | Odoo: producto 15605 / plantilla 19958</t>
        </is>
      </c>
      <c r="AL588" s="58" t="n"/>
      <c r="AM588" s="58" t="n"/>
      <c r="AN588" s="155" t="inlineStr">
        <is>
          <t>Odoo Universal Unique Brands</t>
        </is>
      </c>
      <c r="AO588" s="59" t="n"/>
      <c r="AP588" s="59" t="n"/>
      <c r="AQ588" s="59" t="n">
        <v>15</v>
      </c>
      <c r="AR588" s="155" t="inlineStr">
        <is>
          <t>Odoo Universal Unique Brands › Bodega 25 › Bodega 25/General: 15</t>
        </is>
      </c>
    </row>
    <row r="589">
      <c r="A589" s="50" t="inlineStr">
        <is>
          <t>717690445393</t>
        </is>
      </c>
      <c r="B589" s="51" t="inlineStr">
        <is>
          <t>15631</t>
        </is>
      </c>
      <c r="C589" s="156" t="inlineStr">
        <is>
          <t>Montana West</t>
        </is>
      </c>
      <c r="D589" s="156" t="n"/>
      <c r="E589" s="156" t="inlineStr">
        <is>
          <t>TR194-181BR</t>
        </is>
      </c>
      <c r="F589" s="156" t="inlineStr">
        <is>
          <t>Talla única</t>
        </is>
      </c>
      <c r="G589" s="156" t="inlineStr">
        <is>
          <t>One Size</t>
        </is>
      </c>
      <c r="H589" s="156" t="inlineStr">
        <is>
          <t>Montana West</t>
        </is>
      </c>
      <c r="I589" s="156" t="inlineStr">
        <is>
          <t>TRINITY RANCH TR CLUTCH</t>
        </is>
      </c>
      <c r="J589" s="156" t="inlineStr">
        <is>
          <t>Accesorios</t>
        </is>
      </c>
      <c r="K589" s="156" t="inlineStr">
        <is>
          <t>Bolsos</t>
        </is>
      </c>
      <c r="L589" s="156" t="inlineStr">
        <is>
          <t>Unisex</t>
        </is>
      </c>
      <c r="M589" s="156" t="n"/>
      <c r="N589" s="156" t="n"/>
      <c r="O589" s="156" t="n"/>
      <c r="P589" s="156" t="n"/>
      <c r="Q589" s="156" t="n"/>
      <c r="R589" s="156" t="n"/>
      <c r="S589" s="156" t="n"/>
      <c r="T589" s="156" t="n"/>
      <c r="U589" s="156" t="n"/>
      <c r="V589" s="156" t="inlineStr">
        <is>
          <t>PZS</t>
        </is>
      </c>
      <c r="W589" s="51" t="inlineStr">
        <is>
          <t>53121600</t>
        </is>
      </c>
      <c r="X589" s="156" t="n"/>
      <c r="Y589" s="54" t="n"/>
      <c r="Z589" s="54" t="n">
        <v>389</v>
      </c>
      <c r="AA589" s="55">
        <f>IF(AND(A589="", B589="", E589=""), "", IF(AB589="", "Válido", IF((LEN(AB589)-LEN(SUBSTITUTE(AB589,"; ","")))/2+1&gt;(LEN(AB589)-LEN(SUBSTITUTE(AB589,"[Aviso]","")))/7, "Con Incidencias", "Válido")))</f>
        <v/>
      </c>
      <c r="AB589" s="56">
        <f>IF(AND(A589="", B589="", E589=""), "", TEXTJOIN("; ", TRUE, IF(OR(TRIM(A589&amp;"")="", ISNUMBER(SEARCH("FALTA", A589))), "UPC faltante/inválido", ""), IF(AND(A589&lt;&gt;"", IFERROR(_xlfn.XMATCH(A589,$A$2:$A$1063,0,1)&lt;&gt;_xlfn.XMATCH(A589,$A$2:$A$1063,0,-1),FALSE)), "Código de barras duplicado", ""), IF(AND(E589&lt;&gt;"", COUNTIF($E$2:$E$1063, E589)&gt;1), "SKU duplicado", ""), IF(OR(J589="", J589=""), "[Aviso] División no capturada ()", IF(ISNA(MATCH(J589, Criterios!$A$123:$A$126, 0)), "División no válida", "")), IF(OR(K589="", K589=""), "[Aviso] Categoría no capturada ()", IF(ISNA(MATCH(K589, Criterios!$A$81:$A$120, 0)), "Categoría no válida", IF(AND(J589&lt;&gt;"", J589&lt;&gt;"", J589&lt;&gt;VLOOKUP(K589, Criterios!$A$81:$B$120, 2, FALSE)), "División no coincide con Categoría", ""))), IF(OR(L589="", L589=""), "[Aviso] Género no capturado ()", IF(ISNA(MATCH(L589, Criterios!$B$123:$B$127, 0)), "Género no válido", "")), IF(OR(N589="", N589=""), "[Aviso] Temporada no capturada ()", IF(ISNA(MATCH(N589, Criterios!$C$123:$C$128, 0)), "Temporada no válida", "")), IF(OR(O589="", O589=""), "[Aviso] Ciclo de vida no capturado ()", IF(ISNA(MATCH(O589, Criterios!$D$123:$D$124, 0)), "Ciclo de vida no válido", ""))))</f>
        <v/>
      </c>
      <c r="AC589" s="56" t="n"/>
      <c r="AD589" s="51" t="n"/>
      <c r="AE589" s="156" t="n"/>
      <c r="AF589" s="51" t="n"/>
      <c r="AG589" s="156" t="inlineStr">
        <is>
          <t>Nuevo – Carga Hoja2 01/10/2026</t>
        </is>
      </c>
      <c r="AH589" s="156" t="inlineStr">
        <is>
          <t>Alta 01/10/2026 desde Hoja2 (fila 398); Marca original 'Trinity Ranch' (submarca de Montana West); Precio de compra en 0/vacío en origen; Atributos incompletos en origen: completar | 01/10/2026: complementado desde Odoo Universal Unique Brands (match por código de barras): WB Talla, WB Talla de EE. UU., WB División, WB Categoría, WB Género, WB Fit, WB Silueta | Homologación G1522 06/10/2026: Validación G1522: Falta estilo · Validador NetSuite / Odoo: V6: falta estilo · Validador Shopify: V6: falta estilo; WB: precio con IVA no termina en 9</t>
        </is>
      </c>
      <c r="AI589" s="156" t="n"/>
      <c r="AJ589" s="156" t="n"/>
      <c r="AK589" s="155" t="inlineStr">
        <is>
          <t>Hoja2: fila 398 | Odoo: producto 15631 / plantilla 19984</t>
        </is>
      </c>
      <c r="AL589" s="58" t="n"/>
      <c r="AM589" s="58" t="n"/>
      <c r="AN589" s="155" t="inlineStr">
        <is>
          <t>Odoo Universal Unique Brands</t>
        </is>
      </c>
      <c r="AO589" s="59" t="n"/>
      <c r="AP589" s="59" t="n"/>
      <c r="AQ589" s="59" t="n">
        <v>16</v>
      </c>
      <c r="AR589" s="155" t="inlineStr">
        <is>
          <t>Odoo Universal Unique Brands › Bodega 25 › Bodega 25/General: 16</t>
        </is>
      </c>
    </row>
    <row r="590">
      <c r="A590" s="50" t="inlineStr">
        <is>
          <t>717690445379</t>
        </is>
      </c>
      <c r="B590" s="51" t="inlineStr">
        <is>
          <t>15633</t>
        </is>
      </c>
      <c r="C590" s="156" t="inlineStr">
        <is>
          <t>Montana West</t>
        </is>
      </c>
      <c r="D590" s="156" t="inlineStr">
        <is>
          <t>TR194-8250CF</t>
        </is>
      </c>
      <c r="E590" s="156" t="inlineStr">
        <is>
          <t>TR194-8250CF</t>
        </is>
      </c>
      <c r="F590" s="156" t="inlineStr">
        <is>
          <t>Talla única</t>
        </is>
      </c>
      <c r="G590" s="156" t="inlineStr">
        <is>
          <t>One Size</t>
        </is>
      </c>
      <c r="H590" s="156" t="inlineStr">
        <is>
          <t>Montana West</t>
        </is>
      </c>
      <c r="I590" s="156" t="inlineStr">
        <is>
          <t>Bolsa Trinity Ranch Café Oscuro</t>
        </is>
      </c>
      <c r="J590" s="156" t="inlineStr">
        <is>
          <t>Accesorios</t>
        </is>
      </c>
      <c r="K590" s="156" t="inlineStr">
        <is>
          <t>Bolsos</t>
        </is>
      </c>
      <c r="L590" s="156" t="inlineStr">
        <is>
          <t>Mujer</t>
        </is>
      </c>
      <c r="M590" s="156" t="inlineStr">
        <is>
          <t>Trinity Ranch</t>
        </is>
      </c>
      <c r="N590" s="156" t="n"/>
      <c r="O590" s="156" t="inlineStr">
        <is>
          <t>Core</t>
        </is>
      </c>
      <c r="P590" s="156" t="inlineStr">
        <is>
          <t>Cafe</t>
        </is>
      </c>
      <c r="Q590" s="156" t="n"/>
      <c r="R590" s="156" t="n"/>
      <c r="S590" s="156" t="n"/>
      <c r="T590" s="156" t="inlineStr">
        <is>
          <t>Bolsa Trinity Ranch. Color: Café Oscuro. Talla única. Mujer. Referencia: TR194-8250CF.</t>
        </is>
      </c>
      <c r="U590" s="156" t="n"/>
      <c r="V590" s="156" t="inlineStr">
        <is>
          <t>PZS</t>
        </is>
      </c>
      <c r="W590" s="51" t="inlineStr">
        <is>
          <t>53121601</t>
        </is>
      </c>
      <c r="X590" s="156" t="n"/>
      <c r="Y590" s="54" t="n"/>
      <c r="Z590" s="54" t="n">
        <v>769</v>
      </c>
      <c r="AA590" s="55">
        <f>IF(AND(A590="", B590="", E590=""), "", IF(AB590="", "Válido", IF((LEN(AB590)-LEN(SUBSTITUTE(AB590,"; ","")))/2+1&gt;(LEN(AB590)-LEN(SUBSTITUTE(AB590,"[Aviso]","")))/7, "Con Incidencias", "Válido")))</f>
        <v/>
      </c>
      <c r="AB590" s="56">
        <f>IF(AND(A590="", B590="", E590=""), "", TEXTJOIN("; ", TRUE, IF(OR(TRIM(A590&amp;"")="", ISNUMBER(SEARCH("FALTA", A590))), "UPC faltante/inválido", ""), IF(AND(A590&lt;&gt;"", IFERROR(_xlfn.XMATCH(A590,$A$2:$A$1063,0,1)&lt;&gt;_xlfn.XMATCH(A590,$A$2:$A$1063,0,-1),FALSE)), "Código de barras duplicado", ""), IF(AND(E590&lt;&gt;"", COUNTIF($E$2:$E$1063, E590)&gt;1), "SKU duplicado", ""), IF(OR(J590="", J590=""), "[Aviso] División no capturada ()", IF(ISNA(MATCH(J590, Criterios!$A$123:$A$126, 0)), "División no válida", "")), IF(OR(K590="", K590=""), "[Aviso] Categoría no capturada ()", IF(ISNA(MATCH(K590, Criterios!$A$81:$A$120, 0)), "Categoría no válida", IF(AND(J590&lt;&gt;"", J590&lt;&gt;"", J590&lt;&gt;VLOOKUP(K590, Criterios!$A$81:$B$120, 2, FALSE)), "División no coincide con Categoría", ""))), IF(OR(L590="", L590=""), "[Aviso] Género no capturado ()", IF(ISNA(MATCH(L590, Criterios!$B$123:$B$127, 0)), "Género no válido", "")), IF(OR(N590="", N590=""), "[Aviso] Temporada no capturada ()", IF(ISNA(MATCH(N590, Criterios!$C$123:$C$128, 0)), "Temporada no válida", "")), IF(OR(O590="", O590=""), "[Aviso] Ciclo de vida no capturado ()", IF(ISNA(MATCH(O590, Criterios!$D$123:$D$124, 0)), "Ciclo de vida no válido", ""))))</f>
        <v/>
      </c>
      <c r="AC590" s="56" t="n"/>
      <c r="AD590" s="51" t="n"/>
      <c r="AE590" s="156" t="n"/>
      <c r="AF590" s="51" t="n"/>
      <c r="AG590" s="156" t="inlineStr">
        <is>
          <t>Nuevo – Carga Hoja2 01/10/2026</t>
        </is>
      </c>
      <c r="AH590" s="156" t="inlineStr">
        <is>
          <t>Alta 01/10/2026 desde Hoja2 (fila 399); Marca original 'Trinity Ranch' (submarca de Montana West); Precio de compra en 0/vacío en origen | 01/10/2026: Odoo Universal Unique Brands trae Género «Unisex» — se conservó el valor de Productos | Homologación G1522 06/10/2026: Validador Shopify: WB: precio con IVA no termina en 9</t>
        </is>
      </c>
      <c r="AI590" s="156" t="n"/>
      <c r="AJ590" s="156" t="n"/>
      <c r="AK590" s="155" t="inlineStr">
        <is>
          <t>Hoja2: fila 399 | Odoo: producto 15633 / plantilla 19986</t>
        </is>
      </c>
      <c r="AL590" s="58" t="n"/>
      <c r="AM590" s="58" t="n"/>
      <c r="AN590" s="155" t="inlineStr">
        <is>
          <t>Odoo Universal Unique Brands</t>
        </is>
      </c>
      <c r="AO590" s="59" t="n"/>
      <c r="AP590" s="59" t="n"/>
      <c r="AQ590" s="59" t="n">
        <v>11</v>
      </c>
      <c r="AR590" s="155" t="inlineStr">
        <is>
          <t>Odoo Universal Unique Brands › Bodega 25 › Bodega 25/General: 11</t>
        </is>
      </c>
    </row>
    <row r="591">
      <c r="A591" s="50" t="inlineStr">
        <is>
          <t>717690446147</t>
        </is>
      </c>
      <c r="B591" s="51" t="inlineStr">
        <is>
          <t>15634</t>
        </is>
      </c>
      <c r="C591" s="156" t="inlineStr">
        <is>
          <t>Montana West</t>
        </is>
      </c>
      <c r="D591" s="156" t="n"/>
      <c r="E591" s="156" t="inlineStr">
        <is>
          <t>TR196-W018BR</t>
        </is>
      </c>
      <c r="F591" s="156" t="inlineStr">
        <is>
          <t>Talla única</t>
        </is>
      </c>
      <c r="G591" s="156" t="inlineStr">
        <is>
          <t>One Size</t>
        </is>
      </c>
      <c r="H591" s="156" t="inlineStr">
        <is>
          <t>Montana West</t>
        </is>
      </c>
      <c r="I591" s="156" t="inlineStr">
        <is>
          <t>TRINITY RANCH TR WALLET</t>
        </is>
      </c>
      <c r="J591" s="156" t="inlineStr">
        <is>
          <t>Accesorios</t>
        </is>
      </c>
      <c r="K591" s="156" t="inlineStr">
        <is>
          <t>Carteras</t>
        </is>
      </c>
      <c r="L591" s="156" t="inlineStr">
        <is>
          <t>Unisex</t>
        </is>
      </c>
      <c r="M591" s="156" t="n"/>
      <c r="N591" s="156" t="n"/>
      <c r="O591" s="156" t="n"/>
      <c r="P591" s="156" t="n"/>
      <c r="Q591" s="156" t="n"/>
      <c r="R591" s="156" t="n"/>
      <c r="S591" s="156" t="n"/>
      <c r="T591" s="156" t="n"/>
      <c r="U591" s="156" t="n"/>
      <c r="V591" s="156" t="inlineStr">
        <is>
          <t>PZS</t>
        </is>
      </c>
      <c r="W591" s="51" t="inlineStr">
        <is>
          <t>53121600</t>
        </is>
      </c>
      <c r="X591" s="156" t="n"/>
      <c r="Y591" s="54" t="n"/>
      <c r="Z591" s="54" t="n">
        <v>409</v>
      </c>
      <c r="AA591" s="55">
        <f>IF(AND(A591="", B591="", E591=""), "", IF(AB591="", "Válido", IF((LEN(AB591)-LEN(SUBSTITUTE(AB591,"; ","")))/2+1&gt;(LEN(AB591)-LEN(SUBSTITUTE(AB591,"[Aviso]","")))/7, "Con Incidencias", "Válido")))</f>
        <v/>
      </c>
      <c r="AB591" s="56">
        <f>IF(AND(A591="", B591="", E591=""), "", TEXTJOIN("; ", TRUE, IF(OR(TRIM(A591&amp;"")="", ISNUMBER(SEARCH("FALTA", A591))), "UPC faltante/inválido", ""), IF(AND(A591&lt;&gt;"", IFERROR(_xlfn.XMATCH(A591,$A$2:$A$1063,0,1)&lt;&gt;_xlfn.XMATCH(A591,$A$2:$A$1063,0,-1),FALSE)), "Código de barras duplicado", ""), IF(AND(E591&lt;&gt;"", COUNTIF($E$2:$E$1063, E591)&gt;1), "SKU duplicado", ""), IF(OR(J591="", J591=""), "[Aviso] División no capturada ()", IF(ISNA(MATCH(J591, Criterios!$A$123:$A$126, 0)), "División no válida", "")), IF(OR(K591="", K591=""), "[Aviso] Categoría no capturada ()", IF(ISNA(MATCH(K591, Criterios!$A$81:$A$120, 0)), "Categoría no válida", IF(AND(J591&lt;&gt;"", J591&lt;&gt;"", J591&lt;&gt;VLOOKUP(K591, Criterios!$A$81:$B$120, 2, FALSE)), "División no coincide con Categoría", ""))), IF(OR(L591="", L591=""), "[Aviso] Género no capturado ()", IF(ISNA(MATCH(L591, Criterios!$B$123:$B$127, 0)), "Género no válido", "")), IF(OR(N591="", N591=""), "[Aviso] Temporada no capturada ()", IF(ISNA(MATCH(N591, Criterios!$C$123:$C$128, 0)), "Temporada no válida", "")), IF(OR(O591="", O591=""), "[Aviso] Ciclo de vida no capturado ()", IF(ISNA(MATCH(O591, Criterios!$D$123:$D$124, 0)), "Ciclo de vida no válido", ""))))</f>
        <v/>
      </c>
      <c r="AC591" s="56" t="n"/>
      <c r="AD591" s="51" t="n"/>
      <c r="AE591" s="156" t="n"/>
      <c r="AF591" s="51" t="n"/>
      <c r="AG591" s="156" t="inlineStr">
        <is>
          <t>Nuevo – Carga Hoja2 01/10/2026</t>
        </is>
      </c>
      <c r="AH591" s="156" t="inlineStr">
        <is>
          <t>Alta 01/10/2026 desde Hoja2 (fila 400); Marca original 'Trinity Ranch' (submarca de Montana West);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591" s="156" t="n"/>
      <c r="AJ591" s="156" t="n"/>
      <c r="AK591" s="155" t="inlineStr">
        <is>
          <t>Hoja2: fila 400 | Odoo: producto 15634 / plantilla 19987</t>
        </is>
      </c>
      <c r="AL591" s="58" t="n"/>
      <c r="AM591" s="58" t="n"/>
      <c r="AN591" s="155" t="inlineStr">
        <is>
          <t>Odoo Universal Unique Brands</t>
        </is>
      </c>
      <c r="AO591" s="59" t="n"/>
      <c r="AP591" s="59" t="n"/>
      <c r="AQ591" s="59" t="n">
        <v>14</v>
      </c>
      <c r="AR591" s="155" t="inlineStr">
        <is>
          <t>Odoo Universal Unique Brands › Bodega 25 › Bodega 25/General: 14</t>
        </is>
      </c>
    </row>
    <row r="592">
      <c r="A592" s="50" t="inlineStr">
        <is>
          <t>717690446208</t>
        </is>
      </c>
      <c r="B592" s="51" t="inlineStr">
        <is>
          <t>15637</t>
        </is>
      </c>
      <c r="C592" s="156" t="inlineStr">
        <is>
          <t>Montana West</t>
        </is>
      </c>
      <c r="D592" s="156" t="n"/>
      <c r="E592" s="156" t="inlineStr">
        <is>
          <t>TR196-W018TQ</t>
        </is>
      </c>
      <c r="F592" s="156" t="inlineStr">
        <is>
          <t>Talla única</t>
        </is>
      </c>
      <c r="G592" s="156" t="inlineStr">
        <is>
          <t>One Size</t>
        </is>
      </c>
      <c r="H592" s="156" t="inlineStr">
        <is>
          <t>Montana West</t>
        </is>
      </c>
      <c r="I592" s="156" t="inlineStr">
        <is>
          <t>TRINITY RANCH TR WALLET</t>
        </is>
      </c>
      <c r="J592" s="156" t="inlineStr">
        <is>
          <t>Accesorios</t>
        </is>
      </c>
      <c r="K592" s="156" t="inlineStr">
        <is>
          <t>Carteras</t>
        </is>
      </c>
      <c r="L592" s="156" t="inlineStr">
        <is>
          <t>Unisex</t>
        </is>
      </c>
      <c r="M592" s="156" t="n"/>
      <c r="N592" s="156" t="n"/>
      <c r="O592" s="156" t="n"/>
      <c r="P592" s="156" t="n"/>
      <c r="Q592" s="156" t="n"/>
      <c r="R592" s="156" t="n"/>
      <c r="S592" s="156" t="n"/>
      <c r="T592" s="156" t="n"/>
      <c r="U592" s="156" t="n"/>
      <c r="V592" s="156" t="inlineStr">
        <is>
          <t>PZS</t>
        </is>
      </c>
      <c r="W592" s="51" t="inlineStr">
        <is>
          <t>53121600</t>
        </is>
      </c>
      <c r="X592" s="156" t="n"/>
      <c r="Y592" s="54" t="n"/>
      <c r="Z592" s="54" t="n">
        <v>409</v>
      </c>
      <c r="AA592" s="55">
        <f>IF(AND(A592="", B592="", E592=""), "", IF(AB592="", "Válido", IF((LEN(AB592)-LEN(SUBSTITUTE(AB592,"; ","")))/2+1&gt;(LEN(AB592)-LEN(SUBSTITUTE(AB592,"[Aviso]","")))/7, "Con Incidencias", "Válido")))</f>
        <v/>
      </c>
      <c r="AB592" s="56">
        <f>IF(AND(A592="", B592="", E592=""), "", TEXTJOIN("; ", TRUE, IF(OR(TRIM(A592&amp;"")="", ISNUMBER(SEARCH("FALTA", A592))), "UPC faltante/inválido", ""), IF(AND(A592&lt;&gt;"", IFERROR(_xlfn.XMATCH(A592,$A$2:$A$1063,0,1)&lt;&gt;_xlfn.XMATCH(A592,$A$2:$A$1063,0,-1),FALSE)), "Código de barras duplicado", ""), IF(AND(E592&lt;&gt;"", COUNTIF($E$2:$E$1063, E592)&gt;1), "SKU duplicado", ""), IF(OR(J592="", J592=""), "[Aviso] División no capturada ()", IF(ISNA(MATCH(J592, Criterios!$A$123:$A$126, 0)), "División no válida", "")), IF(OR(K592="", K592=""), "[Aviso] Categoría no capturada ()", IF(ISNA(MATCH(K592, Criterios!$A$81:$A$120, 0)), "Categoría no válida", IF(AND(J592&lt;&gt;"", J592&lt;&gt;"", J592&lt;&gt;VLOOKUP(K592, Criterios!$A$81:$B$120, 2, FALSE)), "División no coincide con Categoría", ""))), IF(OR(L592="", L592=""), "[Aviso] Género no capturado ()", IF(ISNA(MATCH(L592, Criterios!$B$123:$B$127, 0)), "Género no válido", "")), IF(OR(N592="", N592=""), "[Aviso] Temporada no capturada ()", IF(ISNA(MATCH(N592, Criterios!$C$123:$C$128, 0)), "Temporada no válida", "")), IF(OR(O592="", O592=""), "[Aviso] Ciclo de vida no capturado ()", IF(ISNA(MATCH(O592, Criterios!$D$123:$D$124, 0)), "Ciclo de vida no válido", ""))))</f>
        <v/>
      </c>
      <c r="AC592" s="56" t="n"/>
      <c r="AD592" s="51" t="n"/>
      <c r="AE592" s="156" t="n"/>
      <c r="AF592" s="51" t="n"/>
      <c r="AG592" s="156" t="inlineStr">
        <is>
          <t>Nuevo – Carga Hoja2 01/10/2026</t>
        </is>
      </c>
      <c r="AH592" s="156" t="inlineStr">
        <is>
          <t>Alta 01/10/2026 desde Hoja2 (fila 401); Marca original 'Trinity Ranch' (submarca de Montana West);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592" s="156" t="n"/>
      <c r="AJ592" s="156" t="n"/>
      <c r="AK592" s="155" t="inlineStr">
        <is>
          <t>Hoja2: fila 401 | Odoo: producto 15637 / plantilla 19990</t>
        </is>
      </c>
      <c r="AL592" s="58" t="n"/>
      <c r="AM592" s="58" t="n"/>
      <c r="AN592" s="155" t="inlineStr">
        <is>
          <t>Odoo Universal Unique Brands</t>
        </is>
      </c>
      <c r="AO592" s="59" t="n"/>
      <c r="AP592" s="59" t="n"/>
      <c r="AQ592" s="59" t="n">
        <v>14</v>
      </c>
      <c r="AR592" s="155" t="inlineStr">
        <is>
          <t>Odoo Universal Unique Brands › Bodega 25 › Bodega 25/General: 14</t>
        </is>
      </c>
    </row>
    <row r="593">
      <c r="A593" s="50" t="inlineStr">
        <is>
          <t>717690451813</t>
        </is>
      </c>
      <c r="B593" s="51" t="inlineStr">
        <is>
          <t>22193</t>
        </is>
      </c>
      <c r="C593" s="156" t="inlineStr">
        <is>
          <t>Montana West</t>
        </is>
      </c>
      <c r="D593" s="156" t="n"/>
      <c r="E593" s="156" t="inlineStr">
        <is>
          <t>TR199-8122BK</t>
        </is>
      </c>
      <c r="F593" s="156" t="inlineStr">
        <is>
          <t>Talla única</t>
        </is>
      </c>
      <c r="G593" s="156" t="inlineStr">
        <is>
          <t>One Size</t>
        </is>
      </c>
      <c r="H593" s="156" t="inlineStr">
        <is>
          <t>Montana West</t>
        </is>
      </c>
      <c r="I593" s="156" t="inlineStr">
        <is>
          <t>TRINITY RANCH TRINITY RANCH Genuine Hair-On Cowhide Tooled Tote/Crossbody -Black</t>
        </is>
      </c>
      <c r="J593" s="156" t="inlineStr">
        <is>
          <t>Accesorios</t>
        </is>
      </c>
      <c r="K593" s="156" t="inlineStr">
        <is>
          <t>Bolsos</t>
        </is>
      </c>
      <c r="L593" s="156" t="inlineStr">
        <is>
          <t>Unisex</t>
        </is>
      </c>
      <c r="M593" s="156" t="n"/>
      <c r="N593" s="156" t="n"/>
      <c r="O593" s="156" t="n"/>
      <c r="P593" s="156" t="inlineStr">
        <is>
          <t>Negro</t>
        </is>
      </c>
      <c r="Q593" s="156" t="n"/>
      <c r="R593" s="156" t="n"/>
      <c r="S593" s="156" t="n"/>
      <c r="T593" s="156" t="n"/>
      <c r="U593" s="156" t="n"/>
      <c r="V593" s="156" t="inlineStr">
        <is>
          <t>PZS</t>
        </is>
      </c>
      <c r="W593" s="51" t="inlineStr">
        <is>
          <t>53121601</t>
        </is>
      </c>
      <c r="X593" s="156" t="n"/>
      <c r="Y593" s="54" t="n">
        <v>10.13</v>
      </c>
      <c r="Z593" s="54" t="n">
        <v>399</v>
      </c>
      <c r="AA593" s="55">
        <f>IF(AND(A593="", B593="", E593=""), "", IF(AB593="", "Válido", IF((LEN(AB593)-LEN(SUBSTITUTE(AB593,"; ","")))/2+1&gt;(LEN(AB593)-LEN(SUBSTITUTE(AB593,"[Aviso]","")))/7, "Con Incidencias", "Válido")))</f>
        <v/>
      </c>
      <c r="AB593" s="56">
        <f>IF(AND(A593="", B593="", E593=""), "", TEXTJOIN("; ", TRUE, IF(OR(TRIM(A593&amp;"")="", ISNUMBER(SEARCH("FALTA", A593))), "UPC faltante/inválido", ""), IF(AND(A593&lt;&gt;"", IFERROR(_xlfn.XMATCH(A593,$A$2:$A$1063,0,1)&lt;&gt;_xlfn.XMATCH(A593,$A$2:$A$1063,0,-1),FALSE)), "Código de barras duplicado", ""), IF(AND(E593&lt;&gt;"", COUNTIF($E$2:$E$1063, E593)&gt;1), "SKU duplicado", ""), IF(OR(J593="", J593=""), "[Aviso] División no capturada ()", IF(ISNA(MATCH(J593, Criterios!$A$123:$A$126, 0)), "División no válida", "")), IF(OR(K593="", K593=""), "[Aviso] Categoría no capturada ()", IF(ISNA(MATCH(K593, Criterios!$A$81:$A$120, 0)), "Categoría no válida", IF(AND(J593&lt;&gt;"", J593&lt;&gt;"", J593&lt;&gt;VLOOKUP(K593, Criterios!$A$81:$B$120, 2, FALSE)), "División no coincide con Categoría", ""))), IF(OR(L593="", L593=""), "[Aviso] Género no capturado ()", IF(ISNA(MATCH(L593, Criterios!$B$123:$B$127, 0)), "Género no válido", "")), IF(OR(N593="", N593=""), "[Aviso] Temporada no capturada ()", IF(ISNA(MATCH(N593, Criterios!$C$123:$C$128, 0)), "Temporada no válida", "")), IF(OR(O593="", O593=""), "[Aviso] Ciclo de vida no capturado ()", IF(ISNA(MATCH(O593, Criterios!$D$123:$D$124, 0)), "Ciclo de vida no válido", ""))))</f>
        <v/>
      </c>
      <c r="AC593" s="56" t="n"/>
      <c r="AD593" s="51" t="n"/>
      <c r="AE593" s="156" t="n"/>
      <c r="AF593" s="51" t="n"/>
      <c r="AG593" s="156" t="inlineStr">
        <is>
          <t>Nuevo – Carga Hoja2 01/10/2026</t>
        </is>
      </c>
      <c r="AH593" s="156" t="inlineStr">
        <is>
          <t>Alta 01/10/2026 desde Hoja2 (fila 402); Marca original 'Trinity Ranch' (submarca de Montana West) | 01/10/2026: complementado desde Odoo Universal Unique Brands (match por código de barras): WB Talla, WB Talla de EE. UU., WB Género, WB Color | Homologación G1522 06/10/2026: Validación G1522: Falta estilo; [Aviso] Precio de compra posiblemente en USD · Validador NetSuite / Odoo: V6: falta estilo · Validador Shopify: V6: falta estilo; WB: precio con IVA no termina en 9</t>
        </is>
      </c>
      <c r="AI593" s="156" t="n"/>
      <c r="AJ593" s="156" t="n"/>
      <c r="AK593" s="155" t="inlineStr">
        <is>
          <t>Hoja2: fila 402 | Odoo: producto 22193 / plantilla 28336</t>
        </is>
      </c>
      <c r="AL593" s="58" t="n"/>
      <c r="AM593" s="58" t="n"/>
      <c r="AN593" s="155" t="inlineStr">
        <is>
          <t>Odoo Universal Unique Brands</t>
        </is>
      </c>
      <c r="AO593" s="59" t="n"/>
      <c r="AP593" s="59" t="n"/>
      <c r="AQ593" s="59" t="n">
        <v>0</v>
      </c>
      <c r="AR593" s="155" t="n"/>
    </row>
    <row r="594">
      <c r="A594" s="50" t="inlineStr">
        <is>
          <t>717690451882</t>
        </is>
      </c>
      <c r="B594" s="51" t="inlineStr">
        <is>
          <t>15638</t>
        </is>
      </c>
      <c r="C594" s="156" t="inlineStr">
        <is>
          <t>Montana West</t>
        </is>
      </c>
      <c r="D594" s="156" t="n"/>
      <c r="E594" s="156" t="inlineStr">
        <is>
          <t>TR199-8122BR</t>
        </is>
      </c>
      <c r="F594" s="156" t="inlineStr">
        <is>
          <t>Talla única</t>
        </is>
      </c>
      <c r="G594" s="156" t="inlineStr">
        <is>
          <t>One Size</t>
        </is>
      </c>
      <c r="H594" s="156" t="inlineStr">
        <is>
          <t>Montana West</t>
        </is>
      </c>
      <c r="I594" s="156" t="inlineStr">
        <is>
          <t>TRINITY RANCH TR BAG</t>
        </is>
      </c>
      <c r="J594" s="156" t="inlineStr">
        <is>
          <t>Accesorios</t>
        </is>
      </c>
      <c r="K594" s="156" t="inlineStr">
        <is>
          <t>Bolsos</t>
        </is>
      </c>
      <c r="L594" s="156" t="inlineStr">
        <is>
          <t>Unisex</t>
        </is>
      </c>
      <c r="M594" s="156" t="n"/>
      <c r="N594" s="156" t="n"/>
      <c r="O594" s="156" t="n"/>
      <c r="P594" s="156" t="n"/>
      <c r="Q594" s="156" t="n"/>
      <c r="R594" s="156" t="n"/>
      <c r="S594" s="156" t="n"/>
      <c r="T594" s="156" t="n"/>
      <c r="U594" s="156" t="n"/>
      <c r="V594" s="156" t="inlineStr">
        <is>
          <t>PZS</t>
        </is>
      </c>
      <c r="W594" s="51" t="inlineStr">
        <is>
          <t>53121600</t>
        </is>
      </c>
      <c r="X594" s="156" t="n"/>
      <c r="Y594" s="54" t="n"/>
      <c r="Z594" s="54" t="n">
        <v>839</v>
      </c>
      <c r="AA594" s="55">
        <f>IF(AND(A594="", B594="", E594=""), "", IF(AB594="", "Válido", IF((LEN(AB594)-LEN(SUBSTITUTE(AB594,"; ","")))/2+1&gt;(LEN(AB594)-LEN(SUBSTITUTE(AB594,"[Aviso]","")))/7, "Con Incidencias", "Válido")))</f>
        <v/>
      </c>
      <c r="AB594" s="56">
        <f>IF(AND(A594="", B594="", E594=""), "", TEXTJOIN("; ", TRUE, IF(OR(TRIM(A594&amp;"")="", ISNUMBER(SEARCH("FALTA", A594))), "UPC faltante/inválido", ""), IF(AND(A594&lt;&gt;"", IFERROR(_xlfn.XMATCH(A594,$A$2:$A$1063,0,1)&lt;&gt;_xlfn.XMATCH(A594,$A$2:$A$1063,0,-1),FALSE)), "Código de barras duplicado", ""), IF(AND(E594&lt;&gt;"", COUNTIF($E$2:$E$1063, E594)&gt;1), "SKU duplicado", ""), IF(OR(J594="", J594=""), "[Aviso] División no capturada ()", IF(ISNA(MATCH(J594, Criterios!$A$123:$A$126, 0)), "División no válida", "")), IF(OR(K594="", K594=""), "[Aviso] Categoría no capturada ()", IF(ISNA(MATCH(K594, Criterios!$A$81:$A$120, 0)), "Categoría no válida", IF(AND(J594&lt;&gt;"", J594&lt;&gt;"", J594&lt;&gt;VLOOKUP(K594, Criterios!$A$81:$B$120, 2, FALSE)), "División no coincide con Categoría", ""))), IF(OR(L594="", L594=""), "[Aviso] Género no capturado ()", IF(ISNA(MATCH(L594, Criterios!$B$123:$B$127, 0)), "Género no válido", "")), IF(OR(N594="", N594=""), "[Aviso] Temporada no capturada ()", IF(ISNA(MATCH(N594, Criterios!$C$123:$C$128, 0)), "Temporada no válida", "")), IF(OR(O594="", O594=""), "[Aviso] Ciclo de vida no capturado ()", IF(ISNA(MATCH(O594, Criterios!$D$123:$D$124, 0)), "Ciclo de vida no válido", ""))))</f>
        <v/>
      </c>
      <c r="AC594" s="56" t="n"/>
      <c r="AD594" s="51" t="n"/>
      <c r="AE594" s="156" t="n"/>
      <c r="AF594" s="51" t="n"/>
      <c r="AG594" s="156" t="inlineStr">
        <is>
          <t>Nuevo – Carga Hoja2 01/10/2026</t>
        </is>
      </c>
      <c r="AH594" s="156" t="inlineStr">
        <is>
          <t>Alta 01/10/2026 desde Hoja2 (fila 403); Marca original 'Trinity Ranch' (submarca de Montana West);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594" s="156" t="n"/>
      <c r="AJ594" s="156" t="n"/>
      <c r="AK594" s="155" t="inlineStr">
        <is>
          <t>Hoja2: fila 403 | Odoo: producto 15638 / plantilla 19991</t>
        </is>
      </c>
      <c r="AL594" s="58" t="n"/>
      <c r="AM594" s="58" t="n"/>
      <c r="AN594" s="155" t="inlineStr">
        <is>
          <t>Odoo Universal Unique Brands</t>
        </is>
      </c>
      <c r="AO594" s="59" t="n"/>
      <c r="AP594" s="59" t="n"/>
      <c r="AQ594" s="59" t="n">
        <v>15</v>
      </c>
      <c r="AR594" s="155" t="inlineStr">
        <is>
          <t>Odoo Universal Unique Brands › Bodega 25 › Bodega 25/General: 15</t>
        </is>
      </c>
    </row>
    <row r="595">
      <c r="A595" s="50" t="inlineStr">
        <is>
          <t>717690451912</t>
        </is>
      </c>
      <c r="B595" s="51" t="inlineStr">
        <is>
          <t>15639</t>
        </is>
      </c>
      <c r="C595" s="156" t="inlineStr">
        <is>
          <t>Montana West</t>
        </is>
      </c>
      <c r="D595" s="156" t="inlineStr">
        <is>
          <t>TR199G-8250BK</t>
        </is>
      </c>
      <c r="E595" s="156" t="inlineStr">
        <is>
          <t>TR199G-8250BK</t>
        </is>
      </c>
      <c r="F595" s="156" t="inlineStr">
        <is>
          <t>Talla única</t>
        </is>
      </c>
      <c r="G595" s="156" t="inlineStr">
        <is>
          <t>One Size</t>
        </is>
      </c>
      <c r="H595" s="156" t="inlineStr">
        <is>
          <t>Montana West</t>
        </is>
      </c>
      <c r="I595" s="156" t="inlineStr">
        <is>
          <t>Bolsa Trinity Ranch Negro</t>
        </is>
      </c>
      <c r="J595" s="156" t="inlineStr">
        <is>
          <t>Accesorios</t>
        </is>
      </c>
      <c r="K595" s="156" t="inlineStr">
        <is>
          <t>Bolsos</t>
        </is>
      </c>
      <c r="L595" s="156" t="inlineStr">
        <is>
          <t>Mujer</t>
        </is>
      </c>
      <c r="M595" s="156" t="inlineStr">
        <is>
          <t>Trinity Ranch</t>
        </is>
      </c>
      <c r="N595" s="156" t="n"/>
      <c r="O595" s="156" t="inlineStr">
        <is>
          <t>Core</t>
        </is>
      </c>
      <c r="P595" s="156" t="inlineStr">
        <is>
          <t>Negro</t>
        </is>
      </c>
      <c r="Q595" s="156" t="n"/>
      <c r="R595" s="156" t="n"/>
      <c r="S595" s="156" t="n"/>
      <c r="T595" s="156" t="inlineStr">
        <is>
          <t>Bolsa Trinity Ranch. Color: Negro. Talla única. Mujer. Referencia: TR199G-8250BK.</t>
        </is>
      </c>
      <c r="U595" s="156" t="n"/>
      <c r="V595" s="156" t="inlineStr">
        <is>
          <t>PZS</t>
        </is>
      </c>
      <c r="W595" s="51" t="inlineStr">
        <is>
          <t>53121601</t>
        </is>
      </c>
      <c r="X595" s="156" t="n"/>
      <c r="Y595" s="54" t="n"/>
      <c r="Z595" s="54" t="n">
        <v>909</v>
      </c>
      <c r="AA595" s="55">
        <f>IF(AND(A595="", B595="", E595=""), "", IF(AB595="", "Válido", IF((LEN(AB595)-LEN(SUBSTITUTE(AB595,"; ","")))/2+1&gt;(LEN(AB595)-LEN(SUBSTITUTE(AB595,"[Aviso]","")))/7, "Con Incidencias", "Válido")))</f>
        <v/>
      </c>
      <c r="AB595" s="56">
        <f>IF(AND(A595="", B595="", E595=""), "", TEXTJOIN("; ", TRUE, IF(OR(TRIM(A595&amp;"")="", ISNUMBER(SEARCH("FALTA", A595))), "UPC faltante/inválido", ""), IF(AND(A595&lt;&gt;"", IFERROR(_xlfn.XMATCH(A595,$A$2:$A$1063,0,1)&lt;&gt;_xlfn.XMATCH(A595,$A$2:$A$1063,0,-1),FALSE)), "Código de barras duplicado", ""), IF(AND(E595&lt;&gt;"", COUNTIF($E$2:$E$1063, E595)&gt;1), "SKU duplicado", ""), IF(OR(J595="", J595=""), "[Aviso] División no capturada ()", IF(ISNA(MATCH(J595, Criterios!$A$123:$A$126, 0)), "División no válida", "")), IF(OR(K595="", K595=""), "[Aviso] Categoría no capturada ()", IF(ISNA(MATCH(K595, Criterios!$A$81:$A$120, 0)), "Categoría no válida", IF(AND(J595&lt;&gt;"", J595&lt;&gt;"", J595&lt;&gt;VLOOKUP(K595, Criterios!$A$81:$B$120, 2, FALSE)), "División no coincide con Categoría", ""))), IF(OR(L595="", L595=""), "[Aviso] Género no capturado ()", IF(ISNA(MATCH(L595, Criterios!$B$123:$B$127, 0)), "Género no válido", "")), IF(OR(N595="", N595=""), "[Aviso] Temporada no capturada ()", IF(ISNA(MATCH(N595, Criterios!$C$123:$C$128, 0)), "Temporada no válida", "")), IF(OR(O595="", O595=""), "[Aviso] Ciclo de vida no capturado ()", IF(ISNA(MATCH(O595, Criterios!$D$123:$D$124, 0)), "Ciclo de vida no válido", ""))))</f>
        <v/>
      </c>
      <c r="AC595" s="56" t="n"/>
      <c r="AD595" s="51" t="n"/>
      <c r="AE595" s="156" t="n"/>
      <c r="AF595" s="51" t="n"/>
      <c r="AG595" s="156" t="inlineStr">
        <is>
          <t>Nuevo – Carga Hoja2 01/10/2026</t>
        </is>
      </c>
      <c r="AH595" s="156" t="inlineStr">
        <is>
          <t>Alta 01/10/2026 desde Hoja2 (fila 404); Marca original 'Trinity Ranch' (submarca de Montana West); Precio de compra en 0/vacío en origen | 01/10/2026: Odoo Universal Unique Brands trae Género «Unisex» — se conservó el valor de Productos | Homologación G1522 06/10/2026: Validador Shopify: WB: precio con IVA no termina en 9</t>
        </is>
      </c>
      <c r="AI595" s="156" t="n"/>
      <c r="AJ595" s="156" t="n"/>
      <c r="AK595" s="155" t="inlineStr">
        <is>
          <t>Hoja2: fila 404 | Odoo: producto 15639 / plantilla 19992</t>
        </is>
      </c>
      <c r="AL595" s="58" t="n"/>
      <c r="AM595" s="58" t="n"/>
      <c r="AN595" s="155" t="inlineStr">
        <is>
          <t>Odoo Universal Unique Brands</t>
        </is>
      </c>
      <c r="AO595" s="59" t="n"/>
      <c r="AP595" s="59" t="n"/>
      <c r="AQ595" s="59" t="n">
        <v>18</v>
      </c>
      <c r="AR595" s="155" t="inlineStr">
        <is>
          <t>Odoo Universal Unique Brands › Bodega 25 › Bodega 25/General: 18</t>
        </is>
      </c>
    </row>
    <row r="596">
      <c r="A596" s="50" t="inlineStr">
        <is>
          <t>717690451936</t>
        </is>
      </c>
      <c r="B596" s="51" t="inlineStr">
        <is>
          <t>15640</t>
        </is>
      </c>
      <c r="C596" s="156" t="inlineStr">
        <is>
          <t>Montana West</t>
        </is>
      </c>
      <c r="D596" s="156" t="inlineStr">
        <is>
          <t>TR199G-8250CF</t>
        </is>
      </c>
      <c r="E596" s="156" t="inlineStr">
        <is>
          <t>TR199G-8250CF</t>
        </is>
      </c>
      <c r="F596" s="156" t="inlineStr">
        <is>
          <t>Talla única</t>
        </is>
      </c>
      <c r="G596" s="156" t="inlineStr">
        <is>
          <t>One Size</t>
        </is>
      </c>
      <c r="H596" s="156" t="inlineStr">
        <is>
          <t>Montana West</t>
        </is>
      </c>
      <c r="I596" s="156" t="inlineStr">
        <is>
          <t>Bolsa Trinity Ranch Café Oscuro</t>
        </is>
      </c>
      <c r="J596" s="156" t="inlineStr">
        <is>
          <t>Accesorios</t>
        </is>
      </c>
      <c r="K596" s="156" t="inlineStr">
        <is>
          <t>Bolsos</t>
        </is>
      </c>
      <c r="L596" s="156" t="inlineStr">
        <is>
          <t>Mujer</t>
        </is>
      </c>
      <c r="M596" s="156" t="inlineStr">
        <is>
          <t>Trinity Ranch</t>
        </is>
      </c>
      <c r="N596" s="156" t="n"/>
      <c r="O596" s="156" t="inlineStr">
        <is>
          <t>Core</t>
        </is>
      </c>
      <c r="P596" s="156" t="inlineStr">
        <is>
          <t>Cafe</t>
        </is>
      </c>
      <c r="Q596" s="156" t="n"/>
      <c r="R596" s="156" t="n"/>
      <c r="S596" s="156" t="n"/>
      <c r="T596" s="156" t="inlineStr">
        <is>
          <t>Bolsa Trinity Ranch. Color: Café Oscuro. Talla única. Mujer. Referencia: TR199G-8250CF.</t>
        </is>
      </c>
      <c r="U596" s="156" t="n"/>
      <c r="V596" s="156" t="inlineStr">
        <is>
          <t>PZS</t>
        </is>
      </c>
      <c r="W596" s="51" t="inlineStr">
        <is>
          <t>53121601</t>
        </is>
      </c>
      <c r="X596" s="156" t="n"/>
      <c r="Y596" s="54" t="n"/>
      <c r="Z596" s="54" t="n">
        <v>909</v>
      </c>
      <c r="AA596" s="55">
        <f>IF(AND(A596="", B596="", E596=""), "", IF(AB596="", "Válido", IF((LEN(AB596)-LEN(SUBSTITUTE(AB596,"; ","")))/2+1&gt;(LEN(AB596)-LEN(SUBSTITUTE(AB596,"[Aviso]","")))/7, "Con Incidencias", "Válido")))</f>
        <v/>
      </c>
      <c r="AB596" s="56">
        <f>IF(AND(A596="", B596="", E596=""), "", TEXTJOIN("; ", TRUE, IF(OR(TRIM(A596&amp;"")="", ISNUMBER(SEARCH("FALTA", A596))), "UPC faltante/inválido", ""), IF(AND(A596&lt;&gt;"", IFERROR(_xlfn.XMATCH(A596,$A$2:$A$1063,0,1)&lt;&gt;_xlfn.XMATCH(A596,$A$2:$A$1063,0,-1),FALSE)), "Código de barras duplicado", ""), IF(AND(E596&lt;&gt;"", COUNTIF($E$2:$E$1063, E596)&gt;1), "SKU duplicado", ""), IF(OR(J596="", J596=""), "[Aviso] División no capturada ()", IF(ISNA(MATCH(J596, Criterios!$A$123:$A$126, 0)), "División no válida", "")), IF(OR(K596="", K596=""), "[Aviso] Categoría no capturada ()", IF(ISNA(MATCH(K596, Criterios!$A$81:$A$120, 0)), "Categoría no válida", IF(AND(J596&lt;&gt;"", J596&lt;&gt;"", J596&lt;&gt;VLOOKUP(K596, Criterios!$A$81:$B$120, 2, FALSE)), "División no coincide con Categoría", ""))), IF(OR(L596="", L596=""), "[Aviso] Género no capturado ()", IF(ISNA(MATCH(L596, Criterios!$B$123:$B$127, 0)), "Género no válido", "")), IF(OR(N596="", N596=""), "[Aviso] Temporada no capturada ()", IF(ISNA(MATCH(N596, Criterios!$C$123:$C$128, 0)), "Temporada no válida", "")), IF(OR(O596="", O596=""), "[Aviso] Ciclo de vida no capturado ()", IF(ISNA(MATCH(O596, Criterios!$D$123:$D$124, 0)), "Ciclo de vida no válido", ""))))</f>
        <v/>
      </c>
      <c r="AC596" s="56" t="n"/>
      <c r="AD596" s="51" t="n"/>
      <c r="AE596" s="156" t="n"/>
      <c r="AF596" s="51" t="n"/>
      <c r="AG596" s="156" t="inlineStr">
        <is>
          <t>Nuevo – Carga Hoja2 01/10/2026</t>
        </is>
      </c>
      <c r="AH596" s="156" t="inlineStr">
        <is>
          <t>Alta 01/10/2026 desde Hoja2 (fila 405); Marca original 'Trinity Ranch' (submarca de Montana West); Precio de compra en 0/vacío en origen | 01/10/2026: Odoo Universal Unique Brands trae Género «Unisex» — se conservó el valor de Productos | Homologación G1522 06/10/2026: Validador Shopify: WB: precio con IVA no termina en 9</t>
        </is>
      </c>
      <c r="AI596" s="156" t="n"/>
      <c r="AJ596" s="156" t="n"/>
      <c r="AK596" s="155" t="inlineStr">
        <is>
          <t>Hoja2: fila 405 | Odoo: producto 15640 / plantilla 19993</t>
        </is>
      </c>
      <c r="AL596" s="58" t="n"/>
      <c r="AM596" s="58" t="n"/>
      <c r="AN596" s="155" t="inlineStr">
        <is>
          <t>Odoo Universal Unique Brands</t>
        </is>
      </c>
      <c r="AO596" s="59" t="n"/>
      <c r="AP596" s="59" t="n"/>
      <c r="AQ596" s="59" t="n">
        <v>18</v>
      </c>
      <c r="AR596" s="155" t="inlineStr">
        <is>
          <t>Odoo Universal Unique Brands › Bodega 25 › Bodega 25/General: 18</t>
        </is>
      </c>
    </row>
    <row r="597">
      <c r="A597" s="50" t="inlineStr">
        <is>
          <t>717690451967</t>
        </is>
      </c>
      <c r="B597" s="51" t="inlineStr">
        <is>
          <t>15642</t>
        </is>
      </c>
      <c r="C597" s="156" t="inlineStr">
        <is>
          <t>Montana West</t>
        </is>
      </c>
      <c r="D597" s="156" t="inlineStr">
        <is>
          <t>TR199G-8250TN</t>
        </is>
      </c>
      <c r="E597" s="156" t="inlineStr">
        <is>
          <t>TR199G-8250TN</t>
        </is>
      </c>
      <c r="F597" s="156" t="inlineStr">
        <is>
          <t>Talla única</t>
        </is>
      </c>
      <c r="G597" s="156" t="inlineStr">
        <is>
          <t>One Size</t>
        </is>
      </c>
      <c r="H597" s="156" t="inlineStr">
        <is>
          <t>Montana West</t>
        </is>
      </c>
      <c r="I597" s="156" t="inlineStr">
        <is>
          <t>Bolsa Trinity Ranch Camel</t>
        </is>
      </c>
      <c r="J597" s="156" t="inlineStr">
        <is>
          <t>Accesorios</t>
        </is>
      </c>
      <c r="K597" s="156" t="inlineStr">
        <is>
          <t>Bolsos</t>
        </is>
      </c>
      <c r="L597" s="156" t="inlineStr">
        <is>
          <t>Mujer</t>
        </is>
      </c>
      <c r="M597" s="156" t="inlineStr">
        <is>
          <t>Trinity Ranch</t>
        </is>
      </c>
      <c r="N597" s="156" t="n"/>
      <c r="O597" s="156" t="inlineStr">
        <is>
          <t>Core</t>
        </is>
      </c>
      <c r="P597" s="156" t="inlineStr">
        <is>
          <t>Beige</t>
        </is>
      </c>
      <c r="Q597" s="156" t="n"/>
      <c r="R597" s="156" t="n"/>
      <c r="S597" s="156" t="n"/>
      <c r="T597" s="156" t="inlineStr">
        <is>
          <t>Bolsa Trinity Ranch. Color: Camel. Talla única. Mujer. Referencia: TR199G-8250TN.</t>
        </is>
      </c>
      <c r="U597" s="156" t="n"/>
      <c r="V597" s="156" t="inlineStr">
        <is>
          <t>PZS</t>
        </is>
      </c>
      <c r="W597" s="51" t="inlineStr">
        <is>
          <t>53121601</t>
        </is>
      </c>
      <c r="X597" s="156" t="n"/>
      <c r="Y597" s="54" t="n"/>
      <c r="Z597" s="54" t="n">
        <v>909</v>
      </c>
      <c r="AA597" s="55">
        <f>IF(AND(A597="", B597="", E597=""), "", IF(AB597="", "Válido", IF((LEN(AB597)-LEN(SUBSTITUTE(AB597,"; ","")))/2+1&gt;(LEN(AB597)-LEN(SUBSTITUTE(AB597,"[Aviso]","")))/7, "Con Incidencias", "Válido")))</f>
        <v/>
      </c>
      <c r="AB597" s="56">
        <f>IF(AND(A597="", B597="", E597=""), "", TEXTJOIN("; ", TRUE, IF(OR(TRIM(A597&amp;"")="", ISNUMBER(SEARCH("FALTA", A597))), "UPC faltante/inválido", ""), IF(AND(A597&lt;&gt;"", IFERROR(_xlfn.XMATCH(A597,$A$2:$A$1063,0,1)&lt;&gt;_xlfn.XMATCH(A597,$A$2:$A$1063,0,-1),FALSE)), "Código de barras duplicado", ""), IF(AND(E597&lt;&gt;"", COUNTIF($E$2:$E$1063, E597)&gt;1), "SKU duplicado", ""), IF(OR(J597="", J597=""), "[Aviso] División no capturada ()", IF(ISNA(MATCH(J597, Criterios!$A$123:$A$126, 0)), "División no válida", "")), IF(OR(K597="", K597=""), "[Aviso] Categoría no capturada ()", IF(ISNA(MATCH(K597, Criterios!$A$81:$A$120, 0)), "Categoría no válida", IF(AND(J597&lt;&gt;"", J597&lt;&gt;"", J597&lt;&gt;VLOOKUP(K597, Criterios!$A$81:$B$120, 2, FALSE)), "División no coincide con Categoría", ""))), IF(OR(L597="", L597=""), "[Aviso] Género no capturado ()", IF(ISNA(MATCH(L597, Criterios!$B$123:$B$127, 0)), "Género no válido", "")), IF(OR(N597="", N597=""), "[Aviso] Temporada no capturada ()", IF(ISNA(MATCH(N597, Criterios!$C$123:$C$128, 0)), "Temporada no válida", "")), IF(OR(O597="", O597=""), "[Aviso] Ciclo de vida no capturado ()", IF(ISNA(MATCH(O597, Criterios!$D$123:$D$124, 0)), "Ciclo de vida no válido", ""))))</f>
        <v/>
      </c>
      <c r="AC597" s="56" t="n"/>
      <c r="AD597" s="51" t="n"/>
      <c r="AE597" s="156" t="n"/>
      <c r="AF597" s="51" t="n"/>
      <c r="AG597" s="156" t="inlineStr">
        <is>
          <t>Nuevo – Carga Hoja2 01/10/2026</t>
        </is>
      </c>
      <c r="AH597" s="156" t="inlineStr">
        <is>
          <t>Alta 01/10/2026 desde Hoja2 (fila 406); Marca original 'Trinity Ranch' (submarca de Montana West); Precio de compra en 0/vacío en origen | 01/10/2026: Odoo Universal Unique Brands trae Género «Unisex» — se conservó el valor de Productos | Homologación G1522 06/10/2026: Validador Shopify: WB: precio con IVA no termina en 9</t>
        </is>
      </c>
      <c r="AI597" s="156" t="n"/>
      <c r="AJ597" s="156" t="n"/>
      <c r="AK597" s="155" t="inlineStr">
        <is>
          <t>Hoja2: fila 406 | Odoo: producto 15642 / plantilla 19995</t>
        </is>
      </c>
      <c r="AL597" s="58" t="n"/>
      <c r="AM597" s="58" t="n"/>
      <c r="AN597" s="155" t="inlineStr">
        <is>
          <t>Odoo Universal Unique Brands</t>
        </is>
      </c>
      <c r="AO597" s="59" t="n"/>
      <c r="AP597" s="59" t="n"/>
      <c r="AQ597" s="59" t="n">
        <v>15</v>
      </c>
      <c r="AR597" s="155" t="inlineStr">
        <is>
          <t>Odoo Universal Unique Brands › Bodega 25 › Bodega 25/General: 15</t>
        </is>
      </c>
    </row>
    <row r="598">
      <c r="A598" s="50" t="inlineStr">
        <is>
          <t>717690451509</t>
        </is>
      </c>
      <c r="B598" s="51" t="inlineStr">
        <is>
          <t>15645</t>
        </is>
      </c>
      <c r="C598" s="156" t="inlineStr">
        <is>
          <t>Montana West</t>
        </is>
      </c>
      <c r="D598" s="156" t="n"/>
      <c r="E598" s="156" t="inlineStr">
        <is>
          <t>TR200-1814BR</t>
        </is>
      </c>
      <c r="F598" s="156" t="inlineStr">
        <is>
          <t>Talla única</t>
        </is>
      </c>
      <c r="G598" s="156" t="inlineStr">
        <is>
          <t>One Size</t>
        </is>
      </c>
      <c r="H598" s="156" t="inlineStr">
        <is>
          <t>Montana West</t>
        </is>
      </c>
      <c r="I598" s="156" t="inlineStr">
        <is>
          <t>TRINITY RANCH TR BAG</t>
        </is>
      </c>
      <c r="J598" s="156" t="inlineStr">
        <is>
          <t>Accesorios</t>
        </is>
      </c>
      <c r="K598" s="156" t="inlineStr">
        <is>
          <t>Bolsos</t>
        </is>
      </c>
      <c r="L598" s="156" t="inlineStr">
        <is>
          <t>Unisex</t>
        </is>
      </c>
      <c r="M598" s="156" t="n"/>
      <c r="N598" s="156" t="n"/>
      <c r="O598" s="156" t="n"/>
      <c r="P598" s="156" t="n"/>
      <c r="Q598" s="156" t="n"/>
      <c r="R598" s="156" t="n"/>
      <c r="S598" s="156" t="n"/>
      <c r="T598" s="156" t="n"/>
      <c r="U598" s="156" t="n"/>
      <c r="V598" s="156" t="inlineStr">
        <is>
          <t>PZS</t>
        </is>
      </c>
      <c r="W598" s="51" t="inlineStr">
        <is>
          <t>53121600</t>
        </is>
      </c>
      <c r="X598" s="156" t="n"/>
      <c r="Y598" s="54" t="n"/>
      <c r="Z598" s="54" t="n">
        <v>599</v>
      </c>
      <c r="AA598" s="55">
        <f>IF(AND(A598="", B598="", E598=""), "", IF(AB598="", "Válido", IF((LEN(AB598)-LEN(SUBSTITUTE(AB598,"; ","")))/2+1&gt;(LEN(AB598)-LEN(SUBSTITUTE(AB598,"[Aviso]","")))/7, "Con Incidencias", "Válido")))</f>
        <v/>
      </c>
      <c r="AB598" s="56">
        <f>IF(AND(A598="", B598="", E598=""), "", TEXTJOIN("; ", TRUE, IF(OR(TRIM(A598&amp;"")="", ISNUMBER(SEARCH("FALTA", A598))), "UPC faltante/inválido", ""), IF(AND(A598&lt;&gt;"", IFERROR(_xlfn.XMATCH(A598,$A$2:$A$1063,0,1)&lt;&gt;_xlfn.XMATCH(A598,$A$2:$A$1063,0,-1),FALSE)), "Código de barras duplicado", ""), IF(AND(E598&lt;&gt;"", COUNTIF($E$2:$E$1063, E598)&gt;1), "SKU duplicado", ""), IF(OR(J598="", J598=""), "[Aviso] División no capturada ()", IF(ISNA(MATCH(J598, Criterios!$A$123:$A$126, 0)), "División no válida", "")), IF(OR(K598="", K598=""), "[Aviso] Categoría no capturada ()", IF(ISNA(MATCH(K598, Criterios!$A$81:$A$120, 0)), "Categoría no válida", IF(AND(J598&lt;&gt;"", J598&lt;&gt;"", J598&lt;&gt;VLOOKUP(K598, Criterios!$A$81:$B$120, 2, FALSE)), "División no coincide con Categoría", ""))), IF(OR(L598="", L598=""), "[Aviso] Género no capturado ()", IF(ISNA(MATCH(L598, Criterios!$B$123:$B$127, 0)), "Género no válido", "")), IF(OR(N598="", N598=""), "[Aviso] Temporada no capturada ()", IF(ISNA(MATCH(N598, Criterios!$C$123:$C$128, 0)), "Temporada no válida", "")), IF(OR(O598="", O598=""), "[Aviso] Ciclo de vida no capturado ()", IF(ISNA(MATCH(O598, Criterios!$D$123:$D$124, 0)), "Ciclo de vida no válido", ""))))</f>
        <v/>
      </c>
      <c r="AC598" s="56" t="n"/>
      <c r="AD598" s="51" t="n"/>
      <c r="AE598" s="156" t="n"/>
      <c r="AF598" s="51" t="n"/>
      <c r="AG598" s="156" t="inlineStr">
        <is>
          <t>Nuevo – Carga Hoja2 01/10/2026</t>
        </is>
      </c>
      <c r="AH598" s="156" t="inlineStr">
        <is>
          <t>Alta 01/10/2026 desde Hoja2 (fila 407); Marca original 'Trinity Ranch' (submarca de Montana West);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598" s="156" t="n"/>
      <c r="AJ598" s="156" t="n"/>
      <c r="AK598" s="155" t="inlineStr">
        <is>
          <t>Hoja2: fila 407 | Odoo: producto 15645 / plantilla 19998</t>
        </is>
      </c>
      <c r="AL598" s="58" t="n"/>
      <c r="AM598" s="58" t="n"/>
      <c r="AN598" s="155" t="inlineStr">
        <is>
          <t>Odoo Universal Unique Brands</t>
        </is>
      </c>
      <c r="AO598" s="59" t="n"/>
      <c r="AP598" s="59" t="n"/>
      <c r="AQ598" s="59" t="n">
        <v>3</v>
      </c>
      <c r="AR598" s="155" t="inlineStr">
        <is>
          <t>Odoo Universal Unique Brands › Bodega 25 › Bodega 25/General: 3</t>
        </is>
      </c>
    </row>
    <row r="599">
      <c r="A599" s="50" t="inlineStr">
        <is>
          <t>717690451516</t>
        </is>
      </c>
      <c r="B599" s="51" t="inlineStr">
        <is>
          <t>15643</t>
        </is>
      </c>
      <c r="C599" s="156" t="inlineStr">
        <is>
          <t>Montana West</t>
        </is>
      </c>
      <c r="D599" s="156" t="n"/>
      <c r="E599" s="156" t="inlineStr">
        <is>
          <t>TR200-1814CF</t>
        </is>
      </c>
      <c r="F599" s="156" t="inlineStr">
        <is>
          <t>Talla única</t>
        </is>
      </c>
      <c r="G599" s="156" t="inlineStr">
        <is>
          <t>One Size</t>
        </is>
      </c>
      <c r="H599" s="156" t="inlineStr">
        <is>
          <t>Montana West</t>
        </is>
      </c>
      <c r="I599" s="156" t="inlineStr">
        <is>
          <t>TRINITY RANCH TR BAG</t>
        </is>
      </c>
      <c r="J599" s="156" t="inlineStr">
        <is>
          <t>Accesorios</t>
        </is>
      </c>
      <c r="K599" s="156" t="inlineStr">
        <is>
          <t>Bolsos</t>
        </is>
      </c>
      <c r="L599" s="156" t="inlineStr">
        <is>
          <t>Unisex</t>
        </is>
      </c>
      <c r="M599" s="156" t="n"/>
      <c r="N599" s="156" t="n"/>
      <c r="O599" s="156" t="n"/>
      <c r="P599" s="156" t="n"/>
      <c r="Q599" s="156" t="n"/>
      <c r="R599" s="156" t="n"/>
      <c r="S599" s="156" t="n"/>
      <c r="T599" s="156" t="n"/>
      <c r="U599" s="156" t="n"/>
      <c r="V599" s="156" t="inlineStr">
        <is>
          <t>PZS</t>
        </is>
      </c>
      <c r="W599" s="51" t="inlineStr">
        <is>
          <t>53121600</t>
        </is>
      </c>
      <c r="X599" s="156" t="n"/>
      <c r="Y599" s="54" t="n"/>
      <c r="Z599" s="54" t="n">
        <v>599</v>
      </c>
      <c r="AA599" s="55">
        <f>IF(AND(A599="", B599="", E599=""), "", IF(AB599="", "Válido", IF((LEN(AB599)-LEN(SUBSTITUTE(AB599,"; ","")))/2+1&gt;(LEN(AB599)-LEN(SUBSTITUTE(AB599,"[Aviso]","")))/7, "Con Incidencias", "Válido")))</f>
        <v/>
      </c>
      <c r="AB599" s="56">
        <f>IF(AND(A599="", B599="", E599=""), "", TEXTJOIN("; ", TRUE, IF(OR(TRIM(A599&amp;"")="", ISNUMBER(SEARCH("FALTA", A599))), "UPC faltante/inválido", ""), IF(AND(A599&lt;&gt;"", IFERROR(_xlfn.XMATCH(A599,$A$2:$A$1063,0,1)&lt;&gt;_xlfn.XMATCH(A599,$A$2:$A$1063,0,-1),FALSE)), "Código de barras duplicado", ""), IF(AND(E599&lt;&gt;"", COUNTIF($E$2:$E$1063, E599)&gt;1), "SKU duplicado", ""), IF(OR(J599="", J599=""), "[Aviso] División no capturada ()", IF(ISNA(MATCH(J599, Criterios!$A$123:$A$126, 0)), "División no válida", "")), IF(OR(K599="", K599=""), "[Aviso] Categoría no capturada ()", IF(ISNA(MATCH(K599, Criterios!$A$81:$A$120, 0)), "Categoría no válida", IF(AND(J599&lt;&gt;"", J599&lt;&gt;"", J599&lt;&gt;VLOOKUP(K599, Criterios!$A$81:$B$120, 2, FALSE)), "División no coincide con Categoría", ""))), IF(OR(L599="", L599=""), "[Aviso] Género no capturado ()", IF(ISNA(MATCH(L599, Criterios!$B$123:$B$127, 0)), "Género no válido", "")), IF(OR(N599="", N599=""), "[Aviso] Temporada no capturada ()", IF(ISNA(MATCH(N599, Criterios!$C$123:$C$128, 0)), "Temporada no válida", "")), IF(OR(O599="", O599=""), "[Aviso] Ciclo de vida no capturado ()", IF(ISNA(MATCH(O599, Criterios!$D$123:$D$124, 0)), "Ciclo de vida no válido", ""))))</f>
        <v/>
      </c>
      <c r="AC599" s="56" t="n"/>
      <c r="AD599" s="51" t="n"/>
      <c r="AE599" s="156" t="n"/>
      <c r="AF599" s="51" t="n"/>
      <c r="AG599" s="156" t="inlineStr">
        <is>
          <t>Nuevo – Carga Hoja2 01/10/2026</t>
        </is>
      </c>
      <c r="AH599" s="156" t="inlineStr">
        <is>
          <t>Alta 01/10/2026 desde Hoja2 (fila 408); Marca original 'Trinity Ranch' (submarca de Montana West);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599" s="156" t="n"/>
      <c r="AJ599" s="156" t="n"/>
      <c r="AK599" s="155" t="inlineStr">
        <is>
          <t>Hoja2: fila 408 | Odoo: producto 15643 / plantilla 19996</t>
        </is>
      </c>
      <c r="AL599" s="58" t="n"/>
      <c r="AM599" s="58" t="n"/>
      <c r="AN599" s="155" t="inlineStr">
        <is>
          <t>Odoo Universal Unique Brands</t>
        </is>
      </c>
      <c r="AO599" s="59" t="n"/>
      <c r="AP599" s="59" t="n"/>
      <c r="AQ599" s="59" t="n">
        <v>6</v>
      </c>
      <c r="AR599" s="155" t="inlineStr">
        <is>
          <t>Odoo Universal Unique Brands › Bodega 25 › Bodega 25/General: 6</t>
        </is>
      </c>
    </row>
    <row r="600">
      <c r="A600" s="50" t="n"/>
      <c r="B600" s="51" t="inlineStr">
        <is>
          <t>18051</t>
        </is>
      </c>
      <c r="C600" s="156" t="inlineStr">
        <is>
          <t>Wrangler</t>
        </is>
      </c>
      <c r="D600" s="156" t="n"/>
      <c r="E600" s="156" t="n"/>
      <c r="F600" s="156" t="inlineStr">
        <is>
          <t>Talla única</t>
        </is>
      </c>
      <c r="G600" s="156" t="inlineStr">
        <is>
          <t>One Size</t>
        </is>
      </c>
      <c r="H600" s="156" t="inlineStr">
        <is>
          <t>Wrangler</t>
        </is>
      </c>
      <c r="I600" s="156" t="inlineStr">
        <is>
          <t>Bolsa Cruzada Wrangler De Doble Compartimento Con Cierre</t>
        </is>
      </c>
      <c r="J600" s="156" t="inlineStr">
        <is>
          <t>Accesorios</t>
        </is>
      </c>
      <c r="K600" s="156" t="inlineStr">
        <is>
          <t>Bolsos</t>
        </is>
      </c>
      <c r="L600" s="156" t="inlineStr">
        <is>
          <t>Unisex</t>
        </is>
      </c>
      <c r="M600" s="156" t="inlineStr">
        <is>
          <t>Wrangler</t>
        </is>
      </c>
      <c r="N600" s="156" t="n"/>
      <c r="O600" s="156" t="n"/>
      <c r="P600" s="156" t="inlineStr">
        <is>
          <t>Varios</t>
        </is>
      </c>
      <c r="Q600" s="156" t="n"/>
      <c r="R600" s="156" t="n"/>
      <c r="S600" s="156" t="n"/>
      <c r="T600" s="156" t="n"/>
      <c r="U600" s="156" t="inlineStr">
        <is>
          <t>México</t>
        </is>
      </c>
      <c r="V600" s="156" t="inlineStr">
        <is>
          <t>PZS</t>
        </is>
      </c>
      <c r="W600" s="51" t="inlineStr">
        <is>
          <t>53121600</t>
        </is>
      </c>
      <c r="X600" s="156" t="n"/>
      <c r="Y600" s="54" t="n"/>
      <c r="Z600" s="54" t="n">
        <v>449</v>
      </c>
      <c r="AA600" s="55">
        <f>IF(AND(A600="", B600="", E600=""), "", IF(AB600="", "Válido", IF((LEN(AB600)-LEN(SUBSTITUTE(AB600,"; ","")))/2+1&gt;(LEN(AB600)-LEN(SUBSTITUTE(AB600,"[Aviso]","")))/7, "Con Incidencias", "Válido")))</f>
        <v/>
      </c>
      <c r="AB600" s="56">
        <f>IF(AND(A600="", B600="", E600=""), "", TEXTJOIN("; ", TRUE, IF(OR(TRIM(A600&amp;"")="", ISNUMBER(SEARCH("FALTA", A600))), "UPC faltante/inválido", ""), IF(AND(A600&lt;&gt;"", IFERROR(_xlfn.XMATCH(A600,$A$2:$A$1063,0,1)&lt;&gt;_xlfn.XMATCH(A600,$A$2:$A$1063,0,-1),FALSE)), "Código de barras duplicado", ""), IF(AND(E600&lt;&gt;"", COUNTIF($E$2:$E$1063, E600)&gt;1), "SKU duplicado", ""), IF(OR(J600="", J600=""), "[Aviso] División no capturada ()", IF(ISNA(MATCH(J600, Criterios!$A$123:$A$126, 0)), "División no válida", "")), IF(OR(K600="", K600=""), "[Aviso] Categoría no capturada ()", IF(ISNA(MATCH(K600, Criterios!$A$81:$A$120, 0)), "Categoría no válida", IF(AND(J600&lt;&gt;"", J600&lt;&gt;"", J600&lt;&gt;VLOOKUP(K600, Criterios!$A$81:$B$120, 2, FALSE)), "División no coincide con Categoría", ""))), IF(OR(L600="", L600=""), "[Aviso] Género no capturado ()", IF(ISNA(MATCH(L600, Criterios!$B$123:$B$127, 0)), "Género no válido", "")), IF(OR(N600="", N600=""), "[Aviso] Temporada no capturada ()", IF(ISNA(MATCH(N600, Criterios!$C$123:$C$128, 0)), "Temporada no válida", "")), IF(OR(O600="", O600=""), "[Aviso] Ciclo de vida no capturado ()", IF(ISNA(MATCH(O600, Criterios!$D$123:$D$124, 0)), "Ciclo de vida no válido", ""))))</f>
        <v/>
      </c>
      <c r="AC600" s="56" t="n"/>
      <c r="AD600" s="51" t="n"/>
      <c r="AE600" s="156" t="n"/>
      <c r="AF600" s="51" t="n"/>
      <c r="AG600" s="156" t="inlineStr">
        <is>
          <t>Nuevo – Carga Hoja2 01/10/2026</t>
        </is>
      </c>
      <c r="AH600" s="156" t="inlineStr">
        <is>
          <t>Alta 01/10/2026 desde Hoja2 (fila 458);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00" s="156" t="n"/>
      <c r="AJ600" s="156" t="n"/>
      <c r="AK600" s="155" t="inlineStr">
        <is>
          <t>Hoja2: fila 458</t>
        </is>
      </c>
      <c r="AL600" s="58" t="n"/>
      <c r="AM600" s="58" t="n"/>
      <c r="AN600" s="155" t="n"/>
      <c r="AO600" s="59" t="n"/>
      <c r="AP600" s="59" t="n"/>
      <c r="AQ600" s="59" t="n"/>
      <c r="AR600" s="155" t="n"/>
    </row>
    <row r="601">
      <c r="A601" s="50" t="n"/>
      <c r="B601" s="51" t="inlineStr">
        <is>
          <t>18055</t>
        </is>
      </c>
      <c r="C601" s="156" t="inlineStr">
        <is>
          <t>Wrangler</t>
        </is>
      </c>
      <c r="D601" s="156" t="n"/>
      <c r="E601" s="156" t="n"/>
      <c r="F601" s="156" t="inlineStr">
        <is>
          <t>Talla única</t>
        </is>
      </c>
      <c r="G601" s="156" t="inlineStr">
        <is>
          <t>One Size</t>
        </is>
      </c>
      <c r="H601" s="156" t="inlineStr">
        <is>
          <t>Wrangler</t>
        </is>
      </c>
      <c r="I601" s="156" t="inlineStr">
        <is>
          <t>Bolsa Cruzada Wrangler De Doble Compartimento Con Cierre</t>
        </is>
      </c>
      <c r="J601" s="156" t="inlineStr">
        <is>
          <t>Accesorios</t>
        </is>
      </c>
      <c r="K601" s="156" t="inlineStr">
        <is>
          <t>Bolsos</t>
        </is>
      </c>
      <c r="L601" s="156" t="inlineStr">
        <is>
          <t>Unisex</t>
        </is>
      </c>
      <c r="M601" s="156" t="inlineStr">
        <is>
          <t>Wrangler</t>
        </is>
      </c>
      <c r="N601" s="156" t="n"/>
      <c r="O601" s="156" t="n"/>
      <c r="P601" s="156" t="inlineStr">
        <is>
          <t>Varios</t>
        </is>
      </c>
      <c r="Q601" s="156" t="n"/>
      <c r="R601" s="156" t="n"/>
      <c r="S601" s="156" t="n"/>
      <c r="T601" s="156" t="n"/>
      <c r="U601" s="156" t="inlineStr">
        <is>
          <t>México</t>
        </is>
      </c>
      <c r="V601" s="156" t="inlineStr">
        <is>
          <t>PZS</t>
        </is>
      </c>
      <c r="W601" s="51" t="inlineStr">
        <is>
          <t>53121601</t>
        </is>
      </c>
      <c r="X601" s="156" t="n"/>
      <c r="Y601" s="54" t="n"/>
      <c r="Z601" s="54" t="n">
        <v>449</v>
      </c>
      <c r="AA601" s="55">
        <f>IF(AND(A601="", B601="", E601=""), "", IF(AB601="", "Válido", IF((LEN(AB601)-LEN(SUBSTITUTE(AB601,"; ","")))/2+1&gt;(LEN(AB601)-LEN(SUBSTITUTE(AB601,"[Aviso]","")))/7, "Con Incidencias", "Válido")))</f>
        <v/>
      </c>
      <c r="AB601" s="56">
        <f>IF(AND(A601="", B601="", E601=""), "", TEXTJOIN("; ", TRUE, IF(OR(TRIM(A601&amp;"")="", ISNUMBER(SEARCH("FALTA", A601))), "UPC faltante/inválido", ""), IF(AND(A601&lt;&gt;"", IFERROR(_xlfn.XMATCH(A601,$A$2:$A$1063,0,1)&lt;&gt;_xlfn.XMATCH(A601,$A$2:$A$1063,0,-1),FALSE)), "Código de barras duplicado", ""), IF(AND(E601&lt;&gt;"", COUNTIF($E$2:$E$1063, E601)&gt;1), "SKU duplicado", ""), IF(OR(J601="", J601=""), "[Aviso] División no capturada ()", IF(ISNA(MATCH(J601, Criterios!$A$123:$A$126, 0)), "División no válida", "")), IF(OR(K601="", K601=""), "[Aviso] Categoría no capturada ()", IF(ISNA(MATCH(K601, Criterios!$A$81:$A$120, 0)), "Categoría no válida", IF(AND(J601&lt;&gt;"", J601&lt;&gt;"", J601&lt;&gt;VLOOKUP(K601, Criterios!$A$81:$B$120, 2, FALSE)), "División no coincide con Categoría", ""))), IF(OR(L601="", L601=""), "[Aviso] Género no capturado ()", IF(ISNA(MATCH(L601, Criterios!$B$123:$B$127, 0)), "Género no válido", "")), IF(OR(N601="", N601=""), "[Aviso] Temporada no capturada ()", IF(ISNA(MATCH(N601, Criterios!$C$123:$C$128, 0)), "Temporada no válida", "")), IF(OR(O601="", O601=""), "[Aviso] Ciclo de vida no capturado ()", IF(ISNA(MATCH(O601, Criterios!$D$123:$D$124, 0)), "Ciclo de vida no válido", ""))))</f>
        <v/>
      </c>
      <c r="AC601" s="56" t="n"/>
      <c r="AD601" s="51" t="n"/>
      <c r="AE601" s="156" t="n"/>
      <c r="AF601" s="51" t="n"/>
      <c r="AG601" s="156" t="inlineStr">
        <is>
          <t>Nuevo – Carga Hoja2 01/10/2026</t>
        </is>
      </c>
      <c r="AH601" s="156" t="inlineStr">
        <is>
          <t>Alta 01/10/2026 desde Hoja2 (fila 459);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01" s="156" t="n"/>
      <c r="AJ601" s="156" t="n"/>
      <c r="AK601" s="155" t="inlineStr">
        <is>
          <t>Hoja2: fila 459</t>
        </is>
      </c>
      <c r="AL601" s="58" t="n"/>
      <c r="AM601" s="58" t="n"/>
      <c r="AN601" s="155" t="n"/>
      <c r="AO601" s="59" t="n"/>
      <c r="AP601" s="59" t="n"/>
      <c r="AQ601" s="59" t="n"/>
      <c r="AR601" s="155" t="n"/>
    </row>
    <row r="602">
      <c r="A602" s="50" t="n"/>
      <c r="B602" s="51" t="inlineStr">
        <is>
          <t>31038</t>
        </is>
      </c>
      <c r="C602" s="156" t="inlineStr">
        <is>
          <t>Wrangler</t>
        </is>
      </c>
      <c r="D602" s="156" t="n"/>
      <c r="E602" s="156" t="n"/>
      <c r="F602" s="156" t="n"/>
      <c r="G602" s="156" t="n"/>
      <c r="H602" s="156" t="inlineStr">
        <is>
          <t>Wrangler</t>
        </is>
      </c>
      <c r="I602" s="156" t="inlineStr">
        <is>
          <t>Bolsa De Hombro Wrangler Estampado Vaquera Western</t>
        </is>
      </c>
      <c r="J602" s="156" t="n"/>
      <c r="K602" s="156" t="n"/>
      <c r="L602" s="156" t="inlineStr">
        <is>
          <t>Unisex</t>
        </is>
      </c>
      <c r="M602" s="156" t="inlineStr">
        <is>
          <t>Wrangler</t>
        </is>
      </c>
      <c r="N602" s="156" t="n"/>
      <c r="O602" s="156" t="n"/>
      <c r="P602" s="156" t="inlineStr">
        <is>
          <t>Varios</t>
        </is>
      </c>
      <c r="Q602" s="156" t="n"/>
      <c r="R602" s="156" t="n"/>
      <c r="S602" s="156" t="n"/>
      <c r="T602" s="156" t="n"/>
      <c r="U602" s="156" t="inlineStr">
        <is>
          <t>México</t>
        </is>
      </c>
      <c r="V602" s="156" t="inlineStr">
        <is>
          <t>PZS</t>
        </is>
      </c>
      <c r="W602" s="51" t="inlineStr">
        <is>
          <t>53121600</t>
        </is>
      </c>
      <c r="X602" s="156" t="n"/>
      <c r="Y602" s="54" t="n"/>
      <c r="Z602" s="54" t="n">
        <v>749</v>
      </c>
      <c r="AA602" s="55">
        <f>IF(AND(A602="", B602="", E602=""), "", IF(AB602="", "Válido", IF((LEN(AB602)-LEN(SUBSTITUTE(AB602,"; ","")))/2+1&gt;(LEN(AB602)-LEN(SUBSTITUTE(AB602,"[Aviso]","")))/7, "Con Incidencias", "Válido")))</f>
        <v/>
      </c>
      <c r="AB602" s="56">
        <f>IF(AND(A602="", B602="", E602=""), "", TEXTJOIN("; ", TRUE, IF(OR(TRIM(A602&amp;"")="", ISNUMBER(SEARCH("FALTA", A602))), "UPC faltante/inválido", ""), IF(AND(A602&lt;&gt;"", IFERROR(_xlfn.XMATCH(A602,$A$2:$A$1063,0,1)&lt;&gt;_xlfn.XMATCH(A602,$A$2:$A$1063,0,-1),FALSE)), "Código de barras duplicado", ""), IF(AND(E602&lt;&gt;"", COUNTIF($E$2:$E$1063, E602)&gt;1), "SKU duplicado", ""), IF(OR(J602="", J602=""), "[Aviso] División no capturada ()", IF(ISNA(MATCH(J602, Criterios!$A$123:$A$126, 0)), "División no válida", "")), IF(OR(K602="", K602=""), "[Aviso] Categoría no capturada ()", IF(ISNA(MATCH(K602, Criterios!$A$81:$A$120, 0)), "Categoría no válida", IF(AND(J602&lt;&gt;"", J602&lt;&gt;"", J602&lt;&gt;VLOOKUP(K602, Criterios!$A$81:$B$120, 2, FALSE)), "División no coincide con Categoría", ""))), IF(OR(L602="", L602=""), "[Aviso] Género no capturado ()", IF(ISNA(MATCH(L602, Criterios!$B$123:$B$127, 0)), "Género no válido", "")), IF(OR(N602="", N602=""), "[Aviso] Temporada no capturada ()", IF(ISNA(MATCH(N602, Criterios!$C$123:$C$128, 0)), "Temporada no válida", "")), IF(OR(O602="", O602=""), "[Aviso] Ciclo de vida no capturado ()", IF(ISNA(MATCH(O602, Criterios!$D$123:$D$124, 0)), "Ciclo de vida no válido", ""))))</f>
        <v/>
      </c>
      <c r="AC602" s="56" t="n"/>
      <c r="AD602" s="51" t="n"/>
      <c r="AE602" s="156" t="n"/>
      <c r="AF602" s="51" t="n"/>
      <c r="AG602" s="156" t="inlineStr">
        <is>
          <t>Nuevo – Carga Hoja2 01/10/2026</t>
        </is>
      </c>
      <c r="AH602" s="156" t="inlineStr">
        <is>
          <t>Alta 01/10/2026 desde Hoja2 (fila 460); Precio de compra en 0/vacío en origen; Atributos incompletos en origen: completar | Homologación G1522 06/10/2026: WB País de origen: «Mexico» → «México» (Corrección aplicada) · Validación G1522: Código de barras faltante; WB SKU faltante · Validador NetSuite / Odoo: V1: falta código de barras; N2: talla cero o vacía · Validador Shopify: V1: falta código de barras; WB: precio con IVA no termina en 9</t>
        </is>
      </c>
      <c r="AI602" s="156" t="n"/>
      <c r="AJ602" s="156" t="n"/>
      <c r="AK602" s="155" t="inlineStr">
        <is>
          <t>Hoja2: fila 460</t>
        </is>
      </c>
      <c r="AL602" s="58" t="n"/>
      <c r="AM602" s="58" t="n"/>
      <c r="AN602" s="155" t="n"/>
      <c r="AO602" s="59" t="n"/>
      <c r="AP602" s="59" t="n"/>
      <c r="AQ602" s="59" t="n"/>
      <c r="AR602" s="155" t="n"/>
    </row>
    <row r="603">
      <c r="A603" s="50" t="n"/>
      <c r="B603" s="51" t="inlineStr">
        <is>
          <t>27577</t>
        </is>
      </c>
      <c r="C603" s="156" t="inlineStr">
        <is>
          <t>Wrangler</t>
        </is>
      </c>
      <c r="D603" s="156" t="n"/>
      <c r="E603" s="156" t="n"/>
      <c r="F603" s="156" t="inlineStr">
        <is>
          <t>Talla única</t>
        </is>
      </c>
      <c r="G603" s="156" t="inlineStr">
        <is>
          <t>One Size</t>
        </is>
      </c>
      <c r="H603" s="156" t="inlineStr">
        <is>
          <t>Wrangler</t>
        </is>
      </c>
      <c r="I603" s="156" t="inlineStr">
        <is>
          <t>Bolsa Hobo Wrangler Con Flecos Floral Grabada Negro</t>
        </is>
      </c>
      <c r="J603" s="156" t="inlineStr">
        <is>
          <t>Accesorios</t>
        </is>
      </c>
      <c r="K603" s="156" t="inlineStr">
        <is>
          <t>Bolsos</t>
        </is>
      </c>
      <c r="L603" s="156" t="inlineStr">
        <is>
          <t>Unisex</t>
        </is>
      </c>
      <c r="M603" s="156" t="inlineStr">
        <is>
          <t>Wrangler</t>
        </is>
      </c>
      <c r="N603" s="156" t="n"/>
      <c r="O603" s="156" t="n"/>
      <c r="P603" s="156" t="inlineStr">
        <is>
          <t>Negro</t>
        </is>
      </c>
      <c r="Q603" s="156" t="n"/>
      <c r="R603" s="156" t="n"/>
      <c r="S603" s="156" t="n"/>
      <c r="T603" s="156" t="n"/>
      <c r="U603" s="156" t="inlineStr">
        <is>
          <t>México</t>
        </is>
      </c>
      <c r="V603" s="156" t="inlineStr">
        <is>
          <t>PZS</t>
        </is>
      </c>
      <c r="W603" s="51" t="inlineStr">
        <is>
          <t>53121601</t>
        </is>
      </c>
      <c r="X603" s="156" t="n"/>
      <c r="Y603" s="54" t="n"/>
      <c r="Z603" s="54" t="n">
        <v>1599</v>
      </c>
      <c r="AA603" s="55">
        <f>IF(AND(A603="", B603="", E603=""), "", IF(AB603="", "Válido", IF((LEN(AB603)-LEN(SUBSTITUTE(AB603,"; ","")))/2+1&gt;(LEN(AB603)-LEN(SUBSTITUTE(AB603,"[Aviso]","")))/7, "Con Incidencias", "Válido")))</f>
        <v/>
      </c>
      <c r="AB603" s="56">
        <f>IF(AND(A603="", B603="", E603=""), "", TEXTJOIN("; ", TRUE, IF(OR(TRIM(A603&amp;"")="", ISNUMBER(SEARCH("FALTA", A603))), "UPC faltante/inválido", ""), IF(AND(A603&lt;&gt;"", IFERROR(_xlfn.XMATCH(A603,$A$2:$A$1063,0,1)&lt;&gt;_xlfn.XMATCH(A603,$A$2:$A$1063,0,-1),FALSE)), "Código de barras duplicado", ""), IF(AND(E603&lt;&gt;"", COUNTIF($E$2:$E$1063, E603)&gt;1), "SKU duplicado", ""), IF(OR(J603="", J603=""), "[Aviso] División no capturada ()", IF(ISNA(MATCH(J603, Criterios!$A$123:$A$126, 0)), "División no válida", "")), IF(OR(K603="", K603=""), "[Aviso] Categoría no capturada ()", IF(ISNA(MATCH(K603, Criterios!$A$81:$A$120, 0)), "Categoría no válida", IF(AND(J603&lt;&gt;"", J603&lt;&gt;"", J603&lt;&gt;VLOOKUP(K603, Criterios!$A$81:$B$120, 2, FALSE)), "División no coincide con Categoría", ""))), IF(OR(L603="", L603=""), "[Aviso] Género no capturado ()", IF(ISNA(MATCH(L603, Criterios!$B$123:$B$127, 0)), "Género no válido", "")), IF(OR(N603="", N603=""), "[Aviso] Temporada no capturada ()", IF(ISNA(MATCH(N603, Criterios!$C$123:$C$128, 0)), "Temporada no válida", "")), IF(OR(O603="", O603=""), "[Aviso] Ciclo de vida no capturado ()", IF(ISNA(MATCH(O603, Criterios!$D$123:$D$124, 0)), "Ciclo de vida no válido", ""))))</f>
        <v/>
      </c>
      <c r="AC603" s="56" t="n"/>
      <c r="AD603" s="51" t="n"/>
      <c r="AE603" s="156" t="n"/>
      <c r="AF603" s="51" t="n"/>
      <c r="AG603" s="156" t="inlineStr">
        <is>
          <t>Nuevo – Carga Hoja2 01/10/2026</t>
        </is>
      </c>
      <c r="AH603" s="156" t="inlineStr">
        <is>
          <t>Alta 01/10/2026 desde Hoja2 (fila 461);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03" s="156" t="n"/>
      <c r="AJ603" s="156" t="n"/>
      <c r="AK603" s="155" t="inlineStr">
        <is>
          <t>Hoja2: fila 461</t>
        </is>
      </c>
      <c r="AL603" s="58" t="n"/>
      <c r="AM603" s="58" t="n"/>
      <c r="AN603" s="155" t="n"/>
      <c r="AO603" s="59" t="n"/>
      <c r="AP603" s="59" t="n"/>
      <c r="AQ603" s="59" t="n"/>
      <c r="AR603" s="155" t="n"/>
    </row>
    <row r="604">
      <c r="A604" s="50" t="n"/>
      <c r="B604" s="51" t="inlineStr">
        <is>
          <t>15678</t>
        </is>
      </c>
      <c r="C604" s="156" t="inlineStr">
        <is>
          <t>Wrangler</t>
        </is>
      </c>
      <c r="D604" s="156" t="n"/>
      <c r="E604" s="156" t="n"/>
      <c r="F604" s="156" t="inlineStr">
        <is>
          <t>Talla única</t>
        </is>
      </c>
      <c r="G604" s="156" t="inlineStr">
        <is>
          <t>One Size</t>
        </is>
      </c>
      <c r="H604" s="156" t="inlineStr">
        <is>
          <t>Wrangler</t>
        </is>
      </c>
      <c r="I604" s="156" t="inlineStr">
        <is>
          <t>Bolsa Satchel Cruzada Wrangler Colección Trenzada Whipstitch</t>
        </is>
      </c>
      <c r="J604" s="156" t="inlineStr">
        <is>
          <t>Accesorios</t>
        </is>
      </c>
      <c r="K604" s="156" t="inlineStr">
        <is>
          <t>Bolsos</t>
        </is>
      </c>
      <c r="L604" s="156" t="inlineStr">
        <is>
          <t>Unisex</t>
        </is>
      </c>
      <c r="M604" s="156" t="inlineStr">
        <is>
          <t>Wrangler</t>
        </is>
      </c>
      <c r="N604" s="156" t="n"/>
      <c r="O604" s="156" t="n"/>
      <c r="P604" s="156" t="inlineStr">
        <is>
          <t>Varios</t>
        </is>
      </c>
      <c r="Q604" s="156" t="n"/>
      <c r="R604" s="156" t="n"/>
      <c r="S604" s="156" t="n"/>
      <c r="T604" s="156" t="n"/>
      <c r="U604" s="156" t="inlineStr">
        <is>
          <t>México</t>
        </is>
      </c>
      <c r="V604" s="156" t="inlineStr">
        <is>
          <t>PZS</t>
        </is>
      </c>
      <c r="W604" s="51" t="inlineStr">
        <is>
          <t>53121601</t>
        </is>
      </c>
      <c r="X604" s="156" t="n"/>
      <c r="Y604" s="54" t="n"/>
      <c r="Z604" s="54" t="n">
        <v>609</v>
      </c>
      <c r="AA604" s="55">
        <f>IF(AND(A604="", B604="", E604=""), "", IF(AB604="", "Válido", IF((LEN(AB604)-LEN(SUBSTITUTE(AB604,"; ","")))/2+1&gt;(LEN(AB604)-LEN(SUBSTITUTE(AB604,"[Aviso]","")))/7, "Con Incidencias", "Válido")))</f>
        <v/>
      </c>
      <c r="AB604" s="56">
        <f>IF(AND(A604="", B604="", E604=""), "", TEXTJOIN("; ", TRUE, IF(OR(TRIM(A604&amp;"")="", ISNUMBER(SEARCH("FALTA", A604))), "UPC faltante/inválido", ""), IF(AND(A604&lt;&gt;"", IFERROR(_xlfn.XMATCH(A604,$A$2:$A$1063,0,1)&lt;&gt;_xlfn.XMATCH(A604,$A$2:$A$1063,0,-1),FALSE)), "Código de barras duplicado", ""), IF(AND(E604&lt;&gt;"", COUNTIF($E$2:$E$1063, E604)&gt;1), "SKU duplicado", ""), IF(OR(J604="", J604=""), "[Aviso] División no capturada ()", IF(ISNA(MATCH(J604, Criterios!$A$123:$A$126, 0)), "División no válida", "")), IF(OR(K604="", K604=""), "[Aviso] Categoría no capturada ()", IF(ISNA(MATCH(K604, Criterios!$A$81:$A$120, 0)), "Categoría no válida", IF(AND(J604&lt;&gt;"", J604&lt;&gt;"", J604&lt;&gt;VLOOKUP(K604, Criterios!$A$81:$B$120, 2, FALSE)), "División no coincide con Categoría", ""))), IF(OR(L604="", L604=""), "[Aviso] Género no capturado ()", IF(ISNA(MATCH(L604, Criterios!$B$123:$B$127, 0)), "Género no válido", "")), IF(OR(N604="", N604=""), "[Aviso] Temporada no capturada ()", IF(ISNA(MATCH(N604, Criterios!$C$123:$C$128, 0)), "Temporada no válida", "")), IF(OR(O604="", O604=""), "[Aviso] Ciclo de vida no capturado ()", IF(ISNA(MATCH(O604, Criterios!$D$123:$D$124, 0)), "Ciclo de vida no válido", ""))))</f>
        <v/>
      </c>
      <c r="AC604" s="56" t="n"/>
      <c r="AD604" s="51" t="n"/>
      <c r="AE604" s="156" t="n"/>
      <c r="AF604" s="51" t="n"/>
      <c r="AG604" s="156" t="inlineStr">
        <is>
          <t>Nuevo – Carga Hoja2 01/10/2026</t>
        </is>
      </c>
      <c r="AH604" s="156" t="inlineStr">
        <is>
          <t>Alta 01/10/2026 desde Hoja2 (fila 462);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04" s="156" t="n"/>
      <c r="AJ604" s="156" t="n"/>
      <c r="AK604" s="155" t="inlineStr">
        <is>
          <t>Hoja2: fila 462</t>
        </is>
      </c>
      <c r="AL604" s="58" t="n"/>
      <c r="AM604" s="58" t="n"/>
      <c r="AN604" s="155" t="n"/>
      <c r="AO604" s="59" t="n"/>
      <c r="AP604" s="59" t="n"/>
      <c r="AQ604" s="59" t="n"/>
      <c r="AR604" s="155" t="n"/>
    </row>
    <row r="605">
      <c r="A605" s="50" t="n"/>
      <c r="B605" s="51" t="inlineStr">
        <is>
          <t>14908</t>
        </is>
      </c>
      <c r="C605" s="156" t="inlineStr">
        <is>
          <t>Wrangler</t>
        </is>
      </c>
      <c r="D605" s="156" t="n"/>
      <c r="E605" s="156" t="n"/>
      <c r="F605" s="156" t="inlineStr">
        <is>
          <t>Talla única</t>
        </is>
      </c>
      <c r="G605" s="156" t="inlineStr">
        <is>
          <t>One Size</t>
        </is>
      </c>
      <c r="H605" s="156" t="inlineStr">
        <is>
          <t>Wrangler</t>
        </is>
      </c>
      <c r="I605" s="156" t="inlineStr">
        <is>
          <t>Bolsa Tote Cruzada Wrangler Con Asa Superior, Flecos Y Grabado Tipo Bota</t>
        </is>
      </c>
      <c r="J605" s="156" t="inlineStr">
        <is>
          <t>Accesorios</t>
        </is>
      </c>
      <c r="K605" s="156" t="inlineStr">
        <is>
          <t>Bolsos</t>
        </is>
      </c>
      <c r="L605" s="156" t="inlineStr">
        <is>
          <t>Unisex</t>
        </is>
      </c>
      <c r="M605" s="156" t="inlineStr">
        <is>
          <t>Wrangler</t>
        </is>
      </c>
      <c r="N605" s="156" t="n"/>
      <c r="O605" s="156" t="n"/>
      <c r="P605" s="156" t="inlineStr">
        <is>
          <t>Varios</t>
        </is>
      </c>
      <c r="Q605" s="156" t="n"/>
      <c r="R605" s="156" t="n"/>
      <c r="S605" s="156" t="n"/>
      <c r="T605" s="156" t="n"/>
      <c r="U605" s="156" t="inlineStr">
        <is>
          <t>México</t>
        </is>
      </c>
      <c r="V605" s="156" t="inlineStr">
        <is>
          <t>PZS</t>
        </is>
      </c>
      <c r="W605" s="51" t="inlineStr">
        <is>
          <t>53121600</t>
        </is>
      </c>
      <c r="X605" s="156" t="n"/>
      <c r="Y605" s="54" t="n"/>
      <c r="Z605" s="54" t="n">
        <v>719</v>
      </c>
      <c r="AA605" s="55">
        <f>IF(AND(A605="", B605="", E605=""), "", IF(AB605="", "Válido", IF((LEN(AB605)-LEN(SUBSTITUTE(AB605,"; ","")))/2+1&gt;(LEN(AB605)-LEN(SUBSTITUTE(AB605,"[Aviso]","")))/7, "Con Incidencias", "Válido")))</f>
        <v/>
      </c>
      <c r="AB605" s="56">
        <f>IF(AND(A605="", B605="", E605=""), "", TEXTJOIN("; ", TRUE, IF(OR(TRIM(A605&amp;"")="", ISNUMBER(SEARCH("FALTA", A605))), "UPC faltante/inválido", ""), IF(AND(A605&lt;&gt;"", IFERROR(_xlfn.XMATCH(A605,$A$2:$A$1063,0,1)&lt;&gt;_xlfn.XMATCH(A605,$A$2:$A$1063,0,-1),FALSE)), "Código de barras duplicado", ""), IF(AND(E605&lt;&gt;"", COUNTIF($E$2:$E$1063, E605)&gt;1), "SKU duplicado", ""), IF(OR(J605="", J605=""), "[Aviso] División no capturada ()", IF(ISNA(MATCH(J605, Criterios!$A$123:$A$126, 0)), "División no válida", "")), IF(OR(K605="", K605=""), "[Aviso] Categoría no capturada ()", IF(ISNA(MATCH(K605, Criterios!$A$81:$A$120, 0)), "Categoría no válida", IF(AND(J605&lt;&gt;"", J605&lt;&gt;"", J605&lt;&gt;VLOOKUP(K605, Criterios!$A$81:$B$120, 2, FALSE)), "División no coincide con Categoría", ""))), IF(OR(L605="", L605=""), "[Aviso] Género no capturado ()", IF(ISNA(MATCH(L605, Criterios!$B$123:$B$127, 0)), "Género no válido", "")), IF(OR(N605="", N605=""), "[Aviso] Temporada no capturada ()", IF(ISNA(MATCH(N605, Criterios!$C$123:$C$128, 0)), "Temporada no válida", "")), IF(OR(O605="", O605=""), "[Aviso] Ciclo de vida no capturado ()", IF(ISNA(MATCH(O605, Criterios!$D$123:$D$124, 0)), "Ciclo de vida no válido", ""))))</f>
        <v/>
      </c>
      <c r="AC605" s="56" t="n"/>
      <c r="AD605" s="51" t="n"/>
      <c r="AE605" s="156" t="n"/>
      <c r="AF605" s="51" t="n"/>
      <c r="AG605" s="156" t="inlineStr">
        <is>
          <t>Nuevo – Carga Hoja2 01/10/2026</t>
        </is>
      </c>
      <c r="AH605" s="156" t="inlineStr">
        <is>
          <t>Alta 01/10/2026 desde Hoja2 (fila 464);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05" s="156" t="n"/>
      <c r="AJ605" s="156" t="n"/>
      <c r="AK605" s="155" t="inlineStr">
        <is>
          <t>Hoja2: fila 464</t>
        </is>
      </c>
      <c r="AL605" s="58" t="n"/>
      <c r="AM605" s="58" t="n"/>
      <c r="AN605" s="155" t="n"/>
      <c r="AO605" s="59" t="n"/>
      <c r="AP605" s="59" t="n"/>
      <c r="AQ605" s="59" t="n"/>
      <c r="AR605" s="155" t="n"/>
    </row>
    <row r="606">
      <c r="A606" s="50" t="n"/>
      <c r="B606" s="51" t="inlineStr">
        <is>
          <t>18053</t>
        </is>
      </c>
      <c r="C606" s="156" t="inlineStr">
        <is>
          <t>Wrangler</t>
        </is>
      </c>
      <c r="D606" s="156" t="n"/>
      <c r="E606" s="156" t="n"/>
      <c r="F606" s="156" t="inlineStr">
        <is>
          <t>Talla única</t>
        </is>
      </c>
      <c r="G606" s="156" t="inlineStr">
        <is>
          <t>One Size</t>
        </is>
      </c>
      <c r="H606" s="156" t="inlineStr">
        <is>
          <t>Wrangler</t>
        </is>
      </c>
      <c r="I606" s="156" t="inlineStr">
        <is>
          <t>Bolsa Tote Cruzada Wrangler Estampado Grabado Patrón Azteca Con Compartimento Oculto</t>
        </is>
      </c>
      <c r="J606" s="156" t="inlineStr">
        <is>
          <t>Accesorios</t>
        </is>
      </c>
      <c r="K606" s="156" t="inlineStr">
        <is>
          <t>Bolsos</t>
        </is>
      </c>
      <c r="L606" s="156" t="inlineStr">
        <is>
          <t>Unisex</t>
        </is>
      </c>
      <c r="M606" s="156" t="inlineStr">
        <is>
          <t>Wrangler</t>
        </is>
      </c>
      <c r="N606" s="156" t="n"/>
      <c r="O606" s="156" t="n"/>
      <c r="P606" s="156" t="inlineStr">
        <is>
          <t>Varios</t>
        </is>
      </c>
      <c r="Q606" s="156" t="n"/>
      <c r="R606" s="156" t="n"/>
      <c r="S606" s="156" t="n"/>
      <c r="T606" s="156" t="n"/>
      <c r="U606" s="156" t="inlineStr">
        <is>
          <t>México</t>
        </is>
      </c>
      <c r="V606" s="156" t="inlineStr">
        <is>
          <t>PZS</t>
        </is>
      </c>
      <c r="W606" s="51" t="inlineStr">
        <is>
          <t>53121600</t>
        </is>
      </c>
      <c r="X606" s="156" t="n"/>
      <c r="Y606" s="54" t="n"/>
      <c r="Z606" s="54" t="n">
        <v>809</v>
      </c>
      <c r="AA606" s="55">
        <f>IF(AND(A606="", B606="", E606=""), "", IF(AB606="", "Válido", IF((LEN(AB606)-LEN(SUBSTITUTE(AB606,"; ","")))/2+1&gt;(LEN(AB606)-LEN(SUBSTITUTE(AB606,"[Aviso]","")))/7, "Con Incidencias", "Válido")))</f>
        <v/>
      </c>
      <c r="AB606" s="56">
        <f>IF(AND(A606="", B606="", E606=""), "", TEXTJOIN("; ", TRUE, IF(OR(TRIM(A606&amp;"")="", ISNUMBER(SEARCH("FALTA", A606))), "UPC faltante/inválido", ""), IF(AND(A606&lt;&gt;"", IFERROR(_xlfn.XMATCH(A606,$A$2:$A$1063,0,1)&lt;&gt;_xlfn.XMATCH(A606,$A$2:$A$1063,0,-1),FALSE)), "Código de barras duplicado", ""), IF(AND(E606&lt;&gt;"", COUNTIF($E$2:$E$1063, E606)&gt;1), "SKU duplicado", ""), IF(OR(J606="", J606=""), "[Aviso] División no capturada ()", IF(ISNA(MATCH(J606, Criterios!$A$123:$A$126, 0)), "División no válida", "")), IF(OR(K606="", K606=""), "[Aviso] Categoría no capturada ()", IF(ISNA(MATCH(K606, Criterios!$A$81:$A$120, 0)), "Categoría no válida", IF(AND(J606&lt;&gt;"", J606&lt;&gt;"", J606&lt;&gt;VLOOKUP(K606, Criterios!$A$81:$B$120, 2, FALSE)), "División no coincide con Categoría", ""))), IF(OR(L606="", L606=""), "[Aviso] Género no capturado ()", IF(ISNA(MATCH(L606, Criterios!$B$123:$B$127, 0)), "Género no válido", "")), IF(OR(N606="", N606=""), "[Aviso] Temporada no capturada ()", IF(ISNA(MATCH(N606, Criterios!$C$123:$C$128, 0)), "Temporada no válida", "")), IF(OR(O606="", O606=""), "[Aviso] Ciclo de vida no capturado ()", IF(ISNA(MATCH(O606, Criterios!$D$123:$D$124, 0)), "Ciclo de vida no válido", ""))))</f>
        <v/>
      </c>
      <c r="AC606" s="56" t="n"/>
      <c r="AD606" s="51" t="n"/>
      <c r="AE606" s="156" t="n"/>
      <c r="AF606" s="51" t="n"/>
      <c r="AG606" s="156" t="inlineStr">
        <is>
          <t>Nuevo – Carga Hoja2 01/10/2026</t>
        </is>
      </c>
      <c r="AH606" s="156" t="inlineStr">
        <is>
          <t>Alta 01/10/2026 desde Hoja2 (fila 466);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06" s="156" t="n"/>
      <c r="AJ606" s="156" t="n"/>
      <c r="AK606" s="155" t="inlineStr">
        <is>
          <t>Hoja2: fila 466</t>
        </is>
      </c>
      <c r="AL606" s="58" t="n"/>
      <c r="AM606" s="58" t="n"/>
      <c r="AN606" s="155" t="n"/>
      <c r="AO606" s="59" t="n"/>
      <c r="AP606" s="59" t="n"/>
      <c r="AQ606" s="59" t="n"/>
      <c r="AR606" s="155" t="n"/>
    </row>
    <row r="607">
      <c r="A607" s="50" t="n"/>
      <c r="B607" s="51" t="inlineStr">
        <is>
          <t>18047</t>
        </is>
      </c>
      <c r="C607" s="156" t="inlineStr">
        <is>
          <t>Wrangler</t>
        </is>
      </c>
      <c r="D607" s="156" t="n"/>
      <c r="E607" s="156" t="n"/>
      <c r="F607" s="156" t="inlineStr">
        <is>
          <t>Talla única</t>
        </is>
      </c>
      <c r="G607" s="156" t="inlineStr">
        <is>
          <t>One Size</t>
        </is>
      </c>
      <c r="H607" s="156" t="inlineStr">
        <is>
          <t>Wrangler</t>
        </is>
      </c>
      <c r="I607" s="156" t="inlineStr">
        <is>
          <t>Bolsa Tote Cruzada Wrangler Estampado Suroeste Doble Cara</t>
        </is>
      </c>
      <c r="J607" s="156" t="inlineStr">
        <is>
          <t>Accesorios</t>
        </is>
      </c>
      <c r="K607" s="156" t="inlineStr">
        <is>
          <t>Bolsos</t>
        </is>
      </c>
      <c r="L607" s="156" t="inlineStr">
        <is>
          <t>Unisex</t>
        </is>
      </c>
      <c r="M607" s="156" t="inlineStr">
        <is>
          <t>Wrangler</t>
        </is>
      </c>
      <c r="N607" s="156" t="n"/>
      <c r="O607" s="156" t="n"/>
      <c r="P607" s="156" t="inlineStr">
        <is>
          <t>Varios</t>
        </is>
      </c>
      <c r="Q607" s="156" t="n"/>
      <c r="R607" s="156" t="n"/>
      <c r="S607" s="156" t="n"/>
      <c r="T607" s="156" t="n"/>
      <c r="U607" s="156" t="inlineStr">
        <is>
          <t>México</t>
        </is>
      </c>
      <c r="V607" s="156" t="inlineStr">
        <is>
          <t>PZS</t>
        </is>
      </c>
      <c r="W607" s="51" t="inlineStr">
        <is>
          <t>53121600</t>
        </is>
      </c>
      <c r="X607" s="156" t="n"/>
      <c r="Y607" s="54" t="n"/>
      <c r="Z607" s="54" t="n">
        <v>26</v>
      </c>
      <c r="AA607" s="55">
        <f>IF(AND(A607="", B607="", E607=""), "", IF(AB607="", "Válido", IF((LEN(AB607)-LEN(SUBSTITUTE(AB607,"; ","")))/2+1&gt;(LEN(AB607)-LEN(SUBSTITUTE(AB607,"[Aviso]","")))/7, "Con Incidencias", "Válido")))</f>
        <v/>
      </c>
      <c r="AB607" s="56">
        <f>IF(AND(A607="", B607="", E607=""), "", TEXTJOIN("; ", TRUE, IF(OR(TRIM(A607&amp;"")="", ISNUMBER(SEARCH("FALTA", A607))), "UPC faltante/inválido", ""), IF(AND(A607&lt;&gt;"", IFERROR(_xlfn.XMATCH(A607,$A$2:$A$1063,0,1)&lt;&gt;_xlfn.XMATCH(A607,$A$2:$A$1063,0,-1),FALSE)), "Código de barras duplicado", ""), IF(AND(E607&lt;&gt;"", COUNTIF($E$2:$E$1063, E607)&gt;1), "SKU duplicado", ""), IF(OR(J607="", J607=""), "[Aviso] División no capturada ()", IF(ISNA(MATCH(J607, Criterios!$A$123:$A$126, 0)), "División no válida", "")), IF(OR(K607="", K607=""), "[Aviso] Categoría no capturada ()", IF(ISNA(MATCH(K607, Criterios!$A$81:$A$120, 0)), "Categoría no válida", IF(AND(J607&lt;&gt;"", J607&lt;&gt;"", J607&lt;&gt;VLOOKUP(K607, Criterios!$A$81:$B$120, 2, FALSE)), "División no coincide con Categoría", ""))), IF(OR(L607="", L607=""), "[Aviso] Género no capturado ()", IF(ISNA(MATCH(L607, Criterios!$B$123:$B$127, 0)), "Género no válido", "")), IF(OR(N607="", N607=""), "[Aviso] Temporada no capturada ()", IF(ISNA(MATCH(N607, Criterios!$C$123:$C$128, 0)), "Temporada no válida", "")), IF(OR(O607="", O607=""), "[Aviso] Ciclo de vida no capturado ()", IF(ISNA(MATCH(O607, Criterios!$D$123:$D$124, 0)), "Ciclo de vida no válido", ""))))</f>
        <v/>
      </c>
      <c r="AC607" s="56" t="n"/>
      <c r="AD607" s="51" t="n"/>
      <c r="AE607" s="156" t="n"/>
      <c r="AF607" s="51" t="n"/>
      <c r="AG607" s="156" t="inlineStr">
        <is>
          <t>Nuevo – Carga Hoja2 01/10/2026</t>
        </is>
      </c>
      <c r="AH607" s="156" t="inlineStr">
        <is>
          <t>Alta 01/10/2026 desde Hoja2 (fila 467);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07" s="156" t="n"/>
      <c r="AJ607" s="156" t="n"/>
      <c r="AK607" s="155" t="inlineStr">
        <is>
          <t>Hoja2: fila 467</t>
        </is>
      </c>
      <c r="AL607" s="58" t="n"/>
      <c r="AM607" s="58" t="n"/>
      <c r="AN607" s="155" t="n"/>
      <c r="AO607" s="59" t="n"/>
      <c r="AP607" s="59" t="n"/>
      <c r="AQ607" s="59" t="n"/>
      <c r="AR607" s="155" t="n"/>
    </row>
    <row r="608">
      <c r="A608" s="50" t="n"/>
      <c r="B608" s="51" t="inlineStr">
        <is>
          <t>18050</t>
        </is>
      </c>
      <c r="C608" s="156" t="inlineStr">
        <is>
          <t>Wrangler</t>
        </is>
      </c>
      <c r="D608" s="156" t="n"/>
      <c r="E608" s="156" t="n"/>
      <c r="F608" s="156" t="inlineStr">
        <is>
          <t>Talla única</t>
        </is>
      </c>
      <c r="G608" s="156" t="inlineStr">
        <is>
          <t>One Size</t>
        </is>
      </c>
      <c r="H608" s="156" t="inlineStr">
        <is>
          <t>Wrangler</t>
        </is>
      </c>
      <c r="I608" s="156" t="inlineStr">
        <is>
          <t>Bolsa Tote Cruzada Wrangler Estampado Vaquero Rosa Oscuro</t>
        </is>
      </c>
      <c r="J608" s="156" t="inlineStr">
        <is>
          <t>Accesorios</t>
        </is>
      </c>
      <c r="K608" s="156" t="inlineStr">
        <is>
          <t>Bolsos</t>
        </is>
      </c>
      <c r="L608" s="156" t="inlineStr">
        <is>
          <t>Unisex</t>
        </is>
      </c>
      <c r="M608" s="156" t="inlineStr">
        <is>
          <t>Wrangler</t>
        </is>
      </c>
      <c r="N608" s="156" t="n"/>
      <c r="O608" s="156" t="n"/>
      <c r="P608" s="156" t="inlineStr">
        <is>
          <t>Rosa</t>
        </is>
      </c>
      <c r="Q608" s="156" t="n"/>
      <c r="R608" s="156" t="n"/>
      <c r="S608" s="156" t="n"/>
      <c r="T608" s="156" t="n"/>
      <c r="U608" s="156" t="inlineStr">
        <is>
          <t>México</t>
        </is>
      </c>
      <c r="V608" s="156" t="inlineStr">
        <is>
          <t>PZS</t>
        </is>
      </c>
      <c r="W608" s="51" t="inlineStr">
        <is>
          <t>53121600</t>
        </is>
      </c>
      <c r="X608" s="156" t="n"/>
      <c r="Y608" s="54" t="n"/>
      <c r="Z608" s="54" t="n">
        <v>779</v>
      </c>
      <c r="AA608" s="55">
        <f>IF(AND(A608="", B608="", E608=""), "", IF(AB608="", "Válido", IF((LEN(AB608)-LEN(SUBSTITUTE(AB608,"; ","")))/2+1&gt;(LEN(AB608)-LEN(SUBSTITUTE(AB608,"[Aviso]","")))/7, "Con Incidencias", "Válido")))</f>
        <v/>
      </c>
      <c r="AB608" s="56">
        <f>IF(AND(A608="", B608="", E608=""), "", TEXTJOIN("; ", TRUE, IF(OR(TRIM(A608&amp;"")="", ISNUMBER(SEARCH("FALTA", A608))), "UPC faltante/inválido", ""), IF(AND(A608&lt;&gt;"", IFERROR(_xlfn.XMATCH(A608,$A$2:$A$1063,0,1)&lt;&gt;_xlfn.XMATCH(A608,$A$2:$A$1063,0,-1),FALSE)), "Código de barras duplicado", ""), IF(AND(E608&lt;&gt;"", COUNTIF($E$2:$E$1063, E608)&gt;1), "SKU duplicado", ""), IF(OR(J608="", J608=""), "[Aviso] División no capturada ()", IF(ISNA(MATCH(J608, Criterios!$A$123:$A$126, 0)), "División no válida", "")), IF(OR(K608="", K608=""), "[Aviso] Categoría no capturada ()", IF(ISNA(MATCH(K608, Criterios!$A$81:$A$120, 0)), "Categoría no válida", IF(AND(J608&lt;&gt;"", J608&lt;&gt;"", J608&lt;&gt;VLOOKUP(K608, Criterios!$A$81:$B$120, 2, FALSE)), "División no coincide con Categoría", ""))), IF(OR(L608="", L608=""), "[Aviso] Género no capturado ()", IF(ISNA(MATCH(L608, Criterios!$B$123:$B$127, 0)), "Género no válido", "")), IF(OR(N608="", N608=""), "[Aviso] Temporada no capturada ()", IF(ISNA(MATCH(N608, Criterios!$C$123:$C$128, 0)), "Temporada no válida", "")), IF(OR(O608="", O608=""), "[Aviso] Ciclo de vida no capturado ()", IF(ISNA(MATCH(O608, Criterios!$D$123:$D$124, 0)), "Ciclo de vida no válido", ""))))</f>
        <v/>
      </c>
      <c r="AC608" s="56" t="n"/>
      <c r="AD608" s="51" t="n"/>
      <c r="AE608" s="156" t="n"/>
      <c r="AF608" s="51" t="n"/>
      <c r="AG608" s="156" t="inlineStr">
        <is>
          <t>Nuevo – Carga Hoja2 01/10/2026</t>
        </is>
      </c>
      <c r="AH608" s="156" t="inlineStr">
        <is>
          <t>Alta 01/10/2026 desde Hoja2 (fila 468);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08" s="156" t="n"/>
      <c r="AJ608" s="156" t="n"/>
      <c r="AK608" s="155" t="inlineStr">
        <is>
          <t>Hoja2: fila 468</t>
        </is>
      </c>
      <c r="AL608" s="58" t="n"/>
      <c r="AM608" s="58" t="n"/>
      <c r="AN608" s="155" t="n"/>
      <c r="AO608" s="59" t="n"/>
      <c r="AP608" s="59" t="n"/>
      <c r="AQ608" s="59" t="n"/>
      <c r="AR608" s="155" t="n"/>
    </row>
    <row r="609">
      <c r="A609" s="50" t="n"/>
      <c r="B609" s="51" t="inlineStr">
        <is>
          <t>15420</t>
        </is>
      </c>
      <c r="C609" s="156" t="inlineStr">
        <is>
          <t>Wrangler</t>
        </is>
      </c>
      <c r="D609" s="156" t="n"/>
      <c r="E609" s="156" t="n"/>
      <c r="F609" s="156" t="inlineStr">
        <is>
          <t>Talla única</t>
        </is>
      </c>
      <c r="G609" s="156" t="inlineStr">
        <is>
          <t>One Size</t>
        </is>
      </c>
      <c r="H609" s="156" t="inlineStr">
        <is>
          <t>Wrangler</t>
        </is>
      </c>
      <c r="I609" s="156" t="inlineStr">
        <is>
          <t>Bolsa Tote Cruzada Wrangler Sherpa Estampado Suroeste De Lona Chica</t>
        </is>
      </c>
      <c r="J609" s="156" t="inlineStr">
        <is>
          <t>Accesorios</t>
        </is>
      </c>
      <c r="K609" s="156" t="inlineStr">
        <is>
          <t>Bolsos</t>
        </is>
      </c>
      <c r="L609" s="156" t="inlineStr">
        <is>
          <t>Unisex</t>
        </is>
      </c>
      <c r="M609" s="156" t="inlineStr">
        <is>
          <t>Wrangler</t>
        </is>
      </c>
      <c r="N609" s="156" t="n"/>
      <c r="O609" s="156" t="n"/>
      <c r="P609" s="156" t="inlineStr">
        <is>
          <t>Varios</t>
        </is>
      </c>
      <c r="Q609" s="156" t="n"/>
      <c r="R609" s="156" t="n"/>
      <c r="S609" s="156" t="n"/>
      <c r="T609" s="156" t="n"/>
      <c r="U609" s="156" t="inlineStr">
        <is>
          <t>México</t>
        </is>
      </c>
      <c r="V609" s="156" t="inlineStr">
        <is>
          <t>PZS</t>
        </is>
      </c>
      <c r="W609" s="51" t="inlineStr">
        <is>
          <t>53121601</t>
        </is>
      </c>
      <c r="X609" s="156" t="n"/>
      <c r="Y609" s="54" t="n"/>
      <c r="Z609" s="54" t="n">
        <v>739</v>
      </c>
      <c r="AA609" s="55">
        <f>IF(AND(A609="", B609="", E609=""), "", IF(AB609="", "Válido", IF((LEN(AB609)-LEN(SUBSTITUTE(AB609,"; ","")))/2+1&gt;(LEN(AB609)-LEN(SUBSTITUTE(AB609,"[Aviso]","")))/7, "Con Incidencias", "Válido")))</f>
        <v/>
      </c>
      <c r="AB609" s="56">
        <f>IF(AND(A609="", B609="", E609=""), "", TEXTJOIN("; ", TRUE, IF(OR(TRIM(A609&amp;"")="", ISNUMBER(SEARCH("FALTA", A609))), "UPC faltante/inválido", ""), IF(AND(A609&lt;&gt;"", IFERROR(_xlfn.XMATCH(A609,$A$2:$A$1063,0,1)&lt;&gt;_xlfn.XMATCH(A609,$A$2:$A$1063,0,-1),FALSE)), "Código de barras duplicado", ""), IF(AND(E609&lt;&gt;"", COUNTIF($E$2:$E$1063, E609)&gt;1), "SKU duplicado", ""), IF(OR(J609="", J609=""), "[Aviso] División no capturada ()", IF(ISNA(MATCH(J609, Criterios!$A$123:$A$126, 0)), "División no válida", "")), IF(OR(K609="", K609=""), "[Aviso] Categoría no capturada ()", IF(ISNA(MATCH(K609, Criterios!$A$81:$A$120, 0)), "Categoría no válida", IF(AND(J609&lt;&gt;"", J609&lt;&gt;"", J609&lt;&gt;VLOOKUP(K609, Criterios!$A$81:$B$120, 2, FALSE)), "División no coincide con Categoría", ""))), IF(OR(L609="", L609=""), "[Aviso] Género no capturado ()", IF(ISNA(MATCH(L609, Criterios!$B$123:$B$127, 0)), "Género no válido", "")), IF(OR(N609="", N609=""), "[Aviso] Temporada no capturada ()", IF(ISNA(MATCH(N609, Criterios!$C$123:$C$128, 0)), "Temporada no válida", "")), IF(OR(O609="", O609=""), "[Aviso] Ciclo de vida no capturado ()", IF(ISNA(MATCH(O609, Criterios!$D$123:$D$124, 0)), "Ciclo de vida no válido", ""))))</f>
        <v/>
      </c>
      <c r="AC609" s="56" t="n"/>
      <c r="AD609" s="51" t="n"/>
      <c r="AE609" s="156" t="n"/>
      <c r="AF609" s="51" t="n"/>
      <c r="AG609" s="156" t="inlineStr">
        <is>
          <t>Nuevo – Carga Hoja2 01/10/2026</t>
        </is>
      </c>
      <c r="AH609" s="156" t="inlineStr">
        <is>
          <t>Alta 01/10/2026 desde Hoja2 (fila 469);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09" s="156" t="n"/>
      <c r="AJ609" s="156" t="n"/>
      <c r="AK609" s="155" t="inlineStr">
        <is>
          <t>Hoja2: fila 469</t>
        </is>
      </c>
      <c r="AL609" s="58" t="n"/>
      <c r="AM609" s="58" t="n"/>
      <c r="AN609" s="155" t="n"/>
      <c r="AO609" s="59" t="n"/>
      <c r="AP609" s="59" t="n"/>
      <c r="AQ609" s="59" t="n"/>
      <c r="AR609" s="155" t="n"/>
    </row>
    <row r="610">
      <c r="A610" s="50" t="n"/>
      <c r="B610" s="51" t="inlineStr">
        <is>
          <t>21928</t>
        </is>
      </c>
      <c r="C610" s="156" t="inlineStr">
        <is>
          <t>Wrangler</t>
        </is>
      </c>
      <c r="D610" s="156" t="n"/>
      <c r="E610" s="156" t="n"/>
      <c r="F610" s="156" t="inlineStr">
        <is>
          <t>Talla única</t>
        </is>
      </c>
      <c r="G610" s="156" t="inlineStr">
        <is>
          <t>One Size</t>
        </is>
      </c>
      <c r="H610" s="156" t="inlineStr">
        <is>
          <t>Wrangler</t>
        </is>
      </c>
      <c r="I610" s="156" t="inlineStr">
        <is>
          <t>Bolsa Tote Mini Cruzada Wrangler Estampado Suroeste Doble Cara</t>
        </is>
      </c>
      <c r="J610" s="156" t="inlineStr">
        <is>
          <t>Accesorios</t>
        </is>
      </c>
      <c r="K610" s="156" t="inlineStr">
        <is>
          <t>Bolsos</t>
        </is>
      </c>
      <c r="L610" s="156" t="inlineStr">
        <is>
          <t>Unisex</t>
        </is>
      </c>
      <c r="M610" s="156" t="inlineStr">
        <is>
          <t>Wrangler</t>
        </is>
      </c>
      <c r="N610" s="156" t="n"/>
      <c r="O610" s="156" t="n"/>
      <c r="P610" s="156" t="inlineStr">
        <is>
          <t>Varios</t>
        </is>
      </c>
      <c r="Q610" s="156" t="n"/>
      <c r="R610" s="156" t="n"/>
      <c r="S610" s="156" t="n"/>
      <c r="T610" s="156" t="n"/>
      <c r="U610" s="156" t="inlineStr">
        <is>
          <t>México</t>
        </is>
      </c>
      <c r="V610" s="156" t="inlineStr">
        <is>
          <t>PZS</t>
        </is>
      </c>
      <c r="W610" s="51" t="inlineStr">
        <is>
          <t>53121601</t>
        </is>
      </c>
      <c r="X610" s="156" t="n"/>
      <c r="Y610" s="54" t="n"/>
      <c r="Z610" s="54" t="n">
        <v>499</v>
      </c>
      <c r="AA610" s="55">
        <f>IF(AND(A610="", B610="", E610=""), "", IF(AB610="", "Válido", IF((LEN(AB610)-LEN(SUBSTITUTE(AB610,"; ","")))/2+1&gt;(LEN(AB610)-LEN(SUBSTITUTE(AB610,"[Aviso]","")))/7, "Con Incidencias", "Válido")))</f>
        <v/>
      </c>
      <c r="AB610" s="56">
        <f>IF(AND(A610="", B610="", E610=""), "", TEXTJOIN("; ", TRUE, IF(OR(TRIM(A610&amp;"")="", ISNUMBER(SEARCH("FALTA", A610))), "UPC faltante/inválido", ""), IF(AND(A610&lt;&gt;"", IFERROR(_xlfn.XMATCH(A610,$A$2:$A$1063,0,1)&lt;&gt;_xlfn.XMATCH(A610,$A$2:$A$1063,0,-1),FALSE)), "Código de barras duplicado", ""), IF(AND(E610&lt;&gt;"", COUNTIF($E$2:$E$1063, E610)&gt;1), "SKU duplicado", ""), IF(OR(J610="", J610=""), "[Aviso] División no capturada ()", IF(ISNA(MATCH(J610, Criterios!$A$123:$A$126, 0)), "División no válida", "")), IF(OR(K610="", K610=""), "[Aviso] Categoría no capturada ()", IF(ISNA(MATCH(K610, Criterios!$A$81:$A$120, 0)), "Categoría no válida", IF(AND(J610&lt;&gt;"", J610&lt;&gt;"", J610&lt;&gt;VLOOKUP(K610, Criterios!$A$81:$B$120, 2, FALSE)), "División no coincide con Categoría", ""))), IF(OR(L610="", L610=""), "[Aviso] Género no capturado ()", IF(ISNA(MATCH(L610, Criterios!$B$123:$B$127, 0)), "Género no válido", "")), IF(OR(N610="", N610=""), "[Aviso] Temporada no capturada ()", IF(ISNA(MATCH(N610, Criterios!$C$123:$C$128, 0)), "Temporada no válida", "")), IF(OR(O610="", O610=""), "[Aviso] Ciclo de vida no capturado ()", IF(ISNA(MATCH(O610, Criterios!$D$123:$D$124, 0)), "Ciclo de vida no válido", ""))))</f>
        <v/>
      </c>
      <c r="AC610" s="56" t="n"/>
      <c r="AD610" s="51" t="n"/>
      <c r="AE610" s="156" t="n"/>
      <c r="AF610" s="51" t="n"/>
      <c r="AG610" s="156" t="inlineStr">
        <is>
          <t>Nuevo – Carga Hoja2 01/10/2026</t>
        </is>
      </c>
      <c r="AH610" s="156" t="inlineStr">
        <is>
          <t>Alta 01/10/2026 desde Hoja2 (fila 471);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10" s="156" t="n"/>
      <c r="AJ610" s="156" t="n"/>
      <c r="AK610" s="155" t="inlineStr">
        <is>
          <t>Hoja2: fila 471</t>
        </is>
      </c>
      <c r="AL610" s="58" t="n"/>
      <c r="AM610" s="58" t="n"/>
      <c r="AN610" s="155" t="n"/>
      <c r="AO610" s="59" t="n"/>
      <c r="AP610" s="59" t="n"/>
      <c r="AQ610" s="59" t="n"/>
      <c r="AR610" s="155" t="n"/>
    </row>
    <row r="611">
      <c r="A611" s="50" t="n"/>
      <c r="B611" s="51" t="inlineStr">
        <is>
          <t>22203</t>
        </is>
      </c>
      <c r="C611" s="156" t="inlineStr">
        <is>
          <t>Wrangler</t>
        </is>
      </c>
      <c r="D611" s="156" t="n"/>
      <c r="E611" s="156" t="n"/>
      <c r="F611" s="156" t="inlineStr">
        <is>
          <t>Talla única</t>
        </is>
      </c>
      <c r="G611" s="156" t="inlineStr">
        <is>
          <t>One Size</t>
        </is>
      </c>
      <c r="H611" s="156" t="inlineStr">
        <is>
          <t>Wrangler</t>
        </is>
      </c>
      <c r="I611" s="156" t="inlineStr">
        <is>
          <t>Mochila Wrangler Tejida Suroeste</t>
        </is>
      </c>
      <c r="J611" s="156" t="inlineStr">
        <is>
          <t>Accesorios</t>
        </is>
      </c>
      <c r="K611" s="156" t="inlineStr">
        <is>
          <t>Mochilas</t>
        </is>
      </c>
      <c r="L611" s="156" t="inlineStr">
        <is>
          <t>Unisex</t>
        </is>
      </c>
      <c r="M611" s="156" t="inlineStr">
        <is>
          <t>Wrangler</t>
        </is>
      </c>
      <c r="N611" s="156" t="n"/>
      <c r="O611" s="156" t="n"/>
      <c r="P611" s="156" t="inlineStr">
        <is>
          <t>Varios</t>
        </is>
      </c>
      <c r="Q611" s="156" t="n"/>
      <c r="R611" s="156" t="n"/>
      <c r="S611" s="156" t="n"/>
      <c r="T611" s="156" t="n"/>
      <c r="U611" s="156" t="inlineStr">
        <is>
          <t>México</t>
        </is>
      </c>
      <c r="V611" s="156" t="inlineStr">
        <is>
          <t>PZS</t>
        </is>
      </c>
      <c r="W611" s="51" t="inlineStr">
        <is>
          <t>53121601</t>
        </is>
      </c>
      <c r="X611" s="156" t="n"/>
      <c r="Y611" s="54" t="n"/>
      <c r="Z611" s="54" t="n">
        <v>829</v>
      </c>
      <c r="AA611" s="55">
        <f>IF(AND(A611="", B611="", E611=""), "", IF(AB611="", "Válido", IF((LEN(AB611)-LEN(SUBSTITUTE(AB611,"; ","")))/2+1&gt;(LEN(AB611)-LEN(SUBSTITUTE(AB611,"[Aviso]","")))/7, "Con Incidencias", "Válido")))</f>
        <v/>
      </c>
      <c r="AB611" s="56">
        <f>IF(AND(A611="", B611="", E611=""), "", TEXTJOIN("; ", TRUE, IF(OR(TRIM(A611&amp;"")="", ISNUMBER(SEARCH("FALTA", A611))), "UPC faltante/inválido", ""), IF(AND(A611&lt;&gt;"", IFERROR(_xlfn.XMATCH(A611,$A$2:$A$1063,0,1)&lt;&gt;_xlfn.XMATCH(A611,$A$2:$A$1063,0,-1),FALSE)), "Código de barras duplicado", ""), IF(AND(E611&lt;&gt;"", COUNTIF($E$2:$E$1063, E611)&gt;1), "SKU duplicado", ""), IF(OR(J611="", J611=""), "[Aviso] División no capturada ()", IF(ISNA(MATCH(J611, Criterios!$A$123:$A$126, 0)), "División no válida", "")), IF(OR(K611="", K611=""), "[Aviso] Categoría no capturada ()", IF(ISNA(MATCH(K611, Criterios!$A$81:$A$120, 0)), "Categoría no válida", IF(AND(J611&lt;&gt;"", J611&lt;&gt;"", J611&lt;&gt;VLOOKUP(K611, Criterios!$A$81:$B$120, 2, FALSE)), "División no coincide con Categoría", ""))), IF(OR(L611="", L611=""), "[Aviso] Género no capturado ()", IF(ISNA(MATCH(L611, Criterios!$B$123:$B$127, 0)), "Género no válido", "")), IF(OR(N611="", N611=""), "[Aviso] Temporada no capturada ()", IF(ISNA(MATCH(N611, Criterios!$C$123:$C$128, 0)), "Temporada no válida", "")), IF(OR(O611="", O611=""), "[Aviso] Ciclo de vida no capturado ()", IF(ISNA(MATCH(O611, Criterios!$D$123:$D$124, 0)), "Ciclo de vida no válido", ""))))</f>
        <v/>
      </c>
      <c r="AC611" s="56" t="n"/>
      <c r="AD611" s="51" t="n"/>
      <c r="AE611" s="156" t="n"/>
      <c r="AF611" s="51" t="n"/>
      <c r="AG611" s="156" t="inlineStr">
        <is>
          <t>Nuevo – Carga Hoja2 01/10/2026</t>
        </is>
      </c>
      <c r="AH611" s="156" t="inlineStr">
        <is>
          <t>Alta 01/10/2026 desde Hoja2 (fila 472);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barras; WB: precio con IVA no termina en 9</t>
        </is>
      </c>
      <c r="AI611" s="156" t="n"/>
      <c r="AJ611" s="156" t="n"/>
      <c r="AK611" s="155" t="inlineStr">
        <is>
          <t>Hoja2: fila 472</t>
        </is>
      </c>
      <c r="AL611" s="58" t="n"/>
      <c r="AM611" s="58" t="n"/>
      <c r="AN611" s="155" t="n"/>
      <c r="AO611" s="59" t="n"/>
      <c r="AP611" s="59" t="n"/>
      <c r="AQ611" s="59" t="n"/>
      <c r="AR611" s="155" t="n"/>
    </row>
    <row r="612">
      <c r="A612" s="50" t="n"/>
      <c r="B612" s="51" t="inlineStr">
        <is>
          <t>21149</t>
        </is>
      </c>
      <c r="C612" s="156" t="inlineStr">
        <is>
          <t>Wrangler</t>
        </is>
      </c>
      <c r="D612" s="156" t="n"/>
      <c r="E612" s="156" t="n"/>
      <c r="F612" s="156" t="inlineStr">
        <is>
          <t>Talla única</t>
        </is>
      </c>
      <c r="G612" s="156" t="inlineStr">
        <is>
          <t>One Size</t>
        </is>
      </c>
      <c r="H612" s="156" t="inlineStr">
        <is>
          <t>Wrangler</t>
        </is>
      </c>
      <c r="I612" s="156" t="inlineStr">
        <is>
          <t>Muñequera De Doble Compartimento Wrangler Estampado Artístico Suroeste</t>
        </is>
      </c>
      <c r="J612" s="156" t="inlineStr">
        <is>
          <t>Accesorios</t>
        </is>
      </c>
      <c r="K612" s="156" t="inlineStr">
        <is>
          <t>Carteras</t>
        </is>
      </c>
      <c r="L612" s="156" t="inlineStr">
        <is>
          <t>Unisex</t>
        </is>
      </c>
      <c r="M612" s="156" t="inlineStr">
        <is>
          <t>Wrangler</t>
        </is>
      </c>
      <c r="N612" s="156" t="n"/>
      <c r="O612" s="156" t="n"/>
      <c r="P612" s="156" t="inlineStr">
        <is>
          <t>Varios</t>
        </is>
      </c>
      <c r="Q612" s="156" t="n"/>
      <c r="R612" s="156" t="n"/>
      <c r="S612" s="156" t="n"/>
      <c r="T612" s="156" t="n"/>
      <c r="U612" s="156" t="inlineStr">
        <is>
          <t>México</t>
        </is>
      </c>
      <c r="V612" s="156" t="inlineStr">
        <is>
          <t>PZS</t>
        </is>
      </c>
      <c r="W612" s="51" t="inlineStr">
        <is>
          <t>53121601</t>
        </is>
      </c>
      <c r="X612" s="156" t="n"/>
      <c r="Y612" s="54" t="n"/>
      <c r="Z612" s="54" t="n">
        <v>379</v>
      </c>
      <c r="AA612" s="55">
        <f>IF(AND(A612="", B612="", E612=""), "", IF(AB612="", "Válido", IF((LEN(AB612)-LEN(SUBSTITUTE(AB612,"; ","")))/2+1&gt;(LEN(AB612)-LEN(SUBSTITUTE(AB612,"[Aviso]","")))/7, "Con Incidencias", "Válido")))</f>
        <v/>
      </c>
      <c r="AB612" s="56">
        <f>IF(AND(A612="", B612="", E612=""), "", TEXTJOIN("; ", TRUE, IF(OR(TRIM(A612&amp;"")="", ISNUMBER(SEARCH("FALTA", A612))), "UPC faltante/inválido", ""), IF(AND(A612&lt;&gt;"", IFERROR(_xlfn.XMATCH(A612,$A$2:$A$1063,0,1)&lt;&gt;_xlfn.XMATCH(A612,$A$2:$A$1063,0,-1),FALSE)), "Código de barras duplicado", ""), IF(AND(E612&lt;&gt;"", COUNTIF($E$2:$E$1063, E612)&gt;1), "SKU duplicado", ""), IF(OR(J612="", J612=""), "[Aviso] División no capturada ()", IF(ISNA(MATCH(J612, Criterios!$A$123:$A$126, 0)), "División no válida", "")), IF(OR(K612="", K612=""), "[Aviso] Categoría no capturada ()", IF(ISNA(MATCH(K612, Criterios!$A$81:$A$120, 0)), "Categoría no válida", IF(AND(J612&lt;&gt;"", J612&lt;&gt;"", J612&lt;&gt;VLOOKUP(K612, Criterios!$A$81:$B$120, 2, FALSE)), "División no coincide con Categoría", ""))), IF(OR(L612="", L612=""), "[Aviso] Género no capturado ()", IF(ISNA(MATCH(L612, Criterios!$B$123:$B$127, 0)), "Género no válido", "")), IF(OR(N612="", N612=""), "[Aviso] Temporada no capturada ()", IF(ISNA(MATCH(N612, Criterios!$C$123:$C$128, 0)), "Temporada no válida", "")), IF(OR(O612="", O612=""), "[Aviso] Ciclo de vida no capturado ()", IF(ISNA(MATCH(O612, Criterios!$D$123:$D$124, 0)), "Ciclo de vida no válido", ""))))</f>
        <v/>
      </c>
      <c r="AC612" s="56" t="n"/>
      <c r="AD612" s="51" t="n"/>
      <c r="AE612" s="156" t="n"/>
      <c r="AF612" s="51" t="n"/>
      <c r="AG612" s="156" t="inlineStr">
        <is>
          <t>Nuevo – Carga Hoja2 01/10/2026</t>
        </is>
      </c>
      <c r="AH612" s="156" t="inlineStr">
        <is>
          <t>Alta 01/10/2026 desde Hoja2 (fila 473);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Validación G1522: Código de barras faltante; WB SKU faltante · Validador NetSuite / Odoo: V1: falta código de barras · Validador Shopify: V1: falta código de barras</t>
        </is>
      </c>
      <c r="AI612" s="156" t="n"/>
      <c r="AJ612" s="156" t="n"/>
      <c r="AK612" s="155" t="inlineStr">
        <is>
          <t>Hoja2: fila 473</t>
        </is>
      </c>
      <c r="AL612" s="58" t="n"/>
      <c r="AM612" s="58" t="n"/>
      <c r="AN612" s="155" t="n"/>
      <c r="AO612" s="59" t="n"/>
      <c r="AP612" s="59" t="n"/>
      <c r="AQ612" s="59" t="n"/>
      <c r="AR612" s="155" t="n"/>
    </row>
    <row r="613">
      <c r="A613" s="50" t="inlineStr">
        <is>
          <t>717012195104</t>
        </is>
      </c>
      <c r="B613" s="51" t="inlineStr">
        <is>
          <t>13309</t>
        </is>
      </c>
      <c r="C613" s="156" t="inlineStr">
        <is>
          <t>Wrangler</t>
        </is>
      </c>
      <c r="D613" s="156" t="n"/>
      <c r="E613" s="156" t="inlineStr">
        <is>
          <t>WG102-8120SLP</t>
        </is>
      </c>
      <c r="F613" s="156" t="inlineStr">
        <is>
          <t>Talla única</t>
        </is>
      </c>
      <c r="G613" s="156" t="inlineStr">
        <is>
          <t>One Size</t>
        </is>
      </c>
      <c r="H613" s="156" t="inlineStr">
        <is>
          <t>Wrangler</t>
        </is>
      </c>
      <c r="I613" s="156" t="inlineStr">
        <is>
          <t>WG BAG LP</t>
        </is>
      </c>
      <c r="J613" s="156" t="inlineStr">
        <is>
          <t>Accesorios</t>
        </is>
      </c>
      <c r="K613" s="156" t="inlineStr">
        <is>
          <t>Bolsos</t>
        </is>
      </c>
      <c r="L613" s="156" t="inlineStr">
        <is>
          <t>Unisex</t>
        </is>
      </c>
      <c r="M613" s="156" t="n"/>
      <c r="N613" s="156" t="n"/>
      <c r="O613" s="156" t="n"/>
      <c r="P613" s="156" t="n"/>
      <c r="Q613" s="156" t="n"/>
      <c r="R613" s="156" t="n"/>
      <c r="S613" s="156" t="n"/>
      <c r="T613" s="156" t="n"/>
      <c r="U613" s="156" t="n"/>
      <c r="V613" s="156" t="inlineStr">
        <is>
          <t>PZS</t>
        </is>
      </c>
      <c r="W613" s="51" t="inlineStr">
        <is>
          <t>53121601</t>
        </is>
      </c>
      <c r="X613" s="156" t="inlineStr">
        <is>
          <t>https://cdn.shopify.com/s/files/1/0005/9015/1741/files/WG102-8120SLP.webp?v=1787709978</t>
        </is>
      </c>
      <c r="Y613" s="54" t="n">
        <v>483</v>
      </c>
      <c r="Z613" s="54" t="n">
        <v>779</v>
      </c>
      <c r="AA613" s="55">
        <f>IF(AND(A613="", B613="", E613=""), "", IF(AB613="", "Válido", IF((LEN(AB613)-LEN(SUBSTITUTE(AB613,"; ","")))/2+1&gt;(LEN(AB613)-LEN(SUBSTITUTE(AB613,"[Aviso]","")))/7, "Con Incidencias", "Válido")))</f>
        <v/>
      </c>
      <c r="AB613" s="56">
        <f>IF(AND(A613="", B613="", E613=""), "", TEXTJOIN("; ", TRUE, IF(OR(TRIM(A613&amp;"")="", ISNUMBER(SEARCH("FALTA", A613))), "UPC faltante/inválido", ""), IF(AND(A613&lt;&gt;"", IFERROR(_xlfn.XMATCH(A613,$A$2:$A$1063,0,1)&lt;&gt;_xlfn.XMATCH(A613,$A$2:$A$1063,0,-1),FALSE)), "Código de barras duplicado", ""), IF(AND(E613&lt;&gt;"", COUNTIF($E$2:$E$1063, E613)&gt;1), "SKU duplicado", ""), IF(OR(J613="", J613=""), "[Aviso] División no capturada ()", IF(ISNA(MATCH(J613, Criterios!$A$123:$A$126, 0)), "División no válida", "")), IF(OR(K613="", K613=""), "[Aviso] Categoría no capturada ()", IF(ISNA(MATCH(K613, Criterios!$A$81:$A$120, 0)), "Categoría no válida", IF(AND(J613&lt;&gt;"", J613&lt;&gt;"", J613&lt;&gt;VLOOKUP(K613, Criterios!$A$81:$B$120, 2, FALSE)), "División no coincide con Categoría", ""))), IF(OR(L613="", L613=""), "[Aviso] Género no capturado ()", IF(ISNA(MATCH(L613, Criterios!$B$123:$B$127, 0)), "Género no válido", "")), IF(OR(N613="", N613=""), "[Aviso] Temporada no capturada ()", IF(ISNA(MATCH(N613, Criterios!$C$123:$C$128, 0)), "Temporada no válida", "")), IF(OR(O613="", O613=""), "[Aviso] Ciclo de vida no capturado ()", IF(ISNA(MATCH(O613, Criterios!$D$123:$D$124, 0)), "Ciclo de vida no válido", ""))))</f>
        <v/>
      </c>
      <c r="AC613" s="56" t="n"/>
      <c r="AD613" s="51" t="n"/>
      <c r="AE613" s="156" t="n"/>
      <c r="AF613" s="51" t="n"/>
      <c r="AG613" s="156" t="inlineStr">
        <is>
          <t>Nuevo – Carga Hoja2 01/10/2026</t>
        </is>
      </c>
      <c r="AH613" s="156" t="inlineStr">
        <is>
          <t>Alta 01/10/2026 desde Hoja2 (fila 474) | 01/10/2026: complementado desde Odoo Universal Unique Brands (match por código de barras): WB Talla, WB Talla de EE. UU., WB Género | Homologación G1522 06/10/2026: Enlace de imagen: «» → «https://cdn.shopify.com/s/files/1/0005/9015/1741/files/WG102-8120SLP.webp?v=1787709978» (Completado por investigación en línea) · Validación G1522: Falta estilo · Validador NetSuite / Odoo: V6: falta estilo · Validador Shopify: V6: falta estilo; WB: precio con IVA no termina en 9</t>
        </is>
      </c>
      <c r="AI613" s="156" t="n"/>
      <c r="AJ613" s="156" t="n"/>
      <c r="AK613" s="155" t="inlineStr">
        <is>
          <t>Hoja2: fila 474 | Odoo: producto 13309 / plantilla 16886 | Investigación en línea 06/10/2026: https://montanawestworld.com/products/wrangler-animal-print-concealed-carry-tote-bag</t>
        </is>
      </c>
      <c r="AL613" s="58" t="n"/>
      <c r="AM613" s="58" t="n"/>
      <c r="AN613" s="155" t="inlineStr">
        <is>
          <t>Odoo Universal Unique Brands</t>
        </is>
      </c>
      <c r="AO613" s="59" t="n"/>
      <c r="AP613" s="59" t="n"/>
      <c r="AQ613" s="59" t="n">
        <v>20</v>
      </c>
      <c r="AR613" s="155" t="inlineStr">
        <is>
          <t>Odoo Universal Unique Brands › Bodega 25 › Bodega 25/General: 20</t>
        </is>
      </c>
    </row>
    <row r="614">
      <c r="A614" s="50" t="inlineStr">
        <is>
          <t>717019709908</t>
        </is>
      </c>
      <c r="B614" s="51" t="inlineStr">
        <is>
          <t>11818</t>
        </is>
      </c>
      <c r="C614" s="156" t="inlineStr">
        <is>
          <t>Wrangler</t>
        </is>
      </c>
      <c r="D614" s="156" t="inlineStr">
        <is>
          <t>WG102-8600BK</t>
        </is>
      </c>
      <c r="E614" s="156" t="inlineStr">
        <is>
          <t>WG102-8600BK</t>
        </is>
      </c>
      <c r="F614" s="156" t="inlineStr">
        <is>
          <t>Talla única</t>
        </is>
      </c>
      <c r="G614" s="156" t="inlineStr">
        <is>
          <t>One Size</t>
        </is>
      </c>
      <c r="H614" s="156" t="inlineStr">
        <is>
          <t>Wrangler</t>
        </is>
      </c>
      <c r="I614" s="156" t="inlineStr">
        <is>
          <t>Mochila Wrangler Negro</t>
        </is>
      </c>
      <c r="J614" s="156" t="inlineStr">
        <is>
          <t>Accesorios</t>
        </is>
      </c>
      <c r="K614" s="156" t="inlineStr">
        <is>
          <t>Mochilas</t>
        </is>
      </c>
      <c r="L614" s="156" t="inlineStr">
        <is>
          <t>Unisex</t>
        </is>
      </c>
      <c r="M614" s="156" t="inlineStr">
        <is>
          <t>Wrangler</t>
        </is>
      </c>
      <c r="N614" s="156" t="n"/>
      <c r="O614" s="156" t="inlineStr">
        <is>
          <t>Core</t>
        </is>
      </c>
      <c r="P614" s="156" t="inlineStr">
        <is>
          <t>Negro</t>
        </is>
      </c>
      <c r="Q614" s="156" t="n"/>
      <c r="R614" s="156" t="n"/>
      <c r="S614" s="156" t="n"/>
      <c r="T614" s="156" t="inlineStr">
        <is>
          <t>Mochila Wrangler. Color: Negro. Talla única. Unisex. Referencia: WG102-8600BK.</t>
        </is>
      </c>
      <c r="U614" s="156" t="n"/>
      <c r="V614" s="156" t="inlineStr">
        <is>
          <t>PZS</t>
        </is>
      </c>
      <c r="W614" s="51" t="inlineStr">
        <is>
          <t>53121601</t>
        </is>
      </c>
      <c r="X614" s="156" t="inlineStr">
        <is>
          <t>https://cdn.shopify.com/s/files/1/0005/9015/1741/files/Wrangler_Cow_Print_Decorated_Zipper_Backpack_672cf5d2-3ae4-4220-878f-6d22bfdccb69.webp?v=1762510610</t>
        </is>
      </c>
      <c r="Y614" s="54" t="n">
        <v>258.75</v>
      </c>
      <c r="Z614" s="54" t="n">
        <v>419</v>
      </c>
      <c r="AA614" s="55">
        <f>IF(AND(A614="", B614="", E614=""), "", IF(AB614="", "Válido", IF((LEN(AB614)-LEN(SUBSTITUTE(AB614,"; ","")))/2+1&gt;(LEN(AB614)-LEN(SUBSTITUTE(AB614,"[Aviso]","")))/7, "Con Incidencias", "Válido")))</f>
        <v/>
      </c>
      <c r="AB614" s="56">
        <f>IF(AND(A614="", B614="", E614=""), "", TEXTJOIN("; ", TRUE, IF(OR(TRIM(A614&amp;"")="", ISNUMBER(SEARCH("FALTA", A614))), "UPC faltante/inválido", ""), IF(AND(A614&lt;&gt;"", IFERROR(_xlfn.XMATCH(A614,$A$2:$A$1063,0,1)&lt;&gt;_xlfn.XMATCH(A614,$A$2:$A$1063,0,-1),FALSE)), "Código de barras duplicado", ""), IF(AND(E614&lt;&gt;"", COUNTIF($E$2:$E$1063, E614)&gt;1), "SKU duplicado", ""), IF(OR(J614="", J614=""), "[Aviso] División no capturada ()", IF(ISNA(MATCH(J614, Criterios!$A$123:$A$126, 0)), "División no válida", "")), IF(OR(K614="", K614=""), "[Aviso] Categoría no capturada ()", IF(ISNA(MATCH(K614, Criterios!$A$81:$A$120, 0)), "Categoría no válida", IF(AND(J614&lt;&gt;"", J614&lt;&gt;"", J614&lt;&gt;VLOOKUP(K614, Criterios!$A$81:$B$120, 2, FALSE)), "División no coincide con Categoría", ""))), IF(OR(L614="", L614=""), "[Aviso] Género no capturado ()", IF(ISNA(MATCH(L614, Criterios!$B$123:$B$127, 0)), "Género no válido", "")), IF(OR(N614="", N614=""), "[Aviso] Temporada no capturada ()", IF(ISNA(MATCH(N614, Criterios!$C$123:$C$128, 0)), "Temporada no válida", "")), IF(OR(O614="", O614=""), "[Aviso] Ciclo de vida no capturado ()", IF(ISNA(MATCH(O614, Criterios!$D$123:$D$124, 0)), "Ciclo de vida no válido", ""))))</f>
        <v/>
      </c>
      <c r="AC614" s="56" t="n"/>
      <c r="AD614" s="51" t="n"/>
      <c r="AE614" s="156" t="n"/>
      <c r="AF614" s="51" t="n"/>
      <c r="AG614" s="156" t="inlineStr">
        <is>
          <t>Nuevo – Carga Hoja2 01/10/2026</t>
        </is>
      </c>
      <c r="AH614" s="156" t="inlineStr">
        <is>
          <t>Alta 01/10/2026 desde Hoja2 (fila 475) | 01/10/2026: Odoo Universal Unique Brands trae Marca «Montana West» — se conservó el valor de Productos | Homologación G1522 06/10/2026: Enlace de imagen: «» → «https://cdn.shopify.com/s/files/1/0005/9015/1741/files/Wrangler_Cow_Print_Decorated_Zipper_Backpack_672cf5d2-3ae4-4220-878f-6d22bfdccb69.webp?v=1762510610» (Completado por investigación en línea) · Validador Shopify: WB: precio con IVA no termina en 9</t>
        </is>
      </c>
      <c r="AI614" s="156" t="n"/>
      <c r="AJ614" s="156" t="n"/>
      <c r="AK614" s="155" t="inlineStr">
        <is>
          <t>Hoja2: fila 475 | Odoo: producto 11818 / plantilla 15253 | Odoo: producto 27216 / plantilla 33916 | Investigación en línea 06/10/2026: https://montanawestworld.com/products/wrangler-cow-print-mini-backpack</t>
        </is>
      </c>
      <c r="AL614" s="58" t="n"/>
      <c r="AM614" s="58" t="n"/>
      <c r="AN614" s="155" t="inlineStr">
        <is>
          <t>Odoo Universal Unique Brands</t>
        </is>
      </c>
      <c r="AO614" s="59" t="n"/>
      <c r="AP614" s="59" t="n"/>
      <c r="AQ614" s="59" t="n">
        <v>8</v>
      </c>
      <c r="AR614" s="155" t="inlineStr">
        <is>
          <t>Odoo Universal Unique Brands › Bodega 25 › Bodega 25/General: 1 | Odoo Universal Unique Brands › Bodega 25 › Bodega 25/General: 7</t>
        </is>
      </c>
    </row>
    <row r="615">
      <c r="A615" s="50" t="inlineStr">
        <is>
          <t>717019710140</t>
        </is>
      </c>
      <c r="B615" s="51" t="inlineStr">
        <is>
          <t>11816</t>
        </is>
      </c>
      <c r="C615" s="156" t="inlineStr">
        <is>
          <t>Wrangler</t>
        </is>
      </c>
      <c r="D615" s="156" t="inlineStr">
        <is>
          <t>WG102-8603BK</t>
        </is>
      </c>
      <c r="E615" s="156" t="inlineStr">
        <is>
          <t>WG102-8603BK</t>
        </is>
      </c>
      <c r="F615" s="156" t="inlineStr">
        <is>
          <t>Talla única</t>
        </is>
      </c>
      <c r="G615" s="156" t="inlineStr">
        <is>
          <t>One Size</t>
        </is>
      </c>
      <c r="H615" s="156" t="inlineStr">
        <is>
          <t>Wrangler</t>
        </is>
      </c>
      <c r="I615" s="156" t="inlineStr">
        <is>
          <t>Mochila Wrangler Negro</t>
        </is>
      </c>
      <c r="J615" s="156" t="inlineStr">
        <is>
          <t>Accesorios</t>
        </is>
      </c>
      <c r="K615" s="156" t="inlineStr">
        <is>
          <t>Mochilas</t>
        </is>
      </c>
      <c r="L615" s="156" t="inlineStr">
        <is>
          <t>Unisex</t>
        </is>
      </c>
      <c r="M615" s="156" t="inlineStr">
        <is>
          <t>Wrangler</t>
        </is>
      </c>
      <c r="N615" s="156" t="n"/>
      <c r="O615" s="156" t="inlineStr">
        <is>
          <t>Core</t>
        </is>
      </c>
      <c r="P615" s="156" t="inlineStr">
        <is>
          <t>Negro</t>
        </is>
      </c>
      <c r="Q615" s="156" t="n"/>
      <c r="R615" s="156" t="n"/>
      <c r="S615" s="156" t="n"/>
      <c r="T615" s="156" t="inlineStr">
        <is>
          <t>Mochila Wrangler. Color: Negro. Talla única. Unisex. Referencia: WG102-8603BK.</t>
        </is>
      </c>
      <c r="U615" s="156" t="n"/>
      <c r="V615" s="156" t="inlineStr">
        <is>
          <t>PZS</t>
        </is>
      </c>
      <c r="W615" s="51" t="inlineStr">
        <is>
          <t>53121601</t>
        </is>
      </c>
      <c r="X615" s="156" t="inlineStr">
        <is>
          <t>https://cdn.shopify.com/s/files/1/0005/9015/1741/files/Wrangler_Cow_Print_Decorated_Zipper_Backpack_5.webp?v=1760583712</t>
        </is>
      </c>
      <c r="Y615" s="54" t="n">
        <v>379.5</v>
      </c>
      <c r="Z615" s="54" t="n">
        <v>609</v>
      </c>
      <c r="AA615" s="55">
        <f>IF(AND(A615="", B615="", E615=""), "", IF(AB615="", "Válido", IF((LEN(AB615)-LEN(SUBSTITUTE(AB615,"; ","")))/2+1&gt;(LEN(AB615)-LEN(SUBSTITUTE(AB615,"[Aviso]","")))/7, "Con Incidencias", "Válido")))</f>
        <v/>
      </c>
      <c r="AB615" s="56">
        <f>IF(AND(A615="", B615="", E615=""), "", TEXTJOIN("; ", TRUE, IF(OR(TRIM(A615&amp;"")="", ISNUMBER(SEARCH("FALTA", A615))), "UPC faltante/inválido", ""), IF(AND(A615&lt;&gt;"", IFERROR(_xlfn.XMATCH(A615,$A$2:$A$1063,0,1)&lt;&gt;_xlfn.XMATCH(A615,$A$2:$A$1063,0,-1),FALSE)), "Código de barras duplicado", ""), IF(AND(E615&lt;&gt;"", COUNTIF($E$2:$E$1063, E615)&gt;1), "SKU duplicado", ""), IF(OR(J615="", J615=""), "[Aviso] División no capturada ()", IF(ISNA(MATCH(J615, Criterios!$A$123:$A$126, 0)), "División no válida", "")), IF(OR(K615="", K615=""), "[Aviso] Categoría no capturada ()", IF(ISNA(MATCH(K615, Criterios!$A$81:$A$120, 0)), "Categoría no válida", IF(AND(J615&lt;&gt;"", J615&lt;&gt;"", J615&lt;&gt;VLOOKUP(K615, Criterios!$A$81:$B$120, 2, FALSE)), "División no coincide con Categoría", ""))), IF(OR(L615="", L615=""), "[Aviso] Género no capturado ()", IF(ISNA(MATCH(L615, Criterios!$B$123:$B$127, 0)), "Género no válido", "")), IF(OR(N615="", N615=""), "[Aviso] Temporada no capturada ()", IF(ISNA(MATCH(N615, Criterios!$C$123:$C$128, 0)), "Temporada no válida", "")), IF(OR(O615="", O615=""), "[Aviso] Ciclo de vida no capturado ()", IF(ISNA(MATCH(O615, Criterios!$D$123:$D$124, 0)), "Ciclo de vida no válido", ""))))</f>
        <v/>
      </c>
      <c r="AC615" s="56" t="n"/>
      <c r="AD615" s="51" t="n"/>
      <c r="AE615" s="156" t="n"/>
      <c r="AF615" s="51" t="n"/>
      <c r="AG615" s="156" t="inlineStr">
        <is>
          <t>Nuevo – Carga Hoja2 01/10/2026</t>
        </is>
      </c>
      <c r="AH615" s="156" t="inlineStr">
        <is>
          <t>Alta 01/10/2026 desde Hoja2 (fila 476) | 01/10/2026: Odoo Universal Unique Brands trae Marca «Montana West» — se conservó el valor de Productos | Homologación G1522 06/10/2026: Enlace de imagen: «» → «https://cdn.shopify.com/s/files/1/0005/9015/1741/files/Wrangler_Cow_Print_Decorated_Zipper_Backpack_5.webp?v=1760583712» (Completado por investigación en línea) · Validador Shopify: WB: precio con IVA no termina en 9</t>
        </is>
      </c>
      <c r="AI615" s="156" t="n"/>
      <c r="AJ615" s="156" t="n"/>
      <c r="AK615" s="155" t="inlineStr">
        <is>
          <t>Hoja2: fila 476 | Odoo: producto 11816 / plantilla 15251 | Odoo: producto 27219 / plantilla 33919 | Investigación en línea 06/10/2026: https://montanawestworld.com/products/wrangler-cow-print-backpack</t>
        </is>
      </c>
      <c r="AL615" s="58" t="n"/>
      <c r="AM615" s="58" t="n"/>
      <c r="AN615" s="155" t="inlineStr">
        <is>
          <t>Odoo Universal Unique Brands</t>
        </is>
      </c>
      <c r="AO615" s="59" t="n"/>
      <c r="AP615" s="59" t="n"/>
      <c r="AQ615" s="59" t="n">
        <v>35</v>
      </c>
      <c r="AR615" s="155" t="inlineStr">
        <is>
          <t>Odoo Universal Unique Brands › Bodega 25 › Bodega 25/General: 23 | Odoo Universal Unique Brands › Bodega 25 › Bodega 25/General: 12</t>
        </is>
      </c>
    </row>
    <row r="616">
      <c r="A616" s="50" t="inlineStr">
        <is>
          <t>717019710171</t>
        </is>
      </c>
      <c r="B616" s="51" t="inlineStr">
        <is>
          <t>12518</t>
        </is>
      </c>
      <c r="C616" s="156" t="inlineStr">
        <is>
          <t>Wrangler</t>
        </is>
      </c>
      <c r="D616" s="156" t="inlineStr">
        <is>
          <t>WG102-8603PK</t>
        </is>
      </c>
      <c r="E616" s="156" t="inlineStr">
        <is>
          <t>WG102-8603PK</t>
        </is>
      </c>
      <c r="F616" s="156" t="inlineStr">
        <is>
          <t>Talla única</t>
        </is>
      </c>
      <c r="G616" s="156" t="inlineStr">
        <is>
          <t>One Size</t>
        </is>
      </c>
      <c r="H616" s="156" t="inlineStr">
        <is>
          <t>Wrangler</t>
        </is>
      </c>
      <c r="I616" s="156" t="inlineStr">
        <is>
          <t>Mochila Wrangler Rosa</t>
        </is>
      </c>
      <c r="J616" s="156" t="inlineStr">
        <is>
          <t>Accesorios</t>
        </is>
      </c>
      <c r="K616" s="156" t="inlineStr">
        <is>
          <t>Mochilas</t>
        </is>
      </c>
      <c r="L616" s="156" t="inlineStr">
        <is>
          <t>Unisex</t>
        </is>
      </c>
      <c r="M616" s="156" t="inlineStr">
        <is>
          <t>Wrangler</t>
        </is>
      </c>
      <c r="N616" s="156" t="n"/>
      <c r="O616" s="156" t="inlineStr">
        <is>
          <t>Core</t>
        </is>
      </c>
      <c r="P616" s="156" t="inlineStr">
        <is>
          <t>Rosa</t>
        </is>
      </c>
      <c r="Q616" s="156" t="n"/>
      <c r="R616" s="156" t="n"/>
      <c r="S616" s="156" t="n"/>
      <c r="T616" s="156" t="inlineStr">
        <is>
          <t>Mochila Wrangler. Color: Rosa. Talla única. Unisex. Referencia: WG102-8603PK.</t>
        </is>
      </c>
      <c r="U616" s="156" t="n"/>
      <c r="V616" s="156" t="inlineStr">
        <is>
          <t>PZS</t>
        </is>
      </c>
      <c r="W616" s="51" t="inlineStr">
        <is>
          <t>53121601</t>
        </is>
      </c>
      <c r="X616" s="156" t="inlineStr">
        <is>
          <t>https://cdn.shopify.com/s/files/1/0005/9015/1741/files/Wrangler_Cow_Print_Decorated_Zipper_Backpack_Pink_p.webp?v=1760583712</t>
        </is>
      </c>
      <c r="Y616" s="54" t="n">
        <v>379.5</v>
      </c>
      <c r="Z616" s="54" t="n">
        <v>609</v>
      </c>
      <c r="AA616" s="55">
        <f>IF(AND(A616="", B616="", E616=""), "", IF(AB616="", "Válido", IF((LEN(AB616)-LEN(SUBSTITUTE(AB616,"; ","")))/2+1&gt;(LEN(AB616)-LEN(SUBSTITUTE(AB616,"[Aviso]","")))/7, "Con Incidencias", "Válido")))</f>
        <v/>
      </c>
      <c r="AB616" s="56">
        <f>IF(AND(A616="", B616="", E616=""), "", TEXTJOIN("; ", TRUE, IF(OR(TRIM(A616&amp;"")="", ISNUMBER(SEARCH("FALTA", A616))), "UPC faltante/inválido", ""), IF(AND(A616&lt;&gt;"", IFERROR(_xlfn.XMATCH(A616,$A$2:$A$1063,0,1)&lt;&gt;_xlfn.XMATCH(A616,$A$2:$A$1063,0,-1),FALSE)), "Código de barras duplicado", ""), IF(AND(E616&lt;&gt;"", COUNTIF($E$2:$E$1063, E616)&gt;1), "SKU duplicado", ""), IF(OR(J616="", J616=""), "[Aviso] División no capturada ()", IF(ISNA(MATCH(J616, Criterios!$A$123:$A$126, 0)), "División no válida", "")), IF(OR(K616="", K616=""), "[Aviso] Categoría no capturada ()", IF(ISNA(MATCH(K616, Criterios!$A$81:$A$120, 0)), "Categoría no válida", IF(AND(J616&lt;&gt;"", J616&lt;&gt;"", J616&lt;&gt;VLOOKUP(K616, Criterios!$A$81:$B$120, 2, FALSE)), "División no coincide con Categoría", ""))), IF(OR(L616="", L616=""), "[Aviso] Género no capturado ()", IF(ISNA(MATCH(L616, Criterios!$B$123:$B$127, 0)), "Género no válido", "")), IF(OR(N616="", N616=""), "[Aviso] Temporada no capturada ()", IF(ISNA(MATCH(N616, Criterios!$C$123:$C$128, 0)), "Temporada no válida", "")), IF(OR(O616="", O616=""), "[Aviso] Ciclo de vida no capturado ()", IF(ISNA(MATCH(O616, Criterios!$D$123:$D$124, 0)), "Ciclo de vida no válido", ""))))</f>
        <v/>
      </c>
      <c r="AC616" s="56" t="n"/>
      <c r="AD616" s="51" t="n"/>
      <c r="AE616" s="156" t="n"/>
      <c r="AF616" s="51" t="n"/>
      <c r="AG616" s="156" t="inlineStr">
        <is>
          <t>Nuevo – Carga Hoja2 01/10/2026</t>
        </is>
      </c>
      <c r="AH616" s="156" t="inlineStr">
        <is>
          <t>Alta 01/10/2026 desde Hoja2 (fila 477) | 01/10/2026: Odoo Universal Unique Brands trae Categoría «Bolsos» — se conservó el valor de Productos | 01/10/2026: Odoo Universal Unique Brands trae Marca «Montana West» — se conservó el valor de Productos | Homologación G1522 06/10/2026: Enlace de imagen: «» → «https://cdn.shopify.com/s/files/1/0005/9015/1741/files/Wrangler_Cow_Print_Decorated_Zipper_Backpack_Pink_p.webp?v=1760583712» (Completado por investigación en línea) · Validador Shopify: WB: precio con IVA no termina en 9</t>
        </is>
      </c>
      <c r="AI616" s="156" t="n"/>
      <c r="AJ616" s="156" t="n"/>
      <c r="AK616" s="155" t="inlineStr">
        <is>
          <t>Hoja2: fila 477 | Odoo: producto 12518 / plantilla 16095 | Odoo: producto 27220 / plantilla 33920 | Investigación en línea 06/10/2026: https://montanawestworld.com/products/wrangler-cow-print-backpack</t>
        </is>
      </c>
      <c r="AL616" s="58" t="n"/>
      <c r="AM616" s="58" t="n"/>
      <c r="AN616" s="155" t="inlineStr">
        <is>
          <t>Odoo Universal Unique Brands</t>
        </is>
      </c>
      <c r="AO616" s="59" t="n"/>
      <c r="AP616" s="59" t="n"/>
      <c r="AQ616" s="59" t="n">
        <v>20</v>
      </c>
      <c r="AR616" s="155" t="inlineStr">
        <is>
          <t>Odoo Universal Unique Brands › Bodega 25 › Bodega 25/General: 19 | Odoo Universal Unique Brands › Bodega 25 › Bodega 25/General: 1</t>
        </is>
      </c>
    </row>
    <row r="617">
      <c r="A617" s="50" t="inlineStr">
        <is>
          <t>717012188472</t>
        </is>
      </c>
      <c r="B617" s="51" t="inlineStr">
        <is>
          <t>12512</t>
        </is>
      </c>
      <c r="C617" s="156" t="inlineStr">
        <is>
          <t>Wrangler</t>
        </is>
      </c>
      <c r="D617" s="156" t="inlineStr">
        <is>
          <t>WG102G-8119BDY</t>
        </is>
      </c>
      <c r="E617" s="156" t="inlineStr">
        <is>
          <t>WG102G-8119BDY</t>
        </is>
      </c>
      <c r="F617" s="156" t="inlineStr">
        <is>
          <t>Talla única</t>
        </is>
      </c>
      <c r="G617" s="156" t="inlineStr">
        <is>
          <t>One Size</t>
        </is>
      </c>
      <c r="H617" s="156" t="inlineStr">
        <is>
          <t>Wrangler</t>
        </is>
      </c>
      <c r="I617" s="156" t="inlineStr">
        <is>
          <t>Bolsa Wrangler Vino</t>
        </is>
      </c>
      <c r="J617" s="156" t="inlineStr">
        <is>
          <t>Accesorios</t>
        </is>
      </c>
      <c r="K617" s="156" t="inlineStr">
        <is>
          <t>Bolsos</t>
        </is>
      </c>
      <c r="L617" s="156" t="inlineStr">
        <is>
          <t>Unisex</t>
        </is>
      </c>
      <c r="M617" s="156" t="inlineStr">
        <is>
          <t>Wrangler</t>
        </is>
      </c>
      <c r="N617" s="156" t="n"/>
      <c r="O617" s="156" t="inlineStr">
        <is>
          <t>Core</t>
        </is>
      </c>
      <c r="P617" s="156" t="inlineStr">
        <is>
          <t>Rojo</t>
        </is>
      </c>
      <c r="Q617" s="156" t="n"/>
      <c r="R617" s="156" t="n"/>
      <c r="S617" s="156" t="n"/>
      <c r="T617" s="156" t="inlineStr">
        <is>
          <t>Bolsa Wrangler. Color: Vino. Talla única. Unisex. Referencia: WG102G-8119BDY.</t>
        </is>
      </c>
      <c r="U617" s="156" t="n"/>
      <c r="V617" s="156" t="inlineStr">
        <is>
          <t>PZS</t>
        </is>
      </c>
      <c r="W617" s="51" t="inlineStr">
        <is>
          <t>53121601</t>
        </is>
      </c>
      <c r="X617" s="156" t="inlineStr">
        <is>
          <t>https://cdn.shopify.com/s/files/1/0005/9015/1741/files/WG102G-8119BDY.webp?v=1787708641</t>
        </is>
      </c>
      <c r="Y617" s="54" t="n">
        <v>517.5</v>
      </c>
      <c r="Z617" s="54" t="n">
        <v>829</v>
      </c>
      <c r="AA617" s="55">
        <f>IF(AND(A617="", B617="", E617=""), "", IF(AB617="", "Válido", IF((LEN(AB617)-LEN(SUBSTITUTE(AB617,"; ","")))/2+1&gt;(LEN(AB617)-LEN(SUBSTITUTE(AB617,"[Aviso]","")))/7, "Con Incidencias", "Válido")))</f>
        <v/>
      </c>
      <c r="AB617" s="56">
        <f>IF(AND(A617="", B617="", E617=""), "", TEXTJOIN("; ", TRUE, IF(OR(TRIM(A617&amp;"")="", ISNUMBER(SEARCH("FALTA", A617))), "UPC faltante/inválido", ""), IF(AND(A617&lt;&gt;"", IFERROR(_xlfn.XMATCH(A617,$A$2:$A$1063,0,1)&lt;&gt;_xlfn.XMATCH(A617,$A$2:$A$1063,0,-1),FALSE)), "Código de barras duplicado", ""), IF(AND(E617&lt;&gt;"", COUNTIF($E$2:$E$1063, E617)&gt;1), "SKU duplicado", ""), IF(OR(J617="", J617=""), "[Aviso] División no capturada ()", IF(ISNA(MATCH(J617, Criterios!$A$123:$A$126, 0)), "División no válida", "")), IF(OR(K617="", K617=""), "[Aviso] Categoría no capturada ()", IF(ISNA(MATCH(K617, Criterios!$A$81:$A$120, 0)), "Categoría no válida", IF(AND(J617&lt;&gt;"", J617&lt;&gt;"", J617&lt;&gt;VLOOKUP(K617, Criterios!$A$81:$B$120, 2, FALSE)), "División no coincide con Categoría", ""))), IF(OR(L617="", L617=""), "[Aviso] Género no capturado ()", IF(ISNA(MATCH(L617, Criterios!$B$123:$B$127, 0)), "Género no válido", "")), IF(OR(N617="", N617=""), "[Aviso] Temporada no capturada ()", IF(ISNA(MATCH(N617, Criterios!$C$123:$C$128, 0)), "Temporada no válida", "")), IF(OR(O617="", O617=""), "[Aviso] Ciclo de vida no capturado ()", IF(ISNA(MATCH(O617, Criterios!$D$123:$D$124, 0)), "Ciclo de vida no válido", ""))))</f>
        <v/>
      </c>
      <c r="AC617" s="56" t="n"/>
      <c r="AD617" s="51" t="n"/>
      <c r="AE617" s="156" t="n"/>
      <c r="AF617" s="51" t="n"/>
      <c r="AG617" s="156" t="inlineStr">
        <is>
          <t>Nuevo – Carga Hoja2 01/10/2026</t>
        </is>
      </c>
      <c r="AH617" s="156" t="inlineStr">
        <is>
          <t>Alta 01/10/2026 desde Hoja2 (fila 478) | Homologación G1522 06/10/2026: Enlace de imagen: «» → «https://cdn.shopify.com/s/files/1/0005/9015/1741/files/WG102G-8119BDY.webp?v=1787708641» (Completado por investigación en línea) · Validador Shopify: WB: precio con IVA no termina en 9</t>
        </is>
      </c>
      <c r="AI617" s="156" t="n"/>
      <c r="AJ617" s="156" t="n"/>
      <c r="AK617" s="155" t="inlineStr">
        <is>
          <t>Hoja2: fila 478 | Odoo: producto 12512 / plantilla 16089 | Investigación en línea 06/10/2026: https://montanawestworld.com/products/wrangler-cow-print-wide-tote-bag</t>
        </is>
      </c>
      <c r="AL617" s="58" t="n"/>
      <c r="AM617" s="58" t="n"/>
      <c r="AN617" s="155" t="inlineStr">
        <is>
          <t>Odoo Universal Unique Brands</t>
        </is>
      </c>
      <c r="AO617" s="59" t="n"/>
      <c r="AP617" s="59" t="n"/>
      <c r="AQ617" s="59" t="n">
        <v>22</v>
      </c>
      <c r="AR617" s="155" t="inlineStr">
        <is>
          <t>Odoo Universal Unique Brands › Bodega 25 › Bodega 25/General: 22</t>
        </is>
      </c>
    </row>
    <row r="618">
      <c r="A618" s="50" t="inlineStr">
        <is>
          <t>717012188441</t>
        </is>
      </c>
      <c r="B618" s="51" t="inlineStr">
        <is>
          <t>13317</t>
        </is>
      </c>
      <c r="C618" s="156" t="inlineStr">
        <is>
          <t>Wrangler</t>
        </is>
      </c>
      <c r="D618" s="156" t="inlineStr">
        <is>
          <t>WG102G-8119BR</t>
        </is>
      </c>
      <c r="E618" s="156" t="inlineStr">
        <is>
          <t>WG102G-8119BR</t>
        </is>
      </c>
      <c r="F618" s="156" t="inlineStr">
        <is>
          <t>Talla única</t>
        </is>
      </c>
      <c r="G618" s="156" t="inlineStr">
        <is>
          <t>One Size</t>
        </is>
      </c>
      <c r="H618" s="156" t="inlineStr">
        <is>
          <t>Wrangler</t>
        </is>
      </c>
      <c r="I618" s="156" t="inlineStr">
        <is>
          <t>Bolsa Wrangler Café</t>
        </is>
      </c>
      <c r="J618" s="156" t="inlineStr">
        <is>
          <t>Accesorios</t>
        </is>
      </c>
      <c r="K618" s="156" t="inlineStr">
        <is>
          <t>Bolsos</t>
        </is>
      </c>
      <c r="L618" s="156" t="inlineStr">
        <is>
          <t>Unisex</t>
        </is>
      </c>
      <c r="M618" s="156" t="inlineStr">
        <is>
          <t>Wrangler</t>
        </is>
      </c>
      <c r="N618" s="156" t="n"/>
      <c r="O618" s="156" t="inlineStr">
        <is>
          <t>Core</t>
        </is>
      </c>
      <c r="P618" s="156" t="inlineStr">
        <is>
          <t>Cafe</t>
        </is>
      </c>
      <c r="Q618" s="156" t="n"/>
      <c r="R618" s="156" t="n"/>
      <c r="S618" s="156" t="n"/>
      <c r="T618" s="156" t="inlineStr">
        <is>
          <t>Bolsa Wrangler. Color: Café. Talla única. Unisex. Referencia: WG102G-8119BR.</t>
        </is>
      </c>
      <c r="U618" s="156" t="n"/>
      <c r="V618" s="156" t="inlineStr">
        <is>
          <t>PZS</t>
        </is>
      </c>
      <c r="W618" s="51" t="inlineStr">
        <is>
          <t>53121601</t>
        </is>
      </c>
      <c r="X618" s="156" t="inlineStr">
        <is>
          <t>https://cdn.shopify.com/s/files/1/0005/9015/1741/files/WG102G-8119BR.webp?v=1787708641</t>
        </is>
      </c>
      <c r="Y618" s="54" t="n">
        <v>517.5</v>
      </c>
      <c r="Z618" s="54" t="n">
        <v>829</v>
      </c>
      <c r="AA618" s="55">
        <f>IF(AND(A618="", B618="", E618=""), "", IF(AB618="", "Válido", IF((LEN(AB618)-LEN(SUBSTITUTE(AB618,"; ","")))/2+1&gt;(LEN(AB618)-LEN(SUBSTITUTE(AB618,"[Aviso]","")))/7, "Con Incidencias", "Válido")))</f>
        <v/>
      </c>
      <c r="AB618" s="56">
        <f>IF(AND(A618="", B618="", E618=""), "", TEXTJOIN("; ", TRUE, IF(OR(TRIM(A618&amp;"")="", ISNUMBER(SEARCH("FALTA", A618))), "UPC faltante/inválido", ""), IF(AND(A618&lt;&gt;"", IFERROR(_xlfn.XMATCH(A618,$A$2:$A$1063,0,1)&lt;&gt;_xlfn.XMATCH(A618,$A$2:$A$1063,0,-1),FALSE)), "Código de barras duplicado", ""), IF(AND(E618&lt;&gt;"", COUNTIF($E$2:$E$1063, E618)&gt;1), "SKU duplicado", ""), IF(OR(J618="", J618=""), "[Aviso] División no capturada ()", IF(ISNA(MATCH(J618, Criterios!$A$123:$A$126, 0)), "División no válida", "")), IF(OR(K618="", K618=""), "[Aviso] Categoría no capturada ()", IF(ISNA(MATCH(K618, Criterios!$A$81:$A$120, 0)), "Categoría no válida", IF(AND(J618&lt;&gt;"", J618&lt;&gt;"", J618&lt;&gt;VLOOKUP(K618, Criterios!$A$81:$B$120, 2, FALSE)), "División no coincide con Categoría", ""))), IF(OR(L618="", L618=""), "[Aviso] Género no capturado ()", IF(ISNA(MATCH(L618, Criterios!$B$123:$B$127, 0)), "Género no válido", "")), IF(OR(N618="", N618=""), "[Aviso] Temporada no capturada ()", IF(ISNA(MATCH(N618, Criterios!$C$123:$C$128, 0)), "Temporada no válida", "")), IF(OR(O618="", O618=""), "[Aviso] Ciclo de vida no capturado ()", IF(ISNA(MATCH(O618, Criterios!$D$123:$D$124, 0)), "Ciclo de vida no válido", ""))))</f>
        <v/>
      </c>
      <c r="AC618" s="56" t="n"/>
      <c r="AD618" s="51" t="n"/>
      <c r="AE618" s="156" t="n"/>
      <c r="AF618" s="51" t="n"/>
      <c r="AG618" s="156" t="inlineStr">
        <is>
          <t>Nuevo – Carga Hoja2 01/10/2026</t>
        </is>
      </c>
      <c r="AH618" s="156" t="inlineStr">
        <is>
          <t>Alta 01/10/2026 desde Hoja2 (fila 479) | Homologación G1522 06/10/2026: Enlace de imagen: «» → «https://cdn.shopify.com/s/files/1/0005/9015/1741/files/WG102G-8119BR.webp?v=1787708641» (Completado por investigación en línea) · Validador Shopify: WB: precio con IVA no termina en 9</t>
        </is>
      </c>
      <c r="AI618" s="156" t="n"/>
      <c r="AJ618" s="156" t="n"/>
      <c r="AK618" s="155" t="inlineStr">
        <is>
          <t>Hoja2: fila 479 | Odoo: producto 13317 / plantilla 16894 | Investigación en línea 06/10/2026: https://montanawestworld.com/products/wrangler-cow-print-crossbody-tote-western-tote-bag</t>
        </is>
      </c>
      <c r="AL618" s="58" t="n"/>
      <c r="AM618" s="58" t="n"/>
      <c r="AN618" s="155" t="inlineStr">
        <is>
          <t>Odoo Universal Unique Brands</t>
        </is>
      </c>
      <c r="AO618" s="59" t="n"/>
      <c r="AP618" s="59" t="n"/>
      <c r="AQ618" s="59" t="n">
        <v>18</v>
      </c>
      <c r="AR618" s="155" t="inlineStr">
        <is>
          <t>Odoo Universal Unique Brands › Bodega 25 › Bodega 25/General: 18</t>
        </is>
      </c>
    </row>
    <row r="619">
      <c r="A619" s="50" t="inlineStr">
        <is>
          <t>717012185754</t>
        </is>
      </c>
      <c r="B619" s="51" t="inlineStr">
        <is>
          <t>13303</t>
        </is>
      </c>
      <c r="C619" s="156" t="inlineStr">
        <is>
          <t>Wrangler</t>
        </is>
      </c>
      <c r="D619" s="156" t="inlineStr">
        <is>
          <t>WG120-209BK</t>
        </is>
      </c>
      <c r="E619" s="156" t="inlineStr">
        <is>
          <t>WG120-209BK</t>
        </is>
      </c>
      <c r="F619" s="156" t="inlineStr">
        <is>
          <t>Talla única</t>
        </is>
      </c>
      <c r="G619" s="156" t="inlineStr">
        <is>
          <t>One Size</t>
        </is>
      </c>
      <c r="H619" s="156" t="inlineStr">
        <is>
          <t>Wrangler</t>
        </is>
      </c>
      <c r="I619" s="156" t="inlineStr">
        <is>
          <t>Bolsa Cruzada Wrangler Doble Compartimento Con Cierre Negro</t>
        </is>
      </c>
      <c r="J619" s="156" t="inlineStr">
        <is>
          <t>Accesorios</t>
        </is>
      </c>
      <c r="K619" s="156" t="inlineStr">
        <is>
          <t>Bolsos</t>
        </is>
      </c>
      <c r="L619" s="156" t="inlineStr">
        <is>
          <t>Unisex</t>
        </is>
      </c>
      <c r="M619" s="156" t="inlineStr">
        <is>
          <t>Wrangler</t>
        </is>
      </c>
      <c r="N619" s="156" t="n"/>
      <c r="O619" s="156" t="inlineStr">
        <is>
          <t>Core</t>
        </is>
      </c>
      <c r="P619" s="156" t="inlineStr">
        <is>
          <t>Negro</t>
        </is>
      </c>
      <c r="Q619" s="156" t="n"/>
      <c r="R619" s="156" t="n"/>
      <c r="S619" s="156" t="n"/>
      <c r="T619" s="156" t="inlineStr">
        <is>
          <t>Bolsa Cruzada Wrangler. Modelo: Doble Compartimento Con Cierre. Color: Negro. Talla única. Unisex. Referencia: WG120-209BK.</t>
        </is>
      </c>
      <c r="U619" s="156" t="n"/>
      <c r="V619" s="156" t="inlineStr">
        <is>
          <t>PZS</t>
        </is>
      </c>
      <c r="W619" s="51" t="inlineStr">
        <is>
          <t>53121601</t>
        </is>
      </c>
      <c r="X619" s="156" t="n"/>
      <c r="Y619" s="54" t="n">
        <v>276</v>
      </c>
      <c r="Z619" s="54" t="n">
        <v>449</v>
      </c>
      <c r="AA619" s="55">
        <f>IF(AND(A619="", B619="", E619=""), "", IF(AB619="", "Válido", IF((LEN(AB619)-LEN(SUBSTITUTE(AB619,"; ","")))/2+1&gt;(LEN(AB619)-LEN(SUBSTITUTE(AB619,"[Aviso]","")))/7, "Con Incidencias", "Válido")))</f>
        <v/>
      </c>
      <c r="AB619" s="56">
        <f>IF(AND(A619="", B619="", E619=""), "", TEXTJOIN("; ", TRUE, IF(OR(TRIM(A619&amp;"")="", ISNUMBER(SEARCH("FALTA", A619))), "UPC faltante/inválido", ""), IF(AND(A619&lt;&gt;"", IFERROR(_xlfn.XMATCH(A619,$A$2:$A$1063,0,1)&lt;&gt;_xlfn.XMATCH(A619,$A$2:$A$1063,0,-1),FALSE)), "Código de barras duplicado", ""), IF(AND(E619&lt;&gt;"", COUNTIF($E$2:$E$1063, E619)&gt;1), "SKU duplicado", ""), IF(OR(J619="", J619=""), "[Aviso] División no capturada ()", IF(ISNA(MATCH(J619, Criterios!$A$123:$A$126, 0)), "División no válida", "")), IF(OR(K619="", K619=""), "[Aviso] Categoría no capturada ()", IF(ISNA(MATCH(K619, Criterios!$A$81:$A$120, 0)), "Categoría no válida", IF(AND(J619&lt;&gt;"", J619&lt;&gt;"", J619&lt;&gt;VLOOKUP(K619, Criterios!$A$81:$B$120, 2, FALSE)), "División no coincide con Categoría", ""))), IF(OR(L619="", L619=""), "[Aviso] Género no capturado ()", IF(ISNA(MATCH(L619, Criterios!$B$123:$B$127, 0)), "Género no válido", "")), IF(OR(N619="", N619=""), "[Aviso] Temporada no capturada ()", IF(ISNA(MATCH(N619, Criterios!$C$123:$C$128, 0)), "Temporada no válida", "")), IF(OR(O619="", O619=""), "[Aviso] Ciclo de vida no capturado ()", IF(ISNA(MATCH(O619, Criterios!$D$123:$D$124, 0)), "Ciclo de vida no válido", ""))))</f>
        <v/>
      </c>
      <c r="AC619" s="56" t="n"/>
      <c r="AD619" s="51" t="n"/>
      <c r="AE619" s="156" t="n"/>
      <c r="AF619" s="51" t="n"/>
      <c r="AG619" s="156" t="inlineStr">
        <is>
          <t>Nuevo – Carga Hoja2 01/10/2026</t>
        </is>
      </c>
      <c r="AH619" s="156" t="inlineStr">
        <is>
          <t>Alta 01/10/2026 desde Hoja2 (fila 480) | 01/10/2026: Odoo Universal Unique Brands trae Marca «Montana West» — se conservó el valor de Productos | Homologación G1522 06/10/2026: Validador Shopify: WB: precio con IVA no termina en 9</t>
        </is>
      </c>
      <c r="AI619" s="156" t="n"/>
      <c r="AJ619" s="156" t="n"/>
      <c r="AK619" s="155" t="inlineStr">
        <is>
          <t>Hoja2: fila 480 | Odoo: producto 13303 / plantilla 16880 | Odoo: producto 27224 / plantilla 33924</t>
        </is>
      </c>
      <c r="AL619" s="58" t="n"/>
      <c r="AM619" s="58" t="n"/>
      <c r="AN619" s="155" t="inlineStr">
        <is>
          <t>Odoo Universal Unique Brands</t>
        </is>
      </c>
      <c r="AO619" s="59" t="n"/>
      <c r="AP619" s="59" t="n"/>
      <c r="AQ619" s="59" t="n">
        <v>49</v>
      </c>
      <c r="AR619" s="155" t="inlineStr">
        <is>
          <t>Odoo Universal Unique Brands › Bodega 25 › Bodega 25/General: 50</t>
        </is>
      </c>
    </row>
    <row r="620">
      <c r="A620" s="50" t="inlineStr">
        <is>
          <t>717012185815</t>
        </is>
      </c>
      <c r="B620" s="51" t="inlineStr">
        <is>
          <t>13302</t>
        </is>
      </c>
      <c r="C620" s="156" t="inlineStr">
        <is>
          <t>Wrangler</t>
        </is>
      </c>
      <c r="D620" s="156" t="inlineStr">
        <is>
          <t>WG120-209KH</t>
        </is>
      </c>
      <c r="E620" s="156" t="inlineStr">
        <is>
          <t>WG120-209KH</t>
        </is>
      </c>
      <c r="F620" s="156" t="inlineStr">
        <is>
          <t>Talla única</t>
        </is>
      </c>
      <c r="G620" s="156" t="inlineStr">
        <is>
          <t>One Size</t>
        </is>
      </c>
      <c r="H620" s="156" t="inlineStr">
        <is>
          <t>Wrangler</t>
        </is>
      </c>
      <c r="I620" s="156" t="inlineStr">
        <is>
          <t>Bolsa Cruzada Wrangler De Doble Compartimento Con Cierre Caqui</t>
        </is>
      </c>
      <c r="J620" s="156" t="inlineStr">
        <is>
          <t>Accesorios</t>
        </is>
      </c>
      <c r="K620" s="156" t="inlineStr">
        <is>
          <t>Bolsos</t>
        </is>
      </c>
      <c r="L620" s="156" t="inlineStr">
        <is>
          <t>Unisex</t>
        </is>
      </c>
      <c r="M620" s="156" t="inlineStr">
        <is>
          <t>Wrangler</t>
        </is>
      </c>
      <c r="N620" s="156" t="n"/>
      <c r="O620" s="156" t="inlineStr">
        <is>
          <t>Core</t>
        </is>
      </c>
      <c r="P620" s="156" t="inlineStr">
        <is>
          <t>Beige</t>
        </is>
      </c>
      <c r="Q620" s="156" t="n"/>
      <c r="R620" s="156" t="n"/>
      <c r="S620" s="156" t="n"/>
      <c r="T620" s="156" t="inlineStr">
        <is>
          <t>Bolsa Cruzada Wrangler. Modelo: De Doble Compartimento Con Cierre. Color: Caqui. Talla única. Unisex. Referencia: WG120-209KH.</t>
        </is>
      </c>
      <c r="U620" s="156" t="n"/>
      <c r="V620" s="156" t="inlineStr">
        <is>
          <t>PZS</t>
        </is>
      </c>
      <c r="W620" s="51" t="inlineStr">
        <is>
          <t>53121601</t>
        </is>
      </c>
      <c r="X620" s="156" t="n"/>
      <c r="Y620" s="54" t="n">
        <v>276</v>
      </c>
      <c r="Z620" s="54" t="n">
        <v>449</v>
      </c>
      <c r="AA620" s="55">
        <f>IF(AND(A620="", B620="", E620=""), "", IF(AB620="", "Válido", IF((LEN(AB620)-LEN(SUBSTITUTE(AB620,"; ","")))/2+1&gt;(LEN(AB620)-LEN(SUBSTITUTE(AB620,"[Aviso]","")))/7, "Con Incidencias", "Válido")))</f>
        <v/>
      </c>
      <c r="AB620" s="56">
        <f>IF(AND(A620="", B620="", E620=""), "", TEXTJOIN("; ", TRUE, IF(OR(TRIM(A620&amp;"")="", ISNUMBER(SEARCH("FALTA", A620))), "UPC faltante/inválido", ""), IF(AND(A620&lt;&gt;"", IFERROR(_xlfn.XMATCH(A620,$A$2:$A$1063,0,1)&lt;&gt;_xlfn.XMATCH(A620,$A$2:$A$1063,0,-1),FALSE)), "Código de barras duplicado", ""), IF(AND(E620&lt;&gt;"", COUNTIF($E$2:$E$1063, E620)&gt;1), "SKU duplicado", ""), IF(OR(J620="", J620=""), "[Aviso] División no capturada ()", IF(ISNA(MATCH(J620, Criterios!$A$123:$A$126, 0)), "División no válida", "")), IF(OR(K620="", K620=""), "[Aviso] Categoría no capturada ()", IF(ISNA(MATCH(K620, Criterios!$A$81:$A$120, 0)), "Categoría no válida", IF(AND(J620&lt;&gt;"", J620&lt;&gt;"", J620&lt;&gt;VLOOKUP(K620, Criterios!$A$81:$B$120, 2, FALSE)), "División no coincide con Categoría", ""))), IF(OR(L620="", L620=""), "[Aviso] Género no capturado ()", IF(ISNA(MATCH(L620, Criterios!$B$123:$B$127, 0)), "Género no válido", "")), IF(OR(N620="", N620=""), "[Aviso] Temporada no capturada ()", IF(ISNA(MATCH(N620, Criterios!$C$123:$C$128, 0)), "Temporada no válida", "")), IF(OR(O620="", O620=""), "[Aviso] Ciclo de vida no capturado ()", IF(ISNA(MATCH(O620, Criterios!$D$123:$D$124, 0)), "Ciclo de vida no válido", ""))))</f>
        <v/>
      </c>
      <c r="AC620" s="56" t="n"/>
      <c r="AD620" s="51" t="n"/>
      <c r="AE620" s="156" t="n"/>
      <c r="AF620" s="51" t="n"/>
      <c r="AG620" s="156" t="inlineStr">
        <is>
          <t>Nuevo – Carga Hoja2 01/10/2026</t>
        </is>
      </c>
      <c r="AH620" s="156" t="inlineStr">
        <is>
          <t>Alta 01/10/2026 desde Hoja2 (fila 481) | 01/10/2026: Odoo Universal Unique Brands trae Marca «Montana West» — se conservó el valor de Productos | Homologación G1522 06/10/2026: Validador Shopify: WB: precio con IVA no termina en 9</t>
        </is>
      </c>
      <c r="AI620" s="156" t="n"/>
      <c r="AJ620" s="156" t="n"/>
      <c r="AK620" s="155" t="inlineStr">
        <is>
          <t>Hoja2: fila 481 | Odoo: producto 13302 / plantilla 16879 | Odoo: producto 27226 / plantilla 33926</t>
        </is>
      </c>
      <c r="AL620" s="58" t="n"/>
      <c r="AM620" s="58" t="n"/>
      <c r="AN620" s="155" t="inlineStr">
        <is>
          <t>Odoo Universal Unique Brands</t>
        </is>
      </c>
      <c r="AO620" s="59" t="n"/>
      <c r="AP620" s="59" t="n"/>
      <c r="AQ620" s="59" t="n">
        <v>14</v>
      </c>
      <c r="AR620" s="155" t="inlineStr">
        <is>
          <t>Odoo Universal Unique Brands › Bodega 25 › Bodega 25/General: 16</t>
        </is>
      </c>
    </row>
    <row r="621">
      <c r="A621" s="50" t="n"/>
      <c r="B621" s="51" t="inlineStr">
        <is>
          <t>12506</t>
        </is>
      </c>
      <c r="C621" s="156" t="inlineStr">
        <is>
          <t>Wrangler</t>
        </is>
      </c>
      <c r="D621" s="156" t="n"/>
      <c r="E621" s="156" t="inlineStr">
        <is>
          <t>WG133-194BK</t>
        </is>
      </c>
      <c r="F621" s="156" t="inlineStr">
        <is>
          <t>Talla única</t>
        </is>
      </c>
      <c r="G621" s="156" t="inlineStr">
        <is>
          <t>One Size</t>
        </is>
      </c>
      <c r="H621" s="156" t="inlineStr">
        <is>
          <t>Wrangler</t>
        </is>
      </c>
      <c r="I621" s="156" t="inlineStr">
        <is>
          <t>WG BAG</t>
        </is>
      </c>
      <c r="J621" s="156" t="inlineStr">
        <is>
          <t>Accesorios</t>
        </is>
      </c>
      <c r="K621" s="156" t="inlineStr">
        <is>
          <t>Bolsos</t>
        </is>
      </c>
      <c r="L621" s="156" t="inlineStr">
        <is>
          <t>Unisex</t>
        </is>
      </c>
      <c r="M621" s="156" t="n"/>
      <c r="N621" s="156" t="n"/>
      <c r="O621" s="156" t="n"/>
      <c r="P621" s="156" t="n"/>
      <c r="Q621" s="156" t="n"/>
      <c r="R621" s="156" t="n"/>
      <c r="S621" s="156" t="n"/>
      <c r="T621" s="156" t="n"/>
      <c r="U621" s="156" t="n"/>
      <c r="V621" s="156" t="inlineStr">
        <is>
          <t>PZS</t>
        </is>
      </c>
      <c r="W621" s="51" t="inlineStr">
        <is>
          <t>53121601</t>
        </is>
      </c>
      <c r="X621" s="156" t="n"/>
      <c r="Y621" s="54" t="n">
        <v>345</v>
      </c>
      <c r="Z621" s="54" t="n">
        <v>559</v>
      </c>
      <c r="AA621" s="55">
        <f>IF(AND(A621="", B621="", E621=""), "", IF(AB621="", "Válido", IF((LEN(AB621)-LEN(SUBSTITUTE(AB621,"; ","")))/2+1&gt;(LEN(AB621)-LEN(SUBSTITUTE(AB621,"[Aviso]","")))/7, "Con Incidencias", "Válido")))</f>
        <v/>
      </c>
      <c r="AB621" s="56">
        <f>IF(AND(A621="", B621="", E621=""), "", TEXTJOIN("; ", TRUE, IF(OR(TRIM(A621&amp;"")="", ISNUMBER(SEARCH("FALTA", A621))), "UPC faltante/inválido", ""), IF(AND(A621&lt;&gt;"", IFERROR(_xlfn.XMATCH(A621,$A$2:$A$1063,0,1)&lt;&gt;_xlfn.XMATCH(A621,$A$2:$A$1063,0,-1),FALSE)), "Código de barras duplicado", ""), IF(AND(E621&lt;&gt;"", COUNTIF($E$2:$E$1063, E621)&gt;1), "SKU duplicado", ""), IF(OR(J621="", J621=""), "[Aviso] División no capturada ()", IF(ISNA(MATCH(J621, Criterios!$A$123:$A$126, 0)), "División no válida", "")), IF(OR(K621="", K621=""), "[Aviso] Categoría no capturada ()", IF(ISNA(MATCH(K621, Criterios!$A$81:$A$120, 0)), "Categoría no válida", IF(AND(J621&lt;&gt;"", J621&lt;&gt;"", J621&lt;&gt;VLOOKUP(K621, Criterios!$A$81:$B$120, 2, FALSE)), "División no coincide con Categoría", ""))), IF(OR(L621="", L621=""), "[Aviso] Género no capturado ()", IF(ISNA(MATCH(L621, Criterios!$B$123:$B$127, 0)), "Género no válido", "")), IF(OR(N621="", N621=""), "[Aviso] Temporada no capturada ()", IF(ISNA(MATCH(N621, Criterios!$C$123:$C$128, 0)), "Temporada no válida", "")), IF(OR(O621="", O621=""), "[Aviso] Ciclo de vida no capturado ()", IF(ISNA(MATCH(O621, Criterios!$D$123:$D$124, 0)), "Ciclo de vida no válido", ""))))</f>
        <v/>
      </c>
      <c r="AC621" s="56" t="n"/>
      <c r="AD621" s="51" t="n"/>
      <c r="AE621" s="156" t="n"/>
      <c r="AF621" s="51" t="n"/>
      <c r="AG621" s="156" t="inlineStr">
        <is>
          <t>Nuevo – Carga Hoja2 01/10/2026</t>
        </is>
      </c>
      <c r="AH621" s="156" t="inlineStr">
        <is>
          <t>Alta 01/10/2026 desde Hoja2 (fila 482) | Homologación G1522 06/10/2026: WB Género: «» → «Unisex» (Completado por regla)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621" s="156" t="n"/>
      <c r="AJ621" s="156" t="n"/>
      <c r="AK621" s="155" t="inlineStr">
        <is>
          <t>Hoja2: fila 482</t>
        </is>
      </c>
      <c r="AL621" s="58" t="n"/>
      <c r="AM621" s="58" t="n"/>
      <c r="AN621" s="155" t="n"/>
      <c r="AO621" s="59" t="n"/>
      <c r="AP621" s="59" t="n"/>
      <c r="AQ621" s="59" t="n"/>
      <c r="AR621" s="155" t="n"/>
    </row>
    <row r="622">
      <c r="A622" s="50" t="inlineStr">
        <is>
          <t>717205886390</t>
        </is>
      </c>
      <c r="B622" s="51" t="inlineStr">
        <is>
          <t>12508</t>
        </is>
      </c>
      <c r="C622" s="156" t="inlineStr">
        <is>
          <t>Wrangler</t>
        </is>
      </c>
      <c r="D622" s="156" t="inlineStr">
        <is>
          <t>WG133-194BR</t>
        </is>
      </c>
      <c r="E622" s="156" t="inlineStr">
        <is>
          <t>WG133-194BR</t>
        </is>
      </c>
      <c r="F622" s="156" t="inlineStr">
        <is>
          <t>Talla única</t>
        </is>
      </c>
      <c r="G622" s="156" t="inlineStr">
        <is>
          <t>One Size</t>
        </is>
      </c>
      <c r="H622" s="156" t="inlineStr">
        <is>
          <t>Wrangler</t>
        </is>
      </c>
      <c r="I622" s="156" t="inlineStr">
        <is>
          <t>Riñonera Wrangler Café</t>
        </is>
      </c>
      <c r="J622" s="156" t="inlineStr">
        <is>
          <t>Accesorios</t>
        </is>
      </c>
      <c r="K622" s="156" t="inlineStr">
        <is>
          <t>Bolsos</t>
        </is>
      </c>
      <c r="L622" s="156" t="inlineStr">
        <is>
          <t>Unisex</t>
        </is>
      </c>
      <c r="M622" s="156" t="inlineStr">
        <is>
          <t>Wrangler</t>
        </is>
      </c>
      <c r="N622" s="156" t="n"/>
      <c r="O622" s="156" t="inlineStr">
        <is>
          <t>Core</t>
        </is>
      </c>
      <c r="P622" s="156" t="inlineStr">
        <is>
          <t>Cafe</t>
        </is>
      </c>
      <c r="Q622" s="156" t="n"/>
      <c r="R622" s="156" t="n"/>
      <c r="S622" s="156" t="n"/>
      <c r="T622" s="156" t="inlineStr">
        <is>
          <t>Riñonera Wrangler. Color: Café. Talla única. Unisex. Referencia: WG133-194BR.</t>
        </is>
      </c>
      <c r="U622" s="156" t="n"/>
      <c r="V622" s="156" t="inlineStr">
        <is>
          <t>PZS</t>
        </is>
      </c>
      <c r="W622" s="51" t="inlineStr">
        <is>
          <t>53121601</t>
        </is>
      </c>
      <c r="X622" s="156" t="n"/>
      <c r="Y622" s="54" t="n">
        <v>345</v>
      </c>
      <c r="Z622" s="54" t="n">
        <v>559</v>
      </c>
      <c r="AA622" s="55">
        <f>IF(AND(A622="", B622="", E622=""), "", IF(AB622="", "Válido", IF((LEN(AB622)-LEN(SUBSTITUTE(AB622,"; ","")))/2+1&gt;(LEN(AB622)-LEN(SUBSTITUTE(AB622,"[Aviso]","")))/7, "Con Incidencias", "Válido")))</f>
        <v/>
      </c>
      <c r="AB622" s="56">
        <f>IF(AND(A622="", B622="", E622=""), "", TEXTJOIN("; ", TRUE, IF(OR(TRIM(A622&amp;"")="", ISNUMBER(SEARCH("FALTA", A622))), "UPC faltante/inválido", ""), IF(AND(A622&lt;&gt;"", IFERROR(_xlfn.XMATCH(A622,$A$2:$A$1063,0,1)&lt;&gt;_xlfn.XMATCH(A622,$A$2:$A$1063,0,-1),FALSE)), "Código de barras duplicado", ""), IF(AND(E622&lt;&gt;"", COUNTIF($E$2:$E$1063, E622)&gt;1), "SKU duplicado", ""), IF(OR(J622="", J622=""), "[Aviso] División no capturada ()", IF(ISNA(MATCH(J622, Criterios!$A$123:$A$126, 0)), "División no válida", "")), IF(OR(K622="", K622=""), "[Aviso] Categoría no capturada ()", IF(ISNA(MATCH(K622, Criterios!$A$81:$A$120, 0)), "Categoría no válida", IF(AND(J622&lt;&gt;"", J622&lt;&gt;"", J622&lt;&gt;VLOOKUP(K622, Criterios!$A$81:$B$120, 2, FALSE)), "División no coincide con Categoría", ""))), IF(OR(L622="", L622=""), "[Aviso] Género no capturado ()", IF(ISNA(MATCH(L622, Criterios!$B$123:$B$127, 0)), "Género no válido", "")), IF(OR(N622="", N622=""), "[Aviso] Temporada no capturada ()", IF(ISNA(MATCH(N622, Criterios!$C$123:$C$128, 0)), "Temporada no válida", "")), IF(OR(O622="", O622=""), "[Aviso] Ciclo de vida no capturado ()", IF(ISNA(MATCH(O622, Criterios!$D$123:$D$124, 0)), "Ciclo de vida no válido", ""))))</f>
        <v/>
      </c>
      <c r="AC622" s="56" t="n"/>
      <c r="AD622" s="51" t="n"/>
      <c r="AE622" s="156" t="n"/>
      <c r="AF622" s="51" t="n"/>
      <c r="AG622" s="156" t="inlineStr">
        <is>
          <t>Nuevo – Carga Hoja2 01/10/2026</t>
        </is>
      </c>
      <c r="AH622" s="156" t="inlineStr">
        <is>
          <t>Alta 01/10/2026 desde Hoja2 (fila 483) | 01/10/2026: Odoo Universal Unique Brands trae Marca «Montana West», Categoría «Cinturones» — se conservó el valor de Productos | Homologación G1522 06/10/2026: Validador Shopify: WB: precio con IVA no termina en 9</t>
        </is>
      </c>
      <c r="AI622" s="156" t="n"/>
      <c r="AJ622" s="156" t="n"/>
      <c r="AK622" s="155" t="inlineStr">
        <is>
          <t>Hoja2: fila 483 | Odoo: producto 12508 / plantilla 16085 | Odoo: producto 27233 / plantilla 33933</t>
        </is>
      </c>
      <c r="AL622" s="58" t="n"/>
      <c r="AM622" s="58" t="n"/>
      <c r="AN622" s="155" t="inlineStr">
        <is>
          <t>Odoo Universal Unique Brands</t>
        </is>
      </c>
      <c r="AO622" s="59" t="n"/>
      <c r="AP622" s="59" t="n"/>
      <c r="AQ622" s="59" t="n">
        <v>26</v>
      </c>
      <c r="AR622" s="155" t="inlineStr">
        <is>
          <t>Odoo Universal Unique Brands › Bodega 25 › Bodega 25/General: 26</t>
        </is>
      </c>
    </row>
    <row r="623">
      <c r="A623" s="50" t="inlineStr">
        <is>
          <t>717205883993</t>
        </is>
      </c>
      <c r="B623" s="51" t="inlineStr">
        <is>
          <t>12500</t>
        </is>
      </c>
      <c r="C623" s="156" t="inlineStr">
        <is>
          <t>Wrangler</t>
        </is>
      </c>
      <c r="D623" s="156" t="inlineStr">
        <is>
          <t>WG133-3003BR</t>
        </is>
      </c>
      <c r="E623" s="156" t="inlineStr">
        <is>
          <t>WG133-3003BR</t>
        </is>
      </c>
      <c r="F623" s="156" t="inlineStr">
        <is>
          <t>Talla única</t>
        </is>
      </c>
      <c r="G623" s="156" t="inlineStr">
        <is>
          <t>One Size</t>
        </is>
      </c>
      <c r="H623" s="156" t="inlineStr">
        <is>
          <t>Wrangler</t>
        </is>
      </c>
      <c r="I623" s="156" t="inlineStr">
        <is>
          <t>Mochila Wrangler Café</t>
        </is>
      </c>
      <c r="J623" s="156" t="inlineStr">
        <is>
          <t>Accesorios</t>
        </is>
      </c>
      <c r="K623" s="156" t="inlineStr">
        <is>
          <t>Mochilas</t>
        </is>
      </c>
      <c r="L623" s="156" t="inlineStr">
        <is>
          <t>Unisex</t>
        </is>
      </c>
      <c r="M623" s="156" t="inlineStr">
        <is>
          <t>Wrangler</t>
        </is>
      </c>
      <c r="N623" s="156" t="n"/>
      <c r="O623" s="156" t="inlineStr">
        <is>
          <t>Core</t>
        </is>
      </c>
      <c r="P623" s="156" t="inlineStr">
        <is>
          <t>Cafe</t>
        </is>
      </c>
      <c r="Q623" s="156" t="n"/>
      <c r="R623" s="156" t="n"/>
      <c r="S623" s="156" t="n"/>
      <c r="T623" s="156" t="inlineStr">
        <is>
          <t>Mochila Wrangler. Color: Café. Talla única. Unisex. Referencia: WG133-3003BR.</t>
        </is>
      </c>
      <c r="U623" s="156" t="n"/>
      <c r="V623" s="156" t="inlineStr">
        <is>
          <t>PZS</t>
        </is>
      </c>
      <c r="W623" s="51" t="inlineStr">
        <is>
          <t>53121601</t>
        </is>
      </c>
      <c r="X623" s="156" t="n"/>
      <c r="Y623" s="54" t="n">
        <v>379.5</v>
      </c>
      <c r="Z623" s="54" t="n">
        <v>609</v>
      </c>
      <c r="AA623" s="55">
        <f>IF(AND(A623="", B623="", E623=""), "", IF(AB623="", "Válido", IF((LEN(AB623)-LEN(SUBSTITUTE(AB623,"; ","")))/2+1&gt;(LEN(AB623)-LEN(SUBSTITUTE(AB623,"[Aviso]","")))/7, "Con Incidencias", "Válido")))</f>
        <v/>
      </c>
      <c r="AB623" s="56">
        <f>IF(AND(A623="", B623="", E623=""), "", TEXTJOIN("; ", TRUE, IF(OR(TRIM(A623&amp;"")="", ISNUMBER(SEARCH("FALTA", A623))), "UPC faltante/inválido", ""), IF(AND(A623&lt;&gt;"", IFERROR(_xlfn.XMATCH(A623,$A$2:$A$1063,0,1)&lt;&gt;_xlfn.XMATCH(A623,$A$2:$A$1063,0,-1),FALSE)), "Código de barras duplicado", ""), IF(AND(E623&lt;&gt;"", COUNTIF($E$2:$E$1063, E623)&gt;1), "SKU duplicado", ""), IF(OR(J623="", J623=""), "[Aviso] División no capturada ()", IF(ISNA(MATCH(J623, Criterios!$A$123:$A$126, 0)), "División no válida", "")), IF(OR(K623="", K623=""), "[Aviso] Categoría no capturada ()", IF(ISNA(MATCH(K623, Criterios!$A$81:$A$120, 0)), "Categoría no válida", IF(AND(J623&lt;&gt;"", J623&lt;&gt;"", J623&lt;&gt;VLOOKUP(K623, Criterios!$A$81:$B$120, 2, FALSE)), "División no coincide con Categoría", ""))), IF(OR(L623="", L623=""), "[Aviso] Género no capturado ()", IF(ISNA(MATCH(L623, Criterios!$B$123:$B$127, 0)), "Género no válido", "")), IF(OR(N623="", N623=""), "[Aviso] Temporada no capturada ()", IF(ISNA(MATCH(N623, Criterios!$C$123:$C$128, 0)), "Temporada no válida", "")), IF(OR(O623="", O623=""), "[Aviso] Ciclo de vida no capturado ()", IF(ISNA(MATCH(O623, Criterios!$D$123:$D$124, 0)), "Ciclo de vida no válido", ""))))</f>
        <v/>
      </c>
      <c r="AC623" s="56" t="n"/>
      <c r="AD623" s="51" t="n"/>
      <c r="AE623" s="156" t="n"/>
      <c r="AF623" s="51" t="n"/>
      <c r="AG623" s="156" t="inlineStr">
        <is>
          <t>Nuevo – Carga Hoja2 01/10/2026</t>
        </is>
      </c>
      <c r="AH623" s="156" t="inlineStr">
        <is>
          <t>Alta 01/10/2026 desde Hoja2 (fila 484) | Homologación G1522 06/10/2026: Validador Shopify: WB: precio con IVA no termina en 9</t>
        </is>
      </c>
      <c r="AI623" s="156" t="n"/>
      <c r="AJ623" s="156" t="n"/>
      <c r="AK623" s="155" t="inlineStr">
        <is>
          <t>Hoja2: fila 484 | Odoo: producto 12500 / plantilla 16077</t>
        </is>
      </c>
      <c r="AL623" s="58" t="n"/>
      <c r="AM623" s="58" t="n"/>
      <c r="AN623" s="155" t="inlineStr">
        <is>
          <t>Odoo Universal Unique Brands</t>
        </is>
      </c>
      <c r="AO623" s="59" t="n"/>
      <c r="AP623" s="59" t="n"/>
      <c r="AQ623" s="59" t="n">
        <v>22</v>
      </c>
      <c r="AR623" s="155" t="inlineStr">
        <is>
          <t>Odoo Universal Unique Brands › Bodega 25 › Bodega 25/General: 22</t>
        </is>
      </c>
    </row>
    <row r="624">
      <c r="A624" s="50" t="n"/>
      <c r="B624" s="51" t="inlineStr">
        <is>
          <t>12487</t>
        </is>
      </c>
      <c r="C624" s="156" t="inlineStr">
        <is>
          <t>Wrangler</t>
        </is>
      </c>
      <c r="D624" s="156" t="n"/>
      <c r="E624" s="156" t="inlineStr">
        <is>
          <t>WG133-8600BK</t>
        </is>
      </c>
      <c r="F624" s="156" t="inlineStr">
        <is>
          <t>Talla única</t>
        </is>
      </c>
      <c r="G624" s="156" t="inlineStr">
        <is>
          <t>One Size</t>
        </is>
      </c>
      <c r="H624" s="156" t="inlineStr">
        <is>
          <t>Wrangler</t>
        </is>
      </c>
      <c r="I624" s="156" t="inlineStr">
        <is>
          <t>WG CROSSBODY</t>
        </is>
      </c>
      <c r="J624" s="156" t="inlineStr">
        <is>
          <t>Accesorios</t>
        </is>
      </c>
      <c r="K624" s="156" t="inlineStr">
        <is>
          <t>Bolsos</t>
        </is>
      </c>
      <c r="L624" s="156" t="inlineStr">
        <is>
          <t>Unisex</t>
        </is>
      </c>
      <c r="M624" s="156" t="n"/>
      <c r="N624" s="156" t="n"/>
      <c r="O624" s="156" t="n"/>
      <c r="P624" s="156" t="inlineStr">
        <is>
          <t>Negro</t>
        </is>
      </c>
      <c r="Q624" s="156" t="n"/>
      <c r="R624" s="156" t="n"/>
      <c r="S624" s="156" t="n"/>
      <c r="T624" s="156" t="n"/>
      <c r="U624" s="156" t="n"/>
      <c r="V624" s="156" t="inlineStr">
        <is>
          <t>PZS</t>
        </is>
      </c>
      <c r="W624" s="51" t="inlineStr">
        <is>
          <t>53121601</t>
        </is>
      </c>
      <c r="X624" s="156" t="inlineStr">
        <is>
          <t>https://cdn.shopify.com/s/files/1/0005/9015/1741/files/Wrangler_Cow_print_Mini_Backpack_c56ba34d-9bf6-44c8-918b-d049b7e3c79c.webp?v=1762510610</t>
        </is>
      </c>
      <c r="Y624" s="54" t="n">
        <v>258.75</v>
      </c>
      <c r="Z624" s="54" t="n">
        <v>419</v>
      </c>
      <c r="AA624" s="55">
        <f>IF(AND(A624="", B624="", E624=""), "", IF(AB624="", "Válido", IF((LEN(AB624)-LEN(SUBSTITUTE(AB624,"; ","")))/2+1&gt;(LEN(AB624)-LEN(SUBSTITUTE(AB624,"[Aviso]","")))/7, "Con Incidencias", "Válido")))</f>
        <v/>
      </c>
      <c r="AB624" s="56">
        <f>IF(AND(A624="", B624="", E624=""), "", TEXTJOIN("; ", TRUE, IF(OR(TRIM(A624&amp;"")="", ISNUMBER(SEARCH("FALTA", A624))), "UPC faltante/inválido", ""), IF(AND(A624&lt;&gt;"", IFERROR(_xlfn.XMATCH(A624,$A$2:$A$1063,0,1)&lt;&gt;_xlfn.XMATCH(A624,$A$2:$A$1063,0,-1),FALSE)), "Código de barras duplicado", ""), IF(AND(E624&lt;&gt;"", COUNTIF($E$2:$E$1063, E624)&gt;1), "SKU duplicado", ""), IF(OR(J624="", J624=""), "[Aviso] División no capturada ()", IF(ISNA(MATCH(J624, Criterios!$A$123:$A$126, 0)), "División no válida", "")), IF(OR(K624="", K624=""), "[Aviso] Categoría no capturada ()", IF(ISNA(MATCH(K624, Criterios!$A$81:$A$120, 0)), "Categoría no válida", IF(AND(J624&lt;&gt;"", J624&lt;&gt;"", J624&lt;&gt;VLOOKUP(K624, Criterios!$A$81:$B$120, 2, FALSE)), "División no coincide con Categoría", ""))), IF(OR(L624="", L624=""), "[Aviso] Género no capturado ()", IF(ISNA(MATCH(L624, Criterios!$B$123:$B$127, 0)), "Género no válido", "")), IF(OR(N624="", N624=""), "[Aviso] Temporada no capturada ()", IF(ISNA(MATCH(N624, Criterios!$C$123:$C$128, 0)), "Temporada no válida", "")), IF(OR(O624="", O624=""), "[Aviso] Ciclo de vida no capturado ()", IF(ISNA(MATCH(O624, Criterios!$D$123:$D$124, 0)), "Ciclo de vida no válido", ""))))</f>
        <v/>
      </c>
      <c r="AC624" s="56" t="n"/>
      <c r="AD624" s="51" t="n"/>
      <c r="AE624" s="156" t="n"/>
      <c r="AF624" s="51" t="n"/>
      <c r="AG624" s="156" t="inlineStr">
        <is>
          <t>Nuevo – Carga Hoja2 01/10/2026</t>
        </is>
      </c>
      <c r="AH624" s="156" t="inlineStr">
        <is>
          <t>Alta 01/10/2026 desde Hoja2 (fila 485) | 01/10/2026: complementado desde Odoo Universal Unique Brands (match por SKU): WB Talla, WB Talla de EE. UU., WB Género | Homologación G1522 06/10/2026: Enlace de imagen: «» → «https://cdn.shopify.com/s/files/1/0005/9015/1741/files/Wrangler_Cow_print_Mini_Backpack_c56ba34d-9bf6-44c8-918b-d049b7e3c79c.webp?v=1762510610» (Completado por investigación en línea) · WB Color: «» → «Negro»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624" s="156" t="n"/>
      <c r="AJ624" s="156" t="n"/>
      <c r="AK624" s="155" t="inlineStr">
        <is>
          <t>Hoja2: fila 485 | Odoo: producto 12487 / plantilla 16064 | Investigación en línea 06/10/2026: https://montanawestworld.com/products/wrangler-cow-print-mini-backpack</t>
        </is>
      </c>
      <c r="AL624" s="58" t="n"/>
      <c r="AM624" s="58" t="n"/>
      <c r="AN624" s="155" t="inlineStr">
        <is>
          <t>Odoo Universal Unique Brands</t>
        </is>
      </c>
      <c r="AO624" s="59" t="n"/>
      <c r="AP624" s="59" t="n"/>
      <c r="AQ624" s="59" t="n">
        <v>32</v>
      </c>
      <c r="AR624" s="155" t="inlineStr">
        <is>
          <t>Odoo Universal Unique Brands › Bodega 25 › Bodega 25/General: 32</t>
        </is>
      </c>
    </row>
    <row r="625">
      <c r="A625" s="50" t="inlineStr">
        <is>
          <t>717019709991</t>
        </is>
      </c>
      <c r="B625" s="51" t="inlineStr">
        <is>
          <t>12495</t>
        </is>
      </c>
      <c r="C625" s="156" t="inlineStr">
        <is>
          <t>Wrangler</t>
        </is>
      </c>
      <c r="D625" s="156" t="inlineStr">
        <is>
          <t>WG133-8603BR</t>
        </is>
      </c>
      <c r="E625" s="156" t="inlineStr">
        <is>
          <t>WG133-8603BR</t>
        </is>
      </c>
      <c r="F625" s="156" t="inlineStr">
        <is>
          <t>Talla única</t>
        </is>
      </c>
      <c r="G625" s="156" t="inlineStr">
        <is>
          <t>One Size</t>
        </is>
      </c>
      <c r="H625" s="156" t="inlineStr">
        <is>
          <t>Wrangler</t>
        </is>
      </c>
      <c r="I625" s="156" t="inlineStr">
        <is>
          <t>Mochila Wrangler Café</t>
        </is>
      </c>
      <c r="J625" s="156" t="inlineStr">
        <is>
          <t>Accesorios</t>
        </is>
      </c>
      <c r="K625" s="156" t="inlineStr">
        <is>
          <t>Mochilas</t>
        </is>
      </c>
      <c r="L625" s="156" t="inlineStr">
        <is>
          <t>Unisex</t>
        </is>
      </c>
      <c r="M625" s="156" t="inlineStr">
        <is>
          <t>Wrangler</t>
        </is>
      </c>
      <c r="N625" s="156" t="n"/>
      <c r="O625" s="156" t="inlineStr">
        <is>
          <t>Core</t>
        </is>
      </c>
      <c r="P625" s="156" t="inlineStr">
        <is>
          <t>Cafe</t>
        </is>
      </c>
      <c r="Q625" s="156" t="n"/>
      <c r="R625" s="156" t="n"/>
      <c r="S625" s="156" t="n"/>
      <c r="T625" s="156" t="inlineStr">
        <is>
          <t>Mochila Wrangler. Color: Café. Talla única. Unisex. Referencia: WG133-8603BR.</t>
        </is>
      </c>
      <c r="U625" s="156" t="n"/>
      <c r="V625" s="156" t="inlineStr">
        <is>
          <t>PZS</t>
        </is>
      </c>
      <c r="W625" s="51" t="inlineStr">
        <is>
          <t>53121601</t>
        </is>
      </c>
      <c r="X625" s="156" t="inlineStr">
        <is>
          <t>https://cdn.shopify.com/s/files/1/0005/9015/1741/files/Wrangler_Cow_Print_Backpack_MB.webp?v=1760583712</t>
        </is>
      </c>
      <c r="Y625" s="54" t="n">
        <v>379.5</v>
      </c>
      <c r="Z625" s="54" t="n">
        <v>609</v>
      </c>
      <c r="AA625" s="55">
        <f>IF(AND(A625="", B625="", E625=""), "", IF(AB625="", "Válido", IF((LEN(AB625)-LEN(SUBSTITUTE(AB625,"; ","")))/2+1&gt;(LEN(AB625)-LEN(SUBSTITUTE(AB625,"[Aviso]","")))/7, "Con Incidencias", "Válido")))</f>
        <v/>
      </c>
      <c r="AB625" s="56">
        <f>IF(AND(A625="", B625="", E625=""), "", TEXTJOIN("; ", TRUE, IF(OR(TRIM(A625&amp;"")="", ISNUMBER(SEARCH("FALTA", A625))), "UPC faltante/inválido", ""), IF(AND(A625&lt;&gt;"", IFERROR(_xlfn.XMATCH(A625,$A$2:$A$1063,0,1)&lt;&gt;_xlfn.XMATCH(A625,$A$2:$A$1063,0,-1),FALSE)), "Código de barras duplicado", ""), IF(AND(E625&lt;&gt;"", COUNTIF($E$2:$E$1063, E625)&gt;1), "SKU duplicado", ""), IF(OR(J625="", J625=""), "[Aviso] División no capturada ()", IF(ISNA(MATCH(J625, Criterios!$A$123:$A$126, 0)), "División no válida", "")), IF(OR(K625="", K625=""), "[Aviso] Categoría no capturada ()", IF(ISNA(MATCH(K625, Criterios!$A$81:$A$120, 0)), "Categoría no válida", IF(AND(J625&lt;&gt;"", J625&lt;&gt;"", J625&lt;&gt;VLOOKUP(K625, Criterios!$A$81:$B$120, 2, FALSE)), "División no coincide con Categoría", ""))), IF(OR(L625="", L625=""), "[Aviso] Género no capturado ()", IF(ISNA(MATCH(L625, Criterios!$B$123:$B$127, 0)), "Género no válido", "")), IF(OR(N625="", N625=""), "[Aviso] Temporada no capturada ()", IF(ISNA(MATCH(N625, Criterios!$C$123:$C$128, 0)), "Temporada no válida", "")), IF(OR(O625="", O625=""), "[Aviso] Ciclo de vida no capturado ()", IF(ISNA(MATCH(O625, Criterios!$D$123:$D$124, 0)), "Ciclo de vida no válido", ""))))</f>
        <v/>
      </c>
      <c r="AC625" s="56" t="n"/>
      <c r="AD625" s="51" t="n"/>
      <c r="AE625" s="156" t="n"/>
      <c r="AF625" s="51" t="n"/>
      <c r="AG625" s="156" t="inlineStr">
        <is>
          <t>Nuevo – Carga Hoja2 01/10/2026</t>
        </is>
      </c>
      <c r="AH625" s="156" t="inlineStr">
        <is>
          <t>Alta 01/10/2026 desde Hoja2 (fila 486) | 01/10/2026: Odoo Universal Unique Brands trae Categoría «Bolsos» — se conservó el valor de Productos | 01/10/2026: Odoo Universal Unique Brands trae Marca «Montana West» — se conservó el valor de Productos | Homologación G1522 06/10/2026: Enlace de imagen: «» → «https://cdn.shopify.com/s/files/1/0005/9015/1741/files/Wrangler_Cow_Print_Backpack_MB.webp?v=1760583712» (Completado por investigación en línea) · Validador Shopify: WB: precio con IVA no termina en 9</t>
        </is>
      </c>
      <c r="AI625" s="156" t="n"/>
      <c r="AJ625" s="156" t="n"/>
      <c r="AK625" s="155" t="inlineStr">
        <is>
          <t>Hoja2: fila 486 | Odoo: producto 12495 / plantilla 16072 | Odoo: producto 27236 / plantilla 33936 | Investigación en línea 06/10/2026: https://montanawestworld.com/products/wrangler-cow-print-backpack</t>
        </is>
      </c>
      <c r="AL625" s="58" t="n"/>
      <c r="AM625" s="58" t="n"/>
      <c r="AN625" s="155" t="inlineStr">
        <is>
          <t>Odoo Universal Unique Brands</t>
        </is>
      </c>
      <c r="AO625" s="59" t="n"/>
      <c r="AP625" s="59" t="n"/>
      <c r="AQ625" s="59" t="n">
        <v>22</v>
      </c>
      <c r="AR625" s="155" t="inlineStr">
        <is>
          <t>Odoo Universal Unique Brands › Bodega 25 › Bodega 25/General: 19 | Odoo Universal Unique Brands › Bodega 25 › Bodega 25/General: 3</t>
        </is>
      </c>
    </row>
    <row r="626">
      <c r="A626" s="50" t="inlineStr">
        <is>
          <t>717325229053</t>
        </is>
      </c>
      <c r="B626" s="51" t="inlineStr">
        <is>
          <t>11808</t>
        </is>
      </c>
      <c r="C626" s="156" t="inlineStr">
        <is>
          <t>Wrangler</t>
        </is>
      </c>
      <c r="D626" s="156" t="n"/>
      <c r="E626" s="156" t="inlineStr">
        <is>
          <t>WG137-W0092KH</t>
        </is>
      </c>
      <c r="F626" s="156" t="inlineStr">
        <is>
          <t>Talla única</t>
        </is>
      </c>
      <c r="G626" s="156" t="inlineStr">
        <is>
          <t>One Size</t>
        </is>
      </c>
      <c r="H626" s="156" t="inlineStr">
        <is>
          <t>Wrangler</t>
        </is>
      </c>
      <c r="I626" s="156" t="inlineStr">
        <is>
          <t>WG WALLET</t>
        </is>
      </c>
      <c r="J626" s="156" t="inlineStr">
        <is>
          <t>Accesorios</t>
        </is>
      </c>
      <c r="K626" s="156" t="inlineStr">
        <is>
          <t>Carteras</t>
        </is>
      </c>
      <c r="L626" s="156" t="inlineStr">
        <is>
          <t>Unisex</t>
        </is>
      </c>
      <c r="M626" s="156" t="n"/>
      <c r="N626" s="156" t="n"/>
      <c r="O626" s="156" t="n"/>
      <c r="P626" s="156" t="inlineStr">
        <is>
          <t>Beige</t>
        </is>
      </c>
      <c r="Q626" s="156" t="n"/>
      <c r="R626" s="156" t="n"/>
      <c r="S626" s="156" t="n"/>
      <c r="T626" s="156" t="n"/>
      <c r="U626" s="156" t="n"/>
      <c r="V626" s="156" t="inlineStr">
        <is>
          <t>PZS</t>
        </is>
      </c>
      <c r="W626" s="51" t="inlineStr">
        <is>
          <t>53121700</t>
        </is>
      </c>
      <c r="X626" s="156" t="inlineStr">
        <is>
          <t>https://cdn.shopify.com/s/files/1/0005/9015/1741/files/Wrangler_Aztec_Print_Card_Case_Khaki4.webp?v=1751278373</t>
        </is>
      </c>
      <c r="Y626" s="54" t="n">
        <v>189.75</v>
      </c>
      <c r="Z626" s="54" t="n">
        <v>309</v>
      </c>
      <c r="AA626" s="55">
        <f>IF(AND(A626="", B626="", E626=""), "", IF(AB626="", "Válido", IF((LEN(AB626)-LEN(SUBSTITUTE(AB626,"; ","")))/2+1&gt;(LEN(AB626)-LEN(SUBSTITUTE(AB626,"[Aviso]","")))/7, "Con Incidencias", "Válido")))</f>
        <v/>
      </c>
      <c r="AB626" s="56">
        <f>IF(AND(A626="", B626="", E626=""), "", TEXTJOIN("; ", TRUE, IF(OR(TRIM(A626&amp;"")="", ISNUMBER(SEARCH("FALTA", A626))), "UPC faltante/inválido", ""), IF(AND(A626&lt;&gt;"", IFERROR(_xlfn.XMATCH(A626,$A$2:$A$1063,0,1)&lt;&gt;_xlfn.XMATCH(A626,$A$2:$A$1063,0,-1),FALSE)), "Código de barras duplicado", ""), IF(AND(E626&lt;&gt;"", COUNTIF($E$2:$E$1063, E626)&gt;1), "SKU duplicado", ""), IF(OR(J626="", J626=""), "[Aviso] División no capturada ()", IF(ISNA(MATCH(J626, Criterios!$A$123:$A$126, 0)), "División no válida", "")), IF(OR(K626="", K626=""), "[Aviso] Categoría no capturada ()", IF(ISNA(MATCH(K626, Criterios!$A$81:$A$120, 0)), "Categoría no válida", IF(AND(J626&lt;&gt;"", J626&lt;&gt;"", J626&lt;&gt;VLOOKUP(K626, Criterios!$A$81:$B$120, 2, FALSE)), "División no coincide con Categoría", ""))), IF(OR(L626="", L626=""), "[Aviso] Género no capturado ()", IF(ISNA(MATCH(L626, Criterios!$B$123:$B$127, 0)), "Género no válido", "")), IF(OR(N626="", N626=""), "[Aviso] Temporada no capturada ()", IF(ISNA(MATCH(N626, Criterios!$C$123:$C$128, 0)), "Temporada no válida", "")), IF(OR(O626="", O626=""), "[Aviso] Ciclo de vida no capturado ()", IF(ISNA(MATCH(O626, Criterios!$D$123:$D$124, 0)), "Ciclo de vida no válido", ""))))</f>
        <v/>
      </c>
      <c r="AC626" s="56" t="n"/>
      <c r="AD626" s="51" t="n"/>
      <c r="AE626" s="156" t="n"/>
      <c r="AF626" s="51" t="n"/>
      <c r="AG626" s="156" t="inlineStr">
        <is>
          <t>Nuevo – Carga Hoja2 01/10/2026</t>
        </is>
      </c>
      <c r="AH626" s="156" t="inlineStr">
        <is>
          <t>Alta 01/10/2026 desde Hoja2 (fila 487) | 01/10/2026: complementado desde Odoo Universal Unique Brands (match por código de barras): WB Talla, WB Talla de EE. UU., WB Género | Homologación G1522 06/10/2026: Enlace de imagen: «» → «https://cdn.shopify.com/s/files/1/0005/9015/1741/files/Wrangler_Aztec_Print_Card_Case_Khaki4.webp?v=1751278373» (Completado por investigación en línea) · WB Color: «» → «Beige» (Completado por investigación en línea) · Validación G1522: Falta estilo · Validador NetSuite / Odoo: V6: falta estilo · Validador Shopify: V6: falta estilo; WB: precio con IVA no termina en 9</t>
        </is>
      </c>
      <c r="AI626" s="156" t="n"/>
      <c r="AJ626" s="156" t="n"/>
      <c r="AK626" s="155" t="inlineStr">
        <is>
          <t>Hoja2: fila 487 | Odoo: producto 11808 / plantilla 15243 | Investigación en línea 06/10/2026: https://montanawestworld.com/products/wrangler-aztec-print-card-case</t>
        </is>
      </c>
      <c r="AL626" s="58" t="n"/>
      <c r="AM626" s="58" t="n"/>
      <c r="AN626" s="155" t="inlineStr">
        <is>
          <t>Odoo Universal Unique Brands</t>
        </is>
      </c>
      <c r="AO626" s="59" t="n"/>
      <c r="AP626" s="59" t="n"/>
      <c r="AQ626" s="59" t="n">
        <v>26</v>
      </c>
      <c r="AR626" s="155" t="inlineStr">
        <is>
          <t>Odoo Universal Unique Brands › Bodega 25 › Bodega 25/General: 26</t>
        </is>
      </c>
    </row>
    <row r="627">
      <c r="A627" s="50" t="inlineStr">
        <is>
          <t>717325229084</t>
        </is>
      </c>
      <c r="B627" s="51" t="inlineStr">
        <is>
          <t>12504</t>
        </is>
      </c>
      <c r="C627" s="156" t="inlineStr">
        <is>
          <t>Wrangler</t>
        </is>
      </c>
      <c r="D627" s="156" t="inlineStr">
        <is>
          <t>WG137-W0092LP-BK</t>
        </is>
      </c>
      <c r="E627" s="156" t="inlineStr">
        <is>
          <t>WG137-W0092LP-BK</t>
        </is>
      </c>
      <c r="F627" s="156" t="inlineStr">
        <is>
          <t>Talla única</t>
        </is>
      </c>
      <c r="G627" s="156" t="inlineStr">
        <is>
          <t>One Size</t>
        </is>
      </c>
      <c r="H627" s="156" t="inlineStr">
        <is>
          <t>Wrangler</t>
        </is>
      </c>
      <c r="I627" s="156" t="inlineStr">
        <is>
          <t>Cartera Tarjetero Muñequera Con Llavero Wrangler Estampado De Leopardo Leopardo Negro</t>
        </is>
      </c>
      <c r="J627" s="156" t="inlineStr">
        <is>
          <t>Accesorios</t>
        </is>
      </c>
      <c r="K627" s="156" t="inlineStr">
        <is>
          <t>Carteras</t>
        </is>
      </c>
      <c r="L627" s="156" t="inlineStr">
        <is>
          <t>Unisex</t>
        </is>
      </c>
      <c r="M627" s="156" t="inlineStr">
        <is>
          <t>Wrangler</t>
        </is>
      </c>
      <c r="N627" s="156" t="n"/>
      <c r="O627" s="156" t="inlineStr">
        <is>
          <t>Core</t>
        </is>
      </c>
      <c r="P627" s="156" t="inlineStr">
        <is>
          <t>Varios</t>
        </is>
      </c>
      <c r="Q627" s="156" t="n"/>
      <c r="R627" s="156" t="n"/>
      <c r="S627" s="156" t="n"/>
      <c r="T627" s="156" t="inlineStr">
        <is>
          <t>Cartera Tarjetero Muñequera Con Llavero Wrangler. Modelo: Estampado De Leopardo. Color: Leopardo Negro. Talla única. Unisex. Referencia: WG137-W0092LP-BK.</t>
        </is>
      </c>
      <c r="U627" s="156" t="n"/>
      <c r="V627" s="156" t="inlineStr">
        <is>
          <t>PZS</t>
        </is>
      </c>
      <c r="W627" s="51" t="inlineStr">
        <is>
          <t>53121700</t>
        </is>
      </c>
      <c r="X627" s="156" t="n"/>
      <c r="Y627" s="54" t="n">
        <v>189.75</v>
      </c>
      <c r="Z627" s="54" t="n">
        <v>309</v>
      </c>
      <c r="AA627" s="55">
        <f>IF(AND(A627="", B627="", E627=""), "", IF(AB627="", "Válido", IF((LEN(AB627)-LEN(SUBSTITUTE(AB627,"; ","")))/2+1&gt;(LEN(AB627)-LEN(SUBSTITUTE(AB627,"[Aviso]","")))/7, "Con Incidencias", "Válido")))</f>
        <v/>
      </c>
      <c r="AB627" s="56">
        <f>IF(AND(A627="", B627="", E627=""), "", TEXTJOIN("; ", TRUE, IF(OR(TRIM(A627&amp;"")="", ISNUMBER(SEARCH("FALTA", A627))), "UPC faltante/inválido", ""), IF(AND(A627&lt;&gt;"", IFERROR(_xlfn.XMATCH(A627,$A$2:$A$1063,0,1)&lt;&gt;_xlfn.XMATCH(A627,$A$2:$A$1063,0,-1),FALSE)), "Código de barras duplicado", ""), IF(AND(E627&lt;&gt;"", COUNTIF($E$2:$E$1063, E627)&gt;1), "SKU duplicado", ""), IF(OR(J627="", J627=""), "[Aviso] División no capturada ()", IF(ISNA(MATCH(J627, Criterios!$A$123:$A$126, 0)), "División no válida", "")), IF(OR(K627="", K627=""), "[Aviso] Categoría no capturada ()", IF(ISNA(MATCH(K627, Criterios!$A$81:$A$120, 0)), "Categoría no válida", IF(AND(J627&lt;&gt;"", J627&lt;&gt;"", J627&lt;&gt;VLOOKUP(K627, Criterios!$A$81:$B$120, 2, FALSE)), "División no coincide con Categoría", ""))), IF(OR(L627="", L627=""), "[Aviso] Género no capturado ()", IF(ISNA(MATCH(L627, Criterios!$B$123:$B$127, 0)), "Género no válido", "")), IF(OR(N627="", N627=""), "[Aviso] Temporada no capturada ()", IF(ISNA(MATCH(N627, Criterios!$C$123:$C$128, 0)), "Temporada no válida", "")), IF(OR(O627="", O627=""), "[Aviso] Ciclo de vida no capturado ()", IF(ISNA(MATCH(O627, Criterios!$D$123:$D$124, 0)), "Ciclo de vida no válido", ""))))</f>
        <v/>
      </c>
      <c r="AC627" s="56" t="n"/>
      <c r="AD627" s="51" t="n"/>
      <c r="AE627" s="156" t="n"/>
      <c r="AF627" s="51" t="n"/>
      <c r="AG627" s="156" t="inlineStr">
        <is>
          <t>Nuevo – Carga Hoja2 01/10/2026</t>
        </is>
      </c>
      <c r="AH627" s="156" t="inlineStr">
        <is>
          <t>Alta 01/10/2026 desde Hoja2 (fila 488) | 01/10/2026: Odoo Universal Unique Brands trae Marca «Montana West» — se conservó el valor de Productos | Homologación G1522 06/10/2026: Validador Shopify: WB: precio con IVA no termina en 9</t>
        </is>
      </c>
      <c r="AI627" s="156" t="n"/>
      <c r="AJ627" s="156" t="n"/>
      <c r="AK627" s="155" t="inlineStr">
        <is>
          <t>Hoja2: fila 488 | Odoo: producto 12504 / plantilla 16081 | Odoo: producto 27244 / plantilla 33944</t>
        </is>
      </c>
      <c r="AL627" s="58" t="n"/>
      <c r="AM627" s="58" t="n"/>
      <c r="AN627" s="155" t="inlineStr">
        <is>
          <t>Odoo Universal Unique Brands</t>
        </is>
      </c>
      <c r="AO627" s="59" t="n"/>
      <c r="AP627" s="59" t="n"/>
      <c r="AQ627" s="59" t="n">
        <v>25</v>
      </c>
      <c r="AR627" s="155" t="inlineStr">
        <is>
          <t>Odoo Universal Unique Brands › Bodega 25 › Bodega 25/General: 19 | Odoo Universal Unique Brands › Bodega 25 › Bodega 25/General: 6</t>
        </is>
      </c>
    </row>
    <row r="628">
      <c r="A628" s="50" t="inlineStr">
        <is>
          <t>717325211836</t>
        </is>
      </c>
      <c r="B628" s="51" t="inlineStr">
        <is>
          <t>31011</t>
        </is>
      </c>
      <c r="C628" s="156" t="inlineStr">
        <is>
          <t>Wrangler</t>
        </is>
      </c>
      <c r="D628" s="156" t="inlineStr">
        <is>
          <t>WG160-60113BK</t>
        </is>
      </c>
      <c r="E628" s="156" t="inlineStr">
        <is>
          <t>WG160-60113BK</t>
        </is>
      </c>
      <c r="F628" s="156" t="inlineStr">
        <is>
          <t>Talla única</t>
        </is>
      </c>
      <c r="G628" s="156" t="inlineStr">
        <is>
          <t>One Size</t>
        </is>
      </c>
      <c r="H628" s="156" t="inlineStr">
        <is>
          <t>Wrangler</t>
        </is>
      </c>
      <c r="I628" s="156" t="inlineStr">
        <is>
          <t>Bolsa Cruzada Tipo Montura Wrangler Grabada Western Negro</t>
        </is>
      </c>
      <c r="J628" s="156" t="inlineStr">
        <is>
          <t>Accesorios</t>
        </is>
      </c>
      <c r="K628" s="156" t="inlineStr">
        <is>
          <t>Bolsos</t>
        </is>
      </c>
      <c r="L628" s="156" t="inlineStr">
        <is>
          <t>Unisex</t>
        </is>
      </c>
      <c r="M628" s="156" t="inlineStr">
        <is>
          <t>Wrangler</t>
        </is>
      </c>
      <c r="N628" s="156" t="n"/>
      <c r="O628" s="156" t="inlineStr">
        <is>
          <t>Core</t>
        </is>
      </c>
      <c r="P628" s="156" t="inlineStr">
        <is>
          <t>Varios</t>
        </is>
      </c>
      <c r="Q628" s="156" t="n"/>
      <c r="R628" s="156" t="n"/>
      <c r="S628" s="156" t="n"/>
      <c r="T628" s="156" t="inlineStr">
        <is>
          <t>Bolsa Cruzada Tipo Montura Wrangler. Modelo: Grabada Western. Color: Negro. Talla única. Unisex. País de origen: México. Referencia: WG160-60113BK.</t>
        </is>
      </c>
      <c r="U628" s="156" t="inlineStr">
        <is>
          <t>México</t>
        </is>
      </c>
      <c r="V628" s="156" t="inlineStr">
        <is>
          <t>PZS</t>
        </is>
      </c>
      <c r="W628" s="51" t="inlineStr">
        <is>
          <t>53121601</t>
        </is>
      </c>
      <c r="X628" s="156" t="inlineStr">
        <is>
          <t>https://m-universal-unique-brands.odoo.com/web/image/product.product/31011/image_1920</t>
        </is>
      </c>
      <c r="Y628" s="54" t="n">
        <v>414</v>
      </c>
      <c r="Z628" s="54" t="n">
        <v>669</v>
      </c>
      <c r="AA628" s="55">
        <f>IF(AND(A628="", B628="", E628=""), "", IF(AB628="", "Válido", IF((LEN(AB628)-LEN(SUBSTITUTE(AB628,"; ","")))/2+1&gt;(LEN(AB628)-LEN(SUBSTITUTE(AB628,"[Aviso]","")))/7, "Con Incidencias", "Válido")))</f>
        <v/>
      </c>
      <c r="AB628" s="56">
        <f>IF(AND(A628="", B628="", E628=""), "", TEXTJOIN("; ", TRUE, IF(OR(TRIM(A628&amp;"")="", ISNUMBER(SEARCH("FALTA", A628))), "UPC faltante/inválido", ""), IF(AND(A628&lt;&gt;"", IFERROR(_xlfn.XMATCH(A628,$A$2:$A$1063,0,1)&lt;&gt;_xlfn.XMATCH(A628,$A$2:$A$1063,0,-1),FALSE)), "Código de barras duplicado", ""), IF(AND(E628&lt;&gt;"", COUNTIF($E$2:$E$1063, E628)&gt;1), "SKU duplicado", ""), IF(OR(J628="", J628=""), "[Aviso] División no capturada ()", IF(ISNA(MATCH(J628, Criterios!$A$123:$A$126, 0)), "División no válida", "")), IF(OR(K628="", K628=""), "[Aviso] Categoría no capturada ()", IF(ISNA(MATCH(K628, Criterios!$A$81:$A$120, 0)), "Categoría no válida", IF(AND(J628&lt;&gt;"", J628&lt;&gt;"", J628&lt;&gt;VLOOKUP(K628, Criterios!$A$81:$B$120, 2, FALSE)), "División no coincide con Categoría", ""))), IF(OR(L628="", L628=""), "[Aviso] Género no capturado ()", IF(ISNA(MATCH(L628, Criterios!$B$123:$B$127, 0)), "Género no válido", "")), IF(OR(N628="", N628=""), "[Aviso] Temporada no capturada ()", IF(ISNA(MATCH(N628, Criterios!$C$123:$C$128, 0)), "Temporada no válida", "")), IF(OR(O628="", O628=""), "[Aviso] Ciclo de vida no capturado ()", IF(ISNA(MATCH(O628, Criterios!$D$123:$D$124, 0)), "Ciclo de vida no válido", ""))))</f>
        <v/>
      </c>
      <c r="AC628" s="56" t="n"/>
      <c r="AD628" s="51" t="n"/>
      <c r="AE628" s="156" t="n"/>
      <c r="AF628" s="51" t="n"/>
      <c r="AG628" s="156" t="inlineStr">
        <is>
          <t>Nuevo – Carga Hoja2 01/10/2026</t>
        </is>
      </c>
      <c r="AH628" s="156" t="inlineStr">
        <is>
          <t>Alta 01/10/2026 desde Hoja2 (fila 489) | 01/10/2026: complementado desde Odoo Universal Unique Brands (match por código de barras): Enlace de imagen | 01/10/2026: Odoo Universal Unique Brands trae Color «Negro» — se conservó el valor de Productos | Homologación G1522 06/10/2026: Validador Shopify: WB: precio con IVA no termina en 9</t>
        </is>
      </c>
      <c r="AI628" s="156" t="n"/>
      <c r="AJ628" s="156" t="n"/>
      <c r="AK628" s="155" t="inlineStr">
        <is>
          <t>Hoja2: fila 489 | Odoo: producto 31011 / plantilla 39668</t>
        </is>
      </c>
      <c r="AL628" s="58" t="n"/>
      <c r="AM628" s="58" t="n"/>
      <c r="AN628" s="155" t="inlineStr">
        <is>
          <t>Odoo Universal Unique Brands</t>
        </is>
      </c>
      <c r="AO628" s="59" t="n"/>
      <c r="AP628" s="59" t="n"/>
      <c r="AQ628" s="59" t="n">
        <v>64</v>
      </c>
      <c r="AR628" s="155" t="inlineStr">
        <is>
          <t>Odoo Universal Unique Brands › Bodega 25 › Bodega 25/General: 64</t>
        </is>
      </c>
    </row>
    <row r="629">
      <c r="A629" s="50" t="inlineStr">
        <is>
          <t>717325211775</t>
        </is>
      </c>
      <c r="B629" s="51" t="inlineStr">
        <is>
          <t>31010</t>
        </is>
      </c>
      <c r="C629" s="156" t="inlineStr">
        <is>
          <t>Wrangler</t>
        </is>
      </c>
      <c r="D629" s="156" t="inlineStr">
        <is>
          <t>WG160-60113BR</t>
        </is>
      </c>
      <c r="E629" s="156" t="inlineStr">
        <is>
          <t>WG160-60113BR</t>
        </is>
      </c>
      <c r="F629" s="156" t="inlineStr">
        <is>
          <t>Talla única</t>
        </is>
      </c>
      <c r="G629" s="156" t="inlineStr">
        <is>
          <t>One Size</t>
        </is>
      </c>
      <c r="H629" s="156" t="inlineStr">
        <is>
          <t>Wrangler</t>
        </is>
      </c>
      <c r="I629" s="156" t="inlineStr">
        <is>
          <t>Bolsa Cruzada Tipo Montura Wrangler Grabada Western Café</t>
        </is>
      </c>
      <c r="J629" s="156" t="inlineStr">
        <is>
          <t>Accesorios</t>
        </is>
      </c>
      <c r="K629" s="156" t="inlineStr">
        <is>
          <t>Bolsos</t>
        </is>
      </c>
      <c r="L629" s="156" t="inlineStr">
        <is>
          <t>Unisex</t>
        </is>
      </c>
      <c r="M629" s="156" t="inlineStr">
        <is>
          <t>Wrangler</t>
        </is>
      </c>
      <c r="N629" s="156" t="n"/>
      <c r="O629" s="156" t="inlineStr">
        <is>
          <t>Core</t>
        </is>
      </c>
      <c r="P629" s="156" t="inlineStr">
        <is>
          <t>Varios</t>
        </is>
      </c>
      <c r="Q629" s="156" t="n"/>
      <c r="R629" s="156" t="n"/>
      <c r="S629" s="156" t="n"/>
      <c r="T629" s="156" t="inlineStr">
        <is>
          <t>Bolsa Cruzada Tipo Montura Wrangler. Modelo: Grabada Western. Color: Café. Talla única. Unisex. País de origen: México. Referencia: WG160-60113BR.</t>
        </is>
      </c>
      <c r="U629" s="156" t="inlineStr">
        <is>
          <t>México</t>
        </is>
      </c>
      <c r="V629" s="156" t="inlineStr">
        <is>
          <t>PZS</t>
        </is>
      </c>
      <c r="W629" s="51" t="inlineStr">
        <is>
          <t>53121601</t>
        </is>
      </c>
      <c r="X629" s="156" t="inlineStr">
        <is>
          <t>https://m-universal-unique-brands.odoo.com/web/image/product.product/31010/image_1920</t>
        </is>
      </c>
      <c r="Y629" s="54" t="n">
        <v>414</v>
      </c>
      <c r="Z629" s="54" t="n">
        <v>669</v>
      </c>
      <c r="AA629" s="55">
        <f>IF(AND(A629="", B629="", E629=""), "", IF(AB629="", "Válido", IF((LEN(AB629)-LEN(SUBSTITUTE(AB629,"; ","")))/2+1&gt;(LEN(AB629)-LEN(SUBSTITUTE(AB629,"[Aviso]","")))/7, "Con Incidencias", "Válido")))</f>
        <v/>
      </c>
      <c r="AB629" s="56">
        <f>IF(AND(A629="", B629="", E629=""), "", TEXTJOIN("; ", TRUE, IF(OR(TRIM(A629&amp;"")="", ISNUMBER(SEARCH("FALTA", A629))), "UPC faltante/inválido", ""), IF(AND(A629&lt;&gt;"", IFERROR(_xlfn.XMATCH(A629,$A$2:$A$1063,0,1)&lt;&gt;_xlfn.XMATCH(A629,$A$2:$A$1063,0,-1),FALSE)), "Código de barras duplicado", ""), IF(AND(E629&lt;&gt;"", COUNTIF($E$2:$E$1063, E629)&gt;1), "SKU duplicado", ""), IF(OR(J629="", J629=""), "[Aviso] División no capturada ()", IF(ISNA(MATCH(J629, Criterios!$A$123:$A$126, 0)), "División no válida", "")), IF(OR(K629="", K629=""), "[Aviso] Categoría no capturada ()", IF(ISNA(MATCH(K629, Criterios!$A$81:$A$120, 0)), "Categoría no válida", IF(AND(J629&lt;&gt;"", J629&lt;&gt;"", J629&lt;&gt;VLOOKUP(K629, Criterios!$A$81:$B$120, 2, FALSE)), "División no coincide con Categoría", ""))), IF(OR(L629="", L629=""), "[Aviso] Género no capturado ()", IF(ISNA(MATCH(L629, Criterios!$B$123:$B$127, 0)), "Género no válido", "")), IF(OR(N629="", N629=""), "[Aviso] Temporada no capturada ()", IF(ISNA(MATCH(N629, Criterios!$C$123:$C$128, 0)), "Temporada no válida", "")), IF(OR(O629="", O629=""), "[Aviso] Ciclo de vida no capturado ()", IF(ISNA(MATCH(O629, Criterios!$D$123:$D$124, 0)), "Ciclo de vida no válido", ""))))</f>
        <v/>
      </c>
      <c r="AC629" s="56" t="n"/>
      <c r="AD629" s="51" t="n"/>
      <c r="AE629" s="156" t="n"/>
      <c r="AF629" s="51" t="n"/>
      <c r="AG629" s="156" t="inlineStr">
        <is>
          <t>Nuevo – Carga Hoja2 01/10/2026</t>
        </is>
      </c>
      <c r="AH629" s="156" t="inlineStr">
        <is>
          <t>Alta 01/10/2026 desde Hoja2 (fila 490) | 01/10/2026: complementado desde Odoo Universal Unique Brands (match por código de barras): Enlace de imagen | Homologación G1522 06/10/2026: Validador Shopify: WB: precio con IVA no termina en 9</t>
        </is>
      </c>
      <c r="AI629" s="156" t="n"/>
      <c r="AJ629" s="156" t="n"/>
      <c r="AK629" s="155" t="inlineStr">
        <is>
          <t>Hoja2: fila 490 | Odoo: producto 31010 / plantilla 39668</t>
        </is>
      </c>
      <c r="AL629" s="58" t="n"/>
      <c r="AM629" s="58" t="n"/>
      <c r="AN629" s="155" t="inlineStr">
        <is>
          <t>Odoo Universal Unique Brands</t>
        </is>
      </c>
      <c r="AO629" s="59" t="n"/>
      <c r="AP629" s="59" t="n"/>
      <c r="AQ629" s="59" t="n">
        <v>48</v>
      </c>
      <c r="AR629" s="155" t="inlineStr">
        <is>
          <t>Odoo Universal Unique Brands › Bodega 25 › Bodega 25/General: 48</t>
        </is>
      </c>
    </row>
    <row r="630">
      <c r="A630" s="50" t="inlineStr">
        <is>
          <t>717325211805</t>
        </is>
      </c>
      <c r="B630" s="51" t="inlineStr">
        <is>
          <t>31009</t>
        </is>
      </c>
      <c r="C630" s="156" t="inlineStr">
        <is>
          <t>Wrangler</t>
        </is>
      </c>
      <c r="D630" s="156" t="n"/>
      <c r="E630" s="156" t="inlineStr">
        <is>
          <t>WG160-60113CF</t>
        </is>
      </c>
      <c r="F630" s="156" t="inlineStr">
        <is>
          <t>Talla única</t>
        </is>
      </c>
      <c r="G630" s="156" t="inlineStr">
        <is>
          <t>One Size</t>
        </is>
      </c>
      <c r="H630" s="156" t="inlineStr">
        <is>
          <t>Wrangler</t>
        </is>
      </c>
      <c r="I630" s="156" t="inlineStr">
        <is>
          <t>Bolsa Cruzada Tipo Montura Wrangler Grabada Western</t>
        </is>
      </c>
      <c r="J630" s="156" t="inlineStr">
        <is>
          <t>Accesorios</t>
        </is>
      </c>
      <c r="K630" s="156" t="inlineStr">
        <is>
          <t>Bolsos</t>
        </is>
      </c>
      <c r="L630" s="156" t="inlineStr">
        <is>
          <t>Unisex</t>
        </is>
      </c>
      <c r="M630" s="156" t="inlineStr">
        <is>
          <t>Wrangler</t>
        </is>
      </c>
      <c r="N630" s="156" t="n"/>
      <c r="O630" s="156" t="n"/>
      <c r="P630" s="156" t="inlineStr">
        <is>
          <t>Varios</t>
        </is>
      </c>
      <c r="Q630" s="156" t="n"/>
      <c r="R630" s="156" t="n"/>
      <c r="S630" s="156" t="n"/>
      <c r="T630" s="156" t="inlineStr">
        <is>
          <t>Bolsa Cruzada Tipo Montura</t>
        </is>
      </c>
      <c r="U630" s="156" t="inlineStr">
        <is>
          <t>México</t>
        </is>
      </c>
      <c r="V630" s="156" t="inlineStr">
        <is>
          <t>PZS</t>
        </is>
      </c>
      <c r="W630" s="51" t="inlineStr">
        <is>
          <t>53121600</t>
        </is>
      </c>
      <c r="X630" s="156" t="inlineStr">
        <is>
          <t>https://m-universal-unique-brands.odoo.com/web/image/product.product/31009/image_1920</t>
        </is>
      </c>
      <c r="Y630" s="54" t="n">
        <v>414</v>
      </c>
      <c r="Z630" s="54" t="n">
        <v>669</v>
      </c>
      <c r="AA630" s="55">
        <f>IF(AND(A630="", B630="", E630=""), "", IF(AB630="", "Válido", IF((LEN(AB630)-LEN(SUBSTITUTE(AB630,"; ","")))/2+1&gt;(LEN(AB630)-LEN(SUBSTITUTE(AB630,"[Aviso]","")))/7, "Con Incidencias", "Válido")))</f>
        <v/>
      </c>
      <c r="AB630" s="56">
        <f>IF(AND(A630="", B630="", E630=""), "", TEXTJOIN("; ", TRUE, IF(OR(TRIM(A630&amp;"")="", ISNUMBER(SEARCH("FALTA", A630))), "UPC faltante/inválido", ""), IF(AND(A630&lt;&gt;"", IFERROR(_xlfn.XMATCH(A630,$A$2:$A$1063,0,1)&lt;&gt;_xlfn.XMATCH(A630,$A$2:$A$1063,0,-1),FALSE)), "Código de barras duplicado", ""), IF(AND(E630&lt;&gt;"", COUNTIF($E$2:$E$1063, E630)&gt;1), "SKU duplicado", ""), IF(OR(J630="", J630=""), "[Aviso] División no capturada ()", IF(ISNA(MATCH(J630, Criterios!$A$123:$A$126, 0)), "División no válida", "")), IF(OR(K630="", K630=""), "[Aviso] Categoría no capturada ()", IF(ISNA(MATCH(K630, Criterios!$A$81:$A$120, 0)), "Categoría no válida", IF(AND(J630&lt;&gt;"", J630&lt;&gt;"", J630&lt;&gt;VLOOKUP(K630, Criterios!$A$81:$B$120, 2, FALSE)), "División no coincide con Categoría", ""))), IF(OR(L630="", L630=""), "[Aviso] Género no capturado ()", IF(ISNA(MATCH(L630, Criterios!$B$123:$B$127, 0)), "Género no válido", "")), IF(OR(N630="", N630=""), "[Aviso] Temporada no capturada ()", IF(ISNA(MATCH(N630, Criterios!$C$123:$C$128, 0)), "Temporada no válida", "")), IF(OR(O630="", O630=""), "[Aviso] Ciclo de vida no capturado ()", IF(ISNA(MATCH(O630, Criterios!$D$123:$D$124, 0)), "Ciclo de vida no válido", ""))))</f>
        <v/>
      </c>
      <c r="AC630" s="56" t="n"/>
      <c r="AD630" s="51" t="n"/>
      <c r="AE630" s="156" t="n"/>
      <c r="AF630" s="51" t="n"/>
      <c r="AG630" s="156" t="inlineStr">
        <is>
          <t>Nuevo – Carga Hoja2 01/10/2026</t>
        </is>
      </c>
      <c r="AH630" s="156" t="inlineStr">
        <is>
          <t>Alta 01/10/2026 desde Hoja2 (fila 491) | 01/10/2026: complementado desde Odoo Universal Unique Brands (match por código de barras): WB Talla, WB Talla de EE. UU., WB Descripción larga, Enlace de imagen | 01/10/2026: Odoo Universal Unique Brands trae Color «Cafe» — se conservó el valor de Productos | Homologación G1522 06/10/2026: WB País de origen: «Mexico» → «México» (Corrección aplicada) · Validación G1522: Falta estilo · Validador NetSuite / Odoo: V6: falta estilo · Validador Shopify: V6: falta estilo; WB: precio con IVA no termina en 9</t>
        </is>
      </c>
      <c r="AI630" s="156" t="n"/>
      <c r="AJ630" s="156" t="n"/>
      <c r="AK630" s="155" t="inlineStr">
        <is>
          <t>Hoja2: fila 491 | Odoo: producto 31009 / plantilla 39668</t>
        </is>
      </c>
      <c r="AL630" s="58" t="n"/>
      <c r="AM630" s="58" t="n"/>
      <c r="AN630" s="155" t="inlineStr">
        <is>
          <t>Odoo Universal Unique Brands</t>
        </is>
      </c>
      <c r="AO630" s="59" t="n"/>
      <c r="AP630" s="59" t="n"/>
      <c r="AQ630" s="59" t="n">
        <v>82</v>
      </c>
      <c r="AR630" s="155" t="inlineStr">
        <is>
          <t>Odoo Universal Unique Brands › Bodega 25 › Bodega 25/General: 82</t>
        </is>
      </c>
    </row>
    <row r="631">
      <c r="A631" s="50" t="inlineStr">
        <is>
          <t>717325211898</t>
        </is>
      </c>
      <c r="B631" s="51" t="inlineStr">
        <is>
          <t>13299</t>
        </is>
      </c>
      <c r="C631" s="156" t="inlineStr">
        <is>
          <t>Wrangler</t>
        </is>
      </c>
      <c r="D631" s="156" t="inlineStr">
        <is>
          <t>WG160-W0142TQ</t>
        </is>
      </c>
      <c r="E631" s="156" t="inlineStr">
        <is>
          <t>WG160-W0142TQ</t>
        </is>
      </c>
      <c r="F631" s="156" t="inlineStr">
        <is>
          <t>Talla única</t>
        </is>
      </c>
      <c r="G631" s="156" t="inlineStr">
        <is>
          <t>One Size</t>
        </is>
      </c>
      <c r="H631" s="156" t="inlineStr">
        <is>
          <t>Wrangler</t>
        </is>
      </c>
      <c r="I631" s="156" t="inlineStr">
        <is>
          <t>Cartera Bifold Wrangler Grabada Western Turquesa</t>
        </is>
      </c>
      <c r="J631" s="156" t="inlineStr">
        <is>
          <t>Accesorios</t>
        </is>
      </c>
      <c r="K631" s="156" t="inlineStr">
        <is>
          <t>Carteras</t>
        </is>
      </c>
      <c r="L631" s="156" t="inlineStr">
        <is>
          <t>Unisex</t>
        </is>
      </c>
      <c r="M631" s="156" t="inlineStr">
        <is>
          <t>Wrangler</t>
        </is>
      </c>
      <c r="N631" s="156" t="n"/>
      <c r="O631" s="156" t="inlineStr">
        <is>
          <t>Core</t>
        </is>
      </c>
      <c r="P631" s="156" t="inlineStr">
        <is>
          <t>Azul</t>
        </is>
      </c>
      <c r="Q631" s="156" t="n"/>
      <c r="R631" s="156" t="n"/>
      <c r="S631" s="156" t="n"/>
      <c r="T631" s="156" t="inlineStr">
        <is>
          <t>Cartera Bifold Wrangler. Modelo: Grabada Western. Color: Turquesa. Talla única. Unisex. Referencia: WG160-W0142TQ.</t>
        </is>
      </c>
      <c r="U631" s="156" t="n"/>
      <c r="V631" s="156" t="inlineStr">
        <is>
          <t>PZS</t>
        </is>
      </c>
      <c r="W631" s="51" t="inlineStr">
        <is>
          <t>53121700</t>
        </is>
      </c>
      <c r="X631" s="156" t="n"/>
      <c r="Y631" s="54" t="n">
        <v>207</v>
      </c>
      <c r="Z631" s="54" t="n">
        <v>339</v>
      </c>
      <c r="AA631" s="55">
        <f>IF(AND(A631="", B631="", E631=""), "", IF(AB631="", "Válido", IF((LEN(AB631)-LEN(SUBSTITUTE(AB631,"; ","")))/2+1&gt;(LEN(AB631)-LEN(SUBSTITUTE(AB631,"[Aviso]","")))/7, "Con Incidencias", "Válido")))</f>
        <v/>
      </c>
      <c r="AB631" s="56">
        <f>IF(AND(A631="", B631="", E631=""), "", TEXTJOIN("; ", TRUE, IF(OR(TRIM(A631&amp;"")="", ISNUMBER(SEARCH("FALTA", A631))), "UPC faltante/inválido", ""), IF(AND(A631&lt;&gt;"", IFERROR(_xlfn.XMATCH(A631,$A$2:$A$1063,0,1)&lt;&gt;_xlfn.XMATCH(A631,$A$2:$A$1063,0,-1),FALSE)), "Código de barras duplicado", ""), IF(AND(E631&lt;&gt;"", COUNTIF($E$2:$E$1063, E631)&gt;1), "SKU duplicado", ""), IF(OR(J631="", J631=""), "[Aviso] División no capturada ()", IF(ISNA(MATCH(J631, Criterios!$A$123:$A$126, 0)), "División no válida", "")), IF(OR(K631="", K631=""), "[Aviso] Categoría no capturada ()", IF(ISNA(MATCH(K631, Criterios!$A$81:$A$120, 0)), "Categoría no válida", IF(AND(J631&lt;&gt;"", J631&lt;&gt;"", J631&lt;&gt;VLOOKUP(K631, Criterios!$A$81:$B$120, 2, FALSE)), "División no coincide con Categoría", ""))), IF(OR(L631="", L631=""), "[Aviso] Género no capturado ()", IF(ISNA(MATCH(L631, Criterios!$B$123:$B$127, 0)), "Género no válido", "")), IF(OR(N631="", N631=""), "[Aviso] Temporada no capturada ()", IF(ISNA(MATCH(N631, Criterios!$C$123:$C$128, 0)), "Temporada no válida", "")), IF(OR(O631="", O631=""), "[Aviso] Ciclo de vida no capturado ()", IF(ISNA(MATCH(O631, Criterios!$D$123:$D$124, 0)), "Ciclo de vida no válido", ""))))</f>
        <v/>
      </c>
      <c r="AC631" s="56" t="n"/>
      <c r="AD631" s="51" t="n"/>
      <c r="AE631" s="156" t="n"/>
      <c r="AF631" s="51" t="n"/>
      <c r="AG631" s="156" t="inlineStr">
        <is>
          <t>Nuevo – Carga Hoja2 01/10/2026</t>
        </is>
      </c>
      <c r="AH631" s="156" t="inlineStr">
        <is>
          <t>Alta 01/10/2026 desde Hoja2 (fila 492) | Homologación G1522 06/10/2026: Validador Shopify: WB: precio con IVA no termina en 9</t>
        </is>
      </c>
      <c r="AI631" s="156" t="n"/>
      <c r="AJ631" s="156" t="n"/>
      <c r="AK631" s="155" t="inlineStr">
        <is>
          <t>Hoja2: fila 492 | Odoo: producto 13299 / plantilla 16876</t>
        </is>
      </c>
      <c r="AL631" s="58" t="n"/>
      <c r="AM631" s="58" t="n"/>
      <c r="AN631" s="155" t="inlineStr">
        <is>
          <t>Odoo Universal Unique Brands</t>
        </is>
      </c>
      <c r="AO631" s="59" t="n"/>
      <c r="AP631" s="59" t="n"/>
      <c r="AQ631" s="59" t="n">
        <v>23</v>
      </c>
      <c r="AR631" s="155" t="inlineStr">
        <is>
          <t>Odoo Universal Unique Brands › Bodega 25 › Bodega 25/General: 23</t>
        </is>
      </c>
    </row>
    <row r="632">
      <c r="A632" s="50" t="inlineStr">
        <is>
          <t>717019713295</t>
        </is>
      </c>
      <c r="B632" s="51" t="inlineStr">
        <is>
          <t>27562</t>
        </is>
      </c>
      <c r="C632" s="156" t="inlineStr">
        <is>
          <t>Wrangler</t>
        </is>
      </c>
      <c r="D632" s="156" t="n"/>
      <c r="E632" s="156" t="inlineStr">
        <is>
          <t>WG164-1830BR</t>
        </is>
      </c>
      <c r="F632" s="156" t="inlineStr">
        <is>
          <t>Talla única</t>
        </is>
      </c>
      <c r="G632" s="156" t="inlineStr">
        <is>
          <t>One Size</t>
        </is>
      </c>
      <c r="H632" s="156" t="inlineStr">
        <is>
          <t>Wrangler</t>
        </is>
      </c>
      <c r="I632" s="156" t="inlineStr">
        <is>
          <t>WG164-1830BR</t>
        </is>
      </c>
      <c r="J632" s="156" t="inlineStr">
        <is>
          <t>Accesorios</t>
        </is>
      </c>
      <c r="K632" s="156" t="inlineStr">
        <is>
          <t>Bolsos</t>
        </is>
      </c>
      <c r="L632" s="156" t="inlineStr">
        <is>
          <t>Unisex</t>
        </is>
      </c>
      <c r="M632" s="156" t="n"/>
      <c r="N632" s="156" t="n"/>
      <c r="O632" s="156" t="n"/>
      <c r="P632" s="156" t="n"/>
      <c r="Q632" s="156" t="n"/>
      <c r="R632" s="156" t="n"/>
      <c r="S632" s="156" t="n"/>
      <c r="T632" s="156" t="n"/>
      <c r="U632" s="156" t="n"/>
      <c r="V632" s="156" t="inlineStr">
        <is>
          <t>PZS</t>
        </is>
      </c>
      <c r="W632" s="51" t="inlineStr">
        <is>
          <t>53121600</t>
        </is>
      </c>
      <c r="X632" s="156" t="n"/>
      <c r="Y632" s="54" t="n"/>
      <c r="Z632" s="54" t="n">
        <v>719</v>
      </c>
      <c r="AA632" s="55">
        <f>IF(AND(A632="", B632="", E632=""), "", IF(AB632="", "Válido", IF((LEN(AB632)-LEN(SUBSTITUTE(AB632,"; ","")))/2+1&gt;(LEN(AB632)-LEN(SUBSTITUTE(AB632,"[Aviso]","")))/7, "Con Incidencias", "Válido")))</f>
        <v/>
      </c>
      <c r="AB632" s="56">
        <f>IF(AND(A632="", B632="", E632=""), "", TEXTJOIN("; ", TRUE, IF(OR(TRIM(A632&amp;"")="", ISNUMBER(SEARCH("FALTA", A632))), "UPC faltante/inválido", ""), IF(AND(A632&lt;&gt;"", IFERROR(_xlfn.XMATCH(A632,$A$2:$A$1063,0,1)&lt;&gt;_xlfn.XMATCH(A632,$A$2:$A$1063,0,-1),FALSE)), "Código de barras duplicado", ""), IF(AND(E632&lt;&gt;"", COUNTIF($E$2:$E$1063, E632)&gt;1), "SKU duplicado", ""), IF(OR(J632="", J632=""), "[Aviso] División no capturada ()", IF(ISNA(MATCH(J632, Criterios!$A$123:$A$126, 0)), "División no válida", "")), IF(OR(K632="", K632=""), "[Aviso] Categoría no capturada ()", IF(ISNA(MATCH(K632, Criterios!$A$81:$A$120, 0)), "Categoría no válida", IF(AND(J632&lt;&gt;"", J632&lt;&gt;"", J632&lt;&gt;VLOOKUP(K632, Criterios!$A$81:$B$120, 2, FALSE)), "División no coincide con Categoría", ""))), IF(OR(L632="", L632=""), "[Aviso] Género no capturado ()", IF(ISNA(MATCH(L632, Criterios!$B$123:$B$127, 0)), "Género no válido", "")), IF(OR(N632="", N632=""), "[Aviso] Temporada no capturada ()", IF(ISNA(MATCH(N632, Criterios!$C$123:$C$128, 0)), "Temporada no válida", "")), IF(OR(O632="", O632=""), "[Aviso] Ciclo de vida no capturado ()", IF(ISNA(MATCH(O632, Criterios!$D$123:$D$124, 0)), "Ciclo de vida no válido", ""))))</f>
        <v/>
      </c>
      <c r="AC632" s="56" t="n"/>
      <c r="AD632" s="51" t="n"/>
      <c r="AE632" s="156" t="n"/>
      <c r="AF632" s="51" t="n"/>
      <c r="AG632" s="156" t="inlineStr">
        <is>
          <t>Nuevo – Carga Hoja2 01/10/2026</t>
        </is>
      </c>
      <c r="AH632" s="156" t="inlineStr">
        <is>
          <t>Alta 01/10/2026 desde Hoja2 (fila 493);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632" s="156" t="n"/>
      <c r="AJ632" s="156" t="n"/>
      <c r="AK632" s="155" t="inlineStr">
        <is>
          <t>Hoja2: fila 493 | Odoo: producto 27562 / plantilla 34262</t>
        </is>
      </c>
      <c r="AL632" s="58" t="n"/>
      <c r="AM632" s="58" t="n"/>
      <c r="AN632" s="155" t="inlineStr">
        <is>
          <t>Odoo Universal Unique Brands</t>
        </is>
      </c>
      <c r="AO632" s="59" t="n"/>
      <c r="AP632" s="59" t="n"/>
      <c r="AQ632" s="59" t="n">
        <v>1</v>
      </c>
      <c r="AR632" s="155" t="inlineStr">
        <is>
          <t>Odoo Universal Unique Brands › Bodega 25 › Bodega 25/General: 1</t>
        </is>
      </c>
    </row>
    <row r="633">
      <c r="A633" s="50" t="inlineStr">
        <is>
          <t>717325212468</t>
        </is>
      </c>
      <c r="B633" s="51" t="inlineStr">
        <is>
          <t>27552</t>
        </is>
      </c>
      <c r="C633" s="156" t="inlineStr">
        <is>
          <t>Wrangler</t>
        </is>
      </c>
      <c r="D633" s="156" t="n"/>
      <c r="E633" s="156" t="inlineStr">
        <is>
          <t>WG171-2811KH</t>
        </is>
      </c>
      <c r="F633" s="156" t="inlineStr">
        <is>
          <t>Talla única</t>
        </is>
      </c>
      <c r="G633" s="156" t="inlineStr">
        <is>
          <t>One Size</t>
        </is>
      </c>
      <c r="H633" s="156" t="inlineStr">
        <is>
          <t>Wrangler</t>
        </is>
      </c>
      <c r="I633" s="156" t="inlineStr">
        <is>
          <t>WG171-2811KH</t>
        </is>
      </c>
      <c r="J633" s="156" t="inlineStr">
        <is>
          <t>Accesorios</t>
        </is>
      </c>
      <c r="K633" s="156" t="inlineStr">
        <is>
          <t>Bolsos</t>
        </is>
      </c>
      <c r="L633" s="156" t="inlineStr">
        <is>
          <t>Unisex</t>
        </is>
      </c>
      <c r="M633" s="156" t="n"/>
      <c r="N633" s="156" t="n"/>
      <c r="O633" s="156" t="n"/>
      <c r="P633" s="156" t="n"/>
      <c r="Q633" s="156" t="n"/>
      <c r="R633" s="156" t="n"/>
      <c r="S633" s="156" t="n"/>
      <c r="T633" s="156" t="n"/>
      <c r="U633" s="156" t="n"/>
      <c r="V633" s="156" t="inlineStr">
        <is>
          <t>PZS</t>
        </is>
      </c>
      <c r="W633" s="51" t="inlineStr">
        <is>
          <t>53121600</t>
        </is>
      </c>
      <c r="X633" s="156" t="n"/>
      <c r="Y633" s="54" t="n"/>
      <c r="Z633" s="54" t="n">
        <v>499</v>
      </c>
      <c r="AA633" s="55">
        <f>IF(AND(A633="", B633="", E633=""), "", IF(AB633="", "Válido", IF((LEN(AB633)-LEN(SUBSTITUTE(AB633,"; ","")))/2+1&gt;(LEN(AB633)-LEN(SUBSTITUTE(AB633,"[Aviso]","")))/7, "Con Incidencias", "Válido")))</f>
        <v/>
      </c>
      <c r="AB633" s="56">
        <f>IF(AND(A633="", B633="", E633=""), "", TEXTJOIN("; ", TRUE, IF(OR(TRIM(A633&amp;"")="", ISNUMBER(SEARCH("FALTA", A633))), "UPC faltante/inválido", ""), IF(AND(A633&lt;&gt;"", IFERROR(_xlfn.XMATCH(A633,$A$2:$A$1063,0,1)&lt;&gt;_xlfn.XMATCH(A633,$A$2:$A$1063,0,-1),FALSE)), "Código de barras duplicado", ""), IF(AND(E633&lt;&gt;"", COUNTIF($E$2:$E$1063, E633)&gt;1), "SKU duplicado", ""), IF(OR(J633="", J633=""), "[Aviso] División no capturada ()", IF(ISNA(MATCH(J633, Criterios!$A$123:$A$126, 0)), "División no válida", "")), IF(OR(K633="", K633=""), "[Aviso] Categoría no capturada ()", IF(ISNA(MATCH(K633, Criterios!$A$81:$A$120, 0)), "Categoría no válida", IF(AND(J633&lt;&gt;"", J633&lt;&gt;"", J633&lt;&gt;VLOOKUP(K633, Criterios!$A$81:$B$120, 2, FALSE)), "División no coincide con Categoría", ""))), IF(OR(L633="", L633=""), "[Aviso] Género no capturado ()", IF(ISNA(MATCH(L633, Criterios!$B$123:$B$127, 0)), "Género no válido", "")), IF(OR(N633="", N633=""), "[Aviso] Temporada no capturada ()", IF(ISNA(MATCH(N633, Criterios!$C$123:$C$128, 0)), "Temporada no válida", "")), IF(OR(O633="", O633=""), "[Aviso] Ciclo de vida no capturado ()", IF(ISNA(MATCH(O633, Criterios!$D$123:$D$124, 0)), "Ciclo de vida no válido", ""))))</f>
        <v/>
      </c>
      <c r="AC633" s="56" t="n"/>
      <c r="AD633" s="51" t="n"/>
      <c r="AE633" s="156" t="n"/>
      <c r="AF633" s="51" t="n"/>
      <c r="AG633" s="156" t="inlineStr">
        <is>
          <t>Nuevo – Carga Hoja2 01/10/2026</t>
        </is>
      </c>
      <c r="AH633" s="156" t="inlineStr">
        <is>
          <t>Alta 01/10/2026 desde Hoja2 (fila 494); Precio de compra en 0/vacío en origen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633" s="156" t="n"/>
      <c r="AJ633" s="156" t="n"/>
      <c r="AK633" s="155" t="inlineStr">
        <is>
          <t>Hoja2: fila 494 | Odoo: producto 27552 / plantilla 34252</t>
        </is>
      </c>
      <c r="AL633" s="58" t="n"/>
      <c r="AM633" s="58" t="n"/>
      <c r="AN633" s="155" t="inlineStr">
        <is>
          <t>Odoo Universal Unique Brands</t>
        </is>
      </c>
      <c r="AO633" s="59" t="n"/>
      <c r="AP633" s="59" t="n"/>
      <c r="AQ633" s="59" t="n">
        <v>2</v>
      </c>
      <c r="AR633" s="155" t="inlineStr">
        <is>
          <t>Odoo Universal Unique Brands › Bodega 25 › Bodega 25/General: 2</t>
        </is>
      </c>
    </row>
    <row r="634">
      <c r="A634" s="50" t="n"/>
      <c r="B634" s="51" t="inlineStr">
        <is>
          <t>31037</t>
        </is>
      </c>
      <c r="C634" s="156" t="inlineStr">
        <is>
          <t>Wrangler</t>
        </is>
      </c>
      <c r="D634" s="156" t="n"/>
      <c r="E634" s="156" t="inlineStr">
        <is>
          <t>WG174-1832BK</t>
        </is>
      </c>
      <c r="F634" s="156" t="inlineStr">
        <is>
          <t>Talla única</t>
        </is>
      </c>
      <c r="G634" s="156" t="inlineStr">
        <is>
          <t>One Size</t>
        </is>
      </c>
      <c r="H634" s="156" t="inlineStr">
        <is>
          <t>Wrangler</t>
        </is>
      </c>
      <c r="I634" s="156" t="inlineStr">
        <is>
          <t>Bolsa Cruzada Wrangler Tejida Suroeste</t>
        </is>
      </c>
      <c r="J634" s="156" t="inlineStr">
        <is>
          <t>Accesorios</t>
        </is>
      </c>
      <c r="K634" s="156" t="inlineStr">
        <is>
          <t>Bolsos</t>
        </is>
      </c>
      <c r="L634" s="156" t="inlineStr">
        <is>
          <t>Unisex</t>
        </is>
      </c>
      <c r="M634" s="156" t="inlineStr">
        <is>
          <t>Wrangler</t>
        </is>
      </c>
      <c r="N634" s="156" t="n"/>
      <c r="O634" s="156" t="n"/>
      <c r="P634" s="156" t="inlineStr">
        <is>
          <t>Varios</t>
        </is>
      </c>
      <c r="Q634" s="156" t="n"/>
      <c r="R634" s="156" t="n"/>
      <c r="S634" s="156" t="n"/>
      <c r="T634" s="156" t="n"/>
      <c r="U634" s="156" t="inlineStr">
        <is>
          <t>México</t>
        </is>
      </c>
      <c r="V634" s="156" t="inlineStr">
        <is>
          <t>PZS</t>
        </is>
      </c>
      <c r="W634" s="51" t="inlineStr">
        <is>
          <t>53121601</t>
        </is>
      </c>
      <c r="X634" s="156" t="n"/>
      <c r="Y634" s="54" t="n"/>
      <c r="Z634" s="54" t="n">
        <v>669</v>
      </c>
      <c r="AA634" s="55">
        <f>IF(AND(A634="", B634="", E634=""), "", IF(AB634="", "Válido", IF((LEN(AB634)-LEN(SUBSTITUTE(AB634,"; ","")))/2+1&gt;(LEN(AB634)-LEN(SUBSTITUTE(AB634,"[Aviso]","")))/7, "Con Incidencias", "Válido")))</f>
        <v/>
      </c>
      <c r="AB634" s="56">
        <f>IF(AND(A634="", B634="", E634=""), "", TEXTJOIN("; ", TRUE, IF(OR(TRIM(A634&amp;"")="", ISNUMBER(SEARCH("FALTA", A634))), "UPC faltante/inválido", ""), IF(AND(A634&lt;&gt;"", IFERROR(_xlfn.XMATCH(A634,$A$2:$A$1063,0,1)&lt;&gt;_xlfn.XMATCH(A634,$A$2:$A$1063,0,-1),FALSE)), "Código de barras duplicado", ""), IF(AND(E634&lt;&gt;"", COUNTIF($E$2:$E$1063, E634)&gt;1), "SKU duplicado", ""), IF(OR(J634="", J634=""), "[Aviso] División no capturada ()", IF(ISNA(MATCH(J634, Criterios!$A$123:$A$126, 0)), "División no válida", "")), IF(OR(K634="", K634=""), "[Aviso] Categoría no capturada ()", IF(ISNA(MATCH(K634, Criterios!$A$81:$A$120, 0)), "Categoría no válida", IF(AND(J634&lt;&gt;"", J634&lt;&gt;"", J634&lt;&gt;VLOOKUP(K634, Criterios!$A$81:$B$120, 2, FALSE)), "División no coincide con Categoría", ""))), IF(OR(L634="", L634=""), "[Aviso] Género no capturado ()", IF(ISNA(MATCH(L634, Criterios!$B$123:$B$127, 0)), "Género no válido", "")), IF(OR(N634="", N634=""), "[Aviso] Temporada no capturada ()", IF(ISNA(MATCH(N634, Criterios!$C$123:$C$128, 0)), "Temporada no válida", "")), IF(OR(O634="", O634=""), "[Aviso] Ciclo de vida no capturado ()", IF(ISNA(MATCH(O634, Criterios!$D$123:$D$124, 0)), "Ciclo de vida no válido", ""))))</f>
        <v/>
      </c>
      <c r="AC634" s="56" t="n"/>
      <c r="AD634" s="51" t="n"/>
      <c r="AE634" s="156" t="n"/>
      <c r="AF634" s="51" t="n"/>
      <c r="AG634" s="156" t="inlineStr">
        <is>
          <t>Nuevo – Carga Hoja2 01/10/2026</t>
        </is>
      </c>
      <c r="AH634" s="156" t="inlineStr">
        <is>
          <t>Alta 01/10/2026 desde Hoja2 (fila 495);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634" s="156" t="n"/>
      <c r="AJ634" s="156" t="n"/>
      <c r="AK634" s="155" t="inlineStr">
        <is>
          <t>Hoja2: fila 495</t>
        </is>
      </c>
      <c r="AL634" s="58" t="n"/>
      <c r="AM634" s="58" t="n"/>
      <c r="AN634" s="155" t="n"/>
      <c r="AO634" s="59" t="n"/>
      <c r="AP634" s="59" t="n"/>
      <c r="AQ634" s="59" t="n"/>
      <c r="AR634" s="155" t="n"/>
    </row>
    <row r="635">
      <c r="A635" s="50" t="n"/>
      <c r="B635" s="51" t="inlineStr">
        <is>
          <t>31036</t>
        </is>
      </c>
      <c r="C635" s="156" t="inlineStr">
        <is>
          <t>Wrangler</t>
        </is>
      </c>
      <c r="D635" s="156" t="n"/>
      <c r="E635" s="156" t="inlineStr">
        <is>
          <t>WG174-1832BR</t>
        </is>
      </c>
      <c r="F635" s="156" t="inlineStr">
        <is>
          <t>Talla única</t>
        </is>
      </c>
      <c r="G635" s="156" t="inlineStr">
        <is>
          <t>One Size</t>
        </is>
      </c>
      <c r="H635" s="156" t="inlineStr">
        <is>
          <t>Wrangler</t>
        </is>
      </c>
      <c r="I635" s="156" t="inlineStr">
        <is>
          <t>Bolsa Cruzada Wrangler Tejida Suroeste</t>
        </is>
      </c>
      <c r="J635" s="156" t="inlineStr">
        <is>
          <t>Accesorios</t>
        </is>
      </c>
      <c r="K635" s="156" t="inlineStr">
        <is>
          <t>Bolsos</t>
        </is>
      </c>
      <c r="L635" s="156" t="inlineStr">
        <is>
          <t>Unisex</t>
        </is>
      </c>
      <c r="M635" s="156" t="inlineStr">
        <is>
          <t>Wrangler</t>
        </is>
      </c>
      <c r="N635" s="156" t="n"/>
      <c r="O635" s="156" t="n"/>
      <c r="P635" s="156" t="inlineStr">
        <is>
          <t>Varios</t>
        </is>
      </c>
      <c r="Q635" s="156" t="n"/>
      <c r="R635" s="156" t="n"/>
      <c r="S635" s="156" t="n"/>
      <c r="T635" s="156" t="n"/>
      <c r="U635" s="156" t="inlineStr">
        <is>
          <t>México</t>
        </is>
      </c>
      <c r="V635" s="156" t="inlineStr">
        <is>
          <t>PZS</t>
        </is>
      </c>
      <c r="W635" s="51" t="inlineStr">
        <is>
          <t>53121601</t>
        </is>
      </c>
      <c r="X635" s="156" t="n"/>
      <c r="Y635" s="54" t="n"/>
      <c r="Z635" s="54" t="n">
        <v>669</v>
      </c>
      <c r="AA635" s="55">
        <f>IF(AND(A635="", B635="", E635=""), "", IF(AB635="", "Válido", IF((LEN(AB635)-LEN(SUBSTITUTE(AB635,"; ","")))/2+1&gt;(LEN(AB635)-LEN(SUBSTITUTE(AB635,"[Aviso]","")))/7, "Con Incidencias", "Válido")))</f>
        <v/>
      </c>
      <c r="AB635" s="56">
        <f>IF(AND(A635="", B635="", E635=""), "", TEXTJOIN("; ", TRUE, IF(OR(TRIM(A635&amp;"")="", ISNUMBER(SEARCH("FALTA", A635))), "UPC faltante/inválido", ""), IF(AND(A635&lt;&gt;"", IFERROR(_xlfn.XMATCH(A635,$A$2:$A$1063,0,1)&lt;&gt;_xlfn.XMATCH(A635,$A$2:$A$1063,0,-1),FALSE)), "Código de barras duplicado", ""), IF(AND(E635&lt;&gt;"", COUNTIF($E$2:$E$1063, E635)&gt;1), "SKU duplicado", ""), IF(OR(J635="", J635=""), "[Aviso] División no capturada ()", IF(ISNA(MATCH(J635, Criterios!$A$123:$A$126, 0)), "División no válida", "")), IF(OR(K635="", K635=""), "[Aviso] Categoría no capturada ()", IF(ISNA(MATCH(K635, Criterios!$A$81:$A$120, 0)), "Categoría no válida", IF(AND(J635&lt;&gt;"", J635&lt;&gt;"", J635&lt;&gt;VLOOKUP(K635, Criterios!$A$81:$B$120, 2, FALSE)), "División no coincide con Categoría", ""))), IF(OR(L635="", L635=""), "[Aviso] Género no capturado ()", IF(ISNA(MATCH(L635, Criterios!$B$123:$B$127, 0)), "Género no válido", "")), IF(OR(N635="", N635=""), "[Aviso] Temporada no capturada ()", IF(ISNA(MATCH(N635, Criterios!$C$123:$C$128, 0)), "Temporada no válida", "")), IF(OR(O635="", O635=""), "[Aviso] Ciclo de vida no capturado ()", IF(ISNA(MATCH(O635, Criterios!$D$123:$D$124, 0)), "Ciclo de vida no válido", ""))))</f>
        <v/>
      </c>
      <c r="AC635" s="56" t="n"/>
      <c r="AD635" s="51" t="n"/>
      <c r="AE635" s="156" t="n"/>
      <c r="AF635" s="51" t="n"/>
      <c r="AG635" s="156" t="inlineStr">
        <is>
          <t>Nuevo – Carga Hoja2 01/10/2026</t>
        </is>
      </c>
      <c r="AH635" s="156" t="inlineStr">
        <is>
          <t>Alta 01/10/2026 desde Hoja2 (fila 496); Precio de compra en 0/vacío en origen | Homologación G1522 06/10/2026: WB País de origen: «Mexico» → «México» (Corrección aplicada)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635" s="156" t="n"/>
      <c r="AJ635" s="156" t="n"/>
      <c r="AK635" s="155" t="inlineStr">
        <is>
          <t>Hoja2: fila 496</t>
        </is>
      </c>
      <c r="AL635" s="58" t="n"/>
      <c r="AM635" s="58" t="n"/>
      <c r="AN635" s="155" t="n"/>
      <c r="AO635" s="59" t="n"/>
      <c r="AP635" s="59" t="n"/>
      <c r="AQ635" s="59" t="n"/>
      <c r="AR635" s="155" t="n"/>
    </row>
    <row r="636">
      <c r="A636" s="50" t="inlineStr">
        <is>
          <t>717019743445</t>
        </is>
      </c>
      <c r="B636" s="51" t="inlineStr">
        <is>
          <t>12480</t>
        </is>
      </c>
      <c r="C636" s="156" t="inlineStr">
        <is>
          <t>Wrangler</t>
        </is>
      </c>
      <c r="D636" s="156" t="inlineStr">
        <is>
          <t>WG174-1833JN</t>
        </is>
      </c>
      <c r="E636" s="156" t="inlineStr">
        <is>
          <t>WG174-1833JN</t>
        </is>
      </c>
      <c r="F636" s="156" t="inlineStr">
        <is>
          <t>Talla única</t>
        </is>
      </c>
      <c r="G636" s="156" t="inlineStr">
        <is>
          <t>One Size</t>
        </is>
      </c>
      <c r="H636" s="156" t="inlineStr">
        <is>
          <t>Wrangler</t>
        </is>
      </c>
      <c r="I636" s="156" t="inlineStr">
        <is>
          <t>Bolsa de Mano Wrangler Mezclilla</t>
        </is>
      </c>
      <c r="J636" s="156" t="inlineStr">
        <is>
          <t>Accesorios</t>
        </is>
      </c>
      <c r="K636" s="156" t="inlineStr">
        <is>
          <t>Bolsos</t>
        </is>
      </c>
      <c r="L636" s="156" t="inlineStr">
        <is>
          <t>Unisex</t>
        </is>
      </c>
      <c r="M636" s="156" t="inlineStr">
        <is>
          <t>Wrangler</t>
        </is>
      </c>
      <c r="N636" s="156" t="n"/>
      <c r="O636" s="156" t="inlineStr">
        <is>
          <t>Core</t>
        </is>
      </c>
      <c r="P636" s="156" t="inlineStr">
        <is>
          <t>Varios</t>
        </is>
      </c>
      <c r="Q636" s="156" t="n"/>
      <c r="R636" s="156" t="n"/>
      <c r="S636" s="156" t="n"/>
      <c r="T636" s="156" t="inlineStr">
        <is>
          <t>Bolsa de Mano Wrangler. Color: Mezclilla. Talla única. Unisex. Referencia: WG174-1833JN.</t>
        </is>
      </c>
      <c r="U636" s="156" t="n"/>
      <c r="V636" s="156" t="inlineStr">
        <is>
          <t>PZS</t>
        </is>
      </c>
      <c r="W636" s="51" t="inlineStr">
        <is>
          <t>53121601</t>
        </is>
      </c>
      <c r="X636" s="156" t="inlineStr">
        <is>
          <t>https://cdn.shopify.com/s/files/1/0005/9015/1741/files/Wrangler_Aztec_Knitted_Wristlet_Jean_2.webp?v=1762135263</t>
        </is>
      </c>
      <c r="Y636" s="54" t="n">
        <v>276</v>
      </c>
      <c r="Z636" s="54" t="n">
        <v>449</v>
      </c>
      <c r="AA636" s="55">
        <f>IF(AND(A636="", B636="", E636=""), "", IF(AB636="", "Válido", IF((LEN(AB636)-LEN(SUBSTITUTE(AB636,"; ","")))/2+1&gt;(LEN(AB636)-LEN(SUBSTITUTE(AB636,"[Aviso]","")))/7, "Con Incidencias", "Válido")))</f>
        <v/>
      </c>
      <c r="AB636" s="56">
        <f>IF(AND(A636="", B636="", E636=""), "", TEXTJOIN("; ", TRUE, IF(OR(TRIM(A636&amp;"")="", ISNUMBER(SEARCH("FALTA", A636))), "UPC faltante/inválido", ""), IF(AND(A636&lt;&gt;"", IFERROR(_xlfn.XMATCH(A636,$A$2:$A$1063,0,1)&lt;&gt;_xlfn.XMATCH(A636,$A$2:$A$1063,0,-1),FALSE)), "Código de barras duplicado", ""), IF(AND(E636&lt;&gt;"", COUNTIF($E$2:$E$1063, E636)&gt;1), "SKU duplicado", ""), IF(OR(J636="", J636=""), "[Aviso] División no capturada ()", IF(ISNA(MATCH(J636, Criterios!$A$123:$A$126, 0)), "División no válida", "")), IF(OR(K636="", K636=""), "[Aviso] Categoría no capturada ()", IF(ISNA(MATCH(K636, Criterios!$A$81:$A$120, 0)), "Categoría no válida", IF(AND(J636&lt;&gt;"", J636&lt;&gt;"", J636&lt;&gt;VLOOKUP(K636, Criterios!$A$81:$B$120, 2, FALSE)), "División no coincide con Categoría", ""))), IF(OR(L636="", L636=""), "[Aviso] Género no capturado ()", IF(ISNA(MATCH(L636, Criterios!$B$123:$B$127, 0)), "Género no válido", "")), IF(OR(N636="", N636=""), "[Aviso] Temporada no capturada ()", IF(ISNA(MATCH(N636, Criterios!$C$123:$C$128, 0)), "Temporada no válida", "")), IF(OR(O636="", O636=""), "[Aviso] Ciclo de vida no capturado ()", IF(ISNA(MATCH(O636, Criterios!$D$123:$D$124, 0)), "Ciclo de vida no válido", ""))))</f>
        <v/>
      </c>
      <c r="AC636" s="56" t="n"/>
      <c r="AD636" s="51" t="n"/>
      <c r="AE636" s="156" t="n"/>
      <c r="AF636" s="51" t="n"/>
      <c r="AG636" s="156" t="inlineStr">
        <is>
          <t>Nuevo – Carga Hoja2 01/10/2026</t>
        </is>
      </c>
      <c r="AH636" s="156" t="inlineStr">
        <is>
          <t>Alta 01/10/2026 desde Hoja2 (fila 497) | Homologación G1522 06/10/2026: Enlace de imagen: «» → «https://cdn.shopify.com/s/files/1/0005/9015/1741/files/Wrangler_Aztec_Knitted_Wristlet_Jean_2.webp?v=1762135263» (Completado por investigación en línea) · Validador Shopify: WB: precio con IVA no termina en 9</t>
        </is>
      </c>
      <c r="AI636" s="156" t="n"/>
      <c r="AJ636" s="156" t="n"/>
      <c r="AK636" s="155" t="inlineStr">
        <is>
          <t>Hoja2: fila 497 | Odoo: producto 12480 / plantilla 16057 | Investigación en línea 06/10/2026: https://montanawestworld.com/products/wrangler-aztec-knitted-mini-crossbody</t>
        </is>
      </c>
      <c r="AL636" s="58" t="n"/>
      <c r="AM636" s="58" t="n"/>
      <c r="AN636" s="155" t="inlineStr">
        <is>
          <t>Odoo Universal Unique Brands</t>
        </is>
      </c>
      <c r="AO636" s="59" t="n"/>
      <c r="AP636" s="59" t="n"/>
      <c r="AQ636" s="59" t="n">
        <v>9</v>
      </c>
      <c r="AR636" s="155" t="inlineStr">
        <is>
          <t>Odoo Universal Unique Brands › Bodega 25 › Bodega 25/General: 9</t>
        </is>
      </c>
    </row>
    <row r="637">
      <c r="A637" s="50" t="inlineStr">
        <is>
          <t>717325208409</t>
        </is>
      </c>
      <c r="B637" s="51" t="inlineStr">
        <is>
          <t>12501</t>
        </is>
      </c>
      <c r="C637" s="156" t="inlineStr">
        <is>
          <t>Wrangler</t>
        </is>
      </c>
      <c r="D637" s="156" t="inlineStr">
        <is>
          <t>WG174-91153RD</t>
        </is>
      </c>
      <c r="E637" s="156" t="inlineStr">
        <is>
          <t>WG174-91153RD</t>
        </is>
      </c>
      <c r="F637" s="156" t="inlineStr">
        <is>
          <t>Talla única</t>
        </is>
      </c>
      <c r="G637" s="156" t="inlineStr">
        <is>
          <t>One Size</t>
        </is>
      </c>
      <c r="H637" s="156" t="inlineStr">
        <is>
          <t>Wrangler</t>
        </is>
      </c>
      <c r="I637" s="156" t="inlineStr">
        <is>
          <t>Mochila Wrangler Tejida Suroeste Rojo</t>
        </is>
      </c>
      <c r="J637" s="156" t="inlineStr">
        <is>
          <t>Accesorios</t>
        </is>
      </c>
      <c r="K637" s="156" t="inlineStr">
        <is>
          <t>Mochilas</t>
        </is>
      </c>
      <c r="L637" s="156" t="inlineStr">
        <is>
          <t>Unisex</t>
        </is>
      </c>
      <c r="M637" s="156" t="inlineStr">
        <is>
          <t>Wrangler</t>
        </is>
      </c>
      <c r="N637" s="156" t="n"/>
      <c r="O637" s="156" t="inlineStr">
        <is>
          <t>Core</t>
        </is>
      </c>
      <c r="P637" s="156" t="inlineStr">
        <is>
          <t>Rojo</t>
        </is>
      </c>
      <c r="Q637" s="156" t="n"/>
      <c r="R637" s="156" t="n"/>
      <c r="S637" s="156" t="n"/>
      <c r="T637" s="156" t="inlineStr">
        <is>
          <t>Mochila Wrangler. Modelo: Tejida Suroeste. Color: Rojo. Talla única. Unisex. Referencia: WG174-91153RD.</t>
        </is>
      </c>
      <c r="U637" s="156" t="n"/>
      <c r="V637" s="156" t="inlineStr">
        <is>
          <t>PZS</t>
        </is>
      </c>
      <c r="W637" s="51" t="inlineStr">
        <is>
          <t>53121601</t>
        </is>
      </c>
      <c r="X637" s="156" t="n"/>
      <c r="Y637" s="54" t="n">
        <v>517.5</v>
      </c>
      <c r="Z637" s="54" t="n">
        <v>829</v>
      </c>
      <c r="AA637" s="55">
        <f>IF(AND(A637="", B637="", E637=""), "", IF(AB637="", "Válido", IF((LEN(AB637)-LEN(SUBSTITUTE(AB637,"; ","")))/2+1&gt;(LEN(AB637)-LEN(SUBSTITUTE(AB637,"[Aviso]","")))/7, "Con Incidencias", "Válido")))</f>
        <v/>
      </c>
      <c r="AB637" s="56">
        <f>IF(AND(A637="", B637="", E637=""), "", TEXTJOIN("; ", TRUE, IF(OR(TRIM(A637&amp;"")="", ISNUMBER(SEARCH("FALTA", A637))), "UPC faltante/inválido", ""), IF(AND(A637&lt;&gt;"", IFERROR(_xlfn.XMATCH(A637,$A$2:$A$1063,0,1)&lt;&gt;_xlfn.XMATCH(A637,$A$2:$A$1063,0,-1),FALSE)), "Código de barras duplicado", ""), IF(AND(E637&lt;&gt;"", COUNTIF($E$2:$E$1063, E637)&gt;1), "SKU duplicado", ""), IF(OR(J637="", J637=""), "[Aviso] División no capturada ()", IF(ISNA(MATCH(J637, Criterios!$A$123:$A$126, 0)), "División no válida", "")), IF(OR(K637="", K637=""), "[Aviso] Categoría no capturada ()", IF(ISNA(MATCH(K637, Criterios!$A$81:$A$120, 0)), "Categoría no válida", IF(AND(J637&lt;&gt;"", J637&lt;&gt;"", J637&lt;&gt;VLOOKUP(K637, Criterios!$A$81:$B$120, 2, FALSE)), "División no coincide con Categoría", ""))), IF(OR(L637="", L637=""), "[Aviso] Género no capturado ()", IF(ISNA(MATCH(L637, Criterios!$B$123:$B$127, 0)), "Género no válido", "")), IF(OR(N637="", N637=""), "[Aviso] Temporada no capturada ()", IF(ISNA(MATCH(N637, Criterios!$C$123:$C$128, 0)), "Temporada no válida", "")), IF(OR(O637="", O637=""), "[Aviso] Ciclo de vida no capturado ()", IF(ISNA(MATCH(O637, Criterios!$D$123:$D$124, 0)), "Ciclo de vida no válido", ""))))</f>
        <v/>
      </c>
      <c r="AC637" s="56" t="n"/>
      <c r="AD637" s="51" t="n"/>
      <c r="AE637" s="156" t="n"/>
      <c r="AF637" s="51" t="n"/>
      <c r="AG637" s="156" t="inlineStr">
        <is>
          <t>Nuevo – Carga Hoja2 01/10/2026</t>
        </is>
      </c>
      <c r="AH637" s="156" t="inlineStr">
        <is>
          <t>Alta 01/10/2026 desde Hoja2 (fila 498) | 01/10/2026: Odoo Universal Unique Brands trae Categoría «Bolsos» — se conservó el valor de Productos | 01/10/2026: Odoo Universal Unique Brands trae Marca «Montana West» — se conservó el valor de Productos | Homologación G1522 06/10/2026: Validador Shopify: WB: precio con IVA no termina en 9</t>
        </is>
      </c>
      <c r="AI637" s="156" t="n"/>
      <c r="AJ637" s="156" t="n"/>
      <c r="AK637" s="155" t="inlineStr">
        <is>
          <t>Hoja2: fila 498 | Odoo: producto 12501 / plantilla 16078 | Odoo: producto 27303 / plantilla 34003</t>
        </is>
      </c>
      <c r="AL637" s="58" t="n"/>
      <c r="AM637" s="58" t="n"/>
      <c r="AN637" s="155" t="inlineStr">
        <is>
          <t>Odoo Universal Unique Brands</t>
        </is>
      </c>
      <c r="AO637" s="59" t="n"/>
      <c r="AP637" s="59" t="n"/>
      <c r="AQ637" s="59" t="n">
        <v>25</v>
      </c>
      <c r="AR637" s="155" t="inlineStr">
        <is>
          <t>Odoo Universal Unique Brands › Bodega 25 › Bodega 25/General: 21 | Odoo Universal Unique Brands › Bodega 25 › Bodega 25/General: 4</t>
        </is>
      </c>
    </row>
    <row r="638">
      <c r="A638" s="50" t="inlineStr">
        <is>
          <t>717325204654</t>
        </is>
      </c>
      <c r="B638" s="51" t="inlineStr">
        <is>
          <t>13300</t>
        </is>
      </c>
      <c r="C638" s="156" t="inlineStr">
        <is>
          <t>Wrangler</t>
        </is>
      </c>
      <c r="D638" s="156" t="n"/>
      <c r="E638" s="156" t="inlineStr">
        <is>
          <t>WG181-8120SBK</t>
        </is>
      </c>
      <c r="F638" s="156" t="inlineStr">
        <is>
          <t>Talla única</t>
        </is>
      </c>
      <c r="G638" s="156" t="inlineStr">
        <is>
          <t>One Size</t>
        </is>
      </c>
      <c r="H638" s="156" t="inlineStr">
        <is>
          <t>Wrangler</t>
        </is>
      </c>
      <c r="I638" s="156" t="inlineStr">
        <is>
          <t>WG Handbag BK</t>
        </is>
      </c>
      <c r="J638" s="156" t="inlineStr">
        <is>
          <t>Accesorios</t>
        </is>
      </c>
      <c r="K638" s="156" t="inlineStr">
        <is>
          <t>Bolsos</t>
        </is>
      </c>
      <c r="L638" s="156" t="inlineStr">
        <is>
          <t>Unisex</t>
        </is>
      </c>
      <c r="M638" s="156" t="n"/>
      <c r="N638" s="156" t="n"/>
      <c r="O638" s="156" t="n"/>
      <c r="P638" s="156" t="n"/>
      <c r="Q638" s="156" t="n"/>
      <c r="R638" s="156" t="n"/>
      <c r="S638" s="156" t="n"/>
      <c r="T638" s="156" t="n"/>
      <c r="U638" s="156" t="n"/>
      <c r="V638" s="156" t="inlineStr">
        <is>
          <t>PZS</t>
        </is>
      </c>
      <c r="W638" s="51" t="inlineStr">
        <is>
          <t>53121601</t>
        </is>
      </c>
      <c r="X638" s="156" t="n"/>
      <c r="Y638" s="54" t="n">
        <v>414</v>
      </c>
      <c r="Z638" s="54" t="n">
        <v>669</v>
      </c>
      <c r="AA638" s="55">
        <f>IF(AND(A638="", B638="", E638=""), "", IF(AB638="", "Válido", IF((LEN(AB638)-LEN(SUBSTITUTE(AB638,"; ","")))/2+1&gt;(LEN(AB638)-LEN(SUBSTITUTE(AB638,"[Aviso]","")))/7, "Con Incidencias", "Válido")))</f>
        <v/>
      </c>
      <c r="AB638" s="56">
        <f>IF(AND(A638="", B638="", E638=""), "", TEXTJOIN("; ", TRUE, IF(OR(TRIM(A638&amp;"")="", ISNUMBER(SEARCH("FALTA", A638))), "UPC faltante/inválido", ""), IF(AND(A638&lt;&gt;"", IFERROR(_xlfn.XMATCH(A638,$A$2:$A$1063,0,1)&lt;&gt;_xlfn.XMATCH(A638,$A$2:$A$1063,0,-1),FALSE)), "Código de barras duplicado", ""), IF(AND(E638&lt;&gt;"", COUNTIF($E$2:$E$1063, E638)&gt;1), "SKU duplicado", ""), IF(OR(J638="", J638=""), "[Aviso] División no capturada ()", IF(ISNA(MATCH(J638, Criterios!$A$123:$A$126, 0)), "División no válida", "")), IF(OR(K638="", K638=""), "[Aviso] Categoría no capturada ()", IF(ISNA(MATCH(K638, Criterios!$A$81:$A$120, 0)), "Categoría no válida", IF(AND(J638&lt;&gt;"", J638&lt;&gt;"", J638&lt;&gt;VLOOKUP(K638, Criterios!$A$81:$B$120, 2, FALSE)), "División no coincide con Categoría", ""))), IF(OR(L638="", L638=""), "[Aviso] Género no capturado ()", IF(ISNA(MATCH(L638, Criterios!$B$123:$B$127, 0)), "Género no válido", "")), IF(OR(N638="", N638=""), "[Aviso] Temporada no capturada ()", IF(ISNA(MATCH(N638, Criterios!$C$123:$C$128, 0)), "Temporada no válida", "")), IF(OR(O638="", O638=""), "[Aviso] Ciclo de vida no capturado ()", IF(ISNA(MATCH(O638, Criterios!$D$123:$D$124, 0)), "Ciclo de vida no válido", ""))))</f>
        <v/>
      </c>
      <c r="AC638" s="56" t="n"/>
      <c r="AD638" s="51" t="n"/>
      <c r="AE638" s="156" t="n"/>
      <c r="AF638" s="51" t="n"/>
      <c r="AG638" s="156" t="inlineStr">
        <is>
          <t>Nuevo – Carga Hoja2 01/10/2026</t>
        </is>
      </c>
      <c r="AH638" s="156" t="inlineStr">
        <is>
          <t>Alta 01/10/2026 desde Hoja2 (fila 499)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638" s="156" t="n"/>
      <c r="AJ638" s="156" t="n"/>
      <c r="AK638" s="155" t="inlineStr">
        <is>
          <t>Hoja2: fila 499 | Odoo: producto 13300 / plantilla 16877</t>
        </is>
      </c>
      <c r="AL638" s="58" t="n"/>
      <c r="AM638" s="58" t="n"/>
      <c r="AN638" s="155" t="inlineStr">
        <is>
          <t>Odoo Universal Unique Brands</t>
        </is>
      </c>
      <c r="AO638" s="59" t="n"/>
      <c r="AP638" s="59" t="n"/>
      <c r="AQ638" s="59" t="n">
        <v>24</v>
      </c>
      <c r="AR638" s="155" t="inlineStr">
        <is>
          <t>Odoo Universal Unique Brands › Bodega 25 › Bodega 25/General: 24</t>
        </is>
      </c>
    </row>
    <row r="639">
      <c r="A639" s="50" t="inlineStr">
        <is>
          <t>717325204715</t>
        </is>
      </c>
      <c r="B639" s="51" t="inlineStr">
        <is>
          <t>11858</t>
        </is>
      </c>
      <c r="C639" s="156" t="inlineStr">
        <is>
          <t>Wrangler</t>
        </is>
      </c>
      <c r="D639" s="156" t="n"/>
      <c r="E639" s="156" t="inlineStr">
        <is>
          <t>WG181-8120SCF</t>
        </is>
      </c>
      <c r="F639" s="156" t="inlineStr">
        <is>
          <t>Talla única</t>
        </is>
      </c>
      <c r="G639" s="156" t="inlineStr">
        <is>
          <t>One Size</t>
        </is>
      </c>
      <c r="H639" s="156" t="inlineStr">
        <is>
          <t>Wrangler</t>
        </is>
      </c>
      <c r="I639" s="156" t="inlineStr">
        <is>
          <t>WG HANDBAG</t>
        </is>
      </c>
      <c r="J639" s="156" t="inlineStr">
        <is>
          <t>Accesorios</t>
        </is>
      </c>
      <c r="K639" s="156" t="inlineStr">
        <is>
          <t>Bolsos</t>
        </is>
      </c>
      <c r="L639" s="156" t="inlineStr">
        <is>
          <t>Unisex</t>
        </is>
      </c>
      <c r="M639" s="156" t="n"/>
      <c r="N639" s="156" t="n"/>
      <c r="O639" s="156" t="n"/>
      <c r="P639" s="156" t="n"/>
      <c r="Q639" s="156" t="n"/>
      <c r="R639" s="156" t="n"/>
      <c r="S639" s="156" t="n"/>
      <c r="T639" s="156" t="n"/>
      <c r="U639" s="156" t="n"/>
      <c r="V639" s="156" t="inlineStr">
        <is>
          <t>PZS</t>
        </is>
      </c>
      <c r="W639" s="51" t="inlineStr">
        <is>
          <t>53121601</t>
        </is>
      </c>
      <c r="X639" s="156" t="n"/>
      <c r="Y639" s="54" t="n">
        <v>414</v>
      </c>
      <c r="Z639" s="54" t="n">
        <v>669</v>
      </c>
      <c r="AA639" s="55">
        <f>IF(AND(A639="", B639="", E639=""), "", IF(AB639="", "Válido", IF((LEN(AB639)-LEN(SUBSTITUTE(AB639,"; ","")))/2+1&gt;(LEN(AB639)-LEN(SUBSTITUTE(AB639,"[Aviso]","")))/7, "Con Incidencias", "Válido")))</f>
        <v/>
      </c>
      <c r="AB639" s="56">
        <f>IF(AND(A639="", B639="", E639=""), "", TEXTJOIN("; ", TRUE, IF(OR(TRIM(A639&amp;"")="", ISNUMBER(SEARCH("FALTA", A639))), "UPC faltante/inválido", ""), IF(AND(A639&lt;&gt;"", IFERROR(_xlfn.XMATCH(A639,$A$2:$A$1063,0,1)&lt;&gt;_xlfn.XMATCH(A639,$A$2:$A$1063,0,-1),FALSE)), "Código de barras duplicado", ""), IF(AND(E639&lt;&gt;"", COUNTIF($E$2:$E$1063, E639)&gt;1), "SKU duplicado", ""), IF(OR(J639="", J639=""), "[Aviso] División no capturada ()", IF(ISNA(MATCH(J639, Criterios!$A$123:$A$126, 0)), "División no válida", "")), IF(OR(K639="", K639=""), "[Aviso] Categoría no capturada ()", IF(ISNA(MATCH(K639, Criterios!$A$81:$A$120, 0)), "Categoría no válida", IF(AND(J639&lt;&gt;"", J639&lt;&gt;"", J639&lt;&gt;VLOOKUP(K639, Criterios!$A$81:$B$120, 2, FALSE)), "División no coincide con Categoría", ""))), IF(OR(L639="", L639=""), "[Aviso] Género no capturado ()", IF(ISNA(MATCH(L639, Criterios!$B$123:$B$127, 0)), "Género no válido", "")), IF(OR(N639="", N639=""), "[Aviso] Temporada no capturada ()", IF(ISNA(MATCH(N639, Criterios!$C$123:$C$128, 0)), "Temporada no válida", "")), IF(OR(O639="", O639=""), "[Aviso] Ciclo de vida no capturado ()", IF(ISNA(MATCH(O639, Criterios!$D$123:$D$124, 0)), "Ciclo de vida no válido", ""))))</f>
        <v/>
      </c>
      <c r="AC639" s="56" t="n"/>
      <c r="AD639" s="51" t="n"/>
      <c r="AE639" s="156" t="n"/>
      <c r="AF639" s="51" t="n"/>
      <c r="AG639" s="156" t="inlineStr">
        <is>
          <t>Nuevo – Carga Hoja2 01/10/2026</t>
        </is>
      </c>
      <c r="AH639" s="156" t="inlineStr">
        <is>
          <t>Alta 01/10/2026 desde Hoja2 (fila 500)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639" s="156" t="n"/>
      <c r="AJ639" s="156" t="n"/>
      <c r="AK639" s="155" t="inlineStr">
        <is>
          <t>Hoja2: fila 500 | Odoo: producto 11858 / plantilla 15293</t>
        </is>
      </c>
      <c r="AL639" s="58" t="n"/>
      <c r="AM639" s="58" t="n"/>
      <c r="AN639" s="155" t="inlineStr">
        <is>
          <t>Odoo Universal Unique Brands</t>
        </is>
      </c>
      <c r="AO639" s="59" t="n"/>
      <c r="AP639" s="59" t="n"/>
      <c r="AQ639" s="59" t="n">
        <v>35</v>
      </c>
      <c r="AR639" s="155" t="inlineStr">
        <is>
          <t>Odoo Universal Unique Brands › Bodega 25 › Bodega 25/General: 35</t>
        </is>
      </c>
    </row>
    <row r="640">
      <c r="A640" s="50" t="inlineStr">
        <is>
          <t>717325204685</t>
        </is>
      </c>
      <c r="B640" s="51" t="inlineStr">
        <is>
          <t>13301</t>
        </is>
      </c>
      <c r="C640" s="156" t="inlineStr">
        <is>
          <t>Wrangler</t>
        </is>
      </c>
      <c r="D640" s="156" t="inlineStr">
        <is>
          <t>WG181-8120SGN</t>
        </is>
      </c>
      <c r="E640" s="156" t="inlineStr">
        <is>
          <t>WG181-8120SGN</t>
        </is>
      </c>
      <c r="F640" s="156" t="inlineStr">
        <is>
          <t>Talla única</t>
        </is>
      </c>
      <c r="G640" s="156" t="inlineStr">
        <is>
          <t>One Size</t>
        </is>
      </c>
      <c r="H640" s="156" t="inlineStr">
        <is>
          <t>Wrangler</t>
        </is>
      </c>
      <c r="I640" s="156" t="inlineStr">
        <is>
          <t>Bolsa Tote Cruzada Wrangler Sherpa De Lona Chica Verde</t>
        </is>
      </c>
      <c r="J640" s="156" t="inlineStr">
        <is>
          <t>Accesorios</t>
        </is>
      </c>
      <c r="K640" s="156" t="inlineStr">
        <is>
          <t>Bolsos</t>
        </is>
      </c>
      <c r="L640" s="156" t="inlineStr">
        <is>
          <t>Unisex</t>
        </is>
      </c>
      <c r="M640" s="156" t="inlineStr">
        <is>
          <t>Wrangler</t>
        </is>
      </c>
      <c r="N640" s="156" t="n"/>
      <c r="O640" s="156" t="inlineStr">
        <is>
          <t>Core</t>
        </is>
      </c>
      <c r="P640" s="156" t="inlineStr">
        <is>
          <t>Verde</t>
        </is>
      </c>
      <c r="Q640" s="156" t="n"/>
      <c r="R640" s="156" t="n"/>
      <c r="S640" s="156" t="n"/>
      <c r="T640" s="156" t="inlineStr">
        <is>
          <t>Bolsa Tote Cruzada Wrangler. Modelo: Sherpa De Lona Chica. Color: Verde. Talla única. Unisex. Referencia: WG181-8120SGN.</t>
        </is>
      </c>
      <c r="U640" s="156" t="n"/>
      <c r="V640" s="156" t="inlineStr">
        <is>
          <t>PZS</t>
        </is>
      </c>
      <c r="W640" s="51" t="inlineStr">
        <is>
          <t>53121601</t>
        </is>
      </c>
      <c r="X640" s="156" t="n"/>
      <c r="Y640" s="54" t="n">
        <v>414</v>
      </c>
      <c r="Z640" s="54" t="n">
        <v>669</v>
      </c>
      <c r="AA640" s="55">
        <f>IF(AND(A640="", B640="", E640=""), "", IF(AB640="", "Válido", IF((LEN(AB640)-LEN(SUBSTITUTE(AB640,"; ","")))/2+1&gt;(LEN(AB640)-LEN(SUBSTITUTE(AB640,"[Aviso]","")))/7, "Con Incidencias", "Válido")))</f>
        <v/>
      </c>
      <c r="AB640" s="56">
        <f>IF(AND(A640="", B640="", E640=""), "", TEXTJOIN("; ", TRUE, IF(OR(TRIM(A640&amp;"")="", ISNUMBER(SEARCH("FALTA", A640))), "UPC faltante/inválido", ""), IF(AND(A640&lt;&gt;"", IFERROR(_xlfn.XMATCH(A640,$A$2:$A$1063,0,1)&lt;&gt;_xlfn.XMATCH(A640,$A$2:$A$1063,0,-1),FALSE)), "Código de barras duplicado", ""), IF(AND(E640&lt;&gt;"", COUNTIF($E$2:$E$1063, E640)&gt;1), "SKU duplicado", ""), IF(OR(J640="", J640=""), "[Aviso] División no capturada ()", IF(ISNA(MATCH(J640, Criterios!$A$123:$A$126, 0)), "División no válida", "")), IF(OR(K640="", K640=""), "[Aviso] Categoría no capturada ()", IF(ISNA(MATCH(K640, Criterios!$A$81:$A$120, 0)), "Categoría no válida", IF(AND(J640&lt;&gt;"", J640&lt;&gt;"", J640&lt;&gt;VLOOKUP(K640, Criterios!$A$81:$B$120, 2, FALSE)), "División no coincide con Categoría", ""))), IF(OR(L640="", L640=""), "[Aviso] Género no capturado ()", IF(ISNA(MATCH(L640, Criterios!$B$123:$B$127, 0)), "Género no válido", "")), IF(OR(N640="", N640=""), "[Aviso] Temporada no capturada ()", IF(ISNA(MATCH(N640, Criterios!$C$123:$C$128, 0)), "Temporada no válida", "")), IF(OR(O640="", O640=""), "[Aviso] Ciclo de vida no capturado ()", IF(ISNA(MATCH(O640, Criterios!$D$123:$D$124, 0)), "Ciclo de vida no válido", ""))))</f>
        <v/>
      </c>
      <c r="AC640" s="56" t="n"/>
      <c r="AD640" s="51" t="n"/>
      <c r="AE640" s="156" t="n"/>
      <c r="AF640" s="51" t="n"/>
      <c r="AG640" s="156" t="inlineStr">
        <is>
          <t>Nuevo – Carga Hoja2 01/10/2026</t>
        </is>
      </c>
      <c r="AH640" s="156" t="inlineStr">
        <is>
          <t>Alta 01/10/2026 desde Hoja2 (fila 501) | Homologación G1522 06/10/2026: Validador Shopify: WB: precio con IVA no termina en 9</t>
        </is>
      </c>
      <c r="AI640" s="156" t="n"/>
      <c r="AJ640" s="156" t="n"/>
      <c r="AK640" s="155" t="inlineStr">
        <is>
          <t>Hoja2: fila 501 | Odoo: producto 13301 / plantilla 16878</t>
        </is>
      </c>
      <c r="AL640" s="58" t="n"/>
      <c r="AM640" s="58" t="n"/>
      <c r="AN640" s="155" t="inlineStr">
        <is>
          <t>Odoo Universal Unique Brands</t>
        </is>
      </c>
      <c r="AO640" s="59" t="n"/>
      <c r="AP640" s="59" t="n"/>
      <c r="AQ640" s="59" t="n">
        <v>43</v>
      </c>
      <c r="AR640" s="155" t="inlineStr">
        <is>
          <t>Odoo Universal Unique Brands › Bodega 25 › Bodega 25/General: 43</t>
        </is>
      </c>
    </row>
    <row r="641">
      <c r="A641" s="50" t="inlineStr">
        <is>
          <t>717325204708</t>
        </is>
      </c>
      <c r="B641" s="51" t="inlineStr">
        <is>
          <t>11889</t>
        </is>
      </c>
      <c r="C641" s="156" t="inlineStr">
        <is>
          <t>Wrangler</t>
        </is>
      </c>
      <c r="D641" s="156" t="inlineStr">
        <is>
          <t>WG181-8120SKH</t>
        </is>
      </c>
      <c r="E641" s="156" t="inlineStr">
        <is>
          <t>WG181-8120SKH</t>
        </is>
      </c>
      <c r="F641" s="156" t="inlineStr">
        <is>
          <t>Talla única</t>
        </is>
      </c>
      <c r="G641" s="156" t="inlineStr">
        <is>
          <t>One Size</t>
        </is>
      </c>
      <c r="H641" s="156" t="inlineStr">
        <is>
          <t>Wrangler</t>
        </is>
      </c>
      <c r="I641" s="156" t="inlineStr">
        <is>
          <t>Bolsa Tote Cruzada Wrangler Sherpa De Lona Chica Caqui</t>
        </is>
      </c>
      <c r="J641" s="156" t="inlineStr">
        <is>
          <t>Accesorios</t>
        </is>
      </c>
      <c r="K641" s="156" t="inlineStr">
        <is>
          <t>Bolsos</t>
        </is>
      </c>
      <c r="L641" s="156" t="inlineStr">
        <is>
          <t>Unisex</t>
        </is>
      </c>
      <c r="M641" s="156" t="inlineStr">
        <is>
          <t>Wrangler</t>
        </is>
      </c>
      <c r="N641" s="156" t="n"/>
      <c r="O641" s="156" t="inlineStr">
        <is>
          <t>Core</t>
        </is>
      </c>
      <c r="P641" s="156" t="inlineStr">
        <is>
          <t>Beige</t>
        </is>
      </c>
      <c r="Q641" s="156" t="n"/>
      <c r="R641" s="156" t="n"/>
      <c r="S641" s="156" t="n"/>
      <c r="T641" s="156" t="inlineStr">
        <is>
          <t>Bolsa Tote Cruzada Wrangler. Modelo: Sherpa De Lona Chica. Color: Caqui. Talla única. Unisex. Referencia: WG181-8120SKH.</t>
        </is>
      </c>
      <c r="U641" s="156" t="n"/>
      <c r="V641" s="156" t="inlineStr">
        <is>
          <t>PZS</t>
        </is>
      </c>
      <c r="W641" s="51" t="inlineStr">
        <is>
          <t>53121601</t>
        </is>
      </c>
      <c r="X641" s="156" t="n"/>
      <c r="Y641" s="54" t="n">
        <v>414</v>
      </c>
      <c r="Z641" s="54" t="n">
        <v>669</v>
      </c>
      <c r="AA641" s="55">
        <f>IF(AND(A641="", B641="", E641=""), "", IF(AB641="", "Válido", IF((LEN(AB641)-LEN(SUBSTITUTE(AB641,"; ","")))/2+1&gt;(LEN(AB641)-LEN(SUBSTITUTE(AB641,"[Aviso]","")))/7, "Con Incidencias", "Válido")))</f>
        <v/>
      </c>
      <c r="AB641" s="56">
        <f>IF(AND(A641="", B641="", E641=""), "", TEXTJOIN("; ", TRUE, IF(OR(TRIM(A641&amp;"")="", ISNUMBER(SEARCH("FALTA", A641))), "UPC faltante/inválido", ""), IF(AND(A641&lt;&gt;"", IFERROR(_xlfn.XMATCH(A641,$A$2:$A$1063,0,1)&lt;&gt;_xlfn.XMATCH(A641,$A$2:$A$1063,0,-1),FALSE)), "Código de barras duplicado", ""), IF(AND(E641&lt;&gt;"", COUNTIF($E$2:$E$1063, E641)&gt;1), "SKU duplicado", ""), IF(OR(J641="", J641=""), "[Aviso] División no capturada ()", IF(ISNA(MATCH(J641, Criterios!$A$123:$A$126, 0)), "División no válida", "")), IF(OR(K641="", K641=""), "[Aviso] Categoría no capturada ()", IF(ISNA(MATCH(K641, Criterios!$A$81:$A$120, 0)), "Categoría no válida", IF(AND(J641&lt;&gt;"", J641&lt;&gt;"", J641&lt;&gt;VLOOKUP(K641, Criterios!$A$81:$B$120, 2, FALSE)), "División no coincide con Categoría", ""))), IF(OR(L641="", L641=""), "[Aviso] Género no capturado ()", IF(ISNA(MATCH(L641, Criterios!$B$123:$B$127, 0)), "Género no válido", "")), IF(OR(N641="", N641=""), "[Aviso] Temporada no capturada ()", IF(ISNA(MATCH(N641, Criterios!$C$123:$C$128, 0)), "Temporada no válida", "")), IF(OR(O641="", O641=""), "[Aviso] Ciclo de vida no capturado ()", IF(ISNA(MATCH(O641, Criterios!$D$123:$D$124, 0)), "Ciclo de vida no válido", ""))))</f>
        <v/>
      </c>
      <c r="AC641" s="56" t="n"/>
      <c r="AD641" s="51" t="n"/>
      <c r="AE641" s="156" t="n"/>
      <c r="AF641" s="51" t="n"/>
      <c r="AG641" s="156" t="inlineStr">
        <is>
          <t>Nuevo – Carga Hoja2 01/10/2026</t>
        </is>
      </c>
      <c r="AH641" s="156" t="inlineStr">
        <is>
          <t>Alta 01/10/2026 desde Hoja2 (fila 502) | Homologación G1522 06/10/2026: Validador Shopify: WB: precio con IVA no termina en 9</t>
        </is>
      </c>
      <c r="AI641" s="156" t="n"/>
      <c r="AJ641" s="156" t="n"/>
      <c r="AK641" s="155" t="inlineStr">
        <is>
          <t>Hoja2: fila 502 | Odoo: producto 11889 / plantilla 15324</t>
        </is>
      </c>
      <c r="AL641" s="58" t="n"/>
      <c r="AM641" s="58" t="n"/>
      <c r="AN641" s="155" t="inlineStr">
        <is>
          <t>Odoo Universal Unique Brands</t>
        </is>
      </c>
      <c r="AO641" s="59" t="n"/>
      <c r="AP641" s="59" t="n"/>
      <c r="AQ641" s="59" t="n">
        <v>14</v>
      </c>
      <c r="AR641" s="155" t="inlineStr">
        <is>
          <t>Odoo Universal Unique Brands › Bodega 25 › Bodega 25/General: 14</t>
        </is>
      </c>
    </row>
    <row r="642">
      <c r="A642" s="50" t="inlineStr">
        <is>
          <t>717325211195</t>
        </is>
      </c>
      <c r="B642" s="51" t="inlineStr">
        <is>
          <t>27587</t>
        </is>
      </c>
      <c r="C642" s="156" t="inlineStr">
        <is>
          <t>Wrangler</t>
        </is>
      </c>
      <c r="D642" s="156" t="inlineStr">
        <is>
          <t>WG184-W049TQ</t>
        </is>
      </c>
      <c r="E642" s="156" t="inlineStr">
        <is>
          <t>WG184-W049TQ</t>
        </is>
      </c>
      <c r="F642" s="156" t="inlineStr">
        <is>
          <t>Talla única</t>
        </is>
      </c>
      <c r="G642" s="156" t="inlineStr">
        <is>
          <t>One Size</t>
        </is>
      </c>
      <c r="H642" s="156" t="inlineStr">
        <is>
          <t>Wrangler</t>
        </is>
      </c>
      <c r="I642" s="156" t="inlineStr">
        <is>
          <t>Bolsa Wrangler Turquesa</t>
        </is>
      </c>
      <c r="J642" s="156" t="inlineStr">
        <is>
          <t>Accesorios</t>
        </is>
      </c>
      <c r="K642" s="156" t="inlineStr">
        <is>
          <t>Bolsos</t>
        </is>
      </c>
      <c r="L642" s="156" t="inlineStr">
        <is>
          <t>Unisex</t>
        </is>
      </c>
      <c r="M642" s="156" t="inlineStr">
        <is>
          <t>Wrangler</t>
        </is>
      </c>
      <c r="N642" s="156" t="n"/>
      <c r="O642" s="156" t="inlineStr">
        <is>
          <t>Core</t>
        </is>
      </c>
      <c r="P642" s="156" t="inlineStr">
        <is>
          <t>Azul</t>
        </is>
      </c>
      <c r="Q642" s="156" t="n"/>
      <c r="R642" s="156" t="n"/>
      <c r="S642" s="156" t="n"/>
      <c r="T642" s="156" t="inlineStr">
        <is>
          <t>Bolsa Wrangler. Color: Turquesa. Talla única. Unisex. Referencia: WG184-W049TQ.</t>
        </is>
      </c>
      <c r="U642" s="156" t="n"/>
      <c r="V642" s="156" t="inlineStr">
        <is>
          <t>PZS</t>
        </is>
      </c>
      <c r="W642" s="51" t="inlineStr">
        <is>
          <t>53121601</t>
        </is>
      </c>
      <c r="X642" s="156" t="n"/>
      <c r="Y642" s="54" t="n">
        <v>10</v>
      </c>
      <c r="Z642" s="54" t="n">
        <v>279</v>
      </c>
      <c r="AA642" s="55">
        <f>IF(AND(A642="", B642="", E642=""), "", IF(AB642="", "Válido", IF((LEN(AB642)-LEN(SUBSTITUTE(AB642,"; ","")))/2+1&gt;(LEN(AB642)-LEN(SUBSTITUTE(AB642,"[Aviso]","")))/7, "Con Incidencias", "Válido")))</f>
        <v/>
      </c>
      <c r="AB642" s="56">
        <f>IF(AND(A642="", B642="", E642=""), "", TEXTJOIN("; ", TRUE, IF(OR(TRIM(A642&amp;"")="", ISNUMBER(SEARCH("FALTA", A642))), "UPC faltante/inválido", ""), IF(AND(A642&lt;&gt;"", IFERROR(_xlfn.XMATCH(A642,$A$2:$A$1063,0,1)&lt;&gt;_xlfn.XMATCH(A642,$A$2:$A$1063,0,-1),FALSE)), "Código de barras duplicado", ""), IF(AND(E642&lt;&gt;"", COUNTIF($E$2:$E$1063, E642)&gt;1), "SKU duplicado", ""), IF(OR(J642="", J642=""), "[Aviso] División no capturada ()", IF(ISNA(MATCH(J642, Criterios!$A$123:$A$126, 0)), "División no válida", "")), IF(OR(K642="", K642=""), "[Aviso] Categoría no capturada ()", IF(ISNA(MATCH(K642, Criterios!$A$81:$A$120, 0)), "Categoría no válida", IF(AND(J642&lt;&gt;"", J642&lt;&gt;"", J642&lt;&gt;VLOOKUP(K642, Criterios!$A$81:$B$120, 2, FALSE)), "División no coincide con Categoría", ""))), IF(OR(L642="", L642=""), "[Aviso] Género no capturado ()", IF(ISNA(MATCH(L642, Criterios!$B$123:$B$127, 0)), "Género no válido", "")), IF(OR(N642="", N642=""), "[Aviso] Temporada no capturada ()", IF(ISNA(MATCH(N642, Criterios!$C$123:$C$128, 0)), "Temporada no válida", "")), IF(OR(O642="", O642=""), "[Aviso] Ciclo de vida no capturado ()", IF(ISNA(MATCH(O642, Criterios!$D$123:$D$124, 0)), "Ciclo de vida no válido", ""))))</f>
        <v/>
      </c>
      <c r="AC642" s="56" t="n"/>
      <c r="AD642" s="51" t="n"/>
      <c r="AE642" s="156" t="n"/>
      <c r="AF642" s="51" t="n"/>
      <c r="AG642" s="156" t="inlineStr">
        <is>
          <t>Nuevo – Carga Hoja2 01/10/2026</t>
        </is>
      </c>
      <c r="AH642" s="156" t="inlineStr">
        <is>
          <t>Alta 01/10/2026 desde Hoja2 (fila 503) | Homologación G1522 06/10/2026: Validación G1522: [Aviso] Precio de compra posiblemente en USD · Validador Shopify: WB: precio con IVA no termina en 9</t>
        </is>
      </c>
      <c r="AI642" s="156" t="n"/>
      <c r="AJ642" s="156" t="n"/>
      <c r="AK642" s="155" t="inlineStr">
        <is>
          <t>Hoja2: fila 503 | Odoo: producto 27587 / plantilla 34287</t>
        </is>
      </c>
      <c r="AL642" s="58" t="n"/>
      <c r="AM642" s="58" t="n"/>
      <c r="AN642" s="155" t="inlineStr">
        <is>
          <t>Odoo Universal Unique Brands</t>
        </is>
      </c>
      <c r="AO642" s="59" t="n"/>
      <c r="AP642" s="59" t="n"/>
      <c r="AQ642" s="59" t="n">
        <v>-1</v>
      </c>
      <c r="AR642" s="155" t="n"/>
    </row>
    <row r="643">
      <c r="A643" s="50" t="inlineStr">
        <is>
          <t>717325211027</t>
        </is>
      </c>
      <c r="B643" s="51" t="inlineStr">
        <is>
          <t>12514</t>
        </is>
      </c>
      <c r="C643" s="156" t="inlineStr">
        <is>
          <t>Wrangler</t>
        </is>
      </c>
      <c r="D643" s="156" t="inlineStr">
        <is>
          <t>WG187-8318BDY</t>
        </is>
      </c>
      <c r="E643" s="156" t="inlineStr">
        <is>
          <t>WG187-8318BDY</t>
        </is>
      </c>
      <c r="F643" s="156" t="inlineStr">
        <is>
          <t>Talla única</t>
        </is>
      </c>
      <c r="G643" s="156" t="inlineStr">
        <is>
          <t>One Size</t>
        </is>
      </c>
      <c r="H643" s="156" t="inlineStr">
        <is>
          <t>Wrangler</t>
        </is>
      </c>
      <c r="I643" s="156" t="inlineStr">
        <is>
          <t>Mochila Wrangler Vino</t>
        </is>
      </c>
      <c r="J643" s="156" t="inlineStr">
        <is>
          <t>Accesorios</t>
        </is>
      </c>
      <c r="K643" s="156" t="inlineStr">
        <is>
          <t>Mochilas</t>
        </is>
      </c>
      <c r="L643" s="156" t="inlineStr">
        <is>
          <t>Unisex</t>
        </is>
      </c>
      <c r="M643" s="156" t="inlineStr">
        <is>
          <t>Wrangler</t>
        </is>
      </c>
      <c r="N643" s="156" t="n"/>
      <c r="O643" s="156" t="inlineStr">
        <is>
          <t>Core</t>
        </is>
      </c>
      <c r="P643" s="156" t="inlineStr">
        <is>
          <t>Rojo</t>
        </is>
      </c>
      <c r="Q643" s="156" t="n"/>
      <c r="R643" s="156" t="n"/>
      <c r="S643" s="156" t="n"/>
      <c r="T643" s="156" t="inlineStr">
        <is>
          <t>Mochila Wrangler. Color: Vino. Talla única. Unisex. Referencia: WG187-8318BDY.</t>
        </is>
      </c>
      <c r="U643" s="156" t="n"/>
      <c r="V643" s="156" t="inlineStr">
        <is>
          <t>PZS</t>
        </is>
      </c>
      <c r="W643" s="51" t="inlineStr">
        <is>
          <t>53121601</t>
        </is>
      </c>
      <c r="X643" s="156" t="n"/>
      <c r="Y643" s="54" t="n">
        <v>345</v>
      </c>
      <c r="Z643" s="54" t="n">
        <v>559</v>
      </c>
      <c r="AA643" s="55">
        <f>IF(AND(A643="", B643="", E643=""), "", IF(AB643="", "Válido", IF((LEN(AB643)-LEN(SUBSTITUTE(AB643,"; ","")))/2+1&gt;(LEN(AB643)-LEN(SUBSTITUTE(AB643,"[Aviso]","")))/7, "Con Incidencias", "Válido")))</f>
        <v/>
      </c>
      <c r="AB643" s="56">
        <f>IF(AND(A643="", B643="", E643=""), "", TEXTJOIN("; ", TRUE, IF(OR(TRIM(A643&amp;"")="", ISNUMBER(SEARCH("FALTA", A643))), "UPC faltante/inválido", ""), IF(AND(A643&lt;&gt;"", IFERROR(_xlfn.XMATCH(A643,$A$2:$A$1063,0,1)&lt;&gt;_xlfn.XMATCH(A643,$A$2:$A$1063,0,-1),FALSE)), "Código de barras duplicado", ""), IF(AND(E643&lt;&gt;"", COUNTIF($E$2:$E$1063, E643)&gt;1), "SKU duplicado", ""), IF(OR(J643="", J643=""), "[Aviso] División no capturada ()", IF(ISNA(MATCH(J643, Criterios!$A$123:$A$126, 0)), "División no válida", "")), IF(OR(K643="", K643=""), "[Aviso] Categoría no capturada ()", IF(ISNA(MATCH(K643, Criterios!$A$81:$A$120, 0)), "Categoría no válida", IF(AND(J643&lt;&gt;"", J643&lt;&gt;"", J643&lt;&gt;VLOOKUP(K643, Criterios!$A$81:$B$120, 2, FALSE)), "División no coincide con Categoría", ""))), IF(OR(L643="", L643=""), "[Aviso] Género no capturado ()", IF(ISNA(MATCH(L643, Criterios!$B$123:$B$127, 0)), "Género no válido", "")), IF(OR(N643="", N643=""), "[Aviso] Temporada no capturada ()", IF(ISNA(MATCH(N643, Criterios!$C$123:$C$128, 0)), "Temporada no válida", "")), IF(OR(O643="", O643=""), "[Aviso] Ciclo de vida no capturado ()", IF(ISNA(MATCH(O643, Criterios!$D$123:$D$124, 0)), "Ciclo de vida no válido", ""))))</f>
        <v/>
      </c>
      <c r="AC643" s="56" t="n"/>
      <c r="AD643" s="51" t="n"/>
      <c r="AE643" s="156" t="n"/>
      <c r="AF643" s="51" t="n"/>
      <c r="AG643" s="156" t="inlineStr">
        <is>
          <t>Nuevo – Carga Hoja2 01/10/2026</t>
        </is>
      </c>
      <c r="AH643" s="156" t="inlineStr">
        <is>
          <t>Alta 01/10/2026 desde Hoja2 (fila 504) | 01/10/2026: Odoo Universal Unique Brands trae Marca «Montana West», Categoría «Bolsos» — se conservó el valor de Productos | Homologación G1522 06/10/2026: Validador Shopify: WB: precio con IVA no termina en 9</t>
        </is>
      </c>
      <c r="AI643" s="156" t="n"/>
      <c r="AJ643" s="156" t="n"/>
      <c r="AK643" s="155" t="inlineStr">
        <is>
          <t>Hoja2: fila 504 | Odoo: producto 12514 / plantilla 16091 | Odoo: producto 27320 / plantilla 34020</t>
        </is>
      </c>
      <c r="AL643" s="58" t="n"/>
      <c r="AM643" s="58" t="n"/>
      <c r="AN643" s="155" t="inlineStr">
        <is>
          <t>Odoo Universal Unique Brands</t>
        </is>
      </c>
      <c r="AO643" s="59" t="n"/>
      <c r="AP643" s="59" t="n"/>
      <c r="AQ643" s="59" t="n">
        <v>24</v>
      </c>
      <c r="AR643" s="155" t="inlineStr">
        <is>
          <t>Odoo Universal Unique Brands › Bodega 25 › Bodega 25/General: 18 | Odoo Universal Unique Brands › Bodega 25 › Bodega 25/General: 6</t>
        </is>
      </c>
    </row>
    <row r="644">
      <c r="A644" s="50" t="inlineStr">
        <is>
          <t>717325211010</t>
        </is>
      </c>
      <c r="B644" s="51" t="inlineStr">
        <is>
          <t>12510</t>
        </is>
      </c>
      <c r="C644" s="156" t="inlineStr">
        <is>
          <t>Wrangler</t>
        </is>
      </c>
      <c r="D644" s="156" t="inlineStr">
        <is>
          <t>WG187-8318BK</t>
        </is>
      </c>
      <c r="E644" s="156" t="inlineStr">
        <is>
          <t>WG187-8318BK</t>
        </is>
      </c>
      <c r="F644" s="156" t="inlineStr">
        <is>
          <t>Talla única</t>
        </is>
      </c>
      <c r="G644" s="156" t="inlineStr">
        <is>
          <t>One Size</t>
        </is>
      </c>
      <c r="H644" s="156" t="inlineStr">
        <is>
          <t>Wrangler</t>
        </is>
      </c>
      <c r="I644" s="156" t="inlineStr">
        <is>
          <t>Mochila Wrangler Negro</t>
        </is>
      </c>
      <c r="J644" s="156" t="inlineStr">
        <is>
          <t>Accesorios</t>
        </is>
      </c>
      <c r="K644" s="156" t="inlineStr">
        <is>
          <t>Mochilas</t>
        </is>
      </c>
      <c r="L644" s="156" t="inlineStr">
        <is>
          <t>Unisex</t>
        </is>
      </c>
      <c r="M644" s="156" t="inlineStr">
        <is>
          <t>Wrangler</t>
        </is>
      </c>
      <c r="N644" s="156" t="n"/>
      <c r="O644" s="156" t="inlineStr">
        <is>
          <t>Core</t>
        </is>
      </c>
      <c r="P644" s="156" t="inlineStr">
        <is>
          <t>Negro</t>
        </is>
      </c>
      <c r="Q644" s="156" t="n"/>
      <c r="R644" s="156" t="n"/>
      <c r="S644" s="156" t="n"/>
      <c r="T644" s="156" t="inlineStr">
        <is>
          <t>Mochila Wrangler. Color: Negro. Talla única. Unisex. Referencia: WG187-8318BK.</t>
        </is>
      </c>
      <c r="U644" s="156" t="n"/>
      <c r="V644" s="156" t="inlineStr">
        <is>
          <t>PZS</t>
        </is>
      </c>
      <c r="W644" s="51" t="inlineStr">
        <is>
          <t>53121601</t>
        </is>
      </c>
      <c r="X644" s="156" t="n"/>
      <c r="Y644" s="54" t="n">
        <v>345</v>
      </c>
      <c r="Z644" s="54" t="n">
        <v>559</v>
      </c>
      <c r="AA644" s="55">
        <f>IF(AND(A644="", B644="", E644=""), "", IF(AB644="", "Válido", IF((LEN(AB644)-LEN(SUBSTITUTE(AB644,"; ","")))/2+1&gt;(LEN(AB644)-LEN(SUBSTITUTE(AB644,"[Aviso]","")))/7, "Con Incidencias", "Válido")))</f>
        <v/>
      </c>
      <c r="AB644" s="56">
        <f>IF(AND(A644="", B644="", E644=""), "", TEXTJOIN("; ", TRUE, IF(OR(TRIM(A644&amp;"")="", ISNUMBER(SEARCH("FALTA", A644))), "UPC faltante/inválido", ""), IF(AND(A644&lt;&gt;"", IFERROR(_xlfn.XMATCH(A644,$A$2:$A$1063,0,1)&lt;&gt;_xlfn.XMATCH(A644,$A$2:$A$1063,0,-1),FALSE)), "Código de barras duplicado", ""), IF(AND(E644&lt;&gt;"", COUNTIF($E$2:$E$1063, E644)&gt;1), "SKU duplicado", ""), IF(OR(J644="", J644=""), "[Aviso] División no capturada ()", IF(ISNA(MATCH(J644, Criterios!$A$123:$A$126, 0)), "División no válida", "")), IF(OR(K644="", K644=""), "[Aviso] Categoría no capturada ()", IF(ISNA(MATCH(K644, Criterios!$A$81:$A$120, 0)), "Categoría no válida", IF(AND(J644&lt;&gt;"", J644&lt;&gt;"", J644&lt;&gt;VLOOKUP(K644, Criterios!$A$81:$B$120, 2, FALSE)), "División no coincide con Categoría", ""))), IF(OR(L644="", L644=""), "[Aviso] Género no capturado ()", IF(ISNA(MATCH(L644, Criterios!$B$123:$B$127, 0)), "Género no válido", "")), IF(OR(N644="", N644=""), "[Aviso] Temporada no capturada ()", IF(ISNA(MATCH(N644, Criterios!$C$123:$C$128, 0)), "Temporada no válida", "")), IF(OR(O644="", O644=""), "[Aviso] Ciclo de vida no capturado ()", IF(ISNA(MATCH(O644, Criterios!$D$123:$D$124, 0)), "Ciclo de vida no válido", ""))))</f>
        <v/>
      </c>
      <c r="AC644" s="56" t="n"/>
      <c r="AD644" s="51" t="n"/>
      <c r="AE644" s="156" t="n"/>
      <c r="AF644" s="51" t="n"/>
      <c r="AG644" s="156" t="inlineStr">
        <is>
          <t>Nuevo – Carga Hoja2 01/10/2026</t>
        </is>
      </c>
      <c r="AH644" s="156" t="inlineStr">
        <is>
          <t>Alta 01/10/2026 desde Hoja2 (fila 505) | 01/10/2026: Odoo Universal Unique Brands trae Marca «Montana West», Categoría «Bolsos» — se conservó el valor de Productos | Homologación G1522 06/10/2026: Validador Shopify: WB: precio con IVA no termina en 9</t>
        </is>
      </c>
      <c r="AI644" s="156" t="n"/>
      <c r="AJ644" s="156" t="n"/>
      <c r="AK644" s="155" t="inlineStr">
        <is>
          <t>Hoja2: fila 505 | Odoo: producto 12510 / plantilla 16087 | Odoo: producto 27321 / plantilla 34021</t>
        </is>
      </c>
      <c r="AL644" s="58" t="n"/>
      <c r="AM644" s="58" t="n"/>
      <c r="AN644" s="155" t="inlineStr">
        <is>
          <t>Odoo Universal Unique Brands</t>
        </is>
      </c>
      <c r="AO644" s="59" t="n"/>
      <c r="AP644" s="59" t="n"/>
      <c r="AQ644" s="59" t="n">
        <v>21</v>
      </c>
      <c r="AR644" s="155" t="inlineStr">
        <is>
          <t>Odoo Universal Unique Brands › Bodega 25 › Bodega 25/General: 15 | Odoo Universal Unique Brands › Bodega 25 › Bodega 25/General: 6</t>
        </is>
      </c>
    </row>
    <row r="645">
      <c r="A645" s="50" t="inlineStr">
        <is>
          <t>717325211041</t>
        </is>
      </c>
      <c r="B645" s="51" t="inlineStr">
        <is>
          <t>11882</t>
        </is>
      </c>
      <c r="C645" s="156" t="inlineStr">
        <is>
          <t>Wrangler</t>
        </is>
      </c>
      <c r="D645" s="156" t="inlineStr">
        <is>
          <t>WG187-8318BR</t>
        </is>
      </c>
      <c r="E645" s="156" t="inlineStr">
        <is>
          <t>WG187-8318BR</t>
        </is>
      </c>
      <c r="F645" s="156" t="inlineStr">
        <is>
          <t>Talla única</t>
        </is>
      </c>
      <c r="G645" s="156" t="inlineStr">
        <is>
          <t>One Size</t>
        </is>
      </c>
      <c r="H645" s="156" t="inlineStr">
        <is>
          <t>Wrangler</t>
        </is>
      </c>
      <c r="I645" s="156" t="inlineStr">
        <is>
          <t>Bolsa Tote Wrangler Café</t>
        </is>
      </c>
      <c r="J645" s="156" t="inlineStr">
        <is>
          <t>Accesorios</t>
        </is>
      </c>
      <c r="K645" s="156" t="inlineStr">
        <is>
          <t>Bolsos</t>
        </is>
      </c>
      <c r="L645" s="156" t="inlineStr">
        <is>
          <t>Unisex</t>
        </is>
      </c>
      <c r="M645" s="156" t="inlineStr">
        <is>
          <t>Wrangler</t>
        </is>
      </c>
      <c r="N645" s="156" t="n"/>
      <c r="O645" s="156" t="inlineStr">
        <is>
          <t>Core</t>
        </is>
      </c>
      <c r="P645" s="156" t="inlineStr">
        <is>
          <t>Cafe</t>
        </is>
      </c>
      <c r="Q645" s="156" t="n"/>
      <c r="R645" s="156" t="n"/>
      <c r="S645" s="156" t="n"/>
      <c r="T645" s="156" t="inlineStr">
        <is>
          <t>Bolsa Tote Wrangler. Color: Café. Talla única. Unisex. Referencia: WG187-8318BR.</t>
        </is>
      </c>
      <c r="U645" s="156" t="n"/>
      <c r="V645" s="156" t="inlineStr">
        <is>
          <t>PZS</t>
        </is>
      </c>
      <c r="W645" s="51" t="inlineStr">
        <is>
          <t>53121601</t>
        </is>
      </c>
      <c r="X645" s="156" t="n"/>
      <c r="Y645" s="54" t="n">
        <v>345</v>
      </c>
      <c r="Z645" s="54" t="n">
        <v>559</v>
      </c>
      <c r="AA645" s="55">
        <f>IF(AND(A645="", B645="", E645=""), "", IF(AB645="", "Válido", IF((LEN(AB645)-LEN(SUBSTITUTE(AB645,"; ","")))/2+1&gt;(LEN(AB645)-LEN(SUBSTITUTE(AB645,"[Aviso]","")))/7, "Con Incidencias", "Válido")))</f>
        <v/>
      </c>
      <c r="AB645" s="56">
        <f>IF(AND(A645="", B645="", E645=""), "", TEXTJOIN("; ", TRUE, IF(OR(TRIM(A645&amp;"")="", ISNUMBER(SEARCH("FALTA", A645))), "UPC faltante/inválido", ""), IF(AND(A645&lt;&gt;"", IFERROR(_xlfn.XMATCH(A645,$A$2:$A$1063,0,1)&lt;&gt;_xlfn.XMATCH(A645,$A$2:$A$1063,0,-1),FALSE)), "Código de barras duplicado", ""), IF(AND(E645&lt;&gt;"", COUNTIF($E$2:$E$1063, E645)&gt;1), "SKU duplicado", ""), IF(OR(J645="", J645=""), "[Aviso] División no capturada ()", IF(ISNA(MATCH(J645, Criterios!$A$123:$A$126, 0)), "División no válida", "")), IF(OR(K645="", K645=""), "[Aviso] Categoría no capturada ()", IF(ISNA(MATCH(K645, Criterios!$A$81:$A$120, 0)), "Categoría no válida", IF(AND(J645&lt;&gt;"", J645&lt;&gt;"", J645&lt;&gt;VLOOKUP(K645, Criterios!$A$81:$B$120, 2, FALSE)), "División no coincide con Categoría", ""))), IF(OR(L645="", L645=""), "[Aviso] Género no capturado ()", IF(ISNA(MATCH(L645, Criterios!$B$123:$B$127, 0)), "Género no válido", "")), IF(OR(N645="", N645=""), "[Aviso] Temporada no capturada ()", IF(ISNA(MATCH(N645, Criterios!$C$123:$C$128, 0)), "Temporada no válida", "")), IF(OR(O645="", O645=""), "[Aviso] Ciclo de vida no capturado ()", IF(ISNA(MATCH(O645, Criterios!$D$123:$D$124, 0)), "Ciclo de vida no válido", ""))))</f>
        <v/>
      </c>
      <c r="AC645" s="56" t="n"/>
      <c r="AD645" s="51" t="n"/>
      <c r="AE645" s="156" t="n"/>
      <c r="AF645" s="51" t="n"/>
      <c r="AG645" s="156" t="inlineStr">
        <is>
          <t>Nuevo – Carga Hoja2 01/10/2026</t>
        </is>
      </c>
      <c r="AH645" s="156" t="inlineStr">
        <is>
          <t>Alta 01/10/2026 desde Hoja2 (fila 506) | Homologación G1522 06/10/2026: Validador Shopify: WB: precio con IVA no termina en 9</t>
        </is>
      </c>
      <c r="AI645" s="156" t="n"/>
      <c r="AJ645" s="156" t="n"/>
      <c r="AK645" s="155" t="inlineStr">
        <is>
          <t>Hoja2: fila 506 | Odoo: producto 11882 / plantilla 15317</t>
        </is>
      </c>
      <c r="AL645" s="58" t="n"/>
      <c r="AM645" s="58" t="n"/>
      <c r="AN645" s="155" t="inlineStr">
        <is>
          <t>Odoo Universal Unique Brands</t>
        </is>
      </c>
      <c r="AO645" s="59" t="n"/>
      <c r="AP645" s="59" t="n"/>
      <c r="AQ645" s="59" t="n">
        <v>12</v>
      </c>
      <c r="AR645" s="155" t="inlineStr">
        <is>
          <t>Odoo Universal Unique Brands › Bodega 25 › Bodega 25/General: 12</t>
        </is>
      </c>
    </row>
    <row r="646">
      <c r="A646" s="50" t="inlineStr">
        <is>
          <t>717325211072</t>
        </is>
      </c>
      <c r="B646" s="51" t="inlineStr">
        <is>
          <t>12515</t>
        </is>
      </c>
      <c r="C646" s="156" t="inlineStr">
        <is>
          <t>Wrangler</t>
        </is>
      </c>
      <c r="D646" s="156" t="inlineStr">
        <is>
          <t>WG187-8318TN</t>
        </is>
      </c>
      <c r="E646" s="156" t="inlineStr">
        <is>
          <t>WG187-8318TN</t>
        </is>
      </c>
      <c r="F646" s="156" t="inlineStr">
        <is>
          <t>Talla única</t>
        </is>
      </c>
      <c r="G646" s="156" t="inlineStr">
        <is>
          <t>One Size</t>
        </is>
      </c>
      <c r="H646" s="156" t="inlineStr">
        <is>
          <t>Wrangler</t>
        </is>
      </c>
      <c r="I646" s="156" t="inlineStr">
        <is>
          <t>Bolsa de Mano Wrangler Camel</t>
        </is>
      </c>
      <c r="J646" s="156" t="inlineStr">
        <is>
          <t>Accesorios</t>
        </is>
      </c>
      <c r="K646" s="156" t="inlineStr">
        <is>
          <t>Bolsos</t>
        </is>
      </c>
      <c r="L646" s="156" t="inlineStr">
        <is>
          <t>Unisex</t>
        </is>
      </c>
      <c r="M646" s="156" t="inlineStr">
        <is>
          <t>Wrangler</t>
        </is>
      </c>
      <c r="N646" s="156" t="n"/>
      <c r="O646" s="156" t="inlineStr">
        <is>
          <t>Core</t>
        </is>
      </c>
      <c r="P646" s="156" t="inlineStr">
        <is>
          <t>Beige</t>
        </is>
      </c>
      <c r="Q646" s="156" t="n"/>
      <c r="R646" s="156" t="n"/>
      <c r="S646" s="156" t="n"/>
      <c r="T646" s="156" t="inlineStr">
        <is>
          <t>Bolsa de Mano Wrangler. Color: Camel. Talla única. Unisex. Referencia: WG187-8318TN.</t>
        </is>
      </c>
      <c r="U646" s="156" t="n"/>
      <c r="V646" s="156" t="inlineStr">
        <is>
          <t>PZS</t>
        </is>
      </c>
      <c r="W646" s="51" t="inlineStr">
        <is>
          <t>53121601</t>
        </is>
      </c>
      <c r="X646" s="156" t="n"/>
      <c r="Y646" s="54" t="n">
        <v>345</v>
      </c>
      <c r="Z646" s="54" t="n">
        <v>559</v>
      </c>
      <c r="AA646" s="55">
        <f>IF(AND(A646="", B646="", E646=""), "", IF(AB646="", "Válido", IF((LEN(AB646)-LEN(SUBSTITUTE(AB646,"; ","")))/2+1&gt;(LEN(AB646)-LEN(SUBSTITUTE(AB646,"[Aviso]","")))/7, "Con Incidencias", "Válido")))</f>
        <v/>
      </c>
      <c r="AB646" s="56">
        <f>IF(AND(A646="", B646="", E646=""), "", TEXTJOIN("; ", TRUE, IF(OR(TRIM(A646&amp;"")="", ISNUMBER(SEARCH("FALTA", A646))), "UPC faltante/inválido", ""), IF(AND(A646&lt;&gt;"", IFERROR(_xlfn.XMATCH(A646,$A$2:$A$1063,0,1)&lt;&gt;_xlfn.XMATCH(A646,$A$2:$A$1063,0,-1),FALSE)), "Código de barras duplicado", ""), IF(AND(E646&lt;&gt;"", COUNTIF($E$2:$E$1063, E646)&gt;1), "SKU duplicado", ""), IF(OR(J646="", J646=""), "[Aviso] División no capturada ()", IF(ISNA(MATCH(J646, Criterios!$A$123:$A$126, 0)), "División no válida", "")), IF(OR(K646="", K646=""), "[Aviso] Categoría no capturada ()", IF(ISNA(MATCH(K646, Criterios!$A$81:$A$120, 0)), "Categoría no válida", IF(AND(J646&lt;&gt;"", J646&lt;&gt;"", J646&lt;&gt;VLOOKUP(K646, Criterios!$A$81:$B$120, 2, FALSE)), "División no coincide con Categoría", ""))), IF(OR(L646="", L646=""), "[Aviso] Género no capturado ()", IF(ISNA(MATCH(L646, Criterios!$B$123:$B$127, 0)), "Género no válido", "")), IF(OR(N646="", N646=""), "[Aviso] Temporada no capturada ()", IF(ISNA(MATCH(N646, Criterios!$C$123:$C$128, 0)), "Temporada no válida", "")), IF(OR(O646="", O646=""), "[Aviso] Ciclo de vida no capturado ()", IF(ISNA(MATCH(O646, Criterios!$D$123:$D$124, 0)), "Ciclo de vida no válido", ""))))</f>
        <v/>
      </c>
      <c r="AC646" s="56" t="n"/>
      <c r="AD646" s="51" t="n"/>
      <c r="AE646" s="156" t="n"/>
      <c r="AF646" s="51" t="n"/>
      <c r="AG646" s="156" t="inlineStr">
        <is>
          <t>Nuevo – Carga Hoja2 01/10/2026</t>
        </is>
      </c>
      <c r="AH646" s="156" t="inlineStr">
        <is>
          <t>Alta 01/10/2026 desde Hoja2 (fila 507) | 01/10/2026: Odoo Universal Unique Brands trae Marca «Montana West» — se conservó el valor de Productos | Homologación G1522 06/10/2026: Validador Shopify: WB: precio con IVA no termina en 9</t>
        </is>
      </c>
      <c r="AI646" s="156" t="n"/>
      <c r="AJ646" s="156" t="n"/>
      <c r="AK646" s="155" t="inlineStr">
        <is>
          <t>Hoja2: fila 507 | Odoo: producto 12515 / plantilla 16092 | Odoo: producto 27323 / plantilla 34023</t>
        </is>
      </c>
      <c r="AL646" s="58" t="n"/>
      <c r="AM646" s="58" t="n"/>
      <c r="AN646" s="155" t="inlineStr">
        <is>
          <t>Odoo Universal Unique Brands</t>
        </is>
      </c>
      <c r="AO646" s="59" t="n"/>
      <c r="AP646" s="59" t="n"/>
      <c r="AQ646" s="59" t="n">
        <v>17</v>
      </c>
      <c r="AR646" s="155" t="inlineStr">
        <is>
          <t>Odoo Universal Unique Brands › Bodega 25 › Bodega 25/General: 17</t>
        </is>
      </c>
    </row>
    <row r="647">
      <c r="A647" s="50" t="inlineStr">
        <is>
          <t>717325218330</t>
        </is>
      </c>
      <c r="B647" s="51" t="inlineStr">
        <is>
          <t>27561</t>
        </is>
      </c>
      <c r="C647" s="156" t="inlineStr">
        <is>
          <t>Wrangler</t>
        </is>
      </c>
      <c r="D647" s="156" t="inlineStr">
        <is>
          <t>WG195-W054BG</t>
        </is>
      </c>
      <c r="E647" s="156" t="inlineStr">
        <is>
          <t>WG195-W054BG</t>
        </is>
      </c>
      <c r="F647" s="156" t="inlineStr">
        <is>
          <t>Talla única</t>
        </is>
      </c>
      <c r="G647" s="156" t="inlineStr">
        <is>
          <t>One Size</t>
        </is>
      </c>
      <c r="H647" s="156" t="inlineStr">
        <is>
          <t>Wrangler</t>
        </is>
      </c>
      <c r="I647" s="156" t="inlineStr">
        <is>
          <t>Cartera Wrangler Beige</t>
        </is>
      </c>
      <c r="J647" s="156" t="inlineStr">
        <is>
          <t>Accesorios</t>
        </is>
      </c>
      <c r="K647" s="156" t="inlineStr">
        <is>
          <t>Carteras</t>
        </is>
      </c>
      <c r="L647" s="156" t="inlineStr">
        <is>
          <t>Unisex</t>
        </is>
      </c>
      <c r="M647" s="156" t="inlineStr">
        <is>
          <t>Wrangler</t>
        </is>
      </c>
      <c r="N647" s="156" t="n"/>
      <c r="O647" s="156" t="inlineStr">
        <is>
          <t>Core</t>
        </is>
      </c>
      <c r="P647" s="156" t="inlineStr">
        <is>
          <t>Beige</t>
        </is>
      </c>
      <c r="Q647" s="156" t="n"/>
      <c r="R647" s="156" t="n"/>
      <c r="S647" s="156" t="n"/>
      <c r="T647" s="156" t="inlineStr">
        <is>
          <t>Cartera Wrangler. Color: Beige. Talla única. Unisex. Referencia: WG195-W054BG.</t>
        </is>
      </c>
      <c r="U647" s="156" t="n"/>
      <c r="V647" s="156" t="inlineStr">
        <is>
          <t>PZS</t>
        </is>
      </c>
      <c r="W647" s="51" t="inlineStr">
        <is>
          <t>53121700</t>
        </is>
      </c>
      <c r="X647" s="156" t="n"/>
      <c r="Y647" s="54" t="n"/>
      <c r="Z647" s="54" t="n">
        <v>469</v>
      </c>
      <c r="AA647" s="55">
        <f>IF(AND(A647="", B647="", E647=""), "", IF(AB647="", "Válido", IF((LEN(AB647)-LEN(SUBSTITUTE(AB647,"; ","")))/2+1&gt;(LEN(AB647)-LEN(SUBSTITUTE(AB647,"[Aviso]","")))/7, "Con Incidencias", "Válido")))</f>
        <v/>
      </c>
      <c r="AB647" s="56">
        <f>IF(AND(A647="", B647="", E647=""), "", TEXTJOIN("; ", TRUE, IF(OR(TRIM(A647&amp;"")="", ISNUMBER(SEARCH("FALTA", A647))), "UPC faltante/inválido", ""), IF(AND(A647&lt;&gt;"", IFERROR(_xlfn.XMATCH(A647,$A$2:$A$1063,0,1)&lt;&gt;_xlfn.XMATCH(A647,$A$2:$A$1063,0,-1),FALSE)), "Código de barras duplicado", ""), IF(AND(E647&lt;&gt;"", COUNTIF($E$2:$E$1063, E647)&gt;1), "SKU duplicado", ""), IF(OR(J647="", J647=""), "[Aviso] División no capturada ()", IF(ISNA(MATCH(J647, Criterios!$A$123:$A$126, 0)), "División no válida", "")), IF(OR(K647="", K647=""), "[Aviso] Categoría no capturada ()", IF(ISNA(MATCH(K647, Criterios!$A$81:$A$120, 0)), "Categoría no válida", IF(AND(J647&lt;&gt;"", J647&lt;&gt;"", J647&lt;&gt;VLOOKUP(K647, Criterios!$A$81:$B$120, 2, FALSE)), "División no coincide con Categoría", ""))), IF(OR(L647="", L647=""), "[Aviso] Género no capturado ()", IF(ISNA(MATCH(L647, Criterios!$B$123:$B$127, 0)), "Género no válido", "")), IF(OR(N647="", N647=""), "[Aviso] Temporada no capturada ()", IF(ISNA(MATCH(N647, Criterios!$C$123:$C$128, 0)), "Temporada no válida", "")), IF(OR(O647="", O647=""), "[Aviso] Ciclo de vida no capturado ()", IF(ISNA(MATCH(O647, Criterios!$D$123:$D$124, 0)), "Ciclo de vida no válido", ""))))</f>
        <v/>
      </c>
      <c r="AC647" s="56" t="n"/>
      <c r="AD647" s="51" t="n"/>
      <c r="AE647" s="156" t="n"/>
      <c r="AF647" s="51" t="n"/>
      <c r="AG647" s="156" t="inlineStr">
        <is>
          <t>Nuevo – Carga Hoja2 01/10/2026</t>
        </is>
      </c>
      <c r="AH647" s="156" t="inlineStr">
        <is>
          <t>Alta 01/10/2026 desde Hoja2 (fila 508); Precio de compra en 0/vacío en origen | Homologación G1522 06/10/2026: Validador Shopify: WB: precio con IVA no termina en 9</t>
        </is>
      </c>
      <c r="AI647" s="156" t="n"/>
      <c r="AJ647" s="156" t="n"/>
      <c r="AK647" s="155" t="inlineStr">
        <is>
          <t>Hoja2: fila 508 | Odoo: producto 27561 / plantilla 34261</t>
        </is>
      </c>
      <c r="AL647" s="58" t="n"/>
      <c r="AM647" s="58" t="n"/>
      <c r="AN647" s="155" t="inlineStr">
        <is>
          <t>Odoo Universal Unique Brands</t>
        </is>
      </c>
      <c r="AO647" s="59" t="n"/>
      <c r="AP647" s="59" t="n"/>
      <c r="AQ647" s="59" t="n">
        <v>3</v>
      </c>
      <c r="AR647" s="155" t="inlineStr">
        <is>
          <t>Odoo Universal Unique Brands › Bodega 25 › Bodega 25/General: 3</t>
        </is>
      </c>
    </row>
    <row r="648">
      <c r="A648" s="50" t="inlineStr">
        <is>
          <t>717325218361</t>
        </is>
      </c>
      <c r="B648" s="51" t="inlineStr">
        <is>
          <t>12519</t>
        </is>
      </c>
      <c r="C648" s="156" t="inlineStr">
        <is>
          <t>Wrangler</t>
        </is>
      </c>
      <c r="D648" s="156" t="inlineStr">
        <is>
          <t>WG195-W055BR-TN</t>
        </is>
      </c>
      <c r="E648" s="156" t="inlineStr">
        <is>
          <t>WG195-W055BR-TN</t>
        </is>
      </c>
      <c r="F648" s="156" t="inlineStr">
        <is>
          <t>Talla única</t>
        </is>
      </c>
      <c r="G648" s="156" t="inlineStr">
        <is>
          <t>One Size</t>
        </is>
      </c>
      <c r="H648" s="156" t="inlineStr">
        <is>
          <t>Wrangler</t>
        </is>
      </c>
      <c r="I648" s="156" t="inlineStr">
        <is>
          <t>Cartera Trifold Muñequera RFID Wrangler Western Con Tarjetero Desmontable Café / Camel</t>
        </is>
      </c>
      <c r="J648" s="156" t="inlineStr">
        <is>
          <t>Accesorios</t>
        </is>
      </c>
      <c r="K648" s="156" t="inlineStr">
        <is>
          <t>Carteras</t>
        </is>
      </c>
      <c r="L648" s="156" t="inlineStr">
        <is>
          <t>Unisex</t>
        </is>
      </c>
      <c r="M648" s="156" t="inlineStr">
        <is>
          <t>Wrangler</t>
        </is>
      </c>
      <c r="N648" s="156" t="n"/>
      <c r="O648" s="156" t="inlineStr">
        <is>
          <t>Core</t>
        </is>
      </c>
      <c r="P648" s="156" t="inlineStr">
        <is>
          <t>Varios</t>
        </is>
      </c>
      <c r="Q648" s="156" t="n"/>
      <c r="R648" s="156" t="n"/>
      <c r="S648" s="156" t="n"/>
      <c r="T648" s="156" t="inlineStr">
        <is>
          <t>Cartera Trifold Muñequera RFID Wrangler. Modelo: Western Con Tarjetero Desmontable. Color: Café / Camel. Talla única. Unisex. Referencia: WG195-W055BR-TN.</t>
        </is>
      </c>
      <c r="U648" s="156" t="n"/>
      <c r="V648" s="156" t="inlineStr">
        <is>
          <t>PZS</t>
        </is>
      </c>
      <c r="W648" s="51" t="inlineStr">
        <is>
          <t>53121700</t>
        </is>
      </c>
      <c r="X648" s="156" t="n"/>
      <c r="Y648" s="54" t="n">
        <v>276</v>
      </c>
      <c r="Z648" s="54" t="n">
        <v>449</v>
      </c>
      <c r="AA648" s="55">
        <f>IF(AND(A648="", B648="", E648=""), "", IF(AB648="", "Válido", IF((LEN(AB648)-LEN(SUBSTITUTE(AB648,"; ","")))/2+1&gt;(LEN(AB648)-LEN(SUBSTITUTE(AB648,"[Aviso]","")))/7, "Con Incidencias", "Válido")))</f>
        <v/>
      </c>
      <c r="AB648" s="56">
        <f>IF(AND(A648="", B648="", E648=""), "", TEXTJOIN("; ", TRUE, IF(OR(TRIM(A648&amp;"")="", ISNUMBER(SEARCH("FALTA", A648))), "UPC faltante/inválido", ""), IF(AND(A648&lt;&gt;"", IFERROR(_xlfn.XMATCH(A648,$A$2:$A$1063,0,1)&lt;&gt;_xlfn.XMATCH(A648,$A$2:$A$1063,0,-1),FALSE)), "Código de barras duplicado", ""), IF(AND(E648&lt;&gt;"", COUNTIF($E$2:$E$1063, E648)&gt;1), "SKU duplicado", ""), IF(OR(J648="", J648=""), "[Aviso] División no capturada ()", IF(ISNA(MATCH(J648, Criterios!$A$123:$A$126, 0)), "División no válida", "")), IF(OR(K648="", K648=""), "[Aviso] Categoría no capturada ()", IF(ISNA(MATCH(K648, Criterios!$A$81:$A$120, 0)), "Categoría no válida", IF(AND(J648&lt;&gt;"", J648&lt;&gt;"", J648&lt;&gt;VLOOKUP(K648, Criterios!$A$81:$B$120, 2, FALSE)), "División no coincide con Categoría", ""))), IF(OR(L648="", L648=""), "[Aviso] Género no capturado ()", IF(ISNA(MATCH(L648, Criterios!$B$123:$B$127, 0)), "Género no válido", "")), IF(OR(N648="", N648=""), "[Aviso] Temporada no capturada ()", IF(ISNA(MATCH(N648, Criterios!$C$123:$C$128, 0)), "Temporada no válida", "")), IF(OR(O648="", O648=""), "[Aviso] Ciclo de vida no capturado ()", IF(ISNA(MATCH(O648, Criterios!$D$123:$D$124, 0)), "Ciclo de vida no válido", ""))))</f>
        <v/>
      </c>
      <c r="AC648" s="56" t="n"/>
      <c r="AD648" s="51" t="n"/>
      <c r="AE648" s="156" t="n"/>
      <c r="AF648" s="51" t="n"/>
      <c r="AG648" s="156" t="inlineStr">
        <is>
          <t>Nuevo – Carga Hoja2 01/10/2026</t>
        </is>
      </c>
      <c r="AH648" s="156" t="inlineStr">
        <is>
          <t>Alta 01/10/2026 desde Hoja2 (fila 509) | 01/10/2026: Odoo Universal Unique Brands trae Marca «Montana West» — se conservó el valor de Productos | Homologación G1522 06/10/2026: Validador Shopify: WB: precio con IVA no termina en 9</t>
        </is>
      </c>
      <c r="AI648" s="156" t="n"/>
      <c r="AJ648" s="156" t="n"/>
      <c r="AK648" s="155" t="inlineStr">
        <is>
          <t>Hoja2: fila 509 | Odoo: producto 12519 / plantilla 16096 | Odoo: producto 27331 / plantilla 34031</t>
        </is>
      </c>
      <c r="AL648" s="58" t="n"/>
      <c r="AM648" s="58" t="n"/>
      <c r="AN648" s="155" t="inlineStr">
        <is>
          <t>Odoo Universal Unique Brands</t>
        </is>
      </c>
      <c r="AO648" s="59" t="n"/>
      <c r="AP648" s="59" t="n"/>
      <c r="AQ648" s="59" t="n">
        <v>28</v>
      </c>
      <c r="AR648" s="155" t="inlineStr">
        <is>
          <t>Odoo Universal Unique Brands › Bodega 25 › Bodega 25/General: 29</t>
        </is>
      </c>
    </row>
    <row r="649">
      <c r="A649" s="50" t="inlineStr">
        <is>
          <t>717325218446</t>
        </is>
      </c>
      <c r="B649" s="51" t="inlineStr">
        <is>
          <t>13296</t>
        </is>
      </c>
      <c r="C649" s="156" t="inlineStr">
        <is>
          <t>Wrangler</t>
        </is>
      </c>
      <c r="D649" s="156" t="inlineStr">
        <is>
          <t>WG195-W055LIME</t>
        </is>
      </c>
      <c r="E649" s="156" t="inlineStr">
        <is>
          <t>WG195-W055LIME</t>
        </is>
      </c>
      <c r="F649" s="156" t="inlineStr">
        <is>
          <t>Talla única</t>
        </is>
      </c>
      <c r="G649" s="156" t="inlineStr">
        <is>
          <t>One Size</t>
        </is>
      </c>
      <c r="H649" s="156" t="inlineStr">
        <is>
          <t>Wrangler</t>
        </is>
      </c>
      <c r="I649" s="156" t="inlineStr">
        <is>
          <t>Cartera Trifold Muñequera RFID Wrangler Western Con Tarjetero Desmontable Lima</t>
        </is>
      </c>
      <c r="J649" s="156" t="inlineStr">
        <is>
          <t>Accesorios</t>
        </is>
      </c>
      <c r="K649" s="156" t="inlineStr">
        <is>
          <t>Bolsos</t>
        </is>
      </c>
      <c r="L649" s="156" t="inlineStr">
        <is>
          <t>Unisex</t>
        </is>
      </c>
      <c r="M649" s="156" t="inlineStr">
        <is>
          <t>Wrangler</t>
        </is>
      </c>
      <c r="N649" s="156" t="n"/>
      <c r="O649" s="156" t="inlineStr">
        <is>
          <t>Core</t>
        </is>
      </c>
      <c r="P649" s="156" t="inlineStr">
        <is>
          <t>Varios</t>
        </is>
      </c>
      <c r="Q649" s="156" t="n"/>
      <c r="R649" s="156" t="n"/>
      <c r="S649" s="156" t="n"/>
      <c r="T649" s="156" t="inlineStr">
        <is>
          <t>Cartera Trifold Muñequera RFID Wrangler. Modelo: Western Con Tarjetero Desmontable. Color: Lima. Talla única. Unisex. Referencia: WG195-W055LIME.</t>
        </is>
      </c>
      <c r="U649" s="156" t="n"/>
      <c r="V649" s="156" t="inlineStr">
        <is>
          <t>PZS</t>
        </is>
      </c>
      <c r="W649" s="51" t="inlineStr">
        <is>
          <t>53121601</t>
        </is>
      </c>
      <c r="X649" s="156" t="n"/>
      <c r="Y649" s="54" t="n">
        <v>276</v>
      </c>
      <c r="Z649" s="54" t="n">
        <v>449</v>
      </c>
      <c r="AA649" s="55">
        <f>IF(AND(A649="", B649="", E649=""), "", IF(AB649="", "Válido", IF((LEN(AB649)-LEN(SUBSTITUTE(AB649,"; ","")))/2+1&gt;(LEN(AB649)-LEN(SUBSTITUTE(AB649,"[Aviso]","")))/7, "Con Incidencias", "Válido")))</f>
        <v/>
      </c>
      <c r="AB649" s="56">
        <f>IF(AND(A649="", B649="", E649=""), "", TEXTJOIN("; ", TRUE, IF(OR(TRIM(A649&amp;"")="", ISNUMBER(SEARCH("FALTA", A649))), "UPC faltante/inválido", ""), IF(AND(A649&lt;&gt;"", IFERROR(_xlfn.XMATCH(A649,$A$2:$A$1063,0,1)&lt;&gt;_xlfn.XMATCH(A649,$A$2:$A$1063,0,-1),FALSE)), "Código de barras duplicado", ""), IF(AND(E649&lt;&gt;"", COUNTIF($E$2:$E$1063, E649)&gt;1), "SKU duplicado", ""), IF(OR(J649="", J649=""), "[Aviso] División no capturada ()", IF(ISNA(MATCH(J649, Criterios!$A$123:$A$126, 0)), "División no válida", "")), IF(OR(K649="", K649=""), "[Aviso] Categoría no capturada ()", IF(ISNA(MATCH(K649, Criterios!$A$81:$A$120, 0)), "Categoría no válida", IF(AND(J649&lt;&gt;"", J649&lt;&gt;"", J649&lt;&gt;VLOOKUP(K649, Criterios!$A$81:$B$120, 2, FALSE)), "División no coincide con Categoría", ""))), IF(OR(L649="", L649=""), "[Aviso] Género no capturado ()", IF(ISNA(MATCH(L649, Criterios!$B$123:$B$127, 0)), "Género no válido", "")), IF(OR(N649="", N649=""), "[Aviso] Temporada no capturada ()", IF(ISNA(MATCH(N649, Criterios!$C$123:$C$128, 0)), "Temporada no válida", "")), IF(OR(O649="", O649=""), "[Aviso] Ciclo de vida no capturado ()", IF(ISNA(MATCH(O649, Criterios!$D$123:$D$124, 0)), "Ciclo de vida no válido", ""))))</f>
        <v/>
      </c>
      <c r="AC649" s="56" t="n"/>
      <c r="AD649" s="51" t="n"/>
      <c r="AE649" s="156" t="n"/>
      <c r="AF649" s="51" t="n"/>
      <c r="AG649" s="156" t="inlineStr">
        <is>
          <t>Nuevo – Carga Hoja2 01/10/2026</t>
        </is>
      </c>
      <c r="AH649" s="156" t="inlineStr">
        <is>
          <t>Alta 01/10/2026 desde Hoja2 (fila 510) | 01/10/2026: Odoo Universal Unique Brands trae Marca «Montana West», Categoría «Carteras» — se conservó el valor de Productos | Homologación G1522 06/10/2026: Validador Shopify: WB: precio con IVA no termina en 9</t>
        </is>
      </c>
      <c r="AI649" s="156" t="n"/>
      <c r="AJ649" s="156" t="n"/>
      <c r="AK649" s="155" t="inlineStr">
        <is>
          <t>Hoja2: fila 510 | Odoo: producto 13296 / plantilla 16873 | Odoo: producto 27335 / plantilla 34035</t>
        </is>
      </c>
      <c r="AL649" s="58" t="n"/>
      <c r="AM649" s="58" t="n"/>
      <c r="AN649" s="155" t="inlineStr">
        <is>
          <t>Odoo Universal Unique Brands</t>
        </is>
      </c>
      <c r="AO649" s="59" t="n"/>
      <c r="AP649" s="59" t="n"/>
      <c r="AQ649" s="59" t="n">
        <v>28</v>
      </c>
      <c r="AR649" s="155" t="inlineStr">
        <is>
          <t>Odoo Universal Unique Brands › Bodega 25 › Bodega 25/General: 28</t>
        </is>
      </c>
    </row>
    <row r="650">
      <c r="A650" s="50" t="inlineStr">
        <is>
          <t>717325218453</t>
        </is>
      </c>
      <c r="B650" s="51" t="inlineStr">
        <is>
          <t>13319</t>
        </is>
      </c>
      <c r="C650" s="156" t="inlineStr">
        <is>
          <t>Wrangler</t>
        </is>
      </c>
      <c r="D650" s="156" t="inlineStr">
        <is>
          <t>WG195-W055TN</t>
        </is>
      </c>
      <c r="E650" s="156" t="inlineStr">
        <is>
          <t>WG195-W055TN</t>
        </is>
      </c>
      <c r="F650" s="156" t="inlineStr">
        <is>
          <t>Talla única</t>
        </is>
      </c>
      <c r="G650" s="156" t="inlineStr">
        <is>
          <t>One Size</t>
        </is>
      </c>
      <c r="H650" s="156" t="inlineStr">
        <is>
          <t>Wrangler</t>
        </is>
      </c>
      <c r="I650" s="156" t="inlineStr">
        <is>
          <t>Cartera Trifold Muñequera RFID Wrangler Western Con Tarjetero Desmontable Camel</t>
        </is>
      </c>
      <c r="J650" s="156" t="inlineStr">
        <is>
          <t>Accesorios</t>
        </is>
      </c>
      <c r="K650" s="156" t="inlineStr">
        <is>
          <t>Bolsos</t>
        </is>
      </c>
      <c r="L650" s="156" t="inlineStr">
        <is>
          <t>Unisex</t>
        </is>
      </c>
      <c r="M650" s="156" t="inlineStr">
        <is>
          <t>Wrangler</t>
        </is>
      </c>
      <c r="N650" s="156" t="n"/>
      <c r="O650" s="156" t="inlineStr">
        <is>
          <t>Core</t>
        </is>
      </c>
      <c r="P650" s="156" t="inlineStr">
        <is>
          <t>Beige</t>
        </is>
      </c>
      <c r="Q650" s="156" t="n"/>
      <c r="R650" s="156" t="n"/>
      <c r="S650" s="156" t="n"/>
      <c r="T650" s="156" t="inlineStr">
        <is>
          <t>Cartera Trifold Muñequera RFID Wrangler. Modelo: Western Con Tarjetero Desmontable. Color: Camel. Talla única. Unisex. Referencia: WG195-W055TN.</t>
        </is>
      </c>
      <c r="U650" s="156" t="n"/>
      <c r="V650" s="156" t="inlineStr">
        <is>
          <t>PZS</t>
        </is>
      </c>
      <c r="W650" s="51" t="inlineStr">
        <is>
          <t>53121601</t>
        </is>
      </c>
      <c r="X650" s="156" t="n"/>
      <c r="Y650" s="54" t="n">
        <v>276</v>
      </c>
      <c r="Z650" s="54" t="n">
        <v>449</v>
      </c>
      <c r="AA650" s="55">
        <f>IF(AND(A650="", B650="", E650=""), "", IF(AB650="", "Válido", IF((LEN(AB650)-LEN(SUBSTITUTE(AB650,"; ","")))/2+1&gt;(LEN(AB650)-LEN(SUBSTITUTE(AB650,"[Aviso]","")))/7, "Con Incidencias", "Válido")))</f>
        <v/>
      </c>
      <c r="AB650" s="56">
        <f>IF(AND(A650="", B650="", E650=""), "", TEXTJOIN("; ", TRUE, IF(OR(TRIM(A650&amp;"")="", ISNUMBER(SEARCH("FALTA", A650))), "UPC faltante/inválido", ""), IF(AND(A650&lt;&gt;"", IFERROR(_xlfn.XMATCH(A650,$A$2:$A$1063,0,1)&lt;&gt;_xlfn.XMATCH(A650,$A$2:$A$1063,0,-1),FALSE)), "Código de barras duplicado", ""), IF(AND(E650&lt;&gt;"", COUNTIF($E$2:$E$1063, E650)&gt;1), "SKU duplicado", ""), IF(OR(J650="", J650=""), "[Aviso] División no capturada ()", IF(ISNA(MATCH(J650, Criterios!$A$123:$A$126, 0)), "División no válida", "")), IF(OR(K650="", K650=""), "[Aviso] Categoría no capturada ()", IF(ISNA(MATCH(K650, Criterios!$A$81:$A$120, 0)), "Categoría no válida", IF(AND(J650&lt;&gt;"", J650&lt;&gt;"", J650&lt;&gt;VLOOKUP(K650, Criterios!$A$81:$B$120, 2, FALSE)), "División no coincide con Categoría", ""))), IF(OR(L650="", L650=""), "[Aviso] Género no capturado ()", IF(ISNA(MATCH(L650, Criterios!$B$123:$B$127, 0)), "Género no válido", "")), IF(OR(N650="", N650=""), "[Aviso] Temporada no capturada ()", IF(ISNA(MATCH(N650, Criterios!$C$123:$C$128, 0)), "Temporada no válida", "")), IF(OR(O650="", O650=""), "[Aviso] Ciclo de vida no capturado ()", IF(ISNA(MATCH(O650, Criterios!$D$123:$D$124, 0)), "Ciclo de vida no válido", ""))))</f>
        <v/>
      </c>
      <c r="AC650" s="56" t="n"/>
      <c r="AD650" s="51" t="n"/>
      <c r="AE650" s="156" t="n"/>
      <c r="AF650" s="51" t="n"/>
      <c r="AG650" s="156" t="inlineStr">
        <is>
          <t>Nuevo – Carga Hoja2 01/10/2026</t>
        </is>
      </c>
      <c r="AH650" s="156" t="inlineStr">
        <is>
          <t>Alta 01/10/2026 desde Hoja2 (fila 511) | 01/10/2026: Odoo Universal Unique Brands trae Marca «Montana West», Categoría «Carteras» — se conservó el valor de Productos | Homologación G1522 06/10/2026: Validador Shopify: WB: precio con IVA no termina en 9</t>
        </is>
      </c>
      <c r="AI650" s="156" t="n"/>
      <c r="AJ650" s="156" t="n"/>
      <c r="AK650" s="155" t="inlineStr">
        <is>
          <t>Hoja2: fila 511 | Odoo: producto 13319 / plantilla 16896 | Odoo: producto 27336 / plantilla 34036</t>
        </is>
      </c>
      <c r="AL650" s="58" t="n"/>
      <c r="AM650" s="58" t="n"/>
      <c r="AN650" s="155" t="inlineStr">
        <is>
          <t>Odoo Universal Unique Brands</t>
        </is>
      </c>
      <c r="AO650" s="59" t="n"/>
      <c r="AP650" s="59" t="n"/>
      <c r="AQ650" s="59" t="n">
        <v>39</v>
      </c>
      <c r="AR650" s="155" t="inlineStr">
        <is>
          <t>Odoo Universal Unique Brands › Bodega 25 › Bodega 25/General: 43</t>
        </is>
      </c>
    </row>
    <row r="651">
      <c r="A651" s="50" t="inlineStr">
        <is>
          <t>717325225444</t>
        </is>
      </c>
      <c r="B651" s="51" t="inlineStr">
        <is>
          <t>12484</t>
        </is>
      </c>
      <c r="C651" s="156" t="inlineStr">
        <is>
          <t>Wrangler</t>
        </is>
      </c>
      <c r="D651" s="156" t="inlineStr">
        <is>
          <t>WG198-W063BR</t>
        </is>
      </c>
      <c r="E651" s="156" t="inlineStr">
        <is>
          <t>WG198-W063BR</t>
        </is>
      </c>
      <c r="F651" s="156" t="inlineStr">
        <is>
          <t>Talla única</t>
        </is>
      </c>
      <c r="G651" s="156" t="inlineStr">
        <is>
          <t>One Size</t>
        </is>
      </c>
      <c r="H651" s="156" t="inlineStr">
        <is>
          <t>Wrangler</t>
        </is>
      </c>
      <c r="I651" s="156" t="inlineStr">
        <is>
          <t>Bolsa Wrangler Café</t>
        </is>
      </c>
      <c r="J651" s="156" t="inlineStr">
        <is>
          <t>Accesorios</t>
        </is>
      </c>
      <c r="K651" s="156" t="inlineStr">
        <is>
          <t>Bolsos</t>
        </is>
      </c>
      <c r="L651" s="156" t="inlineStr">
        <is>
          <t>Unisex</t>
        </is>
      </c>
      <c r="M651" s="156" t="inlineStr">
        <is>
          <t>Wrangler</t>
        </is>
      </c>
      <c r="N651" s="156" t="n"/>
      <c r="O651" s="156" t="inlineStr">
        <is>
          <t>Core</t>
        </is>
      </c>
      <c r="P651" s="156" t="inlineStr">
        <is>
          <t>Cafe</t>
        </is>
      </c>
      <c r="Q651" s="156" t="n"/>
      <c r="R651" s="156" t="n"/>
      <c r="S651" s="156" t="n"/>
      <c r="T651" s="156" t="inlineStr">
        <is>
          <t>Bolsa Wrangler. Color: Café. Talla única. Unisex. Referencia: WG198-W063BR.</t>
        </is>
      </c>
      <c r="U651" s="156" t="n"/>
      <c r="V651" s="156" t="inlineStr">
        <is>
          <t>PZS</t>
        </is>
      </c>
      <c r="W651" s="51" t="inlineStr">
        <is>
          <t>53121601</t>
        </is>
      </c>
      <c r="X651" s="156" t="n"/>
      <c r="Y651" s="54" t="n">
        <v>241.5</v>
      </c>
      <c r="Z651" s="54" t="n">
        <v>389</v>
      </c>
      <c r="AA651" s="55">
        <f>IF(AND(A651="", B651="", E651=""), "", IF(AB651="", "Válido", IF((LEN(AB651)-LEN(SUBSTITUTE(AB651,"; ","")))/2+1&gt;(LEN(AB651)-LEN(SUBSTITUTE(AB651,"[Aviso]","")))/7, "Con Incidencias", "Válido")))</f>
        <v/>
      </c>
      <c r="AB651" s="56">
        <f>IF(AND(A651="", B651="", E651=""), "", TEXTJOIN("; ", TRUE, IF(OR(TRIM(A651&amp;"")="", ISNUMBER(SEARCH("FALTA", A651))), "UPC faltante/inválido", ""), IF(AND(A651&lt;&gt;"", IFERROR(_xlfn.XMATCH(A651,$A$2:$A$1063,0,1)&lt;&gt;_xlfn.XMATCH(A651,$A$2:$A$1063,0,-1),FALSE)), "Código de barras duplicado", ""), IF(AND(E651&lt;&gt;"", COUNTIF($E$2:$E$1063, E651)&gt;1), "SKU duplicado", ""), IF(OR(J651="", J651=""), "[Aviso] División no capturada ()", IF(ISNA(MATCH(J651, Criterios!$A$123:$A$126, 0)), "División no válida", "")), IF(OR(K651="", K651=""), "[Aviso] Categoría no capturada ()", IF(ISNA(MATCH(K651, Criterios!$A$81:$A$120, 0)), "Categoría no válida", IF(AND(J651&lt;&gt;"", J651&lt;&gt;"", J651&lt;&gt;VLOOKUP(K651, Criterios!$A$81:$B$120, 2, FALSE)), "División no coincide con Categoría", ""))), IF(OR(L651="", L651=""), "[Aviso] Género no capturado ()", IF(ISNA(MATCH(L651, Criterios!$B$123:$B$127, 0)), "Género no válido", "")), IF(OR(N651="", N651=""), "[Aviso] Temporada no capturada ()", IF(ISNA(MATCH(N651, Criterios!$C$123:$C$128, 0)), "Temporada no válida", "")), IF(OR(O651="", O651=""), "[Aviso] Ciclo de vida no capturado ()", IF(ISNA(MATCH(O651, Criterios!$D$123:$D$124, 0)), "Ciclo de vida no válido", ""))))</f>
        <v/>
      </c>
      <c r="AC651" s="56" t="n"/>
      <c r="AD651" s="51" t="n"/>
      <c r="AE651" s="156" t="n"/>
      <c r="AF651" s="51" t="n"/>
      <c r="AG651" s="156" t="inlineStr">
        <is>
          <t>Nuevo – Carga Hoja2 01/10/2026</t>
        </is>
      </c>
      <c r="AH651" s="156" t="inlineStr">
        <is>
          <t>Alta 01/10/2026 desde Hoja2 (fila 512) | Homologación G1522 06/10/2026: Validador Shopify: WB: precio con IVA no termina en 9</t>
        </is>
      </c>
      <c r="AI651" s="156" t="n"/>
      <c r="AJ651" s="156" t="n"/>
      <c r="AK651" s="155" t="inlineStr">
        <is>
          <t>Hoja2: fila 512 | Odoo: producto 12484 / plantilla 16061</t>
        </is>
      </c>
      <c r="AL651" s="58" t="n"/>
      <c r="AM651" s="58" t="n"/>
      <c r="AN651" s="155" t="inlineStr">
        <is>
          <t>Odoo Universal Unique Brands</t>
        </is>
      </c>
      <c r="AO651" s="59" t="n"/>
      <c r="AP651" s="59" t="n"/>
      <c r="AQ651" s="59" t="n">
        <v>26</v>
      </c>
      <c r="AR651" s="155" t="inlineStr">
        <is>
          <t>Odoo Universal Unique Brands › Bodega 25 › Bodega 25/General: 26</t>
        </is>
      </c>
    </row>
    <row r="652">
      <c r="A652" s="50" t="n"/>
      <c r="B652" s="51" t="inlineStr">
        <is>
          <t>12489</t>
        </is>
      </c>
      <c r="C652" s="156" t="inlineStr">
        <is>
          <t>Wrangler</t>
        </is>
      </c>
      <c r="D652" s="156" t="n"/>
      <c r="E652" s="156" t="inlineStr">
        <is>
          <t>WG198-W063TN</t>
        </is>
      </c>
      <c r="F652" s="156" t="inlineStr">
        <is>
          <t>Talla única</t>
        </is>
      </c>
      <c r="G652" s="156" t="inlineStr">
        <is>
          <t>One Size</t>
        </is>
      </c>
      <c r="H652" s="156" t="inlineStr">
        <is>
          <t>Wrangler</t>
        </is>
      </c>
      <c r="I652" s="156" t="inlineStr">
        <is>
          <t>WG BAG</t>
        </is>
      </c>
      <c r="J652" s="156" t="inlineStr">
        <is>
          <t>Accesorios</t>
        </is>
      </c>
      <c r="K652" s="156" t="inlineStr">
        <is>
          <t>Bolsos</t>
        </is>
      </c>
      <c r="L652" s="156" t="inlineStr">
        <is>
          <t>Unisex</t>
        </is>
      </c>
      <c r="M652" s="156" t="n"/>
      <c r="N652" s="156" t="n"/>
      <c r="O652" s="156" t="n"/>
      <c r="P652" s="156" t="n"/>
      <c r="Q652" s="156" t="n"/>
      <c r="R652" s="156" t="n"/>
      <c r="S652" s="156" t="n"/>
      <c r="T652" s="156" t="n"/>
      <c r="U652" s="156" t="n"/>
      <c r="V652" s="156" t="inlineStr">
        <is>
          <t>PZS</t>
        </is>
      </c>
      <c r="W652" s="51" t="inlineStr">
        <is>
          <t>53121700</t>
        </is>
      </c>
      <c r="X652" s="156" t="n"/>
      <c r="Y652" s="54" t="n">
        <v>241.5</v>
      </c>
      <c r="Z652" s="54" t="n">
        <v>389</v>
      </c>
      <c r="AA652" s="55">
        <f>IF(AND(A652="", B652="", E652=""), "", IF(AB652="", "Válido", IF((LEN(AB652)-LEN(SUBSTITUTE(AB652,"; ","")))/2+1&gt;(LEN(AB652)-LEN(SUBSTITUTE(AB652,"[Aviso]","")))/7, "Con Incidencias", "Válido")))</f>
        <v/>
      </c>
      <c r="AB652" s="56">
        <f>IF(AND(A652="", B652="", E652=""), "", TEXTJOIN("; ", TRUE, IF(OR(TRIM(A652&amp;"")="", ISNUMBER(SEARCH("FALTA", A652))), "UPC faltante/inválido", ""), IF(AND(A652&lt;&gt;"", IFERROR(_xlfn.XMATCH(A652,$A$2:$A$1063,0,1)&lt;&gt;_xlfn.XMATCH(A652,$A$2:$A$1063,0,-1),FALSE)), "Código de barras duplicado", ""), IF(AND(E652&lt;&gt;"", COUNTIF($E$2:$E$1063, E652)&gt;1), "SKU duplicado", ""), IF(OR(J652="", J652=""), "[Aviso] División no capturada ()", IF(ISNA(MATCH(J652, Criterios!$A$123:$A$126, 0)), "División no válida", "")), IF(OR(K652="", K652=""), "[Aviso] Categoría no capturada ()", IF(ISNA(MATCH(K652, Criterios!$A$81:$A$120, 0)), "Categoría no válida", IF(AND(J652&lt;&gt;"", J652&lt;&gt;"", J652&lt;&gt;VLOOKUP(K652, Criterios!$A$81:$B$120, 2, FALSE)), "División no coincide con Categoría", ""))), IF(OR(L652="", L652=""), "[Aviso] Género no capturado ()", IF(ISNA(MATCH(L652, Criterios!$B$123:$B$127, 0)), "Género no válido", "")), IF(OR(N652="", N652=""), "[Aviso] Temporada no capturada ()", IF(ISNA(MATCH(N652, Criterios!$C$123:$C$128, 0)), "Temporada no válida", "")), IF(OR(O652="", O652=""), "[Aviso] Ciclo de vida no capturado ()", IF(ISNA(MATCH(O652, Criterios!$D$123:$D$124, 0)), "Ciclo de vida no válido", ""))))</f>
        <v/>
      </c>
      <c r="AC652" s="56" t="n"/>
      <c r="AD652" s="51" t="n"/>
      <c r="AE652" s="156" t="n"/>
      <c r="AF652" s="51" t="n"/>
      <c r="AG652" s="156" t="inlineStr">
        <is>
          <t>Nuevo – Carga Hoja2 01/10/2026</t>
        </is>
      </c>
      <c r="AH652" s="156" t="inlineStr">
        <is>
          <t>Alta 01/10/2026 desde Hoja2 (fila 513) | Homologación G1522 06/10/2026: WB Género: «» → «Unisex» (Completado por regla)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652" s="156" t="n"/>
      <c r="AJ652" s="156" t="n"/>
      <c r="AK652" s="155" t="inlineStr">
        <is>
          <t>Hoja2: fila 513</t>
        </is>
      </c>
      <c r="AL652" s="58" t="n"/>
      <c r="AM652" s="58" t="n"/>
      <c r="AN652" s="155" t="n"/>
      <c r="AO652" s="59" t="n"/>
      <c r="AP652" s="59" t="n"/>
      <c r="AQ652" s="59" t="n"/>
      <c r="AR652" s="155" t="n"/>
    </row>
    <row r="653">
      <c r="A653" s="50" t="inlineStr">
        <is>
          <t>717690431204</t>
        </is>
      </c>
      <c r="B653" s="51" t="inlineStr">
        <is>
          <t>13311</t>
        </is>
      </c>
      <c r="C653" s="156" t="inlineStr">
        <is>
          <t>Wrangler</t>
        </is>
      </c>
      <c r="D653" s="156" t="inlineStr">
        <is>
          <t>WG218-W068DPK</t>
        </is>
      </c>
      <c r="E653" s="156" t="inlineStr">
        <is>
          <t>WG218-W068DPK</t>
        </is>
      </c>
      <c r="F653" s="156" t="inlineStr">
        <is>
          <t>Talla única</t>
        </is>
      </c>
      <c r="G653" s="156" t="inlineStr">
        <is>
          <t>One Size</t>
        </is>
      </c>
      <c r="H653" s="156" t="inlineStr">
        <is>
          <t>Wrangler</t>
        </is>
      </c>
      <c r="I653" s="156" t="inlineStr">
        <is>
          <t>Cartera Muñequera Wrangler Bordada Azteca Rosa Oscuro</t>
        </is>
      </c>
      <c r="J653" s="156" t="inlineStr">
        <is>
          <t>Accesorios</t>
        </is>
      </c>
      <c r="K653" s="156" t="inlineStr">
        <is>
          <t>Carteras</t>
        </is>
      </c>
      <c r="L653" s="156" t="inlineStr">
        <is>
          <t>Unisex</t>
        </is>
      </c>
      <c r="M653" s="156" t="inlineStr">
        <is>
          <t>Wrangler</t>
        </is>
      </c>
      <c r="N653" s="156" t="n"/>
      <c r="O653" s="156" t="inlineStr">
        <is>
          <t>Core</t>
        </is>
      </c>
      <c r="P653" s="156" t="inlineStr">
        <is>
          <t>Rosa</t>
        </is>
      </c>
      <c r="Q653" s="156" t="n"/>
      <c r="R653" s="156" t="n"/>
      <c r="S653" s="156" t="n"/>
      <c r="T653" s="156" t="inlineStr">
        <is>
          <t>Cartera Muñequera Wrangler. Modelo: Bordada Azteca. Color: Rosa Oscuro. Talla única. Unisex. Referencia: WG218-W068DPK.</t>
        </is>
      </c>
      <c r="U653" s="156" t="n"/>
      <c r="V653" s="156" t="inlineStr">
        <is>
          <t>PZS</t>
        </is>
      </c>
      <c r="W653" s="51" t="inlineStr">
        <is>
          <t>53121700</t>
        </is>
      </c>
      <c r="X653" s="156" t="n"/>
      <c r="Y653" s="54" t="n">
        <v>276</v>
      </c>
      <c r="Z653" s="54" t="n">
        <v>449</v>
      </c>
      <c r="AA653" s="55">
        <f>IF(AND(A653="", B653="", E653=""), "", IF(AB653="", "Válido", IF((LEN(AB653)-LEN(SUBSTITUTE(AB653,"; ","")))/2+1&gt;(LEN(AB653)-LEN(SUBSTITUTE(AB653,"[Aviso]","")))/7, "Con Incidencias", "Válido")))</f>
        <v/>
      </c>
      <c r="AB653" s="56">
        <f>IF(AND(A653="", B653="", E653=""), "", TEXTJOIN("; ", TRUE, IF(OR(TRIM(A653&amp;"")="", ISNUMBER(SEARCH("FALTA", A653))), "UPC faltante/inválido", ""), IF(AND(A653&lt;&gt;"", IFERROR(_xlfn.XMATCH(A653,$A$2:$A$1063,0,1)&lt;&gt;_xlfn.XMATCH(A653,$A$2:$A$1063,0,-1),FALSE)), "Código de barras duplicado", ""), IF(AND(E653&lt;&gt;"", COUNTIF($E$2:$E$1063, E653)&gt;1), "SKU duplicado", ""), IF(OR(J653="", J653=""), "[Aviso] División no capturada ()", IF(ISNA(MATCH(J653, Criterios!$A$123:$A$126, 0)), "División no válida", "")), IF(OR(K653="", K653=""), "[Aviso] Categoría no capturada ()", IF(ISNA(MATCH(K653, Criterios!$A$81:$A$120, 0)), "Categoría no válida", IF(AND(J653&lt;&gt;"", J653&lt;&gt;"", J653&lt;&gt;VLOOKUP(K653, Criterios!$A$81:$B$120, 2, FALSE)), "División no coincide con Categoría", ""))), IF(OR(L653="", L653=""), "[Aviso] Género no capturado ()", IF(ISNA(MATCH(L653, Criterios!$B$123:$B$127, 0)), "Género no válido", "")), IF(OR(N653="", N653=""), "[Aviso] Temporada no capturada ()", IF(ISNA(MATCH(N653, Criterios!$C$123:$C$128, 0)), "Temporada no válida", "")), IF(OR(O653="", O653=""), "[Aviso] Ciclo de vida no capturado ()", IF(ISNA(MATCH(O653, Criterios!$D$123:$D$124, 0)), "Ciclo de vida no válido", ""))))</f>
        <v/>
      </c>
      <c r="AC653" s="56" t="n"/>
      <c r="AD653" s="51" t="n"/>
      <c r="AE653" s="156" t="n"/>
      <c r="AF653" s="51" t="n"/>
      <c r="AG653" s="156" t="inlineStr">
        <is>
          <t>Nuevo – Carga Hoja2 01/10/2026</t>
        </is>
      </c>
      <c r="AH653" s="156" t="inlineStr">
        <is>
          <t>Alta 01/10/2026 desde Hoja2 (fila 514) | 01/10/2026: Odoo Universal Unique Brands trae Marca «Montana West» — se conservó el valor de Productos | Homologación G1522 06/10/2026: Validador Shopify: WB: precio con IVA no termina en 9</t>
        </is>
      </c>
      <c r="AI653" s="156" t="n"/>
      <c r="AJ653" s="156" t="n"/>
      <c r="AK653" s="155" t="inlineStr">
        <is>
          <t>Hoja2: fila 514 | Odoo: producto 13311 / plantilla 16888 | Odoo: producto 27355 / plantilla 34055</t>
        </is>
      </c>
      <c r="AL653" s="58" t="n"/>
      <c r="AM653" s="58" t="n"/>
      <c r="AN653" s="155" t="inlineStr">
        <is>
          <t>Odoo Universal Unique Brands</t>
        </is>
      </c>
      <c r="AO653" s="59" t="n"/>
      <c r="AP653" s="59" t="n"/>
      <c r="AQ653" s="59" t="n">
        <v>50</v>
      </c>
      <c r="AR653" s="155" t="inlineStr">
        <is>
          <t>Odoo Universal Unique Brands › Bodega 25 › Bodega 25/General: 51</t>
        </is>
      </c>
    </row>
    <row r="654">
      <c r="A654" s="50" t="inlineStr">
        <is>
          <t>717325226052</t>
        </is>
      </c>
      <c r="B654" s="51" t="inlineStr">
        <is>
          <t>27554</t>
        </is>
      </c>
      <c r="C654" s="156" t="inlineStr">
        <is>
          <t>Wrangler</t>
        </is>
      </c>
      <c r="D654" s="156" t="inlineStr">
        <is>
          <t>WG219-183BR</t>
        </is>
      </c>
      <c r="E654" s="156" t="inlineStr">
        <is>
          <t>WG219-183BR</t>
        </is>
      </c>
      <c r="F654" s="156" t="inlineStr">
        <is>
          <t>Talla única</t>
        </is>
      </c>
      <c r="G654" s="156" t="inlineStr">
        <is>
          <t>One Size</t>
        </is>
      </c>
      <c r="H654" s="156" t="inlineStr">
        <is>
          <t>Wrangler</t>
        </is>
      </c>
      <c r="I654" s="156" t="inlineStr">
        <is>
          <t>Bolsa Cruzada Wrangler Bolsillo De Mezclilla Repelente Al Agua Con Costura "W" Café</t>
        </is>
      </c>
      <c r="J654" s="156" t="inlineStr">
        <is>
          <t>Accesorios</t>
        </is>
      </c>
      <c r="K654" s="156" t="inlineStr">
        <is>
          <t>Bolsos</t>
        </is>
      </c>
      <c r="L654" s="156" t="inlineStr">
        <is>
          <t>Unisex</t>
        </is>
      </c>
      <c r="M654" s="156" t="inlineStr">
        <is>
          <t>Wrangler</t>
        </is>
      </c>
      <c r="N654" s="156" t="n"/>
      <c r="O654" s="156" t="inlineStr">
        <is>
          <t>Core</t>
        </is>
      </c>
      <c r="P654" s="156" t="inlineStr">
        <is>
          <t>Cafe</t>
        </is>
      </c>
      <c r="Q654" s="156" t="n"/>
      <c r="R654" s="156" t="n"/>
      <c r="S654" s="156" t="n"/>
      <c r="T654" s="156" t="inlineStr">
        <is>
          <t>Bolsa Cruzada Wrangler. Modelo: Bolsillo De Mezclilla Repelente Al Agua Con Costura "W". Color: Café. Talla única. Unisex. Referencia: WG219-183BR.</t>
        </is>
      </c>
      <c r="U654" s="156" t="n"/>
      <c r="V654" s="156" t="inlineStr">
        <is>
          <t>PZS</t>
        </is>
      </c>
      <c r="W654" s="51" t="inlineStr">
        <is>
          <t>53121601</t>
        </is>
      </c>
      <c r="X654" s="156" t="inlineStr">
        <is>
          <t>https://m-universal-unique-brands.odoo.com/web/image/product.product/27554/image_1920</t>
        </is>
      </c>
      <c r="Y654" s="54" t="n"/>
      <c r="Z654" s="54" t="n">
        <v>449</v>
      </c>
      <c r="AA654" s="55">
        <f>IF(AND(A654="", B654="", E654=""), "", IF(AB654="", "Válido", IF((LEN(AB654)-LEN(SUBSTITUTE(AB654,"; ","")))/2+1&gt;(LEN(AB654)-LEN(SUBSTITUTE(AB654,"[Aviso]","")))/7, "Con Incidencias", "Válido")))</f>
        <v/>
      </c>
      <c r="AB654" s="56">
        <f>IF(AND(A654="", B654="", E654=""), "", TEXTJOIN("; ", TRUE, IF(OR(TRIM(A654&amp;"")="", ISNUMBER(SEARCH("FALTA", A654))), "UPC faltante/inválido", ""), IF(AND(A654&lt;&gt;"", IFERROR(_xlfn.XMATCH(A654,$A$2:$A$1063,0,1)&lt;&gt;_xlfn.XMATCH(A654,$A$2:$A$1063,0,-1),FALSE)), "Código de barras duplicado", ""), IF(AND(E654&lt;&gt;"", COUNTIF($E$2:$E$1063, E654)&gt;1), "SKU duplicado", ""), IF(OR(J654="", J654=""), "[Aviso] División no capturada ()", IF(ISNA(MATCH(J654, Criterios!$A$123:$A$126, 0)), "División no válida", "")), IF(OR(K654="", K654=""), "[Aviso] Categoría no capturada ()", IF(ISNA(MATCH(K654, Criterios!$A$81:$A$120, 0)), "Categoría no válida", IF(AND(J654&lt;&gt;"", J654&lt;&gt;"", J654&lt;&gt;VLOOKUP(K654, Criterios!$A$81:$B$120, 2, FALSE)), "División no coincide con Categoría", ""))), IF(OR(L654="", L654=""), "[Aviso] Género no capturado ()", IF(ISNA(MATCH(L654, Criterios!$B$123:$B$127, 0)), "Género no válido", "")), IF(OR(N654="", N654=""), "[Aviso] Temporada no capturada ()", IF(ISNA(MATCH(N654, Criterios!$C$123:$C$128, 0)), "Temporada no válida", "")), IF(OR(O654="", O654=""), "[Aviso] Ciclo de vida no capturado ()", IF(ISNA(MATCH(O654, Criterios!$D$123:$D$124, 0)), "Ciclo de vida no válido", ""))))</f>
        <v/>
      </c>
      <c r="AC654" s="56" t="n"/>
      <c r="AD654" s="51" t="n"/>
      <c r="AE654" s="156" t="n"/>
      <c r="AF654" s="51" t="n"/>
      <c r="AG654" s="156" t="inlineStr">
        <is>
          <t>Nuevo – Carga Hoja2 01/10/2026</t>
        </is>
      </c>
      <c r="AH654" s="156" t="inlineStr">
        <is>
          <t>Alta 01/10/2026 desde Hoja2 (fila 515); Precio de compra en 0/vacío en origen | 01/10/2026: complementado desde Odoo Universal Unique Brands (match por código de barras): Enlace de imagen | Homologación G1522 06/10/2026: Validador Shopify: WB: precio con IVA no termina en 9</t>
        </is>
      </c>
      <c r="AI654" s="156" t="n"/>
      <c r="AJ654" s="156" t="n"/>
      <c r="AK654" s="155" t="inlineStr">
        <is>
          <t>Hoja2: fila 515 | Odoo: producto 27554 / plantilla 34254</t>
        </is>
      </c>
      <c r="AL654" s="58" t="n"/>
      <c r="AM654" s="58" t="n"/>
      <c r="AN654" s="155" t="inlineStr">
        <is>
          <t>Odoo Universal Unique Brands</t>
        </is>
      </c>
      <c r="AO654" s="59" t="n"/>
      <c r="AP654" s="59" t="n"/>
      <c r="AQ654" s="59" t="n">
        <v>-1</v>
      </c>
      <c r="AR654" s="155" t="n"/>
    </row>
    <row r="655">
      <c r="A655" s="50" t="inlineStr">
        <is>
          <t>717325225963</t>
        </is>
      </c>
      <c r="B655" s="51" t="inlineStr">
        <is>
          <t>13306</t>
        </is>
      </c>
      <c r="C655" s="156" t="inlineStr">
        <is>
          <t>Wrangler</t>
        </is>
      </c>
      <c r="D655" s="156" t="inlineStr">
        <is>
          <t>WG219-8317BK</t>
        </is>
      </c>
      <c r="E655" s="156" t="inlineStr">
        <is>
          <t>WG219-8317BK</t>
        </is>
      </c>
      <c r="F655" s="156" t="inlineStr">
        <is>
          <t>Talla única</t>
        </is>
      </c>
      <c r="G655" s="156" t="inlineStr">
        <is>
          <t>One Size</t>
        </is>
      </c>
      <c r="H655" s="156" t="inlineStr">
        <is>
          <t>Wrangler</t>
        </is>
      </c>
      <c r="I655" s="156" t="inlineStr">
        <is>
          <t>Bolsa Tote Con Cierre Wrangler Bolsillo De Mezclilla Repelente Al Agua Con Costura "W" Negro</t>
        </is>
      </c>
      <c r="J655" s="156" t="inlineStr">
        <is>
          <t>Accesorios</t>
        </is>
      </c>
      <c r="K655" s="156" t="inlineStr">
        <is>
          <t>Bolsos</t>
        </is>
      </c>
      <c r="L655" s="156" t="inlineStr">
        <is>
          <t>Unisex</t>
        </is>
      </c>
      <c r="M655" s="156" t="inlineStr">
        <is>
          <t>Wrangler</t>
        </is>
      </c>
      <c r="N655" s="156" t="n"/>
      <c r="O655" s="156" t="inlineStr">
        <is>
          <t>Core</t>
        </is>
      </c>
      <c r="P655" s="156" t="inlineStr">
        <is>
          <t>Negro</t>
        </is>
      </c>
      <c r="Q655" s="156" t="n"/>
      <c r="R655" s="156" t="n"/>
      <c r="S655" s="156" t="n"/>
      <c r="T655" s="156" t="inlineStr">
        <is>
          <t>Bolsa Tote Con Cierre Wrangler. Modelo: Bolsillo De Mezclilla Repelente Al Agua Con Costura "W". Color: Negro. Talla única. Unisex. Referencia: WG219-8317BK.</t>
        </is>
      </c>
      <c r="U655" s="156" t="n"/>
      <c r="V655" s="156" t="inlineStr">
        <is>
          <t>PZS</t>
        </is>
      </c>
      <c r="W655" s="51" t="inlineStr">
        <is>
          <t>53121601</t>
        </is>
      </c>
      <c r="X655" s="156" t="n"/>
      <c r="Y655" s="54" t="n">
        <v>483</v>
      </c>
      <c r="Z655" s="54" t="n">
        <v>779</v>
      </c>
      <c r="AA655" s="55">
        <f>IF(AND(A655="", B655="", E655=""), "", IF(AB655="", "Válido", IF((LEN(AB655)-LEN(SUBSTITUTE(AB655,"; ","")))/2+1&gt;(LEN(AB655)-LEN(SUBSTITUTE(AB655,"[Aviso]","")))/7, "Con Incidencias", "Válido")))</f>
        <v/>
      </c>
      <c r="AB655" s="56">
        <f>IF(AND(A655="", B655="", E655=""), "", TEXTJOIN("; ", TRUE, IF(OR(TRIM(A655&amp;"")="", ISNUMBER(SEARCH("FALTA", A655))), "UPC faltante/inválido", ""), IF(AND(A655&lt;&gt;"", IFERROR(_xlfn.XMATCH(A655,$A$2:$A$1063,0,1)&lt;&gt;_xlfn.XMATCH(A655,$A$2:$A$1063,0,-1),FALSE)), "Código de barras duplicado", ""), IF(AND(E655&lt;&gt;"", COUNTIF($E$2:$E$1063, E655)&gt;1), "SKU duplicado", ""), IF(OR(J655="", J655=""), "[Aviso] División no capturada ()", IF(ISNA(MATCH(J655, Criterios!$A$123:$A$126, 0)), "División no válida", "")), IF(OR(K655="", K655=""), "[Aviso] Categoría no capturada ()", IF(ISNA(MATCH(K655, Criterios!$A$81:$A$120, 0)), "Categoría no válida", IF(AND(J655&lt;&gt;"", J655&lt;&gt;"", J655&lt;&gt;VLOOKUP(K655, Criterios!$A$81:$B$120, 2, FALSE)), "División no coincide con Categoría", ""))), IF(OR(L655="", L655=""), "[Aviso] Género no capturado ()", IF(ISNA(MATCH(L655, Criterios!$B$123:$B$127, 0)), "Género no válido", "")), IF(OR(N655="", N655=""), "[Aviso] Temporada no capturada ()", IF(ISNA(MATCH(N655, Criterios!$C$123:$C$128, 0)), "Temporada no válida", "")), IF(OR(O655="", O655=""), "[Aviso] Ciclo de vida no capturado ()", IF(ISNA(MATCH(O655, Criterios!$D$123:$D$124, 0)), "Ciclo de vida no válido", ""))))</f>
        <v/>
      </c>
      <c r="AC655" s="56" t="n"/>
      <c r="AD655" s="51" t="n"/>
      <c r="AE655" s="156" t="n"/>
      <c r="AF655" s="51" t="n"/>
      <c r="AG655" s="156" t="inlineStr">
        <is>
          <t>Nuevo – Carga Hoja2 01/10/2026</t>
        </is>
      </c>
      <c r="AH655" s="156" t="inlineStr">
        <is>
          <t>Alta 01/10/2026 desde Hoja2 (fila 516) | Homologación G1522 06/10/2026: Validador Shopify: WB: precio con IVA no termina en 9</t>
        </is>
      </c>
      <c r="AI655" s="156" t="n"/>
      <c r="AJ655" s="156" t="n"/>
      <c r="AK655" s="155" t="inlineStr">
        <is>
          <t>Hoja2: fila 516 | Odoo: producto 13306 / plantilla 16883</t>
        </is>
      </c>
      <c r="AL655" s="58" t="n"/>
      <c r="AM655" s="58" t="n"/>
      <c r="AN655" s="155" t="inlineStr">
        <is>
          <t>Odoo Universal Unique Brands</t>
        </is>
      </c>
      <c r="AO655" s="59" t="n"/>
      <c r="AP655" s="59" t="n"/>
      <c r="AQ655" s="59" t="n">
        <v>17</v>
      </c>
      <c r="AR655" s="155" t="inlineStr">
        <is>
          <t>Odoo Universal Unique Brands › Bodega 25 › Bodega 25/General: 17</t>
        </is>
      </c>
    </row>
    <row r="656">
      <c r="A656" s="50" t="inlineStr">
        <is>
          <t>717325225994</t>
        </is>
      </c>
      <c r="B656" s="51" t="inlineStr">
        <is>
          <t>13307</t>
        </is>
      </c>
      <c r="C656" s="156" t="inlineStr">
        <is>
          <t>Wrangler</t>
        </is>
      </c>
      <c r="D656" s="156" t="n"/>
      <c r="E656" s="156" t="inlineStr">
        <is>
          <t>WG219-8317BR</t>
        </is>
      </c>
      <c r="F656" s="156" t="inlineStr">
        <is>
          <t>Talla única</t>
        </is>
      </c>
      <c r="G656" s="156" t="inlineStr">
        <is>
          <t>One Size</t>
        </is>
      </c>
      <c r="H656" s="156" t="inlineStr">
        <is>
          <t>Wrangler</t>
        </is>
      </c>
      <c r="I656" s="156" t="inlineStr">
        <is>
          <t>WG BAG BR</t>
        </is>
      </c>
      <c r="J656" s="156" t="inlineStr">
        <is>
          <t>Accesorios</t>
        </is>
      </c>
      <c r="K656" s="156" t="inlineStr">
        <is>
          <t>Bolsos</t>
        </is>
      </c>
      <c r="L656" s="156" t="inlineStr">
        <is>
          <t>Unisex</t>
        </is>
      </c>
      <c r="M656" s="156" t="n"/>
      <c r="N656" s="156" t="n"/>
      <c r="O656" s="156" t="n"/>
      <c r="P656" s="156" t="n"/>
      <c r="Q656" s="156" t="n"/>
      <c r="R656" s="156" t="n"/>
      <c r="S656" s="156" t="n"/>
      <c r="T656" s="156" t="n"/>
      <c r="U656" s="156" t="n"/>
      <c r="V656" s="156" t="inlineStr">
        <is>
          <t>PZS</t>
        </is>
      </c>
      <c r="W656" s="51" t="inlineStr">
        <is>
          <t>53121601</t>
        </is>
      </c>
      <c r="X656" s="156" t="n"/>
      <c r="Y656" s="54" t="n">
        <v>483</v>
      </c>
      <c r="Z656" s="54" t="n">
        <v>779</v>
      </c>
      <c r="AA656" s="55">
        <f>IF(AND(A656="", B656="", E656=""), "", IF(AB656="", "Válido", IF((LEN(AB656)-LEN(SUBSTITUTE(AB656,"; ","")))/2+1&gt;(LEN(AB656)-LEN(SUBSTITUTE(AB656,"[Aviso]","")))/7, "Con Incidencias", "Válido")))</f>
        <v/>
      </c>
      <c r="AB656" s="56">
        <f>IF(AND(A656="", B656="", E656=""), "", TEXTJOIN("; ", TRUE, IF(OR(TRIM(A656&amp;"")="", ISNUMBER(SEARCH("FALTA", A656))), "UPC faltante/inválido", ""), IF(AND(A656&lt;&gt;"", IFERROR(_xlfn.XMATCH(A656,$A$2:$A$1063,0,1)&lt;&gt;_xlfn.XMATCH(A656,$A$2:$A$1063,0,-1),FALSE)), "Código de barras duplicado", ""), IF(AND(E656&lt;&gt;"", COUNTIF($E$2:$E$1063, E656)&gt;1), "SKU duplicado", ""), IF(OR(J656="", J656=""), "[Aviso] División no capturada ()", IF(ISNA(MATCH(J656, Criterios!$A$123:$A$126, 0)), "División no válida", "")), IF(OR(K656="", K656=""), "[Aviso] Categoría no capturada ()", IF(ISNA(MATCH(K656, Criterios!$A$81:$A$120, 0)), "Categoría no válida", IF(AND(J656&lt;&gt;"", J656&lt;&gt;"", J656&lt;&gt;VLOOKUP(K656, Criterios!$A$81:$B$120, 2, FALSE)), "División no coincide con Categoría", ""))), IF(OR(L656="", L656=""), "[Aviso] Género no capturado ()", IF(ISNA(MATCH(L656, Criterios!$B$123:$B$127, 0)), "Género no válido", "")), IF(OR(N656="", N656=""), "[Aviso] Temporada no capturada ()", IF(ISNA(MATCH(N656, Criterios!$C$123:$C$128, 0)), "Temporada no válida", "")), IF(OR(O656="", O656=""), "[Aviso] Ciclo de vida no capturado ()", IF(ISNA(MATCH(O656, Criterios!$D$123:$D$124, 0)), "Ciclo de vida no válido", ""))))</f>
        <v/>
      </c>
      <c r="AC656" s="56" t="n"/>
      <c r="AD656" s="51" t="n"/>
      <c r="AE656" s="156" t="n"/>
      <c r="AF656" s="51" t="n"/>
      <c r="AG656" s="156" t="inlineStr">
        <is>
          <t>Nuevo – Carga Hoja2 01/10/2026</t>
        </is>
      </c>
      <c r="AH656" s="156" t="inlineStr">
        <is>
          <t>Alta 01/10/2026 desde Hoja2 (fila 517)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656" s="156" t="n"/>
      <c r="AJ656" s="156" t="n"/>
      <c r="AK656" s="155" t="inlineStr">
        <is>
          <t>Hoja2: fila 517 | Odoo: producto 13307 / plantilla 16884</t>
        </is>
      </c>
      <c r="AL656" s="58" t="n"/>
      <c r="AM656" s="58" t="n"/>
      <c r="AN656" s="155" t="inlineStr">
        <is>
          <t>Odoo Universal Unique Brands</t>
        </is>
      </c>
      <c r="AO656" s="59" t="n"/>
      <c r="AP656" s="59" t="n"/>
      <c r="AQ656" s="59" t="n">
        <v>20</v>
      </c>
      <c r="AR656" s="155" t="inlineStr">
        <is>
          <t>Odoo Universal Unique Brands › Bodega 25 › Bodega 25/General: 20</t>
        </is>
      </c>
    </row>
    <row r="657">
      <c r="A657" s="50" t="inlineStr">
        <is>
          <t>750850036291</t>
        </is>
      </c>
      <c r="B657" s="51" t="inlineStr">
        <is>
          <t>13298</t>
        </is>
      </c>
      <c r="C657" s="156" t="inlineStr">
        <is>
          <t>Wrangler</t>
        </is>
      </c>
      <c r="D657" s="156" t="inlineStr">
        <is>
          <t>WG2202-8119BR</t>
        </is>
      </c>
      <c r="E657" s="156" t="inlineStr">
        <is>
          <t>WG2202-8119BR</t>
        </is>
      </c>
      <c r="F657" s="156" t="inlineStr">
        <is>
          <t>Talla única</t>
        </is>
      </c>
      <c r="G657" s="156" t="inlineStr">
        <is>
          <t>One Size</t>
        </is>
      </c>
      <c r="H657" s="156" t="inlineStr">
        <is>
          <t>Wrangler</t>
        </is>
      </c>
      <c r="I657" s="156" t="inlineStr">
        <is>
          <t>Bolsa Wrangler Café</t>
        </is>
      </c>
      <c r="J657" s="156" t="inlineStr">
        <is>
          <t>Accesorios</t>
        </is>
      </c>
      <c r="K657" s="156" t="inlineStr">
        <is>
          <t>Bolsos</t>
        </is>
      </c>
      <c r="L657" s="156" t="inlineStr">
        <is>
          <t>Unisex</t>
        </is>
      </c>
      <c r="M657" s="156" t="inlineStr">
        <is>
          <t>Wrangler</t>
        </is>
      </c>
      <c r="N657" s="156" t="n"/>
      <c r="O657" s="156" t="inlineStr">
        <is>
          <t>Core</t>
        </is>
      </c>
      <c r="P657" s="156" t="inlineStr">
        <is>
          <t>Cafe</t>
        </is>
      </c>
      <c r="Q657" s="156" t="n"/>
      <c r="R657" s="156" t="n"/>
      <c r="S657" s="156" t="n"/>
      <c r="T657" s="156" t="inlineStr">
        <is>
          <t>Bolsa Wrangler. Color: Café. Talla única. Unisex. Referencia: WG2202-8119BR.</t>
        </is>
      </c>
      <c r="U657" s="156" t="n"/>
      <c r="V657" s="156" t="inlineStr">
        <is>
          <t>PZS</t>
        </is>
      </c>
      <c r="W657" s="51" t="inlineStr">
        <is>
          <t>53121601</t>
        </is>
      </c>
      <c r="X657" s="156" t="n"/>
      <c r="Y657" s="54" t="n">
        <v>345</v>
      </c>
      <c r="Z657" s="54" t="n">
        <v>559</v>
      </c>
      <c r="AA657" s="55">
        <f>IF(AND(A657="", B657="", E657=""), "", IF(AB657="", "Válido", IF((LEN(AB657)-LEN(SUBSTITUTE(AB657,"; ","")))/2+1&gt;(LEN(AB657)-LEN(SUBSTITUTE(AB657,"[Aviso]","")))/7, "Con Incidencias", "Válido")))</f>
        <v/>
      </c>
      <c r="AB657" s="56">
        <f>IF(AND(A657="", B657="", E657=""), "", TEXTJOIN("; ", TRUE, IF(OR(TRIM(A657&amp;"")="", ISNUMBER(SEARCH("FALTA", A657))), "UPC faltante/inválido", ""), IF(AND(A657&lt;&gt;"", IFERROR(_xlfn.XMATCH(A657,$A$2:$A$1063,0,1)&lt;&gt;_xlfn.XMATCH(A657,$A$2:$A$1063,0,-1),FALSE)), "Código de barras duplicado", ""), IF(AND(E657&lt;&gt;"", COUNTIF($E$2:$E$1063, E657)&gt;1), "SKU duplicado", ""), IF(OR(J657="", J657=""), "[Aviso] División no capturada ()", IF(ISNA(MATCH(J657, Criterios!$A$123:$A$126, 0)), "División no válida", "")), IF(OR(K657="", K657=""), "[Aviso] Categoría no capturada ()", IF(ISNA(MATCH(K657, Criterios!$A$81:$A$120, 0)), "Categoría no válida", IF(AND(J657&lt;&gt;"", J657&lt;&gt;"", J657&lt;&gt;VLOOKUP(K657, Criterios!$A$81:$B$120, 2, FALSE)), "División no coincide con Categoría", ""))), IF(OR(L657="", L657=""), "[Aviso] Género no capturado ()", IF(ISNA(MATCH(L657, Criterios!$B$123:$B$127, 0)), "Género no válido", "")), IF(OR(N657="", N657=""), "[Aviso] Temporada no capturada ()", IF(ISNA(MATCH(N657, Criterios!$C$123:$C$128, 0)), "Temporada no válida", "")), IF(OR(O657="", O657=""), "[Aviso] Ciclo de vida no capturado ()", IF(ISNA(MATCH(O657, Criterios!$D$123:$D$124, 0)), "Ciclo de vida no válido", ""))))</f>
        <v/>
      </c>
      <c r="AC657" s="56" t="n"/>
      <c r="AD657" s="51" t="n"/>
      <c r="AE657" s="156" t="n"/>
      <c r="AF657" s="51" t="n"/>
      <c r="AG657" s="156" t="inlineStr">
        <is>
          <t>Nuevo – Carga Hoja2 01/10/2026</t>
        </is>
      </c>
      <c r="AH657" s="156" t="inlineStr">
        <is>
          <t>Alta 01/10/2026 desde Hoja2 (fila 518) | Homologación G1522 06/10/2026: Validador Shopify: WB: precio con IVA no termina en 9</t>
        </is>
      </c>
      <c r="AI657" s="156" t="n"/>
      <c r="AJ657" s="156" t="n"/>
      <c r="AK657" s="155" t="inlineStr">
        <is>
          <t>Hoja2: fila 518 | Odoo: producto 13298 / plantilla 16875</t>
        </is>
      </c>
      <c r="AL657" s="58" t="n"/>
      <c r="AM657" s="58" t="n"/>
      <c r="AN657" s="155" t="inlineStr">
        <is>
          <t>Odoo Universal Unique Brands</t>
        </is>
      </c>
      <c r="AO657" s="59" t="n"/>
      <c r="AP657" s="59" t="n"/>
      <c r="AQ657" s="59" t="n">
        <v>24</v>
      </c>
      <c r="AR657" s="155" t="inlineStr">
        <is>
          <t>Odoo Universal Unique Brands › Bodega 25 › Bodega 25/General: 24</t>
        </is>
      </c>
    </row>
    <row r="658">
      <c r="A658" s="50" t="inlineStr">
        <is>
          <t>762704248040</t>
        </is>
      </c>
      <c r="B658" s="51" t="inlineStr">
        <is>
          <t>13293</t>
        </is>
      </c>
      <c r="C658" s="156" t="inlineStr">
        <is>
          <t>Wrangler</t>
        </is>
      </c>
      <c r="D658" s="156" t="inlineStr">
        <is>
          <t>WG2202-8120SBR</t>
        </is>
      </c>
      <c r="E658" s="156" t="inlineStr">
        <is>
          <t>WG2202-8120SBR</t>
        </is>
      </c>
      <c r="F658" s="156" t="inlineStr">
        <is>
          <t>Talla única</t>
        </is>
      </c>
      <c r="G658" s="156" t="inlineStr">
        <is>
          <t>One Size</t>
        </is>
      </c>
      <c r="H658" s="156" t="inlineStr">
        <is>
          <t>Wrangler</t>
        </is>
      </c>
      <c r="I658" s="156" t="inlineStr">
        <is>
          <t>Bolsa Tote Cruzada Wrangler Estampado Suroeste De Lona Chica Café</t>
        </is>
      </c>
      <c r="J658" s="156" t="inlineStr">
        <is>
          <t>Accesorios</t>
        </is>
      </c>
      <c r="K658" s="156" t="inlineStr">
        <is>
          <t>Bolsos</t>
        </is>
      </c>
      <c r="L658" s="156" t="inlineStr">
        <is>
          <t>Unisex</t>
        </is>
      </c>
      <c r="M658" s="156" t="inlineStr">
        <is>
          <t>Wrangler</t>
        </is>
      </c>
      <c r="N658" s="156" t="n"/>
      <c r="O658" s="156" t="inlineStr">
        <is>
          <t>Core</t>
        </is>
      </c>
      <c r="P658" s="156" t="inlineStr">
        <is>
          <t>Cafe</t>
        </is>
      </c>
      <c r="Q658" s="156" t="n"/>
      <c r="R658" s="156" t="n"/>
      <c r="S658" s="156" t="n"/>
      <c r="T658" s="156" t="inlineStr">
        <is>
          <t>Bolsa Tote Cruzada Wrangler. Modelo: Estampado Suroeste De Lona Chica. Color: Café. Talla única. Unisex. Referencia: WG2202-8120SBR.</t>
        </is>
      </c>
      <c r="U658" s="156" t="n"/>
      <c r="V658" s="156" t="inlineStr">
        <is>
          <t>PZS</t>
        </is>
      </c>
      <c r="W658" s="51" t="inlineStr">
        <is>
          <t>53121601</t>
        </is>
      </c>
      <c r="X658" s="156" t="inlineStr">
        <is>
          <t>https://cdn.shopify.com/s/files/1/0005/9015/1741/files/Wrangler_Southwestern_Crossbody_Bag_-_Montana_West_World_b.png?v=1762927845</t>
        </is>
      </c>
      <c r="Y658" s="54" t="n">
        <v>310.5</v>
      </c>
      <c r="Z658" s="54" t="n">
        <v>499</v>
      </c>
      <c r="AA658" s="55">
        <f>IF(AND(A658="", B658="", E658=""), "", IF(AB658="", "Válido", IF((LEN(AB658)-LEN(SUBSTITUTE(AB658,"; ","")))/2+1&gt;(LEN(AB658)-LEN(SUBSTITUTE(AB658,"[Aviso]","")))/7, "Con Incidencias", "Válido")))</f>
        <v/>
      </c>
      <c r="AB658" s="56">
        <f>IF(AND(A658="", B658="", E658=""), "", TEXTJOIN("; ", TRUE, IF(OR(TRIM(A658&amp;"")="", ISNUMBER(SEARCH("FALTA", A658))), "UPC faltante/inválido", ""), IF(AND(A658&lt;&gt;"", IFERROR(_xlfn.XMATCH(A658,$A$2:$A$1063,0,1)&lt;&gt;_xlfn.XMATCH(A658,$A$2:$A$1063,0,-1),FALSE)), "Código de barras duplicado", ""), IF(AND(E658&lt;&gt;"", COUNTIF($E$2:$E$1063, E658)&gt;1), "SKU duplicado", ""), IF(OR(J658="", J658=""), "[Aviso] División no capturada ()", IF(ISNA(MATCH(J658, Criterios!$A$123:$A$126, 0)), "División no válida", "")), IF(OR(K658="", K658=""), "[Aviso] Categoría no capturada ()", IF(ISNA(MATCH(K658, Criterios!$A$81:$A$120, 0)), "Categoría no válida", IF(AND(J658&lt;&gt;"", J658&lt;&gt;"", J658&lt;&gt;VLOOKUP(K658, Criterios!$A$81:$B$120, 2, FALSE)), "División no coincide con Categoría", ""))), IF(OR(L658="", L658=""), "[Aviso] Género no capturado ()", IF(ISNA(MATCH(L658, Criterios!$B$123:$B$127, 0)), "Género no válido", "")), IF(OR(N658="", N658=""), "[Aviso] Temporada no capturada ()", IF(ISNA(MATCH(N658, Criterios!$C$123:$C$128, 0)), "Temporada no válida", "")), IF(OR(O658="", O658=""), "[Aviso] Ciclo de vida no capturado ()", IF(ISNA(MATCH(O658, Criterios!$D$123:$D$124, 0)), "Ciclo de vida no válido", ""))))</f>
        <v/>
      </c>
      <c r="AC658" s="56" t="n"/>
      <c r="AD658" s="51" t="n"/>
      <c r="AE658" s="156" t="n"/>
      <c r="AF658" s="51" t="n"/>
      <c r="AG658" s="156" t="inlineStr">
        <is>
          <t>Nuevo – Carga Hoja2 01/10/2026</t>
        </is>
      </c>
      <c r="AH658" s="156" t="inlineStr">
        <is>
          <t>Alta 01/10/2026 desde Hoja2 (fila 519) | Homologación G1522 06/10/2026: Enlace de imagen: «» → «https://cdn.shopify.com/s/files/1/0005/9015/1741/files/Wrangler_Southwestern_Crossbody_Bag_-_Montana_West_World_b.png?v=1762927845» (Completado por investigación en línea) · Validador Shopify: WB: precio con IVA no termina en 9</t>
        </is>
      </c>
      <c r="AI658" s="156" t="n"/>
      <c r="AJ658" s="156" t="n"/>
      <c r="AK658" s="155" t="inlineStr">
        <is>
          <t>Hoja2: fila 519 | Odoo: producto 13293 / plantilla 16870 | Investigación en línea 06/10/2026: https://montanawestworld.com/products/wrangler-southwestern-crossbody-tote-bag</t>
        </is>
      </c>
      <c r="AL658" s="58" t="n"/>
      <c r="AM658" s="58" t="n"/>
      <c r="AN658" s="155" t="inlineStr">
        <is>
          <t>Odoo Universal Unique Brands</t>
        </is>
      </c>
      <c r="AO658" s="59" t="n"/>
      <c r="AP658" s="59" t="n"/>
      <c r="AQ658" s="59" t="n">
        <v>4</v>
      </c>
      <c r="AR658" s="155" t="inlineStr">
        <is>
          <t>Odoo Universal Unique Brands › Bodega 25 › Bodega 25/General: 4</t>
        </is>
      </c>
    </row>
    <row r="659">
      <c r="A659" s="50" t="inlineStr">
        <is>
          <t>774196307464</t>
        </is>
      </c>
      <c r="B659" s="51" t="inlineStr">
        <is>
          <t>13320</t>
        </is>
      </c>
      <c r="C659" s="156" t="inlineStr">
        <is>
          <t>Wrangler</t>
        </is>
      </c>
      <c r="D659" s="156" t="inlineStr">
        <is>
          <t>WG2203-8120SCF</t>
        </is>
      </c>
      <c r="E659" s="156" t="inlineStr">
        <is>
          <t>WG2203-8120SCF</t>
        </is>
      </c>
      <c r="F659" s="156" t="inlineStr">
        <is>
          <t>Talla única</t>
        </is>
      </c>
      <c r="G659" s="156" t="inlineStr">
        <is>
          <t>One Size</t>
        </is>
      </c>
      <c r="H659" s="156" t="inlineStr">
        <is>
          <t>Wrangler</t>
        </is>
      </c>
      <c r="I659" s="156" t="inlineStr">
        <is>
          <t>Bolsa Tote Cruzada Wrangler Estampado Suroeste De Lona Chica Café Oscuro</t>
        </is>
      </c>
      <c r="J659" s="156" t="inlineStr">
        <is>
          <t>Accesorios</t>
        </is>
      </c>
      <c r="K659" s="156" t="inlineStr">
        <is>
          <t>Bolsos</t>
        </is>
      </c>
      <c r="L659" s="156" t="inlineStr">
        <is>
          <t>Unisex</t>
        </is>
      </c>
      <c r="M659" s="156" t="inlineStr">
        <is>
          <t>Wrangler</t>
        </is>
      </c>
      <c r="N659" s="156" t="n"/>
      <c r="O659" s="156" t="inlineStr">
        <is>
          <t>Core</t>
        </is>
      </c>
      <c r="P659" s="156" t="inlineStr">
        <is>
          <t>Cafe</t>
        </is>
      </c>
      <c r="Q659" s="156" t="n"/>
      <c r="R659" s="156" t="n"/>
      <c r="S659" s="156" t="n"/>
      <c r="T659" s="156" t="inlineStr">
        <is>
          <t>Bolsa Tote Cruzada Wrangler. Modelo: Estampado Suroeste De Lona Chica. Color: Café Oscuro. Talla única. Unisex. Referencia: WG2203-8120SCF.</t>
        </is>
      </c>
      <c r="U659" s="156" t="n"/>
      <c r="V659" s="156" t="inlineStr">
        <is>
          <t>PZS</t>
        </is>
      </c>
      <c r="W659" s="51" t="inlineStr">
        <is>
          <t>53121601</t>
        </is>
      </c>
      <c r="X659" s="156" t="n"/>
      <c r="Y659" s="54" t="n">
        <v>310.5</v>
      </c>
      <c r="Z659" s="54" t="n">
        <v>499</v>
      </c>
      <c r="AA659" s="55">
        <f>IF(AND(A659="", B659="", E659=""), "", IF(AB659="", "Válido", IF((LEN(AB659)-LEN(SUBSTITUTE(AB659,"; ","")))/2+1&gt;(LEN(AB659)-LEN(SUBSTITUTE(AB659,"[Aviso]","")))/7, "Con Incidencias", "Válido")))</f>
        <v/>
      </c>
      <c r="AB659" s="56">
        <f>IF(AND(A659="", B659="", E659=""), "", TEXTJOIN("; ", TRUE, IF(OR(TRIM(A659&amp;"")="", ISNUMBER(SEARCH("FALTA", A659))), "UPC faltante/inválido", ""), IF(AND(A659&lt;&gt;"", IFERROR(_xlfn.XMATCH(A659,$A$2:$A$1063,0,1)&lt;&gt;_xlfn.XMATCH(A659,$A$2:$A$1063,0,-1),FALSE)), "Código de barras duplicado", ""), IF(AND(E659&lt;&gt;"", COUNTIF($E$2:$E$1063, E659)&gt;1), "SKU duplicado", ""), IF(OR(J659="", J659=""), "[Aviso] División no capturada ()", IF(ISNA(MATCH(J659, Criterios!$A$123:$A$126, 0)), "División no válida", "")), IF(OR(K659="", K659=""), "[Aviso] Categoría no capturada ()", IF(ISNA(MATCH(K659, Criterios!$A$81:$A$120, 0)), "Categoría no válida", IF(AND(J659&lt;&gt;"", J659&lt;&gt;"", J659&lt;&gt;VLOOKUP(K659, Criterios!$A$81:$B$120, 2, FALSE)), "División no coincide con Categoría", ""))), IF(OR(L659="", L659=""), "[Aviso] Género no capturado ()", IF(ISNA(MATCH(L659, Criterios!$B$123:$B$127, 0)), "Género no válido", "")), IF(OR(N659="", N659=""), "[Aviso] Temporada no capturada ()", IF(ISNA(MATCH(N659, Criterios!$C$123:$C$128, 0)), "Temporada no válida", "")), IF(OR(O659="", O659=""), "[Aviso] Ciclo de vida no capturado ()", IF(ISNA(MATCH(O659, Criterios!$D$123:$D$124, 0)), "Ciclo de vida no válido", ""))))</f>
        <v/>
      </c>
      <c r="AC659" s="56" t="n"/>
      <c r="AD659" s="51" t="n"/>
      <c r="AE659" s="156" t="n"/>
      <c r="AF659" s="51" t="n"/>
      <c r="AG659" s="156" t="inlineStr">
        <is>
          <t>Nuevo – Carga Hoja2 01/10/2026</t>
        </is>
      </c>
      <c r="AH659" s="156" t="inlineStr">
        <is>
          <t>Alta 01/10/2026 desde Hoja2 (fila 520) | Homologación G1522 06/10/2026: Validador Shopify: WB: precio con IVA no termina en 9</t>
        </is>
      </c>
      <c r="AI659" s="156" t="n"/>
      <c r="AJ659" s="156" t="n"/>
      <c r="AK659" s="155" t="inlineStr">
        <is>
          <t>Hoja2: fila 520 | Odoo: producto 13320 / plantilla 16897</t>
        </is>
      </c>
      <c r="AL659" s="58" t="n"/>
      <c r="AM659" s="58" t="n"/>
      <c r="AN659" s="155" t="inlineStr">
        <is>
          <t>Odoo Universal Unique Brands</t>
        </is>
      </c>
      <c r="AO659" s="59" t="n"/>
      <c r="AP659" s="59" t="n"/>
      <c r="AQ659" s="59" t="n">
        <v>44</v>
      </c>
      <c r="AR659" s="155" t="inlineStr">
        <is>
          <t>Odoo Universal Unique Brands › Bodega 25 › Bodega 25/General: 44</t>
        </is>
      </c>
    </row>
    <row r="660">
      <c r="A660" s="50" t="inlineStr">
        <is>
          <t>774196307259</t>
        </is>
      </c>
      <c r="B660" s="51" t="inlineStr">
        <is>
          <t>13292</t>
        </is>
      </c>
      <c r="C660" s="156" t="inlineStr">
        <is>
          <t>Wrangler</t>
        </is>
      </c>
      <c r="D660" s="156" t="n"/>
      <c r="E660" s="156" t="inlineStr">
        <is>
          <t>WG2203-8120SDGY</t>
        </is>
      </c>
      <c r="F660" s="156" t="inlineStr">
        <is>
          <t>Talla única</t>
        </is>
      </c>
      <c r="G660" s="156" t="inlineStr">
        <is>
          <t>One Size</t>
        </is>
      </c>
      <c r="H660" s="156" t="inlineStr">
        <is>
          <t>Wrangler</t>
        </is>
      </c>
      <c r="I660" s="156" t="inlineStr">
        <is>
          <t>WG BAG DGY</t>
        </is>
      </c>
      <c r="J660" s="156" t="inlineStr">
        <is>
          <t>Accesorios</t>
        </is>
      </c>
      <c r="K660" s="156" t="inlineStr">
        <is>
          <t>Bolsos</t>
        </is>
      </c>
      <c r="L660" s="156" t="inlineStr">
        <is>
          <t>Unisex</t>
        </is>
      </c>
      <c r="M660" s="156" t="n"/>
      <c r="N660" s="156" t="n"/>
      <c r="O660" s="156" t="n"/>
      <c r="P660" s="156" t="n"/>
      <c r="Q660" s="156" t="n"/>
      <c r="R660" s="156" t="n"/>
      <c r="S660" s="156" t="n"/>
      <c r="T660" s="156" t="n"/>
      <c r="U660" s="156" t="n"/>
      <c r="V660" s="156" t="inlineStr">
        <is>
          <t>PZS</t>
        </is>
      </c>
      <c r="W660" s="51" t="inlineStr">
        <is>
          <t>53121601</t>
        </is>
      </c>
      <c r="X660" s="156" t="n"/>
      <c r="Y660" s="54" t="n">
        <v>310.5</v>
      </c>
      <c r="Z660" s="54" t="n">
        <v>499</v>
      </c>
      <c r="AA660" s="55">
        <f>IF(AND(A660="", B660="", E660=""), "", IF(AB660="", "Válido", IF((LEN(AB660)-LEN(SUBSTITUTE(AB660,"; ","")))/2+1&gt;(LEN(AB660)-LEN(SUBSTITUTE(AB660,"[Aviso]","")))/7, "Con Incidencias", "Válido")))</f>
        <v/>
      </c>
      <c r="AB660" s="56">
        <f>IF(AND(A660="", B660="", E660=""), "", TEXTJOIN("; ", TRUE, IF(OR(TRIM(A660&amp;"")="", ISNUMBER(SEARCH("FALTA", A660))), "UPC faltante/inválido", ""), IF(AND(A660&lt;&gt;"", IFERROR(_xlfn.XMATCH(A660,$A$2:$A$1063,0,1)&lt;&gt;_xlfn.XMATCH(A660,$A$2:$A$1063,0,-1),FALSE)), "Código de barras duplicado", ""), IF(AND(E660&lt;&gt;"", COUNTIF($E$2:$E$1063, E660)&gt;1), "SKU duplicado", ""), IF(OR(J660="", J660=""), "[Aviso] División no capturada ()", IF(ISNA(MATCH(J660, Criterios!$A$123:$A$126, 0)), "División no válida", "")), IF(OR(K660="", K660=""), "[Aviso] Categoría no capturada ()", IF(ISNA(MATCH(K660, Criterios!$A$81:$A$120, 0)), "Categoría no válida", IF(AND(J660&lt;&gt;"", J660&lt;&gt;"", J660&lt;&gt;VLOOKUP(K660, Criterios!$A$81:$B$120, 2, FALSE)), "División no coincide con Categoría", ""))), IF(OR(L660="", L660=""), "[Aviso] Género no capturado ()", IF(ISNA(MATCH(L660, Criterios!$B$123:$B$127, 0)), "Género no válido", "")), IF(OR(N660="", N660=""), "[Aviso] Temporada no capturada ()", IF(ISNA(MATCH(N660, Criterios!$C$123:$C$128, 0)), "Temporada no válida", "")), IF(OR(O660="", O660=""), "[Aviso] Ciclo de vida no capturado ()", IF(ISNA(MATCH(O660, Criterios!$D$123:$D$124, 0)), "Ciclo de vida no válido", ""))))</f>
        <v/>
      </c>
      <c r="AC660" s="56" t="n"/>
      <c r="AD660" s="51" t="n"/>
      <c r="AE660" s="156" t="n"/>
      <c r="AF660" s="51" t="n"/>
      <c r="AG660" s="156" t="inlineStr">
        <is>
          <t>Nuevo – Carga Hoja2 01/10/2026</t>
        </is>
      </c>
      <c r="AH660" s="156" t="inlineStr">
        <is>
          <t>Alta 01/10/2026 desde Hoja2 (fila 521)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660" s="156" t="n"/>
      <c r="AJ660" s="156" t="n"/>
      <c r="AK660" s="155" t="inlineStr">
        <is>
          <t>Hoja2: fila 521 | Odoo: producto 13292 / plantilla 16869</t>
        </is>
      </c>
      <c r="AL660" s="58" t="n"/>
      <c r="AM660" s="58" t="n"/>
      <c r="AN660" s="155" t="inlineStr">
        <is>
          <t>Odoo Universal Unique Brands</t>
        </is>
      </c>
      <c r="AO660" s="59" t="n"/>
      <c r="AP660" s="59" t="n"/>
      <c r="AQ660" s="59" t="n">
        <v>21</v>
      </c>
      <c r="AR660" s="155" t="inlineStr">
        <is>
          <t>Odoo Universal Unique Brands › Bodega 25 › Bodega 25/General: 21</t>
        </is>
      </c>
    </row>
    <row r="661">
      <c r="A661" s="50" t="inlineStr">
        <is>
          <t>774196307167</t>
        </is>
      </c>
      <c r="B661" s="51" t="inlineStr">
        <is>
          <t>13318</t>
        </is>
      </c>
      <c r="C661" s="156" t="inlineStr">
        <is>
          <t>Wrangler</t>
        </is>
      </c>
      <c r="D661" s="156" t="inlineStr">
        <is>
          <t>WG2203-8120STQ</t>
        </is>
      </c>
      <c r="E661" s="156" t="inlineStr">
        <is>
          <t>WG2203-8120STQ</t>
        </is>
      </c>
      <c r="F661" s="156" t="inlineStr">
        <is>
          <t>Talla única</t>
        </is>
      </c>
      <c r="G661" s="156" t="inlineStr">
        <is>
          <t>One Size</t>
        </is>
      </c>
      <c r="H661" s="156" t="inlineStr">
        <is>
          <t>Wrangler</t>
        </is>
      </c>
      <c r="I661" s="156" t="inlineStr">
        <is>
          <t>Bolsa Tote Cruzada Wrangler Estampado Suroeste De Lona Chica Turquesa</t>
        </is>
      </c>
      <c r="J661" s="156" t="inlineStr">
        <is>
          <t>Accesorios</t>
        </is>
      </c>
      <c r="K661" s="156" t="inlineStr">
        <is>
          <t>Bolsos</t>
        </is>
      </c>
      <c r="L661" s="156" t="inlineStr">
        <is>
          <t>Unisex</t>
        </is>
      </c>
      <c r="M661" s="156" t="inlineStr">
        <is>
          <t>Wrangler</t>
        </is>
      </c>
      <c r="N661" s="156" t="n"/>
      <c r="O661" s="156" t="inlineStr">
        <is>
          <t>Core</t>
        </is>
      </c>
      <c r="P661" s="156" t="inlineStr">
        <is>
          <t>Azul</t>
        </is>
      </c>
      <c r="Q661" s="156" t="n"/>
      <c r="R661" s="156" t="n"/>
      <c r="S661" s="156" t="n"/>
      <c r="T661" s="156" t="inlineStr">
        <is>
          <t>Bolsa Tote Cruzada Wrangler. Modelo: Estampado Suroeste De Lona Chica. Color: Turquesa. Talla única. Unisex. Referencia: WG2203-8120STQ.</t>
        </is>
      </c>
      <c r="U661" s="156" t="n"/>
      <c r="V661" s="156" t="inlineStr">
        <is>
          <t>PZS</t>
        </is>
      </c>
      <c r="W661" s="51" t="inlineStr">
        <is>
          <t>53121601</t>
        </is>
      </c>
      <c r="X661" s="156" t="n"/>
      <c r="Y661" s="54" t="n">
        <v>310.5</v>
      </c>
      <c r="Z661" s="54" t="n">
        <v>499</v>
      </c>
      <c r="AA661" s="55">
        <f>IF(AND(A661="", B661="", E661=""), "", IF(AB661="", "Válido", IF((LEN(AB661)-LEN(SUBSTITUTE(AB661,"; ","")))/2+1&gt;(LEN(AB661)-LEN(SUBSTITUTE(AB661,"[Aviso]","")))/7, "Con Incidencias", "Válido")))</f>
        <v/>
      </c>
      <c r="AB661" s="56">
        <f>IF(AND(A661="", B661="", E661=""), "", TEXTJOIN("; ", TRUE, IF(OR(TRIM(A661&amp;"")="", ISNUMBER(SEARCH("FALTA", A661))), "UPC faltante/inválido", ""), IF(AND(A661&lt;&gt;"", IFERROR(_xlfn.XMATCH(A661,$A$2:$A$1063,0,1)&lt;&gt;_xlfn.XMATCH(A661,$A$2:$A$1063,0,-1),FALSE)), "Código de barras duplicado", ""), IF(AND(E661&lt;&gt;"", COUNTIF($E$2:$E$1063, E661)&gt;1), "SKU duplicado", ""), IF(OR(J661="", J661=""), "[Aviso] División no capturada ()", IF(ISNA(MATCH(J661, Criterios!$A$123:$A$126, 0)), "División no válida", "")), IF(OR(K661="", K661=""), "[Aviso] Categoría no capturada ()", IF(ISNA(MATCH(K661, Criterios!$A$81:$A$120, 0)), "Categoría no válida", IF(AND(J661&lt;&gt;"", J661&lt;&gt;"", J661&lt;&gt;VLOOKUP(K661, Criterios!$A$81:$B$120, 2, FALSE)), "División no coincide con Categoría", ""))), IF(OR(L661="", L661=""), "[Aviso] Género no capturado ()", IF(ISNA(MATCH(L661, Criterios!$B$123:$B$127, 0)), "Género no válido", "")), IF(OR(N661="", N661=""), "[Aviso] Temporada no capturada ()", IF(ISNA(MATCH(N661, Criterios!$C$123:$C$128, 0)), "Temporada no válida", "")), IF(OR(O661="", O661=""), "[Aviso] Ciclo de vida no capturado ()", IF(ISNA(MATCH(O661, Criterios!$D$123:$D$124, 0)), "Ciclo de vida no válido", ""))))</f>
        <v/>
      </c>
      <c r="AC661" s="56" t="n"/>
      <c r="AD661" s="51" t="n"/>
      <c r="AE661" s="156" t="n"/>
      <c r="AF661" s="51" t="n"/>
      <c r="AG661" s="156" t="inlineStr">
        <is>
          <t>Nuevo – Carga Hoja2 01/10/2026</t>
        </is>
      </c>
      <c r="AH661" s="156" t="inlineStr">
        <is>
          <t>Alta 01/10/2026 desde Hoja2 (fila 522) | Homologación G1522 06/10/2026: Validador Shopify: WB: precio con IVA no termina en 9</t>
        </is>
      </c>
      <c r="AI661" s="156" t="n"/>
      <c r="AJ661" s="156" t="n"/>
      <c r="AK661" s="155" t="inlineStr">
        <is>
          <t>Hoja2: fila 522 | Odoo: producto 13318 / plantilla 16895</t>
        </is>
      </c>
      <c r="AL661" s="58" t="n"/>
      <c r="AM661" s="58" t="n"/>
      <c r="AN661" s="155" t="inlineStr">
        <is>
          <t>Odoo Universal Unique Brands</t>
        </is>
      </c>
      <c r="AO661" s="59" t="n"/>
      <c r="AP661" s="59" t="n"/>
      <c r="AQ661" s="59" t="n">
        <v>53</v>
      </c>
      <c r="AR661" s="155" t="inlineStr">
        <is>
          <t>Odoo Universal Unique Brands › Bodega 25 › Bodega 25/General: 53</t>
        </is>
      </c>
    </row>
    <row r="662">
      <c r="A662" s="50" t="inlineStr">
        <is>
          <t>717012192479</t>
        </is>
      </c>
      <c r="B662" s="51" t="inlineStr">
        <is>
          <t>12516</t>
        </is>
      </c>
      <c r="C662" s="156" t="inlineStr">
        <is>
          <t>Wrangler</t>
        </is>
      </c>
      <c r="D662" s="156" t="inlineStr">
        <is>
          <t>WG2204-9110BR</t>
        </is>
      </c>
      <c r="E662" s="156" t="inlineStr">
        <is>
          <t>WG2204-9110BR</t>
        </is>
      </c>
      <c r="F662" s="156" t="inlineStr">
        <is>
          <t>Talla única</t>
        </is>
      </c>
      <c r="G662" s="156" t="inlineStr">
        <is>
          <t>One Size</t>
        </is>
      </c>
      <c r="H662" s="156" t="inlineStr">
        <is>
          <t>Wrangler</t>
        </is>
      </c>
      <c r="I662" s="156" t="inlineStr">
        <is>
          <t>Pañalera Wrangler Estampado Azteca Completo Café</t>
        </is>
      </c>
      <c r="J662" s="156" t="inlineStr">
        <is>
          <t>Accesorios</t>
        </is>
      </c>
      <c r="K662" s="156" t="inlineStr">
        <is>
          <t>Carteras</t>
        </is>
      </c>
      <c r="L662" s="156" t="inlineStr">
        <is>
          <t>Unisex</t>
        </is>
      </c>
      <c r="M662" s="156" t="inlineStr">
        <is>
          <t>Wrangler</t>
        </is>
      </c>
      <c r="N662" s="156" t="n"/>
      <c r="O662" s="156" t="inlineStr">
        <is>
          <t>Core</t>
        </is>
      </c>
      <c r="P662" s="156" t="inlineStr">
        <is>
          <t>Cafe</t>
        </is>
      </c>
      <c r="Q662" s="156" t="n"/>
      <c r="R662" s="156" t="n"/>
      <c r="S662" s="156" t="n"/>
      <c r="T662" s="156" t="inlineStr">
        <is>
          <t>Pañalera Wrangler. Modelo: Estampado Azteca Completo. Color: Café. Talla única. Unisex. Referencia: WG2204-9110BR.</t>
        </is>
      </c>
      <c r="U662" s="156" t="n"/>
      <c r="V662" s="156" t="inlineStr">
        <is>
          <t>PZS</t>
        </is>
      </c>
      <c r="W662" s="51" t="inlineStr">
        <is>
          <t>53121700</t>
        </is>
      </c>
      <c r="X662" s="156" t="inlineStr">
        <is>
          <t>https://cdn.shopify.com/s/files/1/0005/9015/1741/files/WG2204-9110br1.webp?v=1772070528</t>
        </is>
      </c>
      <c r="Y662" s="54" t="n">
        <v>457.13</v>
      </c>
      <c r="Z662" s="54" t="n">
        <v>739</v>
      </c>
      <c r="AA662" s="55">
        <f>IF(AND(A662="", B662="", E662=""), "", IF(AB662="", "Válido", IF((LEN(AB662)-LEN(SUBSTITUTE(AB662,"; ","")))/2+1&gt;(LEN(AB662)-LEN(SUBSTITUTE(AB662,"[Aviso]","")))/7, "Con Incidencias", "Válido")))</f>
        <v/>
      </c>
      <c r="AB662" s="56">
        <f>IF(AND(A662="", B662="", E662=""), "", TEXTJOIN("; ", TRUE, IF(OR(TRIM(A662&amp;"")="", ISNUMBER(SEARCH("FALTA", A662))), "UPC faltante/inválido", ""), IF(AND(A662&lt;&gt;"", IFERROR(_xlfn.XMATCH(A662,$A$2:$A$1063,0,1)&lt;&gt;_xlfn.XMATCH(A662,$A$2:$A$1063,0,-1),FALSE)), "Código de barras duplicado", ""), IF(AND(E662&lt;&gt;"", COUNTIF($E$2:$E$1063, E662)&gt;1), "SKU duplicado", ""), IF(OR(J662="", J662=""), "[Aviso] División no capturada ()", IF(ISNA(MATCH(J662, Criterios!$A$123:$A$126, 0)), "División no válida", "")), IF(OR(K662="", K662=""), "[Aviso] Categoría no capturada ()", IF(ISNA(MATCH(K662, Criterios!$A$81:$A$120, 0)), "Categoría no válida", IF(AND(J662&lt;&gt;"", J662&lt;&gt;"", J662&lt;&gt;VLOOKUP(K662, Criterios!$A$81:$B$120, 2, FALSE)), "División no coincide con Categoría", ""))), IF(OR(L662="", L662=""), "[Aviso] Género no capturado ()", IF(ISNA(MATCH(L662, Criterios!$B$123:$B$127, 0)), "Género no válido", "")), IF(OR(N662="", N662=""), "[Aviso] Temporada no capturada ()", IF(ISNA(MATCH(N662, Criterios!$C$123:$C$128, 0)), "Temporada no válida", "")), IF(OR(O662="", O662=""), "[Aviso] Ciclo de vida no capturado ()", IF(ISNA(MATCH(O662, Criterios!$D$123:$D$124, 0)), "Ciclo de vida no válido", ""))))</f>
        <v/>
      </c>
      <c r="AC662" s="56" t="n"/>
      <c r="AD662" s="51" t="n"/>
      <c r="AE662" s="156" t="n"/>
      <c r="AF662" s="51" t="n"/>
      <c r="AG662" s="156" t="inlineStr">
        <is>
          <t>Nuevo – Carga Hoja2 01/10/2026</t>
        </is>
      </c>
      <c r="AH662" s="156" t="inlineStr">
        <is>
          <t>Alta 01/10/2026 desde Hoja2 (fila 523) | 01/10/2026: Odoo Universal Unique Brands trae Marca «Montana West», Categoría «Mochilas» — se conservó el valor de Productos | Homologación G1522 06/10/2026: Enlace de imagen: «» → «https://cdn.shopify.com/s/files/1/0005/9015/1741/files/WG2204-9110br1.webp?v=1772070528» (Completado por investigación en línea) · Validador Shopify: WB: precio con IVA no termina en 9</t>
        </is>
      </c>
      <c r="AI662" s="156" t="n"/>
      <c r="AJ662" s="156" t="n"/>
      <c r="AK662" s="155" t="inlineStr">
        <is>
          <t>Hoja2: fila 523 | Odoo: producto 12516 / plantilla 16093 | Odoo: producto 27365 / plantilla 34065 | Investigación en línea 06/10/2026: https://montanawestworld.com/products/wrangler-aztec-southwestern-print-diaper-bag</t>
        </is>
      </c>
      <c r="AL662" s="58" t="n"/>
      <c r="AM662" s="58" t="n"/>
      <c r="AN662" s="155" t="inlineStr">
        <is>
          <t>Odoo Universal Unique Brands</t>
        </is>
      </c>
      <c r="AO662" s="59" t="n"/>
      <c r="AP662" s="59" t="n"/>
      <c r="AQ662" s="59" t="n">
        <v>15</v>
      </c>
      <c r="AR662" s="155" t="inlineStr">
        <is>
          <t>Odoo Universal Unique Brands › Bodega 25 › Bodega 25/General: 18</t>
        </is>
      </c>
    </row>
    <row r="663">
      <c r="A663" s="50" t="inlineStr">
        <is>
          <t>717019689118</t>
        </is>
      </c>
      <c r="B663" s="51" t="inlineStr">
        <is>
          <t>11814</t>
        </is>
      </c>
      <c r="C663" s="156" t="inlineStr">
        <is>
          <t>Wrangler</t>
        </is>
      </c>
      <c r="D663" s="156" t="inlineStr">
        <is>
          <t>WG2207-3003NY</t>
        </is>
      </c>
      <c r="E663" s="156" t="inlineStr">
        <is>
          <t>WG2207-3003NY</t>
        </is>
      </c>
      <c r="F663" s="156" t="inlineStr">
        <is>
          <t>Talla única</t>
        </is>
      </c>
      <c r="G663" s="156" t="inlineStr">
        <is>
          <t>One Size</t>
        </is>
      </c>
      <c r="H663" s="156" t="inlineStr">
        <is>
          <t>Wrangler</t>
        </is>
      </c>
      <c r="I663" s="156" t="inlineStr">
        <is>
          <t>Bolsa Cruzada Wrangler Estampado Azteca Con Compartimento Para Cartera Azul Marino</t>
        </is>
      </c>
      <c r="J663" s="156" t="inlineStr">
        <is>
          <t>Accesorios</t>
        </is>
      </c>
      <c r="K663" s="156" t="inlineStr">
        <is>
          <t>Carteras</t>
        </is>
      </c>
      <c r="L663" s="156" t="inlineStr">
        <is>
          <t>Unisex</t>
        </is>
      </c>
      <c r="M663" s="156" t="inlineStr">
        <is>
          <t>Wrangler</t>
        </is>
      </c>
      <c r="N663" s="156" t="n"/>
      <c r="O663" s="156" t="inlineStr">
        <is>
          <t>Core</t>
        </is>
      </c>
      <c r="P663" s="156" t="inlineStr">
        <is>
          <t>Azul</t>
        </is>
      </c>
      <c r="Q663" s="156" t="n"/>
      <c r="R663" s="156" t="n"/>
      <c r="S663" s="156" t="n"/>
      <c r="T663" s="156" t="inlineStr">
        <is>
          <t>Bolsa Cruzada Wrangler. Modelo: Estampado Azteca Con Compartimento Para Cartera. Color: Azul Marino. Talla única. Unisex. Referencia: WG2207-3003NY.</t>
        </is>
      </c>
      <c r="U663" s="156" t="n"/>
      <c r="V663" s="156" t="inlineStr">
        <is>
          <t>PZS</t>
        </is>
      </c>
      <c r="W663" s="51" t="inlineStr">
        <is>
          <t>53121700</t>
        </is>
      </c>
      <c r="X663" s="156" t="n"/>
      <c r="Y663" s="54" t="n">
        <v>431.25</v>
      </c>
      <c r="Z663" s="54" t="n">
        <v>689</v>
      </c>
      <c r="AA663" s="55">
        <f>IF(AND(A663="", B663="", E663=""), "", IF(AB663="", "Válido", IF((LEN(AB663)-LEN(SUBSTITUTE(AB663,"; ","")))/2+1&gt;(LEN(AB663)-LEN(SUBSTITUTE(AB663,"[Aviso]","")))/7, "Con Incidencias", "Válido")))</f>
        <v/>
      </c>
      <c r="AB663" s="56">
        <f>IF(AND(A663="", B663="", E663=""), "", TEXTJOIN("; ", TRUE, IF(OR(TRIM(A663&amp;"")="", ISNUMBER(SEARCH("FALTA", A663))), "UPC faltante/inválido", ""), IF(AND(A663&lt;&gt;"", IFERROR(_xlfn.XMATCH(A663,$A$2:$A$1063,0,1)&lt;&gt;_xlfn.XMATCH(A663,$A$2:$A$1063,0,-1),FALSE)), "Código de barras duplicado", ""), IF(AND(E663&lt;&gt;"", COUNTIF($E$2:$E$1063, E663)&gt;1), "SKU duplicado", ""), IF(OR(J663="", J663=""), "[Aviso] División no capturada ()", IF(ISNA(MATCH(J663, Criterios!$A$123:$A$126, 0)), "División no válida", "")), IF(OR(K663="", K663=""), "[Aviso] Categoría no capturada ()", IF(ISNA(MATCH(K663, Criterios!$A$81:$A$120, 0)), "Categoría no válida", IF(AND(J663&lt;&gt;"", J663&lt;&gt;"", J663&lt;&gt;VLOOKUP(K663, Criterios!$A$81:$B$120, 2, FALSE)), "División no coincide con Categoría", ""))), IF(OR(L663="", L663=""), "[Aviso] Género no capturado ()", IF(ISNA(MATCH(L663, Criterios!$B$123:$B$127, 0)), "Género no válido", "")), IF(OR(N663="", N663=""), "[Aviso] Temporada no capturada ()", IF(ISNA(MATCH(N663, Criterios!$C$123:$C$128, 0)), "Temporada no válida", "")), IF(OR(O663="", O663=""), "[Aviso] Ciclo de vida no capturado ()", IF(ISNA(MATCH(O663, Criterios!$D$123:$D$124, 0)), "Ciclo de vida no válido", ""))))</f>
        <v/>
      </c>
      <c r="AC663" s="56" t="n"/>
      <c r="AD663" s="51" t="n"/>
      <c r="AE663" s="156" t="n"/>
      <c r="AF663" s="51" t="n"/>
      <c r="AG663" s="156" t="inlineStr">
        <is>
          <t>Nuevo – Carga Hoja2 01/10/2026</t>
        </is>
      </c>
      <c r="AH663" s="156" t="inlineStr">
        <is>
          <t>Alta 01/10/2026 desde Hoja2 (fila 524) | 01/10/2026: Odoo Universal Unique Brands trae Marca «Montana West», Categoría «Bolsos» — se conservó el valor de Productos</t>
        </is>
      </c>
      <c r="AI663" s="156" t="n"/>
      <c r="AJ663" s="156" t="n"/>
      <c r="AK663" s="155" t="inlineStr">
        <is>
          <t>Hoja2: fila 524 | Odoo: producto 11814 / plantilla 15249 | Odoo: producto 27371 / plantilla 34071</t>
        </is>
      </c>
      <c r="AL663" s="58" t="n"/>
      <c r="AM663" s="58" t="n"/>
      <c r="AN663" s="155" t="inlineStr">
        <is>
          <t>Odoo Universal Unique Brands</t>
        </is>
      </c>
      <c r="AO663" s="59" t="n"/>
      <c r="AP663" s="59" t="n"/>
      <c r="AQ663" s="59" t="n">
        <v>42</v>
      </c>
      <c r="AR663" s="155" t="inlineStr">
        <is>
          <t>Odoo Universal Unique Brands › Bodega 25 › Bodega 25/General: 36 | Odoo Universal Unique Brands › Bodega 25 › Bodega 25/General: 6</t>
        </is>
      </c>
    </row>
    <row r="664">
      <c r="A664" s="50" t="inlineStr">
        <is>
          <t>717019689026</t>
        </is>
      </c>
      <c r="B664" s="51" t="inlineStr">
        <is>
          <t>31025</t>
        </is>
      </c>
      <c r="C664" s="156" t="inlineStr">
        <is>
          <t>Wrangler</t>
        </is>
      </c>
      <c r="D664" s="156" t="inlineStr">
        <is>
          <t>WG2207-3003RD</t>
        </is>
      </c>
      <c r="E664" s="156" t="inlineStr">
        <is>
          <t>WG2207-3003RD</t>
        </is>
      </c>
      <c r="F664" s="156" t="inlineStr">
        <is>
          <t>Talla única</t>
        </is>
      </c>
      <c r="G664" s="156" t="inlineStr">
        <is>
          <t>One Size</t>
        </is>
      </c>
      <c r="H664" s="156" t="inlineStr">
        <is>
          <t>Wrangler</t>
        </is>
      </c>
      <c r="I664" s="156" t="inlineStr">
        <is>
          <t>Bolsa Cruzada Wrangler Estampado Azteca Con Compartimento Para Cartera Rojo</t>
        </is>
      </c>
      <c r="J664" s="156" t="inlineStr">
        <is>
          <t>Accesorios</t>
        </is>
      </c>
      <c r="K664" s="156" t="inlineStr">
        <is>
          <t>Carteras</t>
        </is>
      </c>
      <c r="L664" s="156" t="inlineStr">
        <is>
          <t>Unisex</t>
        </is>
      </c>
      <c r="M664" s="156" t="inlineStr">
        <is>
          <t>Wrangler</t>
        </is>
      </c>
      <c r="N664" s="156" t="n"/>
      <c r="O664" s="156" t="inlineStr">
        <is>
          <t>Core</t>
        </is>
      </c>
      <c r="P664" s="156" t="inlineStr">
        <is>
          <t>Varios</t>
        </is>
      </c>
      <c r="Q664" s="156" t="n"/>
      <c r="R664" s="156" t="n"/>
      <c r="S664" s="156" t="n"/>
      <c r="T664" s="156" t="inlineStr">
        <is>
          <t>Bolsa Cruzada Wrangler. Modelo: Estampado Azteca Con Compartimento Para Cartera. Color: Rojo. Talla única. Unisex. País de origen: México. Referencia: WG2207-3003RD.</t>
        </is>
      </c>
      <c r="U664" s="156" t="inlineStr">
        <is>
          <t>México</t>
        </is>
      </c>
      <c r="V664" s="156" t="inlineStr">
        <is>
          <t>PZS</t>
        </is>
      </c>
      <c r="W664" s="51" t="inlineStr">
        <is>
          <t>53121700</t>
        </is>
      </c>
      <c r="X664" s="156" t="inlineStr">
        <is>
          <t>https://m-universal-unique-brands.odoo.com/web/image/product.product/31025/image_1920</t>
        </is>
      </c>
      <c r="Y664" s="54" t="n">
        <v>431.25</v>
      </c>
      <c r="Z664" s="54" t="n">
        <v>689</v>
      </c>
      <c r="AA664" s="55">
        <f>IF(AND(A664="", B664="", E664=""), "", IF(AB664="", "Válido", IF((LEN(AB664)-LEN(SUBSTITUTE(AB664,"; ","")))/2+1&gt;(LEN(AB664)-LEN(SUBSTITUTE(AB664,"[Aviso]","")))/7, "Con Incidencias", "Válido")))</f>
        <v/>
      </c>
      <c r="AB664" s="56">
        <f>IF(AND(A664="", B664="", E664=""), "", TEXTJOIN("; ", TRUE, IF(OR(TRIM(A664&amp;"")="", ISNUMBER(SEARCH("FALTA", A664))), "UPC faltante/inválido", ""), IF(AND(A664&lt;&gt;"", IFERROR(_xlfn.XMATCH(A664,$A$2:$A$1063,0,1)&lt;&gt;_xlfn.XMATCH(A664,$A$2:$A$1063,0,-1),FALSE)), "Código de barras duplicado", ""), IF(AND(E664&lt;&gt;"", COUNTIF($E$2:$E$1063, E664)&gt;1), "SKU duplicado", ""), IF(OR(J664="", J664=""), "[Aviso] División no capturada ()", IF(ISNA(MATCH(J664, Criterios!$A$123:$A$126, 0)), "División no válida", "")), IF(OR(K664="", K664=""), "[Aviso] Categoría no capturada ()", IF(ISNA(MATCH(K664, Criterios!$A$81:$A$120, 0)), "Categoría no válida", IF(AND(J664&lt;&gt;"", J664&lt;&gt;"", J664&lt;&gt;VLOOKUP(K664, Criterios!$A$81:$B$120, 2, FALSE)), "División no coincide con Categoría", ""))), IF(OR(L664="", L664=""), "[Aviso] Género no capturado ()", IF(ISNA(MATCH(L664, Criterios!$B$123:$B$127, 0)), "Género no válido", "")), IF(OR(N664="", N664=""), "[Aviso] Temporada no capturada ()", IF(ISNA(MATCH(N664, Criterios!$C$123:$C$128, 0)), "Temporada no válida", "")), IF(OR(O664="", O664=""), "[Aviso] Ciclo de vida no capturado ()", IF(ISNA(MATCH(O664, Criterios!$D$123:$D$124, 0)), "Ciclo de vida no válido", ""))))</f>
        <v/>
      </c>
      <c r="AC664" s="56" t="n"/>
      <c r="AD664" s="51" t="n"/>
      <c r="AE664" s="156" t="n"/>
      <c r="AF664" s="51" t="n"/>
      <c r="AG664" s="156" t="inlineStr">
        <is>
          <t>Nuevo – Carga Hoja2 01/10/2026</t>
        </is>
      </c>
      <c r="AH664" s="156" t="inlineStr">
        <is>
          <t>Alta 01/10/2026 desde Hoja2 (fila 525) | 01/10/2026: Odoo Universal Unique Brands trae Marca «Montana West», Categoría «Bolsos» — se conservó el valor de Productos | 01/10/2026: complementado desde Odoo Universal Unique Brands (match por código de barras): Enlace de imagen | 01/10/2026: Odoo Universal Unique Brands trae Color «Rojo» — se conservó el valor de Productos</t>
        </is>
      </c>
      <c r="AI664" s="156" t="n"/>
      <c r="AJ664" s="156" t="n"/>
      <c r="AK664" s="155" t="inlineStr">
        <is>
          <t>Hoja2: fila 525 | Odoo: producto 27373 / plantilla 34073 | Odoo: producto 31025 / plantilla 23383</t>
        </is>
      </c>
      <c r="AL664" s="58" t="n"/>
      <c r="AM664" s="58" t="n"/>
      <c r="AN664" s="155" t="inlineStr">
        <is>
          <t>Odoo Universal Unique Brands</t>
        </is>
      </c>
      <c r="AO664" s="59" t="n"/>
      <c r="AP664" s="59" t="n"/>
      <c r="AQ664" s="59" t="n">
        <v>253</v>
      </c>
      <c r="AR664" s="155" t="inlineStr">
        <is>
          <t>Odoo Universal Unique Brands › Bodega 25 › Bodega 25/General: 12 | Odoo Universal Unique Brands › Bodega 25 › Bodega 25/General: 241</t>
        </is>
      </c>
    </row>
    <row r="665">
      <c r="A665" s="50" t="inlineStr">
        <is>
          <t>717019688999</t>
        </is>
      </c>
      <c r="B665" s="51" t="inlineStr">
        <is>
          <t>31026</t>
        </is>
      </c>
      <c r="C665" s="156" t="inlineStr">
        <is>
          <t>Wrangler</t>
        </is>
      </c>
      <c r="D665" s="156" t="n"/>
      <c r="E665" s="156" t="inlineStr">
        <is>
          <t>WG2207-3003TQ</t>
        </is>
      </c>
      <c r="F665" s="156" t="inlineStr">
        <is>
          <t>Talla única</t>
        </is>
      </c>
      <c r="G665" s="156" t="inlineStr">
        <is>
          <t>One Size</t>
        </is>
      </c>
      <c r="H665" s="156" t="inlineStr">
        <is>
          <t>Wrangler</t>
        </is>
      </c>
      <c r="I665" s="156" t="inlineStr">
        <is>
          <t>Bolsa Cruzada Wrangler Estampado Azteca Con Compartimento Para Cartera</t>
        </is>
      </c>
      <c r="J665" s="156" t="inlineStr">
        <is>
          <t>Accesorios</t>
        </is>
      </c>
      <c r="K665" s="156" t="inlineStr">
        <is>
          <t>Carteras</t>
        </is>
      </c>
      <c r="L665" s="156" t="inlineStr">
        <is>
          <t>Unisex</t>
        </is>
      </c>
      <c r="M665" s="156" t="inlineStr">
        <is>
          <t>Wrangler</t>
        </is>
      </c>
      <c r="N665" s="156" t="n"/>
      <c r="O665" s="156" t="n"/>
      <c r="P665" s="156" t="inlineStr">
        <is>
          <t>Varios</t>
        </is>
      </c>
      <c r="Q665" s="156" t="n"/>
      <c r="R665" s="156" t="n"/>
      <c r="S665" s="156" t="n"/>
      <c r="T665" s="156" t="inlineStr">
        <is>
          <t>Bolsa Cruzada</t>
        </is>
      </c>
      <c r="U665" s="156" t="inlineStr">
        <is>
          <t>México</t>
        </is>
      </c>
      <c r="V665" s="156" t="inlineStr">
        <is>
          <t>PZS</t>
        </is>
      </c>
      <c r="W665" s="51" t="inlineStr">
        <is>
          <t>53121601</t>
        </is>
      </c>
      <c r="X665" s="156" t="inlineStr">
        <is>
          <t>https://m-universal-unique-brands.odoo.com/web/image/product.product/31026/image_1920</t>
        </is>
      </c>
      <c r="Y665" s="54" t="n">
        <v>431.25</v>
      </c>
      <c r="Z665" s="54" t="n">
        <v>689</v>
      </c>
      <c r="AA665" s="55">
        <f>IF(AND(A665="", B665="", E665=""), "", IF(AB665="", "Válido", IF((LEN(AB665)-LEN(SUBSTITUTE(AB665,"; ","")))/2+1&gt;(LEN(AB665)-LEN(SUBSTITUTE(AB665,"[Aviso]","")))/7, "Con Incidencias", "Válido")))</f>
        <v/>
      </c>
      <c r="AB665" s="56">
        <f>IF(AND(A665="", B665="", E665=""), "", TEXTJOIN("; ", TRUE, IF(OR(TRIM(A665&amp;"")="", ISNUMBER(SEARCH("FALTA", A665))), "UPC faltante/inválido", ""), IF(AND(A665&lt;&gt;"", IFERROR(_xlfn.XMATCH(A665,$A$2:$A$1063,0,1)&lt;&gt;_xlfn.XMATCH(A665,$A$2:$A$1063,0,-1),FALSE)), "Código de barras duplicado", ""), IF(AND(E665&lt;&gt;"", COUNTIF($E$2:$E$1063, E665)&gt;1), "SKU duplicado", ""), IF(OR(J665="", J665=""), "[Aviso] División no capturada ()", IF(ISNA(MATCH(J665, Criterios!$A$123:$A$126, 0)), "División no válida", "")), IF(OR(K665="", K665=""), "[Aviso] Categoría no capturada ()", IF(ISNA(MATCH(K665, Criterios!$A$81:$A$120, 0)), "Categoría no válida", IF(AND(J665&lt;&gt;"", J665&lt;&gt;"", J665&lt;&gt;VLOOKUP(K665, Criterios!$A$81:$B$120, 2, FALSE)), "División no coincide con Categoría", ""))), IF(OR(L665="", L665=""), "[Aviso] Género no capturado ()", IF(ISNA(MATCH(L665, Criterios!$B$123:$B$127, 0)), "Género no válido", "")), IF(OR(N665="", N665=""), "[Aviso] Temporada no capturada ()", IF(ISNA(MATCH(N665, Criterios!$C$123:$C$128, 0)), "Temporada no válida", "")), IF(OR(O665="", O665=""), "[Aviso] Ciclo de vida no capturado ()", IF(ISNA(MATCH(O665, Criterios!$D$123:$D$124, 0)), "Ciclo de vida no válido", ""))))</f>
        <v/>
      </c>
      <c r="AC665" s="56" t="n"/>
      <c r="AD665" s="51" t="n"/>
      <c r="AE665" s="156" t="n"/>
      <c r="AF665" s="51" t="n"/>
      <c r="AG665" s="156" t="inlineStr">
        <is>
          <t>Nuevo – Carga Hoja2 01/10/2026</t>
        </is>
      </c>
      <c r="AH665" s="156" t="inlineStr">
        <is>
          <t>Alta 01/10/2026 desde Hoja2 (fila 526) | 01/10/2026: complementado desde Odoo Universal Unique Brands (match por código de barras): WB Talla, WB Talla de EE. UU., WB Descripción larga, Enlace de imagen | 01/10/2026: Odoo Universal Unique Brands trae Color «Azul» — se conservó el valor de Productos | Homologación G1522 06/10/2026: WB País de origen: «Mexico» → «México» (Corrección aplicada) · Validación G1522: WB SKU duplicado; Falta estilo · Validador NetSuite / Odoo: V4: SKU repetido; V6: falta estilo · Validador Shopify: V4: SKU repetido; V6: falta estilo</t>
        </is>
      </c>
      <c r="AI665" s="156" t="n"/>
      <c r="AJ665" s="156" t="n"/>
      <c r="AK665" s="155" t="inlineStr">
        <is>
          <t>Hoja2: fila 526 | Odoo: producto 31026 / plantilla 23383</t>
        </is>
      </c>
      <c r="AL665" s="58" t="n"/>
      <c r="AM665" s="58" t="n"/>
      <c r="AN665" s="155" t="inlineStr">
        <is>
          <t>Odoo Universal Unique Brands</t>
        </is>
      </c>
      <c r="AO665" s="59" t="n"/>
      <c r="AP665" s="59" t="n"/>
      <c r="AQ665" s="59" t="n">
        <v>202</v>
      </c>
      <c r="AR665" s="155" t="inlineStr">
        <is>
          <t>Odoo Universal Unique Brands › Bodega 25 › Bodega 25/General: 202</t>
        </is>
      </c>
    </row>
    <row r="666">
      <c r="A666" s="50" t="inlineStr">
        <is>
          <t>717019691128</t>
        </is>
      </c>
      <c r="B666" s="51" t="inlineStr">
        <is>
          <t>13312</t>
        </is>
      </c>
      <c r="C666" s="156" t="inlineStr">
        <is>
          <t>Wrangler</t>
        </is>
      </c>
      <c r="D666" s="156" t="inlineStr">
        <is>
          <t>WG2211-3003BK</t>
        </is>
      </c>
      <c r="E666" s="156" t="inlineStr">
        <is>
          <t>WG2211-3003BK</t>
        </is>
      </c>
      <c r="F666" s="156" t="inlineStr">
        <is>
          <t>Talla única</t>
        </is>
      </c>
      <c r="G666" s="156" t="inlineStr">
        <is>
          <t>One Size</t>
        </is>
      </c>
      <c r="H666" s="156" t="inlineStr">
        <is>
          <t>Wrangler</t>
        </is>
      </c>
      <c r="I666" s="156" t="inlineStr">
        <is>
          <t>Bolsa Cruzada Wrangler Estampado Suroeste Doble Cara Con Compartimento Para Cartera Negro</t>
        </is>
      </c>
      <c r="J666" s="156" t="inlineStr">
        <is>
          <t>Accesorios</t>
        </is>
      </c>
      <c r="K666" s="156" t="inlineStr">
        <is>
          <t>Bolsos</t>
        </is>
      </c>
      <c r="L666" s="156" t="inlineStr">
        <is>
          <t>Unisex</t>
        </is>
      </c>
      <c r="M666" s="156" t="inlineStr">
        <is>
          <t>Wrangler</t>
        </is>
      </c>
      <c r="N666" s="156" t="n"/>
      <c r="O666" s="156" t="inlineStr">
        <is>
          <t>Core</t>
        </is>
      </c>
      <c r="P666" s="156" t="inlineStr">
        <is>
          <t>Negro</t>
        </is>
      </c>
      <c r="Q666" s="156" t="n"/>
      <c r="R666" s="156" t="n"/>
      <c r="S666" s="156" t="n"/>
      <c r="T666" s="156" t="inlineStr">
        <is>
          <t>Bolsa Cruzada Wrangler. Modelo: Estampado Suroeste Doble Cara Con Compartimento Para Cartera. Color: Negro. Talla única. Unisex. Referencia: WG2211-3003BK.</t>
        </is>
      </c>
      <c r="U666" s="156" t="n"/>
      <c r="V666" s="156" t="inlineStr">
        <is>
          <t>PZS</t>
        </is>
      </c>
      <c r="W666" s="51" t="inlineStr">
        <is>
          <t>53121601</t>
        </is>
      </c>
      <c r="X666" s="156" t="n"/>
      <c r="Y666" s="54" t="n">
        <v>379.5</v>
      </c>
      <c r="Z666" s="54" t="n">
        <v>609</v>
      </c>
      <c r="AA666" s="55">
        <f>IF(AND(A666="", B666="", E666=""), "", IF(AB666="", "Válido", IF((LEN(AB666)-LEN(SUBSTITUTE(AB666,"; ","")))/2+1&gt;(LEN(AB666)-LEN(SUBSTITUTE(AB666,"[Aviso]","")))/7, "Con Incidencias", "Válido")))</f>
        <v/>
      </c>
      <c r="AB666" s="56">
        <f>IF(AND(A666="", B666="", E666=""), "", TEXTJOIN("; ", TRUE, IF(OR(TRIM(A666&amp;"")="", ISNUMBER(SEARCH("FALTA", A666))), "UPC faltante/inválido", ""), IF(AND(A666&lt;&gt;"", IFERROR(_xlfn.XMATCH(A666,$A$2:$A$1063,0,1)&lt;&gt;_xlfn.XMATCH(A666,$A$2:$A$1063,0,-1),FALSE)), "Código de barras duplicado", ""), IF(AND(E666&lt;&gt;"", COUNTIF($E$2:$E$1063, E666)&gt;1), "SKU duplicado", ""), IF(OR(J666="", J666=""), "[Aviso] División no capturada ()", IF(ISNA(MATCH(J666, Criterios!$A$123:$A$126, 0)), "División no válida", "")), IF(OR(K666="", K666=""), "[Aviso] Categoría no capturada ()", IF(ISNA(MATCH(K666, Criterios!$A$81:$A$120, 0)), "Categoría no válida", IF(AND(J666&lt;&gt;"", J666&lt;&gt;"", J666&lt;&gt;VLOOKUP(K666, Criterios!$A$81:$B$120, 2, FALSE)), "División no coincide con Categoría", ""))), IF(OR(L666="", L666=""), "[Aviso] Género no capturado ()", IF(ISNA(MATCH(L666, Criterios!$B$123:$B$127, 0)), "Género no válido", "")), IF(OR(N666="", N666=""), "[Aviso] Temporada no capturada ()", IF(ISNA(MATCH(N666, Criterios!$C$123:$C$128, 0)), "Temporada no válida", "")), IF(OR(O666="", O666=""), "[Aviso] Ciclo de vida no capturado ()", IF(ISNA(MATCH(O666, Criterios!$D$123:$D$124, 0)), "Ciclo de vida no válido", ""))))</f>
        <v/>
      </c>
      <c r="AC666" s="56" t="n"/>
      <c r="AD666" s="51" t="n"/>
      <c r="AE666" s="156" t="n"/>
      <c r="AF666" s="51" t="n"/>
      <c r="AG666" s="156" t="inlineStr">
        <is>
          <t>Nuevo – Carga Hoja2 01/10/2026</t>
        </is>
      </c>
      <c r="AH666" s="156" t="inlineStr">
        <is>
          <t>Alta 01/10/2026 desde Hoja2 (fila 527) | 01/10/2026: Odoo Universal Unique Brands trae Marca «Montana West» — se conservó el valor de Productos | Homologación G1522 06/10/2026: Validador Shopify: WB: precio con IVA no termina en 9</t>
        </is>
      </c>
      <c r="AI666" s="156" t="n"/>
      <c r="AJ666" s="156" t="n"/>
      <c r="AK666" s="155" t="inlineStr">
        <is>
          <t>Hoja2: fila 527 | Odoo: producto 13312 / plantilla 16889 | Odoo: producto 27378 / plantilla 34078</t>
        </is>
      </c>
      <c r="AL666" s="58" t="n"/>
      <c r="AM666" s="58" t="n"/>
      <c r="AN666" s="155" t="inlineStr">
        <is>
          <t>Odoo Universal Unique Brands</t>
        </is>
      </c>
      <c r="AO666" s="59" t="n"/>
      <c r="AP666" s="59" t="n"/>
      <c r="AQ666" s="59" t="n">
        <v>29</v>
      </c>
      <c r="AR666" s="155" t="inlineStr">
        <is>
          <t>Odoo Universal Unique Brands › Bodega 25 › Bodega 25/General: 28 | Odoo Universal Unique Brands › Bodega 25 › Bodega 25/General: 1</t>
        </is>
      </c>
    </row>
    <row r="667">
      <c r="A667" s="50" t="inlineStr">
        <is>
          <t>717019691159</t>
        </is>
      </c>
      <c r="B667" s="51" t="inlineStr">
        <is>
          <t>13294</t>
        </is>
      </c>
      <c r="C667" s="156" t="inlineStr">
        <is>
          <t>Wrangler</t>
        </is>
      </c>
      <c r="D667" s="156" t="n"/>
      <c r="E667" s="156" t="inlineStr">
        <is>
          <t>WG2211-3003BR</t>
        </is>
      </c>
      <c r="F667" s="156" t="inlineStr">
        <is>
          <t>Talla única</t>
        </is>
      </c>
      <c r="G667" s="156" t="inlineStr">
        <is>
          <t>One Size</t>
        </is>
      </c>
      <c r="H667" s="156" t="inlineStr">
        <is>
          <t>Wrangler</t>
        </is>
      </c>
      <c r="I667" s="156" t="inlineStr">
        <is>
          <t>WG BAG BR</t>
        </is>
      </c>
      <c r="J667" s="156" t="inlineStr">
        <is>
          <t>Accesorios</t>
        </is>
      </c>
      <c r="K667" s="156" t="inlineStr">
        <is>
          <t>Bolsos</t>
        </is>
      </c>
      <c r="L667" s="156" t="inlineStr">
        <is>
          <t>Unisex</t>
        </is>
      </c>
      <c r="M667" s="156" t="n"/>
      <c r="N667" s="156" t="n"/>
      <c r="O667" s="156" t="n"/>
      <c r="P667" s="156" t="n"/>
      <c r="Q667" s="156" t="n"/>
      <c r="R667" s="156" t="n"/>
      <c r="S667" s="156" t="n"/>
      <c r="T667" s="156" t="n"/>
      <c r="U667" s="156" t="n"/>
      <c r="V667" s="156" t="inlineStr">
        <is>
          <t>PZS</t>
        </is>
      </c>
      <c r="W667" s="51" t="inlineStr">
        <is>
          <t>53121601</t>
        </is>
      </c>
      <c r="X667" s="156" t="n"/>
      <c r="Y667" s="54" t="n">
        <v>379.5</v>
      </c>
      <c r="Z667" s="54" t="n">
        <v>609</v>
      </c>
      <c r="AA667" s="55">
        <f>IF(AND(A667="", B667="", E667=""), "", IF(AB667="", "Válido", IF((LEN(AB667)-LEN(SUBSTITUTE(AB667,"; ","")))/2+1&gt;(LEN(AB667)-LEN(SUBSTITUTE(AB667,"[Aviso]","")))/7, "Con Incidencias", "Válido")))</f>
        <v/>
      </c>
      <c r="AB667" s="56">
        <f>IF(AND(A667="", B667="", E667=""), "", TEXTJOIN("; ", TRUE, IF(OR(TRIM(A667&amp;"")="", ISNUMBER(SEARCH("FALTA", A667))), "UPC faltante/inválido", ""), IF(AND(A667&lt;&gt;"", IFERROR(_xlfn.XMATCH(A667,$A$2:$A$1063,0,1)&lt;&gt;_xlfn.XMATCH(A667,$A$2:$A$1063,0,-1),FALSE)), "Código de barras duplicado", ""), IF(AND(E667&lt;&gt;"", COUNTIF($E$2:$E$1063, E667)&gt;1), "SKU duplicado", ""), IF(OR(J667="", J667=""), "[Aviso] División no capturada ()", IF(ISNA(MATCH(J667, Criterios!$A$123:$A$126, 0)), "División no válida", "")), IF(OR(K667="", K667=""), "[Aviso] Categoría no capturada ()", IF(ISNA(MATCH(K667, Criterios!$A$81:$A$120, 0)), "Categoría no válida", IF(AND(J667&lt;&gt;"", J667&lt;&gt;"", J667&lt;&gt;VLOOKUP(K667, Criterios!$A$81:$B$120, 2, FALSE)), "División no coincide con Categoría", ""))), IF(OR(L667="", L667=""), "[Aviso] Género no capturado ()", IF(ISNA(MATCH(L667, Criterios!$B$123:$B$127, 0)), "Género no válido", "")), IF(OR(N667="", N667=""), "[Aviso] Temporada no capturada ()", IF(ISNA(MATCH(N667, Criterios!$C$123:$C$128, 0)), "Temporada no válida", "")), IF(OR(O667="", O667=""), "[Aviso] Ciclo de vida no capturado ()", IF(ISNA(MATCH(O667, Criterios!$D$123:$D$124, 0)), "Ciclo de vida no válido", ""))))</f>
        <v/>
      </c>
      <c r="AC667" s="56" t="n"/>
      <c r="AD667" s="51" t="n"/>
      <c r="AE667" s="156" t="n"/>
      <c r="AF667" s="51" t="n"/>
      <c r="AG667" s="156" t="inlineStr">
        <is>
          <t>Nuevo – Carga Hoja2 01/10/2026</t>
        </is>
      </c>
      <c r="AH667" s="156" t="inlineStr">
        <is>
          <t>Alta 01/10/2026 desde Hoja2 (fila 528) | 01/10/2026: complementado desde Odoo Universal Unique Brands (match por código de barras): WB Talla, WB Talla de EE. UU., WB Género | Homologación G1522 06/10/2026: Validación G1522: WB SKU duplicado; Falta estilo · Validador NetSuite / Odoo: V4: SKU repetido; V6: falta estilo · Validador Shopify: V4: SKU repetido; V6: falta estilo; WB: precio con IVA no termina en 9</t>
        </is>
      </c>
      <c r="AI667" s="156" t="n"/>
      <c r="AJ667" s="156" t="n"/>
      <c r="AK667" s="155" t="inlineStr">
        <is>
          <t>Hoja2: fila 528 | Odoo: producto 13294 / plantilla 16871</t>
        </is>
      </c>
      <c r="AL667" s="58" t="n"/>
      <c r="AM667" s="58" t="n"/>
      <c r="AN667" s="155" t="inlineStr">
        <is>
          <t>Odoo Universal Unique Brands</t>
        </is>
      </c>
      <c r="AO667" s="59" t="n"/>
      <c r="AP667" s="59" t="n"/>
      <c r="AQ667" s="59" t="n">
        <v>50</v>
      </c>
      <c r="AR667" s="155" t="inlineStr">
        <is>
          <t>Odoo Universal Unique Brands › Bodega 25 › Bodega 25/General: 50</t>
        </is>
      </c>
    </row>
    <row r="668">
      <c r="A668" s="50" t="inlineStr">
        <is>
          <t>717019691241</t>
        </is>
      </c>
      <c r="B668" s="51" t="inlineStr">
        <is>
          <t>31027</t>
        </is>
      </c>
      <c r="C668" s="156" t="inlineStr">
        <is>
          <t>Wrangler</t>
        </is>
      </c>
      <c r="D668" s="156" t="n"/>
      <c r="E668" s="156" t="inlineStr">
        <is>
          <t>WG2211-3003JN</t>
        </is>
      </c>
      <c r="F668" s="156" t="inlineStr">
        <is>
          <t>Talla única</t>
        </is>
      </c>
      <c r="G668" s="156" t="inlineStr">
        <is>
          <t>One Size</t>
        </is>
      </c>
      <c r="H668" s="156" t="inlineStr">
        <is>
          <t>Wrangler</t>
        </is>
      </c>
      <c r="I668" s="156" t="inlineStr">
        <is>
          <t>Bolsa Cruzada Wrangler Estampado Suroeste Doble Cara Con Compartimento Para Cartera</t>
        </is>
      </c>
      <c r="J668" s="156" t="inlineStr">
        <is>
          <t>Accesorios</t>
        </is>
      </c>
      <c r="K668" s="156" t="inlineStr">
        <is>
          <t>Bolsos</t>
        </is>
      </c>
      <c r="L668" s="156" t="inlineStr">
        <is>
          <t>Unisex</t>
        </is>
      </c>
      <c r="M668" s="156" t="inlineStr">
        <is>
          <t>Wrangler</t>
        </is>
      </c>
      <c r="N668" s="156" t="n"/>
      <c r="O668" s="156" t="n"/>
      <c r="P668" s="156" t="inlineStr">
        <is>
          <t>Varios</t>
        </is>
      </c>
      <c r="Q668" s="156" t="n"/>
      <c r="R668" s="156" t="n"/>
      <c r="S668" s="156" t="n"/>
      <c r="T668" s="156" t="inlineStr">
        <is>
          <t>Bolsa Cruzada</t>
        </is>
      </c>
      <c r="U668" s="156" t="inlineStr">
        <is>
          <t>México</t>
        </is>
      </c>
      <c r="V668" s="156" t="inlineStr">
        <is>
          <t>PZS</t>
        </is>
      </c>
      <c r="W668" s="51" t="inlineStr">
        <is>
          <t>53121601</t>
        </is>
      </c>
      <c r="X668" s="156" t="inlineStr">
        <is>
          <t>https://m-universal-unique-brands.odoo.com/web/image/product.product/31027/image_1920</t>
        </is>
      </c>
      <c r="Y668" s="54" t="n">
        <v>379.5</v>
      </c>
      <c r="Z668" s="54" t="n">
        <v>609</v>
      </c>
      <c r="AA668" s="55">
        <f>IF(AND(A668="", B668="", E668=""), "", IF(AB668="", "Válido", IF((LEN(AB668)-LEN(SUBSTITUTE(AB668,"; ","")))/2+1&gt;(LEN(AB668)-LEN(SUBSTITUTE(AB668,"[Aviso]","")))/7, "Con Incidencias", "Válido")))</f>
        <v/>
      </c>
      <c r="AB668" s="56">
        <f>IF(AND(A668="", B668="", E668=""), "", TEXTJOIN("; ", TRUE, IF(OR(TRIM(A668&amp;"")="", ISNUMBER(SEARCH("FALTA", A668))), "UPC faltante/inválido", ""), IF(AND(A668&lt;&gt;"", IFERROR(_xlfn.XMATCH(A668,$A$2:$A$1063,0,1)&lt;&gt;_xlfn.XMATCH(A668,$A$2:$A$1063,0,-1),FALSE)), "Código de barras duplicado", ""), IF(AND(E668&lt;&gt;"", COUNTIF($E$2:$E$1063, E668)&gt;1), "SKU duplicado", ""), IF(OR(J668="", J668=""), "[Aviso] División no capturada ()", IF(ISNA(MATCH(J668, Criterios!$A$123:$A$126, 0)), "División no válida", "")), IF(OR(K668="", K668=""), "[Aviso] Categoría no capturada ()", IF(ISNA(MATCH(K668, Criterios!$A$81:$A$120, 0)), "Categoría no válida", IF(AND(J668&lt;&gt;"", J668&lt;&gt;"", J668&lt;&gt;VLOOKUP(K668, Criterios!$A$81:$B$120, 2, FALSE)), "División no coincide con Categoría", ""))), IF(OR(L668="", L668=""), "[Aviso] Género no capturado ()", IF(ISNA(MATCH(L668, Criterios!$B$123:$B$127, 0)), "Género no válido", "")), IF(OR(N668="", N668=""), "[Aviso] Temporada no capturada ()", IF(ISNA(MATCH(N668, Criterios!$C$123:$C$128, 0)), "Temporada no válida", "")), IF(OR(O668="", O668=""), "[Aviso] Ciclo de vida no capturado ()", IF(ISNA(MATCH(O668, Criterios!$D$123:$D$124, 0)), "Ciclo de vida no válido", ""))))</f>
        <v/>
      </c>
      <c r="AC668" s="56" t="n"/>
      <c r="AD668" s="51" t="n"/>
      <c r="AE668" s="156" t="n"/>
      <c r="AF668" s="51" t="n"/>
      <c r="AG668" s="156" t="inlineStr">
        <is>
          <t>Nuevo – Carga Hoja2 01/10/2026</t>
        </is>
      </c>
      <c r="AH668" s="156" t="inlineStr">
        <is>
          <t>Alta 01/10/2026 desde Hoja2 (fila 529) | 01/10/2026: complementado desde Odoo Universal Unique Brands (match por código de barras): WB Talla, WB Talla de EE. UU., WB Descripción larga, Enlace de imagen | 01/10/2026: Odoo Universal Unique Brands trae Categoría «Carteras», Color «Azul» — se conservó el valor de Productos | Homologación G1522 06/10/2026: WB País de origen: «Mexico» → «México» (Corrección aplicada) · Validación G1522: WB SKU duplicado; Falta estilo · Validador NetSuite / Odoo: V4: SKU repetido; V6: falta estilo · Validador Shopify: V4: SKU repetido; V6: falta estilo; WB: precio con IVA no termina en 9</t>
        </is>
      </c>
      <c r="AI668" s="156" t="n"/>
      <c r="AJ668" s="156" t="n"/>
      <c r="AK668" s="155" t="inlineStr">
        <is>
          <t>Hoja2: fila 529 | Odoo: producto 31027 / plantilla 39673</t>
        </is>
      </c>
      <c r="AL668" s="58" t="n"/>
      <c r="AM668" s="58" t="n"/>
      <c r="AN668" s="155" t="inlineStr">
        <is>
          <t>Odoo Universal Unique Brands</t>
        </is>
      </c>
      <c r="AO668" s="59" t="n"/>
      <c r="AP668" s="59" t="n"/>
      <c r="AQ668" s="59" t="n">
        <v>38</v>
      </c>
      <c r="AR668" s="155" t="inlineStr">
        <is>
          <t>Odoo Universal Unique Brands › Bodega 25 › Bodega 25/General: 38</t>
        </is>
      </c>
    </row>
    <row r="669">
      <c r="A669" s="50" t="inlineStr">
        <is>
          <t>717019751099</t>
        </is>
      </c>
      <c r="B669" s="51" t="inlineStr">
        <is>
          <t>31028</t>
        </is>
      </c>
      <c r="C669" s="156" t="inlineStr">
        <is>
          <t>Wrangler</t>
        </is>
      </c>
      <c r="D669" s="156" t="inlineStr">
        <is>
          <t>WG2211-3003TN</t>
        </is>
      </c>
      <c r="E669" s="156" t="inlineStr">
        <is>
          <t>WG2211-3003TN</t>
        </is>
      </c>
      <c r="F669" s="156" t="inlineStr">
        <is>
          <t>Talla única</t>
        </is>
      </c>
      <c r="G669" s="156" t="inlineStr">
        <is>
          <t>One Size</t>
        </is>
      </c>
      <c r="H669" s="156" t="inlineStr">
        <is>
          <t>Wrangler</t>
        </is>
      </c>
      <c r="I669" s="156" t="inlineStr">
        <is>
          <t>Bolsa Cruzada Wrangler Estampado Suroeste Doble Cara Con Compartimento Para Cartera Camel</t>
        </is>
      </c>
      <c r="J669" s="156" t="inlineStr">
        <is>
          <t>Accesorios</t>
        </is>
      </c>
      <c r="K669" s="156" t="inlineStr">
        <is>
          <t>Bolsos</t>
        </is>
      </c>
      <c r="L669" s="156" t="inlineStr">
        <is>
          <t>Unisex</t>
        </is>
      </c>
      <c r="M669" s="156" t="inlineStr">
        <is>
          <t>Wrangler</t>
        </is>
      </c>
      <c r="N669" s="156" t="n"/>
      <c r="O669" s="156" t="inlineStr">
        <is>
          <t>Core</t>
        </is>
      </c>
      <c r="P669" s="156" t="inlineStr">
        <is>
          <t>Varios</t>
        </is>
      </c>
      <c r="Q669" s="156" t="n"/>
      <c r="R669" s="156" t="n"/>
      <c r="S669" s="156" t="n"/>
      <c r="T669" s="156" t="inlineStr">
        <is>
          <t>Bolsa Cruzada Wrangler. Modelo: Estampado Suroeste Doble Cara Con Compartimento Para Cartera. Color: Camel. Talla única. Unisex. País de origen: México. Referencia: WG2211-3003TN.</t>
        </is>
      </c>
      <c r="U669" s="156" t="inlineStr">
        <is>
          <t>México</t>
        </is>
      </c>
      <c r="V669" s="156" t="inlineStr">
        <is>
          <t>PZS</t>
        </is>
      </c>
      <c r="W669" s="51" t="inlineStr">
        <is>
          <t>53121601</t>
        </is>
      </c>
      <c r="X669" s="156" t="inlineStr">
        <is>
          <t>https://m-universal-unique-brands.odoo.com/web/image/product.product/31028/image_1920</t>
        </is>
      </c>
      <c r="Y669" s="54" t="n">
        <v>379.5</v>
      </c>
      <c r="Z669" s="54" t="n">
        <v>609</v>
      </c>
      <c r="AA669" s="55">
        <f>IF(AND(A669="", B669="", E669=""), "", IF(AB669="", "Válido", IF((LEN(AB669)-LEN(SUBSTITUTE(AB669,"; ","")))/2+1&gt;(LEN(AB669)-LEN(SUBSTITUTE(AB669,"[Aviso]","")))/7, "Con Incidencias", "Válido")))</f>
        <v/>
      </c>
      <c r="AB669" s="56">
        <f>IF(AND(A669="", B669="", E669=""), "", TEXTJOIN("; ", TRUE, IF(OR(TRIM(A669&amp;"")="", ISNUMBER(SEARCH("FALTA", A669))), "UPC faltante/inválido", ""), IF(AND(A669&lt;&gt;"", IFERROR(_xlfn.XMATCH(A669,$A$2:$A$1063,0,1)&lt;&gt;_xlfn.XMATCH(A669,$A$2:$A$1063,0,-1),FALSE)), "Código de barras duplicado", ""), IF(AND(E669&lt;&gt;"", COUNTIF($E$2:$E$1063, E669)&gt;1), "SKU duplicado", ""), IF(OR(J669="", J669=""), "[Aviso] División no capturada ()", IF(ISNA(MATCH(J669, Criterios!$A$123:$A$126, 0)), "División no válida", "")), IF(OR(K669="", K669=""), "[Aviso] Categoría no capturada ()", IF(ISNA(MATCH(K669, Criterios!$A$81:$A$120, 0)), "Categoría no válida", IF(AND(J669&lt;&gt;"", J669&lt;&gt;"", J669&lt;&gt;VLOOKUP(K669, Criterios!$A$81:$B$120, 2, FALSE)), "División no coincide con Categoría", ""))), IF(OR(L669="", L669=""), "[Aviso] Género no capturado ()", IF(ISNA(MATCH(L669, Criterios!$B$123:$B$127, 0)), "Género no válido", "")), IF(OR(N669="", N669=""), "[Aviso] Temporada no capturada ()", IF(ISNA(MATCH(N669, Criterios!$C$123:$C$128, 0)), "Temporada no válida", "")), IF(OR(O669="", O669=""), "[Aviso] Ciclo de vida no capturado ()", IF(ISNA(MATCH(O669, Criterios!$D$123:$D$124, 0)), "Ciclo de vida no válido", ""))))</f>
        <v/>
      </c>
      <c r="AC669" s="56" t="n"/>
      <c r="AD669" s="51" t="n"/>
      <c r="AE669" s="156" t="n"/>
      <c r="AF669" s="51" t="n"/>
      <c r="AG669" s="156" t="inlineStr">
        <is>
          <t>Nuevo – Carga Hoja2 01/10/2026</t>
        </is>
      </c>
      <c r="AH669" s="156" t="inlineStr">
        <is>
          <t>Alta 01/10/2026 desde Hoja2 (fila 530) | 01/10/2026: complementado desde Odoo Universal Unique Brands (match por código de barras): Enlace de imagen | 01/10/2026: Odoo Universal Unique Brands trae Categoría «Carteras», Color «Cafe» — se conservó el valor de Productos | Homologación G1522 06/10/2026: Validador Shopify: WB: precio con IVA no termina en 9</t>
        </is>
      </c>
      <c r="AI669" s="156" t="n"/>
      <c r="AJ669" s="156" t="n"/>
      <c r="AK669" s="155" t="inlineStr">
        <is>
          <t>Hoja2: fila 530 | Odoo: producto 31028 / plantilla 39673</t>
        </is>
      </c>
      <c r="AL669" s="58" t="n"/>
      <c r="AM669" s="58" t="n"/>
      <c r="AN669" s="155" t="inlineStr">
        <is>
          <t>Odoo Universal Unique Brands</t>
        </is>
      </c>
      <c r="AO669" s="59" t="n"/>
      <c r="AP669" s="59" t="n"/>
      <c r="AQ669" s="59" t="n">
        <v>47</v>
      </c>
      <c r="AR669" s="155" t="inlineStr">
        <is>
          <t>Odoo Universal Unique Brands › Bodega 25 › Bodega 25/General: 47</t>
        </is>
      </c>
    </row>
    <row r="670">
      <c r="A670" s="50" t="inlineStr">
        <is>
          <t>717019690671</t>
        </is>
      </c>
      <c r="B670" s="51" t="inlineStr">
        <is>
          <t>13314</t>
        </is>
      </c>
      <c r="C670" s="156" t="inlineStr">
        <is>
          <t>Wrangler</t>
        </is>
      </c>
      <c r="D670" s="156" t="inlineStr">
        <is>
          <t>WG2211-8119BK</t>
        </is>
      </c>
      <c r="E670" s="156" t="inlineStr">
        <is>
          <t>WG2211-8119BK</t>
        </is>
      </c>
      <c r="F670" s="156" t="inlineStr">
        <is>
          <t>Talla única</t>
        </is>
      </c>
      <c r="G670" s="156" t="inlineStr">
        <is>
          <t>One Size</t>
        </is>
      </c>
      <c r="H670" s="156" t="inlineStr">
        <is>
          <t>Wrangler</t>
        </is>
      </c>
      <c r="I670" s="156" t="inlineStr">
        <is>
          <t>Bolsa Tote Wrangler Negro</t>
        </is>
      </c>
      <c r="J670" s="156" t="inlineStr">
        <is>
          <t>Accesorios</t>
        </is>
      </c>
      <c r="K670" s="156" t="inlineStr">
        <is>
          <t>Bolsos</t>
        </is>
      </c>
      <c r="L670" s="156" t="inlineStr">
        <is>
          <t>Unisex</t>
        </is>
      </c>
      <c r="M670" s="156" t="inlineStr">
        <is>
          <t>Wrangler</t>
        </is>
      </c>
      <c r="N670" s="156" t="n"/>
      <c r="O670" s="156" t="inlineStr">
        <is>
          <t>Core</t>
        </is>
      </c>
      <c r="P670" s="156" t="inlineStr">
        <is>
          <t>Negro</t>
        </is>
      </c>
      <c r="Q670" s="156" t="n"/>
      <c r="R670" s="156" t="n"/>
      <c r="S670" s="156" t="n"/>
      <c r="T670" s="156" t="inlineStr">
        <is>
          <t>Bolsa Tote Wrangler. Color: Negro. Talla única. Unisex. Referencia: WG2211-8119BK.</t>
        </is>
      </c>
      <c r="U670" s="156" t="n"/>
      <c r="V670" s="156" t="inlineStr">
        <is>
          <t>PZS</t>
        </is>
      </c>
      <c r="W670" s="51" t="inlineStr">
        <is>
          <t>53121601</t>
        </is>
      </c>
      <c r="X670" s="156" t="inlineStr">
        <is>
          <t>https://cdn.shopify.com/s/files/1/0005/9015/1741/files/WG2211-8119BK.webp?v=1787760803</t>
        </is>
      </c>
      <c r="Y670" s="54" t="n">
        <v>517.5</v>
      </c>
      <c r="Z670" s="54" t="n">
        <v>829</v>
      </c>
      <c r="AA670" s="55">
        <f>IF(AND(A670="", B670="", E670=""), "", IF(AB670="", "Válido", IF((LEN(AB670)-LEN(SUBSTITUTE(AB670,"; ","")))/2+1&gt;(LEN(AB670)-LEN(SUBSTITUTE(AB670,"[Aviso]","")))/7, "Con Incidencias", "Válido")))</f>
        <v/>
      </c>
      <c r="AB670" s="56">
        <f>IF(AND(A670="", B670="", E670=""), "", TEXTJOIN("; ", TRUE, IF(OR(TRIM(A670&amp;"")="", ISNUMBER(SEARCH("FALTA", A670))), "UPC faltante/inválido", ""), IF(AND(A670&lt;&gt;"", IFERROR(_xlfn.XMATCH(A670,$A$2:$A$1063,0,1)&lt;&gt;_xlfn.XMATCH(A670,$A$2:$A$1063,0,-1),FALSE)), "Código de barras duplicado", ""), IF(AND(E670&lt;&gt;"", COUNTIF($E$2:$E$1063, E670)&gt;1), "SKU duplicado", ""), IF(OR(J670="", J670=""), "[Aviso] División no capturada ()", IF(ISNA(MATCH(J670, Criterios!$A$123:$A$126, 0)), "División no válida", "")), IF(OR(K670="", K670=""), "[Aviso] Categoría no capturada ()", IF(ISNA(MATCH(K670, Criterios!$A$81:$A$120, 0)), "Categoría no válida", IF(AND(J670&lt;&gt;"", J670&lt;&gt;"", J670&lt;&gt;VLOOKUP(K670, Criterios!$A$81:$B$120, 2, FALSE)), "División no coincide con Categoría", ""))), IF(OR(L670="", L670=""), "[Aviso] Género no capturado ()", IF(ISNA(MATCH(L670, Criterios!$B$123:$B$127, 0)), "Género no válido", "")), IF(OR(N670="", N670=""), "[Aviso] Temporada no capturada ()", IF(ISNA(MATCH(N670, Criterios!$C$123:$C$128, 0)), "Temporada no válida", "")), IF(OR(O670="", O670=""), "[Aviso] Ciclo de vida no capturado ()", IF(ISNA(MATCH(O670, Criterios!$D$123:$D$124, 0)), "Ciclo de vida no válido", ""))))</f>
        <v/>
      </c>
      <c r="AC670" s="56" t="n"/>
      <c r="AD670" s="51" t="n"/>
      <c r="AE670" s="156" t="n"/>
      <c r="AF670" s="51" t="n"/>
      <c r="AG670" s="156" t="inlineStr">
        <is>
          <t>Nuevo – Carga Hoja2 01/10/2026</t>
        </is>
      </c>
      <c r="AH670" s="156" t="inlineStr">
        <is>
          <t>Alta 01/10/2026 desde Hoja2 (fila 531) | 01/10/2026: Odoo Universal Unique Brands trae Marca «Montana West» — se conservó el valor de Productos | Homologación G1522 06/10/2026: Enlace de imagen: «» → «https://cdn.shopify.com/s/files/1/0005/9015/1741/files/WG2211-8119BK.webp?v=1787760803» (Completado por investigación en línea) · Validador Shopify: WB: precio con IVA no termina en 9</t>
        </is>
      </c>
      <c r="AI670" s="156" t="n"/>
      <c r="AJ670" s="156" t="n"/>
      <c r="AK670" s="155" t="inlineStr">
        <is>
          <t>Hoja2: fila 531 | Odoo: producto 13314 / plantilla 16891 | Odoo: producto 27384 / plantilla 34084 | Investigación en línea 06/10/2026: https://montanawestworld.com/products/wrangler-southwestern-pattern-concealed-carry-wide-tote-collection</t>
        </is>
      </c>
      <c r="AL670" s="58" t="n"/>
      <c r="AM670" s="58" t="n"/>
      <c r="AN670" s="155" t="inlineStr">
        <is>
          <t>Odoo Universal Unique Brands</t>
        </is>
      </c>
      <c r="AO670" s="59" t="n"/>
      <c r="AP670" s="59" t="n"/>
      <c r="AQ670" s="59" t="n">
        <v>24</v>
      </c>
      <c r="AR670" s="155" t="inlineStr">
        <is>
          <t>Odoo Universal Unique Brands › Bodega 25 › Bodega 25/General: 19 | Odoo Universal Unique Brands › Bodega 25 › Bodega 25/General: 5</t>
        </is>
      </c>
    </row>
    <row r="671">
      <c r="A671" s="50" t="inlineStr">
        <is>
          <t>717019690732</t>
        </is>
      </c>
      <c r="B671" s="51" t="inlineStr">
        <is>
          <t>13315</t>
        </is>
      </c>
      <c r="C671" s="156" t="inlineStr">
        <is>
          <t>Wrangler</t>
        </is>
      </c>
      <c r="D671" s="156" t="inlineStr">
        <is>
          <t>WG2211-8119GY</t>
        </is>
      </c>
      <c r="E671" s="156" t="inlineStr">
        <is>
          <t>WG2211-8119GY</t>
        </is>
      </c>
      <c r="F671" s="156" t="inlineStr">
        <is>
          <t>Talla única</t>
        </is>
      </c>
      <c r="G671" s="156" t="inlineStr">
        <is>
          <t>One Size</t>
        </is>
      </c>
      <c r="H671" s="156" t="inlineStr">
        <is>
          <t>Wrangler</t>
        </is>
      </c>
      <c r="I671" s="156" t="inlineStr">
        <is>
          <t>Bolsa Tote Wrangler Gris</t>
        </is>
      </c>
      <c r="J671" s="156" t="inlineStr">
        <is>
          <t>Accesorios</t>
        </is>
      </c>
      <c r="K671" s="156" t="inlineStr">
        <is>
          <t>Bolsos</t>
        </is>
      </c>
      <c r="L671" s="156" t="inlineStr">
        <is>
          <t>Unisex</t>
        </is>
      </c>
      <c r="M671" s="156" t="inlineStr">
        <is>
          <t>Wrangler</t>
        </is>
      </c>
      <c r="N671" s="156" t="n"/>
      <c r="O671" s="156" t="inlineStr">
        <is>
          <t>Core</t>
        </is>
      </c>
      <c r="P671" s="156" t="inlineStr">
        <is>
          <t>Gris</t>
        </is>
      </c>
      <c r="Q671" s="156" t="n"/>
      <c r="R671" s="156" t="n"/>
      <c r="S671" s="156" t="n"/>
      <c r="T671" s="156" t="inlineStr">
        <is>
          <t>Bolsa Tote Wrangler. Color: Gris. Talla única. Unisex. Referencia: WG2211-8119GY.</t>
        </is>
      </c>
      <c r="U671" s="156" t="n"/>
      <c r="V671" s="156" t="inlineStr">
        <is>
          <t>PZS</t>
        </is>
      </c>
      <c r="W671" s="51" t="inlineStr">
        <is>
          <t>53121601</t>
        </is>
      </c>
      <c r="X671" s="156" t="n"/>
      <c r="Y671" s="54" t="n">
        <v>517.5</v>
      </c>
      <c r="Z671" s="54" t="n">
        <v>829</v>
      </c>
      <c r="AA671" s="55">
        <f>IF(AND(A671="", B671="", E671=""), "", IF(AB671="", "Válido", IF((LEN(AB671)-LEN(SUBSTITUTE(AB671,"; ","")))/2+1&gt;(LEN(AB671)-LEN(SUBSTITUTE(AB671,"[Aviso]","")))/7, "Con Incidencias", "Válido")))</f>
        <v/>
      </c>
      <c r="AB671" s="56">
        <f>IF(AND(A671="", B671="", E671=""), "", TEXTJOIN("; ", TRUE, IF(OR(TRIM(A671&amp;"")="", ISNUMBER(SEARCH("FALTA", A671))), "UPC faltante/inválido", ""), IF(AND(A671&lt;&gt;"", IFERROR(_xlfn.XMATCH(A671,$A$2:$A$1063,0,1)&lt;&gt;_xlfn.XMATCH(A671,$A$2:$A$1063,0,-1),FALSE)), "Código de barras duplicado", ""), IF(AND(E671&lt;&gt;"", COUNTIF($E$2:$E$1063, E671)&gt;1), "SKU duplicado", ""), IF(OR(J671="", J671=""), "[Aviso] División no capturada ()", IF(ISNA(MATCH(J671, Criterios!$A$123:$A$126, 0)), "División no válida", "")), IF(OR(K671="", K671=""), "[Aviso] Categoría no capturada ()", IF(ISNA(MATCH(K671, Criterios!$A$81:$A$120, 0)), "Categoría no válida", IF(AND(J671&lt;&gt;"", J671&lt;&gt;"", J671&lt;&gt;VLOOKUP(K671, Criterios!$A$81:$B$120, 2, FALSE)), "División no coincide con Categoría", ""))), IF(OR(L671="", L671=""), "[Aviso] Género no capturado ()", IF(ISNA(MATCH(L671, Criterios!$B$123:$B$127, 0)), "Género no válido", "")), IF(OR(N671="", N671=""), "[Aviso] Temporada no capturada ()", IF(ISNA(MATCH(N671, Criterios!$C$123:$C$128, 0)), "Temporada no válida", "")), IF(OR(O671="", O671=""), "[Aviso] Ciclo de vida no capturado ()", IF(ISNA(MATCH(O671, Criterios!$D$123:$D$124, 0)), "Ciclo de vida no válido", ""))))</f>
        <v/>
      </c>
      <c r="AC671" s="56" t="n"/>
      <c r="AD671" s="51" t="n"/>
      <c r="AE671" s="156" t="n"/>
      <c r="AF671" s="51" t="n"/>
      <c r="AG671" s="156" t="inlineStr">
        <is>
          <t>Nuevo – Carga Hoja2 01/10/2026</t>
        </is>
      </c>
      <c r="AH671" s="156" t="inlineStr">
        <is>
          <t>Alta 01/10/2026 desde Hoja2 (fila 532) | Homologación G1522 06/10/2026: Validador Shopify: WB: precio con IVA no termina en 9</t>
        </is>
      </c>
      <c r="AI671" s="156" t="n"/>
      <c r="AJ671" s="156" t="n"/>
      <c r="AK671" s="155" t="inlineStr">
        <is>
          <t>Hoja2: fila 532 | Odoo: producto 13315 / plantilla 16892</t>
        </is>
      </c>
      <c r="AL671" s="58" t="n"/>
      <c r="AM671" s="58" t="n"/>
      <c r="AN671" s="155" t="inlineStr">
        <is>
          <t>Odoo Universal Unique Brands</t>
        </is>
      </c>
      <c r="AO671" s="59" t="n"/>
      <c r="AP671" s="59" t="n"/>
      <c r="AQ671" s="59" t="n">
        <v>21</v>
      </c>
      <c r="AR671" s="155" t="inlineStr">
        <is>
          <t>Odoo Universal Unique Brands › Bodega 25 › Bodega 25/General: 21</t>
        </is>
      </c>
    </row>
    <row r="672">
      <c r="A672" s="50" t="inlineStr">
        <is>
          <t>717019691005</t>
        </is>
      </c>
      <c r="B672" s="51" t="inlineStr">
        <is>
          <t>12524</t>
        </is>
      </c>
      <c r="C672" s="156" t="inlineStr">
        <is>
          <t>Wrangler</t>
        </is>
      </c>
      <c r="D672" s="156" t="inlineStr">
        <is>
          <t>WG2211-8120SBR</t>
        </is>
      </c>
      <c r="E672" s="156" t="inlineStr">
        <is>
          <t>WG2211-8120SBR</t>
        </is>
      </c>
      <c r="F672" s="156" t="inlineStr">
        <is>
          <t>Talla única</t>
        </is>
      </c>
      <c r="G672" s="156" t="inlineStr">
        <is>
          <t>One Size</t>
        </is>
      </c>
      <c r="H672" s="156" t="inlineStr">
        <is>
          <t>Wrangler</t>
        </is>
      </c>
      <c r="I672" s="156" t="inlineStr">
        <is>
          <t>Bolsa De Mano Wrangler Estampado Suroeste De Lona Chica Café</t>
        </is>
      </c>
      <c r="J672" s="156" t="inlineStr">
        <is>
          <t>Accesorios</t>
        </is>
      </c>
      <c r="K672" s="156" t="inlineStr">
        <is>
          <t>Bolsos</t>
        </is>
      </c>
      <c r="L672" s="156" t="inlineStr">
        <is>
          <t>Unisex</t>
        </is>
      </c>
      <c r="M672" s="156" t="inlineStr">
        <is>
          <t>Wrangler</t>
        </is>
      </c>
      <c r="N672" s="156" t="n"/>
      <c r="O672" s="156" t="inlineStr">
        <is>
          <t>Core</t>
        </is>
      </c>
      <c r="P672" s="156" t="inlineStr">
        <is>
          <t>Cafe</t>
        </is>
      </c>
      <c r="Q672" s="156" t="n"/>
      <c r="R672" s="156" t="n"/>
      <c r="S672" s="156" t="n"/>
      <c r="T672" s="156" t="inlineStr">
        <is>
          <t>Bolsa De Mano Wrangler. Modelo: Estampado Suroeste De Lona Chica. Color: Café. Talla única. Unisex. Referencia: WG2211-8120SBR.</t>
        </is>
      </c>
      <c r="U672" s="156" t="n"/>
      <c r="V672" s="156" t="inlineStr">
        <is>
          <t>PZS</t>
        </is>
      </c>
      <c r="W672" s="51" t="inlineStr">
        <is>
          <t>53121601</t>
        </is>
      </c>
      <c r="X672" s="156" t="inlineStr">
        <is>
          <t>https://cdn.shopify.com/s/files/1/0005/9015/1741/files/WG2211-8120SBR.webp?v=1787760800</t>
        </is>
      </c>
      <c r="Y672" s="54" t="n">
        <v>448.5</v>
      </c>
      <c r="Z672" s="54" t="n">
        <v>719</v>
      </c>
      <c r="AA672" s="55">
        <f>IF(AND(A672="", B672="", E672=""), "", IF(AB672="", "Válido", IF((LEN(AB672)-LEN(SUBSTITUTE(AB672,"; ","")))/2+1&gt;(LEN(AB672)-LEN(SUBSTITUTE(AB672,"[Aviso]","")))/7, "Con Incidencias", "Válido")))</f>
        <v/>
      </c>
      <c r="AB672" s="56">
        <f>IF(AND(A672="", B672="", E672=""), "", TEXTJOIN("; ", TRUE, IF(OR(TRIM(A672&amp;"")="", ISNUMBER(SEARCH("FALTA", A672))), "UPC faltante/inválido", ""), IF(AND(A672&lt;&gt;"", IFERROR(_xlfn.XMATCH(A672,$A$2:$A$1063,0,1)&lt;&gt;_xlfn.XMATCH(A672,$A$2:$A$1063,0,-1),FALSE)), "Código de barras duplicado", ""), IF(AND(E672&lt;&gt;"", COUNTIF($E$2:$E$1063, E672)&gt;1), "SKU duplicado", ""), IF(OR(J672="", J672=""), "[Aviso] División no capturada ()", IF(ISNA(MATCH(J672, Criterios!$A$123:$A$126, 0)), "División no válida", "")), IF(OR(K672="", K672=""), "[Aviso] Categoría no capturada ()", IF(ISNA(MATCH(K672, Criterios!$A$81:$A$120, 0)), "Categoría no válida", IF(AND(J672&lt;&gt;"", J672&lt;&gt;"", J672&lt;&gt;VLOOKUP(K672, Criterios!$A$81:$B$120, 2, FALSE)), "División no coincide con Categoría", ""))), IF(OR(L672="", L672=""), "[Aviso] Género no capturado ()", IF(ISNA(MATCH(L672, Criterios!$B$123:$B$127, 0)), "Género no válido", "")), IF(OR(N672="", N672=""), "[Aviso] Temporada no capturada ()", IF(ISNA(MATCH(N672, Criterios!$C$123:$C$128, 0)), "Temporada no válida", "")), IF(OR(O672="", O672=""), "[Aviso] Ciclo de vida no capturado ()", IF(ISNA(MATCH(O672, Criterios!$D$123:$D$124, 0)), "Ciclo de vida no válido", ""))))</f>
        <v/>
      </c>
      <c r="AC672" s="56" t="n"/>
      <c r="AD672" s="51" t="n"/>
      <c r="AE672" s="156" t="n"/>
      <c r="AF672" s="51" t="n"/>
      <c r="AG672" s="156" t="inlineStr">
        <is>
          <t>Nuevo – Carga Hoja2 01/10/2026</t>
        </is>
      </c>
      <c r="AH672" s="156" t="inlineStr">
        <is>
          <t>Alta 01/10/2026 desde Hoja2 (fila 533) | Homologación G1522 06/10/2026: Enlace de imagen: «» → «https://cdn.shopify.com/s/files/1/0005/9015/1741/files/WG2211-8120SBR.webp?v=1787760800» (Completado por investigación en línea) · Validador Shopify: WB: precio con IVA no termina en 9</t>
        </is>
      </c>
      <c r="AI672" s="156" t="n"/>
      <c r="AJ672" s="156" t="n"/>
      <c r="AK672" s="155" t="inlineStr">
        <is>
          <t>Hoja2: fila 533 | Odoo: producto 12524 / plantilla 16101 | Investigación en línea 06/10/2026: https://montanawestworld.com/products/wrangler-southwestern-pattern-concealed-carry-wide-tote-collection</t>
        </is>
      </c>
      <c r="AL672" s="58" t="n"/>
      <c r="AM672" s="58" t="n"/>
      <c r="AN672" s="155" t="inlineStr">
        <is>
          <t>Odoo Universal Unique Brands</t>
        </is>
      </c>
      <c r="AO672" s="59" t="n"/>
      <c r="AP672" s="59" t="n"/>
      <c r="AQ672" s="59" t="n">
        <v>8</v>
      </c>
      <c r="AR672" s="155" t="inlineStr">
        <is>
          <t>Odoo Universal Unique Brands › Bodega 25 › Bodega 25/General: 8</t>
        </is>
      </c>
    </row>
    <row r="673">
      <c r="A673" s="50" t="inlineStr">
        <is>
          <t>717019691661</t>
        </is>
      </c>
      <c r="B673" s="51" t="inlineStr">
        <is>
          <t>13297</t>
        </is>
      </c>
      <c r="C673" s="156" t="inlineStr">
        <is>
          <t>Wrangler</t>
        </is>
      </c>
      <c r="D673" s="156" t="inlineStr">
        <is>
          <t>WG2211-W0051DPK</t>
        </is>
      </c>
      <c r="E673" s="156" t="inlineStr">
        <is>
          <t>WG2211-W0051DPK</t>
        </is>
      </c>
      <c r="F673" s="156" t="inlineStr">
        <is>
          <t>Talla única</t>
        </is>
      </c>
      <c r="G673" s="156" t="inlineStr">
        <is>
          <t>One Size</t>
        </is>
      </c>
      <c r="H673" s="156" t="inlineStr">
        <is>
          <t>Wrangler</t>
        </is>
      </c>
      <c r="I673" s="156" t="inlineStr">
        <is>
          <t>Muñequera De Doble Compartimento Wrangler Estampado Artístico Suroeste Rosa Oscuro</t>
        </is>
      </c>
      <c r="J673" s="156" t="inlineStr">
        <is>
          <t>Accesorios</t>
        </is>
      </c>
      <c r="K673" s="156" t="inlineStr">
        <is>
          <t>Carteras</t>
        </is>
      </c>
      <c r="L673" s="156" t="inlineStr">
        <is>
          <t>Unisex</t>
        </is>
      </c>
      <c r="M673" s="156" t="inlineStr">
        <is>
          <t>Wrangler</t>
        </is>
      </c>
      <c r="N673" s="156" t="n"/>
      <c r="O673" s="156" t="inlineStr">
        <is>
          <t>Core</t>
        </is>
      </c>
      <c r="P673" s="156" t="inlineStr">
        <is>
          <t>Rosa</t>
        </is>
      </c>
      <c r="Q673" s="156" t="n"/>
      <c r="R673" s="156" t="n"/>
      <c r="S673" s="156" t="n"/>
      <c r="T673" s="156" t="inlineStr">
        <is>
          <t>Muñequera De Doble Compartimento Wrangler. Modelo: Estampado Artístico Suroeste. Color: Rosa Oscuro. Talla única. Unisex. Referencia: WG2211-W0051DPK.</t>
        </is>
      </c>
      <c r="U673" s="156" t="n"/>
      <c r="V673" s="156" t="inlineStr">
        <is>
          <t>PZS</t>
        </is>
      </c>
      <c r="W673" s="51" t="inlineStr">
        <is>
          <t>53121700</t>
        </is>
      </c>
      <c r="X673" s="156" t="n"/>
      <c r="Y673" s="54" t="n">
        <v>232.88</v>
      </c>
      <c r="Z673" s="54" t="n">
        <v>379</v>
      </c>
      <c r="AA673" s="55">
        <f>IF(AND(A673="", B673="", E673=""), "", IF(AB673="", "Válido", IF((LEN(AB673)-LEN(SUBSTITUTE(AB673,"; ","")))/2+1&gt;(LEN(AB673)-LEN(SUBSTITUTE(AB673,"[Aviso]","")))/7, "Con Incidencias", "Válido")))</f>
        <v/>
      </c>
      <c r="AB673" s="56">
        <f>IF(AND(A673="", B673="", E673=""), "", TEXTJOIN("; ", TRUE, IF(OR(TRIM(A673&amp;"")="", ISNUMBER(SEARCH("FALTA", A673))), "UPC faltante/inválido", ""), IF(AND(A673&lt;&gt;"", IFERROR(_xlfn.XMATCH(A673,$A$2:$A$1063,0,1)&lt;&gt;_xlfn.XMATCH(A673,$A$2:$A$1063,0,-1),FALSE)), "Código de barras duplicado", ""), IF(AND(E673&lt;&gt;"", COUNTIF($E$2:$E$1063, E673)&gt;1), "SKU duplicado", ""), IF(OR(J673="", J673=""), "[Aviso] División no capturada ()", IF(ISNA(MATCH(J673, Criterios!$A$123:$A$126, 0)), "División no válida", "")), IF(OR(K673="", K673=""), "[Aviso] Categoría no capturada ()", IF(ISNA(MATCH(K673, Criterios!$A$81:$A$120, 0)), "Categoría no válida", IF(AND(J673&lt;&gt;"", J673&lt;&gt;"", J673&lt;&gt;VLOOKUP(K673, Criterios!$A$81:$B$120, 2, FALSE)), "División no coincide con Categoría", ""))), IF(OR(L673="", L673=""), "[Aviso] Género no capturado ()", IF(ISNA(MATCH(L673, Criterios!$B$123:$B$127, 0)), "Género no válido", "")), IF(OR(N673="", N673=""), "[Aviso] Temporada no capturada ()", IF(ISNA(MATCH(N673, Criterios!$C$123:$C$128, 0)), "Temporada no válida", "")), IF(OR(O673="", O673=""), "[Aviso] Ciclo de vida no capturado ()", IF(ISNA(MATCH(O673, Criterios!$D$123:$D$124, 0)), "Ciclo de vida no válido", ""))))</f>
        <v/>
      </c>
      <c r="AC673" s="56" t="n"/>
      <c r="AD673" s="51" t="n"/>
      <c r="AE673" s="156" t="n"/>
      <c r="AF673" s="51" t="n"/>
      <c r="AG673" s="156" t="inlineStr">
        <is>
          <t>Nuevo – Carga Hoja2 01/10/2026</t>
        </is>
      </c>
      <c r="AH673" s="156" t="inlineStr">
        <is>
          <t>Alta 01/10/2026 desde Hoja2 (fila 534) | 01/10/2026: Odoo Universal Unique Brands trae Marca «Montana West» — se conservó el valor de Productos</t>
        </is>
      </c>
      <c r="AI673" s="156" t="n"/>
      <c r="AJ673" s="156" t="n"/>
      <c r="AK673" s="155" t="inlineStr">
        <is>
          <t>Hoja2: fila 534 | Odoo: producto 13297 / plantilla 16874 | Odoo: producto 27389 / plantilla 34089</t>
        </is>
      </c>
      <c r="AL673" s="58" t="n"/>
      <c r="AM673" s="58" t="n"/>
      <c r="AN673" s="155" t="inlineStr">
        <is>
          <t>Odoo Universal Unique Brands</t>
        </is>
      </c>
      <c r="AO673" s="59" t="n"/>
      <c r="AP673" s="59" t="n"/>
      <c r="AQ673" s="59" t="n">
        <v>25</v>
      </c>
      <c r="AR673" s="155" t="inlineStr">
        <is>
          <t>Odoo Universal Unique Brands › Bodega 25 › Bodega 25/General: 22 | Odoo Universal Unique Brands › Bodega 25 › Bodega 25/General: 3</t>
        </is>
      </c>
    </row>
    <row r="674">
      <c r="A674" s="50" t="inlineStr">
        <is>
          <t>717019713806</t>
        </is>
      </c>
      <c r="B674" s="51" t="inlineStr">
        <is>
          <t>11253</t>
        </is>
      </c>
      <c r="C674" s="156" t="inlineStr">
        <is>
          <t>Wrangler</t>
        </is>
      </c>
      <c r="D674" s="156" t="n"/>
      <c r="E674" s="156" t="inlineStr">
        <is>
          <t>WG2212-8120BR</t>
        </is>
      </c>
      <c r="F674" s="156" t="inlineStr">
        <is>
          <t>Talla única</t>
        </is>
      </c>
      <c r="G674" s="156" t="inlineStr">
        <is>
          <t>One Size</t>
        </is>
      </c>
      <c r="H674" s="156" t="inlineStr">
        <is>
          <t>Wrangler</t>
        </is>
      </c>
      <c r="I674" s="156" t="inlineStr">
        <is>
          <t>WG2212-8120BR</t>
        </is>
      </c>
      <c r="J674" s="156" t="inlineStr">
        <is>
          <t>Accesorios</t>
        </is>
      </c>
      <c r="K674" s="156" t="inlineStr">
        <is>
          <t>Bolsos</t>
        </is>
      </c>
      <c r="L674" s="156" t="inlineStr">
        <is>
          <t>Unisex</t>
        </is>
      </c>
      <c r="M674" s="156" t="n"/>
      <c r="N674" s="156" t="n"/>
      <c r="O674" s="156" t="n"/>
      <c r="P674" s="156" t="n"/>
      <c r="Q674" s="156" t="n"/>
      <c r="R674" s="156" t="n"/>
      <c r="S674" s="156" t="n"/>
      <c r="T674" s="156" t="n"/>
      <c r="U674" s="156" t="n"/>
      <c r="V674" s="156" t="inlineStr">
        <is>
          <t>PZS</t>
        </is>
      </c>
      <c r="W674" s="51" t="inlineStr">
        <is>
          <t>53121601</t>
        </is>
      </c>
      <c r="X674" s="156" t="n"/>
      <c r="Y674" s="54" t="n">
        <v>448.5</v>
      </c>
      <c r="Z674" s="54" t="n">
        <v>719</v>
      </c>
      <c r="AA674" s="55">
        <f>IF(AND(A674="", B674="", E674=""), "", IF(AB674="", "Válido", IF((LEN(AB674)-LEN(SUBSTITUTE(AB674,"; ","")))/2+1&gt;(LEN(AB674)-LEN(SUBSTITUTE(AB674,"[Aviso]","")))/7, "Con Incidencias", "Válido")))</f>
        <v/>
      </c>
      <c r="AB674" s="56">
        <f>IF(AND(A674="", B674="", E674=""), "", TEXTJOIN("; ", TRUE, IF(OR(TRIM(A674&amp;"")="", ISNUMBER(SEARCH("FALTA", A674))), "UPC faltante/inválido", ""), IF(AND(A674&lt;&gt;"", IFERROR(_xlfn.XMATCH(A674,$A$2:$A$1063,0,1)&lt;&gt;_xlfn.XMATCH(A674,$A$2:$A$1063,0,-1),FALSE)), "Código de barras duplicado", ""), IF(AND(E674&lt;&gt;"", COUNTIF($E$2:$E$1063, E674)&gt;1), "SKU duplicado", ""), IF(OR(J674="", J674=""), "[Aviso] División no capturada ()", IF(ISNA(MATCH(J674, Criterios!$A$123:$A$126, 0)), "División no válida", "")), IF(OR(K674="", K674=""), "[Aviso] Categoría no capturada ()", IF(ISNA(MATCH(K674, Criterios!$A$81:$A$120, 0)), "Categoría no válida", IF(AND(J674&lt;&gt;"", J674&lt;&gt;"", J674&lt;&gt;VLOOKUP(K674, Criterios!$A$81:$B$120, 2, FALSE)), "División no coincide con Categoría", ""))), IF(OR(L674="", L674=""), "[Aviso] Género no capturado ()", IF(ISNA(MATCH(L674, Criterios!$B$123:$B$127, 0)), "Género no válido", "")), IF(OR(N674="", N674=""), "[Aviso] Temporada no capturada ()", IF(ISNA(MATCH(N674, Criterios!$C$123:$C$128, 0)), "Temporada no válida", "")), IF(OR(O674="", O674=""), "[Aviso] Ciclo de vida no capturado ()", IF(ISNA(MATCH(O674, Criterios!$D$123:$D$124, 0)), "Ciclo de vida no válido", ""))))</f>
        <v/>
      </c>
      <c r="AC674" s="56" t="n"/>
      <c r="AD674" s="51" t="n"/>
      <c r="AE674" s="156" t="n"/>
      <c r="AF674" s="51" t="n"/>
      <c r="AG674" s="156" t="inlineStr">
        <is>
          <t>Nuevo – Carga Hoja2 01/10/2026</t>
        </is>
      </c>
      <c r="AH674" s="156" t="inlineStr">
        <is>
          <t>Alta 01/10/2026 desde Hoja2 (fila 535)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estilo; WB: precio con IVA no termina en 9</t>
        </is>
      </c>
      <c r="AI674" s="156" t="n"/>
      <c r="AJ674" s="156" t="n"/>
      <c r="AK674" s="155" t="inlineStr">
        <is>
          <t>Hoja2: fila 535 | Odoo: producto 11253 / plantilla 14688</t>
        </is>
      </c>
      <c r="AL674" s="58" t="n"/>
      <c r="AM674" s="58" t="n"/>
      <c r="AN674" s="155" t="inlineStr">
        <is>
          <t>Odoo Universal Unique Brands</t>
        </is>
      </c>
      <c r="AO674" s="59" t="n"/>
      <c r="AP674" s="59" t="n"/>
      <c r="AQ674" s="59" t="n">
        <v>29</v>
      </c>
      <c r="AR674" s="155" t="inlineStr">
        <is>
          <t>Odoo Universal Unique Brands › Bodega 25 › Bodega 25/General: 29</t>
        </is>
      </c>
    </row>
    <row r="675">
      <c r="A675" s="50" t="inlineStr">
        <is>
          <t>717019714131</t>
        </is>
      </c>
      <c r="B675" s="51" t="inlineStr">
        <is>
          <t>11825</t>
        </is>
      </c>
      <c r="C675" s="156" t="inlineStr">
        <is>
          <t>Wrangler</t>
        </is>
      </c>
      <c r="D675" s="156" t="inlineStr">
        <is>
          <t>WG2212-8136JN</t>
        </is>
      </c>
      <c r="E675" s="156" t="inlineStr">
        <is>
          <t>WG2212-8136JN</t>
        </is>
      </c>
      <c r="F675" s="156" t="inlineStr">
        <is>
          <t>Talla única</t>
        </is>
      </c>
      <c r="G675" s="156" t="inlineStr">
        <is>
          <t>One Size</t>
        </is>
      </c>
      <c r="H675" s="156" t="inlineStr">
        <is>
          <t>Wrangler</t>
        </is>
      </c>
      <c r="I675" s="156" t="inlineStr">
        <is>
          <t>Bolsa Tipo Montura Wrangler Estampado Suroeste Mezclilla</t>
        </is>
      </c>
      <c r="J675" s="156" t="inlineStr">
        <is>
          <t>Accesorios</t>
        </is>
      </c>
      <c r="K675" s="156" t="inlineStr">
        <is>
          <t>Bolsos</t>
        </is>
      </c>
      <c r="L675" s="156" t="inlineStr">
        <is>
          <t>Unisex</t>
        </is>
      </c>
      <c r="M675" s="156" t="inlineStr">
        <is>
          <t>Wrangler</t>
        </is>
      </c>
      <c r="N675" s="156" t="n"/>
      <c r="O675" s="156" t="inlineStr">
        <is>
          <t>Core</t>
        </is>
      </c>
      <c r="P675" s="156" t="inlineStr">
        <is>
          <t>Varios</t>
        </is>
      </c>
      <c r="Q675" s="156" t="n"/>
      <c r="R675" s="156" t="n"/>
      <c r="S675" s="156" t="n"/>
      <c r="T675" s="156" t="inlineStr">
        <is>
          <t>Bolsa Tipo Montura Wrangler. Modelo: Estampado Suroeste. Color: Mezclilla. Talla única. Unisex. Referencia: WG2212-8136JN.</t>
        </is>
      </c>
      <c r="U675" s="156" t="n"/>
      <c r="V675" s="156" t="inlineStr">
        <is>
          <t>PZS</t>
        </is>
      </c>
      <c r="W675" s="51" t="inlineStr">
        <is>
          <t>53121601</t>
        </is>
      </c>
      <c r="X675" s="156" t="n"/>
      <c r="Y675" s="54" t="n">
        <v>431.25</v>
      </c>
      <c r="Z675" s="54" t="n">
        <v>689</v>
      </c>
      <c r="AA675" s="55">
        <f>IF(AND(A675="", B675="", E675=""), "", IF(AB675="", "Válido", IF((LEN(AB675)-LEN(SUBSTITUTE(AB675,"; ","")))/2+1&gt;(LEN(AB675)-LEN(SUBSTITUTE(AB675,"[Aviso]","")))/7, "Con Incidencias", "Válido")))</f>
        <v/>
      </c>
      <c r="AB675" s="56">
        <f>IF(AND(A675="", B675="", E675=""), "", TEXTJOIN("; ", TRUE, IF(OR(TRIM(A675&amp;"")="", ISNUMBER(SEARCH("FALTA", A675))), "UPC faltante/inválido", ""), IF(AND(A675&lt;&gt;"", IFERROR(_xlfn.XMATCH(A675,$A$2:$A$1063,0,1)&lt;&gt;_xlfn.XMATCH(A675,$A$2:$A$1063,0,-1),FALSE)), "Código de barras duplicado", ""), IF(AND(E675&lt;&gt;"", COUNTIF($E$2:$E$1063, E675)&gt;1), "SKU duplicado", ""), IF(OR(J675="", J675=""), "[Aviso] División no capturada ()", IF(ISNA(MATCH(J675, Criterios!$A$123:$A$126, 0)), "División no válida", "")), IF(OR(K675="", K675=""), "[Aviso] Categoría no capturada ()", IF(ISNA(MATCH(K675, Criterios!$A$81:$A$120, 0)), "Categoría no válida", IF(AND(J675&lt;&gt;"", J675&lt;&gt;"", J675&lt;&gt;VLOOKUP(K675, Criterios!$A$81:$B$120, 2, FALSE)), "División no coincide con Categoría", ""))), IF(OR(L675="", L675=""), "[Aviso] Género no capturado ()", IF(ISNA(MATCH(L675, Criterios!$B$123:$B$127, 0)), "Género no válido", "")), IF(OR(N675="", N675=""), "[Aviso] Temporada no capturada ()", IF(ISNA(MATCH(N675, Criterios!$C$123:$C$128, 0)), "Temporada no válida", "")), IF(OR(O675="", O675=""), "[Aviso] Ciclo de vida no capturado ()", IF(ISNA(MATCH(O675, Criterios!$D$123:$D$124, 0)), "Ciclo de vida no válido", ""))))</f>
        <v/>
      </c>
      <c r="AC675" s="56" t="n"/>
      <c r="AD675" s="51" t="n"/>
      <c r="AE675" s="156" t="n"/>
      <c r="AF675" s="51" t="n"/>
      <c r="AG675" s="156" t="inlineStr">
        <is>
          <t>Nuevo – Carga Hoja2 01/10/2026</t>
        </is>
      </c>
      <c r="AH675" s="156" t="inlineStr">
        <is>
          <t>Alta 01/10/2026 desde Hoja2 (fila 536) | 01/10/2026: Odoo Universal Unique Brands trae Marca «Montana West» — se conservó el valor de Productos</t>
        </is>
      </c>
      <c r="AI675" s="156" t="n"/>
      <c r="AJ675" s="156" t="n"/>
      <c r="AK675" s="155" t="inlineStr">
        <is>
          <t>Hoja2: fila 536 | Odoo: producto 11825 / plantilla 15260 | Odoo: producto 27399 / plantilla 34099</t>
        </is>
      </c>
      <c r="AL675" s="58" t="n"/>
      <c r="AM675" s="58" t="n"/>
      <c r="AN675" s="155" t="inlineStr">
        <is>
          <t>Odoo Universal Unique Brands</t>
        </is>
      </c>
      <c r="AO675" s="59" t="n"/>
      <c r="AP675" s="59" t="n"/>
      <c r="AQ675" s="59" t="n">
        <v>41</v>
      </c>
      <c r="AR675" s="155" t="inlineStr">
        <is>
          <t>Odoo Universal Unique Brands › Bodega 25 › Bodega 25/General: 35 | Odoo Universal Unique Brands › Bodega 25 › Bodega 25/General: 6</t>
        </is>
      </c>
    </row>
    <row r="676">
      <c r="A676" s="50" t="inlineStr">
        <is>
          <t>717325222290</t>
        </is>
      </c>
      <c r="B676" s="51" t="inlineStr">
        <is>
          <t>11833</t>
        </is>
      </c>
      <c r="C676" s="156" t="inlineStr">
        <is>
          <t>Wrangler</t>
        </is>
      </c>
      <c r="D676" s="156" t="inlineStr">
        <is>
          <t>WG2212-C012BK</t>
        </is>
      </c>
      <c r="E676" s="156" t="inlineStr">
        <is>
          <t>WG2212-C012BK</t>
        </is>
      </c>
      <c r="F676" s="156" t="inlineStr">
        <is>
          <t>Talla única</t>
        </is>
      </c>
      <c r="G676" s="156" t="inlineStr">
        <is>
          <t>One Size</t>
        </is>
      </c>
      <c r="H676" s="156" t="inlineStr">
        <is>
          <t>Wrangler</t>
        </is>
      </c>
      <c r="I676" s="156" t="inlineStr">
        <is>
          <t>Cartera Muñequera Cruzada Wrangler Estampado Suroeste Negro</t>
        </is>
      </c>
      <c r="J676" s="156" t="inlineStr">
        <is>
          <t>Accesorios</t>
        </is>
      </c>
      <c r="K676" s="156" t="inlineStr">
        <is>
          <t>Bolsos</t>
        </is>
      </c>
      <c r="L676" s="156" t="inlineStr">
        <is>
          <t>Unisex</t>
        </is>
      </c>
      <c r="M676" s="156" t="inlineStr">
        <is>
          <t>Wrangler</t>
        </is>
      </c>
      <c r="N676" s="156" t="n"/>
      <c r="O676" s="156" t="inlineStr">
        <is>
          <t>Core</t>
        </is>
      </c>
      <c r="P676" s="156" t="inlineStr">
        <is>
          <t>Negro</t>
        </is>
      </c>
      <c r="Q676" s="156" t="n"/>
      <c r="R676" s="156" t="n"/>
      <c r="S676" s="156" t="n"/>
      <c r="T676" s="156" t="inlineStr">
        <is>
          <t>Cartera Muñequera Cruzada Wrangler. Modelo: Estampado Suroeste. Color: Negro. Talla única. Unisex. Referencia: WG2212-C012BK.</t>
        </is>
      </c>
      <c r="U676" s="156" t="n"/>
      <c r="V676" s="156" t="inlineStr">
        <is>
          <t>PZS</t>
        </is>
      </c>
      <c r="W676" s="51" t="inlineStr">
        <is>
          <t>53121601</t>
        </is>
      </c>
      <c r="X676" s="156" t="n"/>
      <c r="Y676" s="54" t="n">
        <v>310.5</v>
      </c>
      <c r="Z676" s="54" t="n">
        <v>499</v>
      </c>
      <c r="AA676" s="55">
        <f>IF(AND(A676="", B676="", E676=""), "", IF(AB676="", "Válido", IF((LEN(AB676)-LEN(SUBSTITUTE(AB676,"; ","")))/2+1&gt;(LEN(AB676)-LEN(SUBSTITUTE(AB676,"[Aviso]","")))/7, "Con Incidencias", "Válido")))</f>
        <v/>
      </c>
      <c r="AB676" s="56">
        <f>IF(AND(A676="", B676="", E676=""), "", TEXTJOIN("; ", TRUE, IF(OR(TRIM(A676&amp;"")="", ISNUMBER(SEARCH("FALTA", A676))), "UPC faltante/inválido", ""), IF(AND(A676&lt;&gt;"", IFERROR(_xlfn.XMATCH(A676,$A$2:$A$1063,0,1)&lt;&gt;_xlfn.XMATCH(A676,$A$2:$A$1063,0,-1),FALSE)), "Código de barras duplicado", ""), IF(AND(E676&lt;&gt;"", COUNTIF($E$2:$E$1063, E676)&gt;1), "SKU duplicado", ""), IF(OR(J676="", J676=""), "[Aviso] División no capturada ()", IF(ISNA(MATCH(J676, Criterios!$A$123:$A$126, 0)), "División no válida", "")), IF(OR(K676="", K676=""), "[Aviso] Categoría no capturada ()", IF(ISNA(MATCH(K676, Criterios!$A$81:$A$120, 0)), "Categoría no válida", IF(AND(J676&lt;&gt;"", J676&lt;&gt;"", J676&lt;&gt;VLOOKUP(K676, Criterios!$A$81:$B$120, 2, FALSE)), "División no coincide con Categoría", ""))), IF(OR(L676="", L676=""), "[Aviso] Género no capturado ()", IF(ISNA(MATCH(L676, Criterios!$B$123:$B$127, 0)), "Género no válido", "")), IF(OR(N676="", N676=""), "[Aviso] Temporada no capturada ()", IF(ISNA(MATCH(N676, Criterios!$C$123:$C$128, 0)), "Temporada no válida", "")), IF(OR(O676="", O676=""), "[Aviso] Ciclo de vida no capturado ()", IF(ISNA(MATCH(O676, Criterios!$D$123:$D$124, 0)), "Ciclo de vida no válido", ""))))</f>
        <v/>
      </c>
      <c r="AC676" s="56" t="n"/>
      <c r="AD676" s="51" t="n"/>
      <c r="AE676" s="156" t="n"/>
      <c r="AF676" s="51" t="n"/>
      <c r="AG676" s="156" t="inlineStr">
        <is>
          <t>Nuevo – Carga Hoja2 01/10/2026</t>
        </is>
      </c>
      <c r="AH676" s="156" t="inlineStr">
        <is>
          <t>Alta 01/10/2026 desde Hoja2 (fila 537) | Homologación G1522 06/10/2026: Validador Shopify: WB: precio con IVA no termina en 9</t>
        </is>
      </c>
      <c r="AI676" s="156" t="n"/>
      <c r="AJ676" s="156" t="n"/>
      <c r="AK676" s="155" t="inlineStr">
        <is>
          <t>Hoja2: fila 537 | Odoo: producto 11833 / plantilla 15268</t>
        </is>
      </c>
      <c r="AL676" s="58" t="n"/>
      <c r="AM676" s="58" t="n"/>
      <c r="AN676" s="155" t="inlineStr">
        <is>
          <t>Odoo Universal Unique Brands</t>
        </is>
      </c>
      <c r="AO676" s="59" t="n"/>
      <c r="AP676" s="59" t="n"/>
      <c r="AQ676" s="59" t="n">
        <v>32</v>
      </c>
      <c r="AR676" s="155" t="inlineStr">
        <is>
          <t>Odoo Universal Unique Brands › Bodega 25 › Bodega 25/General: 32</t>
        </is>
      </c>
    </row>
    <row r="677">
      <c r="A677" s="50" t="inlineStr">
        <is>
          <t>717019714346</t>
        </is>
      </c>
      <c r="B677" s="51" t="inlineStr">
        <is>
          <t>11832</t>
        </is>
      </c>
      <c r="C677" s="156" t="inlineStr">
        <is>
          <t>Wrangler</t>
        </is>
      </c>
      <c r="D677" s="156" t="inlineStr">
        <is>
          <t>WG2212-W012BR</t>
        </is>
      </c>
      <c r="E677" s="156" t="inlineStr">
        <is>
          <t>WG2212-W012BR</t>
        </is>
      </c>
      <c r="F677" s="156" t="inlineStr">
        <is>
          <t>Talla única</t>
        </is>
      </c>
      <c r="G677" s="156" t="inlineStr">
        <is>
          <t>One Size</t>
        </is>
      </c>
      <c r="H677" s="156" t="inlineStr">
        <is>
          <t>Wrangler</t>
        </is>
      </c>
      <c r="I677" s="156" t="inlineStr">
        <is>
          <t>Cartera Wrangler Café</t>
        </is>
      </c>
      <c r="J677" s="156" t="inlineStr">
        <is>
          <t>Accesorios</t>
        </is>
      </c>
      <c r="K677" s="156" t="inlineStr">
        <is>
          <t>Bolsos</t>
        </is>
      </c>
      <c r="L677" s="156" t="inlineStr">
        <is>
          <t>Unisex</t>
        </is>
      </c>
      <c r="M677" s="156" t="inlineStr">
        <is>
          <t>Wrangler</t>
        </is>
      </c>
      <c r="N677" s="156" t="n"/>
      <c r="O677" s="156" t="inlineStr">
        <is>
          <t>Core</t>
        </is>
      </c>
      <c r="P677" s="156" t="inlineStr">
        <is>
          <t>Cafe</t>
        </is>
      </c>
      <c r="Q677" s="156" t="n"/>
      <c r="R677" s="156" t="n"/>
      <c r="S677" s="156" t="n"/>
      <c r="T677" s="156" t="inlineStr">
        <is>
          <t>Cartera Wrangler. Color: Café. Talla única. Unisex. Referencia: WG2212-W012BR.</t>
        </is>
      </c>
      <c r="U677" s="156" t="n"/>
      <c r="V677" s="156" t="inlineStr">
        <is>
          <t>PZS</t>
        </is>
      </c>
      <c r="W677" s="51" t="inlineStr">
        <is>
          <t>53121601</t>
        </is>
      </c>
      <c r="X677" s="156" t="n"/>
      <c r="Y677" s="54" t="n">
        <v>293.25</v>
      </c>
      <c r="Z677" s="54" t="n">
        <v>469</v>
      </c>
      <c r="AA677" s="55">
        <f>IF(AND(A677="", B677="", E677=""), "", IF(AB677="", "Válido", IF((LEN(AB677)-LEN(SUBSTITUTE(AB677,"; ","")))/2+1&gt;(LEN(AB677)-LEN(SUBSTITUTE(AB677,"[Aviso]","")))/7, "Con Incidencias", "Válido")))</f>
        <v/>
      </c>
      <c r="AB677" s="56">
        <f>IF(AND(A677="", B677="", E677=""), "", TEXTJOIN("; ", TRUE, IF(OR(TRIM(A677&amp;"")="", ISNUMBER(SEARCH("FALTA", A677))), "UPC faltante/inválido", ""), IF(AND(A677&lt;&gt;"", IFERROR(_xlfn.XMATCH(A677,$A$2:$A$1063,0,1)&lt;&gt;_xlfn.XMATCH(A677,$A$2:$A$1063,0,-1),FALSE)), "Código de barras duplicado", ""), IF(AND(E677&lt;&gt;"", COUNTIF($E$2:$E$1063, E677)&gt;1), "SKU duplicado", ""), IF(OR(J677="", J677=""), "[Aviso] División no capturada ()", IF(ISNA(MATCH(J677, Criterios!$A$123:$A$126, 0)), "División no válida", "")), IF(OR(K677="", K677=""), "[Aviso] Categoría no capturada ()", IF(ISNA(MATCH(K677, Criterios!$A$81:$A$120, 0)), "Categoría no válida", IF(AND(J677&lt;&gt;"", J677&lt;&gt;"", J677&lt;&gt;VLOOKUP(K677, Criterios!$A$81:$B$120, 2, FALSE)), "División no coincide con Categoría", ""))), IF(OR(L677="", L677=""), "[Aviso] Género no capturado ()", IF(ISNA(MATCH(L677, Criterios!$B$123:$B$127, 0)), "Género no válido", "")), IF(OR(N677="", N677=""), "[Aviso] Temporada no capturada ()", IF(ISNA(MATCH(N677, Criterios!$C$123:$C$128, 0)), "Temporada no válida", "")), IF(OR(O677="", O677=""), "[Aviso] Ciclo de vida no capturado ()", IF(ISNA(MATCH(O677, Criterios!$D$123:$D$124, 0)), "Ciclo de vida no válido", ""))))</f>
        <v/>
      </c>
      <c r="AC677" s="56" t="n"/>
      <c r="AD677" s="51" t="n"/>
      <c r="AE677" s="156" t="n"/>
      <c r="AF677" s="51" t="n"/>
      <c r="AG677" s="156" t="inlineStr">
        <is>
          <t>Nuevo – Carga Hoja2 01/10/2026</t>
        </is>
      </c>
      <c r="AH677" s="156" t="inlineStr">
        <is>
          <t>Alta 01/10/2026 desde Hoja2 (fila 538) | 01/10/2026: Odoo Universal Unique Brands trae Categoría «Carteras» — se conservó el valor de Productos | 01/10/2026: Odoo Universal Unique Brands trae Marca «Montana West», Categoría «Carteras» — se conservó el valor de Productos | Homologación G1522 06/10/2026: Validador Shopify: WB: precio con IVA no termina en 9</t>
        </is>
      </c>
      <c r="AI677" s="156" t="n"/>
      <c r="AJ677" s="156" t="n"/>
      <c r="AK677" s="155" t="inlineStr">
        <is>
          <t>Hoja2: fila 538 | Odoo: producto 11832 / plantilla 15267 | Odoo: producto 27406 / plantilla 34106</t>
        </is>
      </c>
      <c r="AL677" s="58" t="n"/>
      <c r="AM677" s="58" t="n"/>
      <c r="AN677" s="155" t="inlineStr">
        <is>
          <t>Odoo Universal Unique Brands</t>
        </is>
      </c>
      <c r="AO677" s="59" t="n"/>
      <c r="AP677" s="59" t="n"/>
      <c r="AQ677" s="59" t="n">
        <v>30</v>
      </c>
      <c r="AR677" s="155" t="inlineStr">
        <is>
          <t>Odoo Universal Unique Brands › Bodega 25 › Bodega 25/General: 24 | Odoo Universal Unique Brands › Bodega 25 › Bodega 25/General: 6</t>
        </is>
      </c>
    </row>
    <row r="678">
      <c r="A678" s="50" t="inlineStr">
        <is>
          <t>717690433963</t>
        </is>
      </c>
      <c r="B678" s="51" t="inlineStr">
        <is>
          <t>27586</t>
        </is>
      </c>
      <c r="C678" s="156" t="inlineStr">
        <is>
          <t>Wrangler</t>
        </is>
      </c>
      <c r="D678" s="156" t="inlineStr">
        <is>
          <t>WG226-8120TN</t>
        </is>
      </c>
      <c r="E678" s="156" t="inlineStr">
        <is>
          <t>WG226-8120TN</t>
        </is>
      </c>
      <c r="F678" s="156" t="inlineStr">
        <is>
          <t>Talla única</t>
        </is>
      </c>
      <c r="G678" s="156" t="inlineStr">
        <is>
          <t>One Size</t>
        </is>
      </c>
      <c r="H678" s="156" t="inlineStr">
        <is>
          <t>Wrangler</t>
        </is>
      </c>
      <c r="I678" s="156" t="inlineStr">
        <is>
          <t>Bolsa Tote Cruzada Wrangler Estampado Grabado Patrón Azteca Con Compartimento Oculto Camel</t>
        </is>
      </c>
      <c r="J678" s="156" t="inlineStr">
        <is>
          <t>Accesorios</t>
        </is>
      </c>
      <c r="K678" s="156" t="inlineStr">
        <is>
          <t>Bolsos</t>
        </is>
      </c>
      <c r="L678" s="156" t="inlineStr">
        <is>
          <t>Unisex</t>
        </is>
      </c>
      <c r="M678" s="156" t="inlineStr">
        <is>
          <t>Wrangler</t>
        </is>
      </c>
      <c r="N678" s="156" t="n"/>
      <c r="O678" s="156" t="inlineStr">
        <is>
          <t>Core</t>
        </is>
      </c>
      <c r="P678" s="156" t="inlineStr">
        <is>
          <t>Beige</t>
        </is>
      </c>
      <c r="Q678" s="156" t="n"/>
      <c r="R678" s="156" t="n"/>
      <c r="S678" s="156" t="n"/>
      <c r="T678" s="156" t="inlineStr">
        <is>
          <t>Bolsa Tote Cruzada Wrangler. Modelo: Estampado Grabado Patrón Azteca Con Compartimento Oculto. Color: Camel. Talla única. Unisex. Referencia: WG226-8120TN.</t>
        </is>
      </c>
      <c r="U678" s="156" t="n"/>
      <c r="V678" s="156" t="inlineStr">
        <is>
          <t>PZS</t>
        </is>
      </c>
      <c r="W678" s="51" t="inlineStr">
        <is>
          <t>53121601</t>
        </is>
      </c>
      <c r="X678" s="156" t="n"/>
      <c r="Y678" s="54" t="n">
        <v>29</v>
      </c>
      <c r="Z678" s="54" t="n">
        <v>849</v>
      </c>
      <c r="AA678" s="55">
        <f>IF(AND(A678="", B678="", E678=""), "", IF(AB678="", "Válido", IF((LEN(AB678)-LEN(SUBSTITUTE(AB678,"; ","")))/2+1&gt;(LEN(AB678)-LEN(SUBSTITUTE(AB678,"[Aviso]","")))/7, "Con Incidencias", "Válido")))</f>
        <v/>
      </c>
      <c r="AB678" s="56">
        <f>IF(AND(A678="", B678="", E678=""), "", TEXTJOIN("; ", TRUE, IF(OR(TRIM(A678&amp;"")="", ISNUMBER(SEARCH("FALTA", A678))), "UPC faltante/inválido", ""), IF(AND(A678&lt;&gt;"", IFERROR(_xlfn.XMATCH(A678,$A$2:$A$1063,0,1)&lt;&gt;_xlfn.XMATCH(A678,$A$2:$A$1063,0,-1),FALSE)), "Código de barras duplicado", ""), IF(AND(E678&lt;&gt;"", COUNTIF($E$2:$E$1063, E678)&gt;1), "SKU duplicado", ""), IF(OR(J678="", J678=""), "[Aviso] División no capturada ()", IF(ISNA(MATCH(J678, Criterios!$A$123:$A$126, 0)), "División no válida", "")), IF(OR(K678="", K678=""), "[Aviso] Categoría no capturada ()", IF(ISNA(MATCH(K678, Criterios!$A$81:$A$120, 0)), "Categoría no válida", IF(AND(J678&lt;&gt;"", J678&lt;&gt;"", J678&lt;&gt;VLOOKUP(K678, Criterios!$A$81:$B$120, 2, FALSE)), "División no coincide con Categoría", ""))), IF(OR(L678="", L678=""), "[Aviso] Género no capturado ()", IF(ISNA(MATCH(L678, Criterios!$B$123:$B$127, 0)), "Género no válido", "")), IF(OR(N678="", N678=""), "[Aviso] Temporada no capturada ()", IF(ISNA(MATCH(N678, Criterios!$C$123:$C$128, 0)), "Temporada no válida", "")), IF(OR(O678="", O678=""), "[Aviso] Ciclo de vida no capturado ()", IF(ISNA(MATCH(O678, Criterios!$D$123:$D$124, 0)), "Ciclo de vida no válido", ""))))</f>
        <v/>
      </c>
      <c r="AC678" s="56" t="n"/>
      <c r="AD678" s="51" t="n"/>
      <c r="AE678" s="156" t="n"/>
      <c r="AF678" s="51" t="n"/>
      <c r="AG678" s="156" t="inlineStr">
        <is>
          <t>Nuevo – Carga Hoja2 01/10/2026</t>
        </is>
      </c>
      <c r="AH678" s="156" t="inlineStr">
        <is>
          <t>Alta 01/10/2026 desde Hoja2 (fila 539) | Homologación G1522 06/10/2026: Validador Shopify: WB: precio con IVA no termina en 9</t>
        </is>
      </c>
      <c r="AI678" s="156" t="n"/>
      <c r="AJ678" s="156" t="n"/>
      <c r="AK678" s="155" t="inlineStr">
        <is>
          <t>Hoja2: fila 539 | Odoo: producto 27586 / plantilla 34286</t>
        </is>
      </c>
      <c r="AL678" s="58" t="n"/>
      <c r="AM678" s="58" t="n"/>
      <c r="AN678" s="155" t="inlineStr">
        <is>
          <t>Odoo Universal Unique Brands</t>
        </is>
      </c>
      <c r="AO678" s="59" t="n"/>
      <c r="AP678" s="59" t="n"/>
      <c r="AQ678" s="59" t="n">
        <v>7</v>
      </c>
      <c r="AR678" s="155" t="inlineStr">
        <is>
          <t>Odoo Universal Unique Brands › Bodega 25 › Bodega 25/General: 7</t>
        </is>
      </c>
    </row>
    <row r="679">
      <c r="A679" s="50" t="inlineStr">
        <is>
          <t>717690433864</t>
        </is>
      </c>
      <c r="B679" s="51" t="inlineStr">
        <is>
          <t>13321</t>
        </is>
      </c>
      <c r="C679" s="156" t="inlineStr">
        <is>
          <t>Wrangler</t>
        </is>
      </c>
      <c r="D679" s="156" t="inlineStr">
        <is>
          <t>WG226G-8119DPK</t>
        </is>
      </c>
      <c r="E679" s="156" t="inlineStr">
        <is>
          <t>WG226G-8119DPK</t>
        </is>
      </c>
      <c r="F679" s="156" t="inlineStr">
        <is>
          <t>Talla única</t>
        </is>
      </c>
      <c r="G679" s="156" t="inlineStr">
        <is>
          <t>One Size</t>
        </is>
      </c>
      <c r="H679" s="156" t="inlineStr">
        <is>
          <t>Wrangler</t>
        </is>
      </c>
      <c r="I679" s="156" t="inlineStr">
        <is>
          <t>Bolsa Tote Grande Wrangler Estampado Grabado Patrón Azteca Vintage Con Compartimento Oculto Rosa Oscuro</t>
        </is>
      </c>
      <c r="J679" s="156" t="inlineStr">
        <is>
          <t>Accesorios</t>
        </is>
      </c>
      <c r="K679" s="156" t="inlineStr">
        <is>
          <t>Bolsos</t>
        </is>
      </c>
      <c r="L679" s="156" t="inlineStr">
        <is>
          <t>Unisex</t>
        </is>
      </c>
      <c r="M679" s="156" t="inlineStr">
        <is>
          <t>Wrangler</t>
        </is>
      </c>
      <c r="N679" s="156" t="n"/>
      <c r="O679" s="156" t="inlineStr">
        <is>
          <t>Core</t>
        </is>
      </c>
      <c r="P679" s="156" t="inlineStr">
        <is>
          <t>Rosa</t>
        </is>
      </c>
      <c r="Q679" s="156" t="n"/>
      <c r="R679" s="156" t="n"/>
      <c r="S679" s="156" t="n"/>
      <c r="T679" s="156" t="inlineStr">
        <is>
          <t>Bolsa Tote Grande Wrangler. Modelo: Estampado Grabado Patrón Azteca Vintage Con Compartimento Oculto. Color: Rosa Oscuro. Talla única. Unisex. Referencia: WG226G-8119DPK.</t>
        </is>
      </c>
      <c r="U679" s="156" t="n"/>
      <c r="V679" s="156" t="inlineStr">
        <is>
          <t>PZS</t>
        </is>
      </c>
      <c r="W679" s="51" t="inlineStr">
        <is>
          <t>53121601</t>
        </is>
      </c>
      <c r="X679" s="156" t="n"/>
      <c r="Y679" s="54" t="n">
        <v>552</v>
      </c>
      <c r="Z679" s="54" t="n">
        <v>889</v>
      </c>
      <c r="AA679" s="55">
        <f>IF(AND(A679="", B679="", E679=""), "", IF(AB679="", "Válido", IF((LEN(AB679)-LEN(SUBSTITUTE(AB679,"; ","")))/2+1&gt;(LEN(AB679)-LEN(SUBSTITUTE(AB679,"[Aviso]","")))/7, "Con Incidencias", "Válido")))</f>
        <v/>
      </c>
      <c r="AB679" s="56">
        <f>IF(AND(A679="", B679="", E679=""), "", TEXTJOIN("; ", TRUE, IF(OR(TRIM(A679&amp;"")="", ISNUMBER(SEARCH("FALTA", A679))), "UPC faltante/inválido", ""), IF(AND(A679&lt;&gt;"", IFERROR(_xlfn.XMATCH(A679,$A$2:$A$1063,0,1)&lt;&gt;_xlfn.XMATCH(A679,$A$2:$A$1063,0,-1),FALSE)), "Código de barras duplicado", ""), IF(AND(E679&lt;&gt;"", COUNTIF($E$2:$E$1063, E679)&gt;1), "SKU duplicado", ""), IF(OR(J679="", J679=""), "[Aviso] División no capturada ()", IF(ISNA(MATCH(J679, Criterios!$A$123:$A$126, 0)), "División no válida", "")), IF(OR(K679="", K679=""), "[Aviso] Categoría no capturada ()", IF(ISNA(MATCH(K679, Criterios!$A$81:$A$120, 0)), "Categoría no válida", IF(AND(J679&lt;&gt;"", J679&lt;&gt;"", J679&lt;&gt;VLOOKUP(K679, Criterios!$A$81:$B$120, 2, FALSE)), "División no coincide con Categoría", ""))), IF(OR(L679="", L679=""), "[Aviso] Género no capturado ()", IF(ISNA(MATCH(L679, Criterios!$B$123:$B$127, 0)), "Género no válido", "")), IF(OR(N679="", N679=""), "[Aviso] Temporada no capturada ()", IF(ISNA(MATCH(N679, Criterios!$C$123:$C$128, 0)), "Temporada no válida", "")), IF(OR(O679="", O679=""), "[Aviso] Ciclo de vida no capturado ()", IF(ISNA(MATCH(O679, Criterios!$D$123:$D$124, 0)), "Ciclo de vida no válido", ""))))</f>
        <v/>
      </c>
      <c r="AC679" s="56" t="n"/>
      <c r="AD679" s="51" t="n"/>
      <c r="AE679" s="156" t="n"/>
      <c r="AF679" s="51" t="n"/>
      <c r="AG679" s="156" t="inlineStr">
        <is>
          <t>Nuevo – Carga Hoja2 01/10/2026</t>
        </is>
      </c>
      <c r="AH679" s="156" t="inlineStr">
        <is>
          <t>Alta 01/10/2026 desde Hoja2 (fila 540) | 01/10/2026: Odoo Universal Unique Brands trae Marca «Montana West» — se conservó el valor de Productos | Homologación G1522 06/10/2026: Validador Shopify: WB: precio con IVA no termina en 9</t>
        </is>
      </c>
      <c r="AI679" s="156" t="n"/>
      <c r="AJ679" s="156" t="n"/>
      <c r="AK679" s="155" t="inlineStr">
        <is>
          <t>Hoja2: fila 540 | Odoo: producto 13321 / plantilla 16898 | Odoo: producto 27427 / plantilla 34127</t>
        </is>
      </c>
      <c r="AL679" s="58" t="n"/>
      <c r="AM679" s="58" t="n"/>
      <c r="AN679" s="155" t="inlineStr">
        <is>
          <t>Odoo Universal Unique Brands</t>
        </is>
      </c>
      <c r="AO679" s="59" t="n"/>
      <c r="AP679" s="59" t="n"/>
      <c r="AQ679" s="59" t="n">
        <v>34</v>
      </c>
      <c r="AR679" s="155" t="inlineStr">
        <is>
          <t>Odoo Universal Unique Brands › Bodega 25 › Bodega 25/General: 32 | Odoo Universal Unique Brands › Bodega 25 › Bodega 25/General: 2</t>
        </is>
      </c>
    </row>
    <row r="680">
      <c r="A680" s="50" t="inlineStr">
        <is>
          <t>717690432089</t>
        </is>
      </c>
      <c r="B680" s="51" t="inlineStr">
        <is>
          <t>13313</t>
        </is>
      </c>
      <c r="C680" s="156" t="inlineStr">
        <is>
          <t>Wrangler</t>
        </is>
      </c>
      <c r="D680" s="156" t="n"/>
      <c r="E680" s="156" t="inlineStr">
        <is>
          <t>WG233-2009BR</t>
        </is>
      </c>
      <c r="F680" s="156" t="inlineStr">
        <is>
          <t>Talla única</t>
        </is>
      </c>
      <c r="G680" s="156" t="inlineStr">
        <is>
          <t>One Size</t>
        </is>
      </c>
      <c r="H680" s="156" t="inlineStr">
        <is>
          <t>Wrangler</t>
        </is>
      </c>
      <c r="I680" s="156" t="inlineStr">
        <is>
          <t>WG BAG BR</t>
        </is>
      </c>
      <c r="J680" s="156" t="inlineStr">
        <is>
          <t>Accesorios</t>
        </is>
      </c>
      <c r="K680" s="156" t="inlineStr">
        <is>
          <t>Bolsos</t>
        </is>
      </c>
      <c r="L680" s="156" t="inlineStr">
        <is>
          <t>Unisex</t>
        </is>
      </c>
      <c r="M680" s="156" t="n"/>
      <c r="N680" s="156" t="n"/>
      <c r="O680" s="156" t="n"/>
      <c r="P680" s="156" t="n"/>
      <c r="Q680" s="156" t="n"/>
      <c r="R680" s="156" t="n"/>
      <c r="S680" s="156" t="n"/>
      <c r="T680" s="156" t="n"/>
      <c r="U680" s="156" t="n"/>
      <c r="V680" s="156" t="inlineStr">
        <is>
          <t>PZS</t>
        </is>
      </c>
      <c r="W680" s="51" t="inlineStr">
        <is>
          <t>53121601</t>
        </is>
      </c>
      <c r="X680" s="156" t="n"/>
      <c r="Y680" s="54" t="n">
        <v>483</v>
      </c>
      <c r="Z680" s="54" t="n">
        <v>779</v>
      </c>
      <c r="AA680" s="55">
        <f>IF(AND(A680="", B680="", E680=""), "", IF(AB680="", "Válido", IF((LEN(AB680)-LEN(SUBSTITUTE(AB680,"; ","")))/2+1&gt;(LEN(AB680)-LEN(SUBSTITUTE(AB680,"[Aviso]","")))/7, "Con Incidencias", "Válido")))</f>
        <v/>
      </c>
      <c r="AB680" s="56">
        <f>IF(AND(A680="", B680="", E680=""), "", TEXTJOIN("; ", TRUE, IF(OR(TRIM(A680&amp;"")="", ISNUMBER(SEARCH("FALTA", A680))), "UPC faltante/inválido", ""), IF(AND(A680&lt;&gt;"", IFERROR(_xlfn.XMATCH(A680,$A$2:$A$1063,0,1)&lt;&gt;_xlfn.XMATCH(A680,$A$2:$A$1063,0,-1),FALSE)), "Código de barras duplicado", ""), IF(AND(E680&lt;&gt;"", COUNTIF($E$2:$E$1063, E680)&gt;1), "SKU duplicado", ""), IF(OR(J680="", J680=""), "[Aviso] División no capturada ()", IF(ISNA(MATCH(J680, Criterios!$A$123:$A$126, 0)), "División no válida", "")), IF(OR(K680="", K680=""), "[Aviso] Categoría no capturada ()", IF(ISNA(MATCH(K680, Criterios!$A$81:$A$120, 0)), "Categoría no válida", IF(AND(J680&lt;&gt;"", J680&lt;&gt;"", J680&lt;&gt;VLOOKUP(K680, Criterios!$A$81:$B$120, 2, FALSE)), "División no coincide con Categoría", ""))), IF(OR(L680="", L680=""), "[Aviso] Género no capturado ()", IF(ISNA(MATCH(L680, Criterios!$B$123:$B$127, 0)), "Género no válido", "")), IF(OR(N680="", N680=""), "[Aviso] Temporada no capturada ()", IF(ISNA(MATCH(N680, Criterios!$C$123:$C$128, 0)), "Temporada no válida", "")), IF(OR(O680="", O680=""), "[Aviso] Ciclo de vida no capturado ()", IF(ISNA(MATCH(O680, Criterios!$D$123:$D$124, 0)), "Ciclo de vida no válido", ""))))</f>
        <v/>
      </c>
      <c r="AC680" s="56" t="n"/>
      <c r="AD680" s="51" t="n"/>
      <c r="AE680" s="156" t="n"/>
      <c r="AF680" s="51" t="n"/>
      <c r="AG680" s="156" t="inlineStr">
        <is>
          <t>Nuevo – Carga Hoja2 01/10/2026</t>
        </is>
      </c>
      <c r="AH680" s="156" t="inlineStr">
        <is>
          <t>Alta 01/10/2026 desde Hoja2 (fila 541) | 01/10/2026: complementado desde Odoo Universal Unique Brands (match por código de barras): WB Talla, WB Talla de EE. UU., WB Género | Homologación G1522 06/10/2026: Validación G1522: WB SKU duplicado; Falta estilo · Validador NetSuite / Odoo: V4: SKU repetido; V6: falta estilo · Validador Shopify: V4: SKU repetido; V6: falta estilo; WB: precio con IVA no termina en 9</t>
        </is>
      </c>
      <c r="AI680" s="156" t="n"/>
      <c r="AJ680" s="156" t="n"/>
      <c r="AK680" s="155" t="inlineStr">
        <is>
          <t>Hoja2: fila 541 | Odoo: producto 13313 / plantilla 16890</t>
        </is>
      </c>
      <c r="AL680" s="58" t="n"/>
      <c r="AM680" s="58" t="n"/>
      <c r="AN680" s="155" t="inlineStr">
        <is>
          <t>Odoo Universal Unique Brands</t>
        </is>
      </c>
      <c r="AO680" s="59" t="n"/>
      <c r="AP680" s="59" t="n"/>
      <c r="AQ680" s="59" t="n">
        <v>54</v>
      </c>
      <c r="AR680" s="155" t="inlineStr">
        <is>
          <t>Odoo Universal Unique Brands › Bodega 25 › Bodega 25/General: 54</t>
        </is>
      </c>
    </row>
    <row r="681">
      <c r="A681" s="50" t="inlineStr">
        <is>
          <t>717690432096</t>
        </is>
      </c>
      <c r="B681" s="51" t="inlineStr">
        <is>
          <t>13310</t>
        </is>
      </c>
      <c r="C681" s="156" t="inlineStr">
        <is>
          <t>Wrangler</t>
        </is>
      </c>
      <c r="D681" s="156" t="inlineStr">
        <is>
          <t>WG233-2009LBR</t>
        </is>
      </c>
      <c r="E681" s="156" t="inlineStr">
        <is>
          <t>WG233-2009LBR</t>
        </is>
      </c>
      <c r="F681" s="156" t="inlineStr">
        <is>
          <t>Talla única</t>
        </is>
      </c>
      <c r="G681" s="156" t="inlineStr">
        <is>
          <t>One Size</t>
        </is>
      </c>
      <c r="H681" s="156" t="inlineStr">
        <is>
          <t>Wrangler</t>
        </is>
      </c>
      <c r="I681" s="156" t="inlineStr">
        <is>
          <t>Bolsa Tote Cruzada Wrangler Bordada Azteca Leopardo Café</t>
        </is>
      </c>
      <c r="J681" s="156" t="inlineStr">
        <is>
          <t>Accesorios</t>
        </is>
      </c>
      <c r="K681" s="156" t="inlineStr">
        <is>
          <t>Bolsos</t>
        </is>
      </c>
      <c r="L681" s="156" t="inlineStr">
        <is>
          <t>Unisex</t>
        </is>
      </c>
      <c r="M681" s="156" t="inlineStr">
        <is>
          <t>Wrangler</t>
        </is>
      </c>
      <c r="N681" s="156" t="n"/>
      <c r="O681" s="156" t="inlineStr">
        <is>
          <t>Core</t>
        </is>
      </c>
      <c r="P681" s="156" t="inlineStr">
        <is>
          <t>Cafe</t>
        </is>
      </c>
      <c r="Q681" s="156" t="n"/>
      <c r="R681" s="156" t="n"/>
      <c r="S681" s="156" t="n"/>
      <c r="T681" s="156" t="inlineStr">
        <is>
          <t>Bolsa Tote Cruzada Wrangler. Modelo: Bordada Azteca. Color: Leopardo Café. Talla única. Unisex. Referencia: WG233-2009LBR.</t>
        </is>
      </c>
      <c r="U681" s="156" t="n"/>
      <c r="V681" s="156" t="inlineStr">
        <is>
          <t>PZS</t>
        </is>
      </c>
      <c r="W681" s="51" t="inlineStr">
        <is>
          <t>53121601</t>
        </is>
      </c>
      <c r="X681" s="156" t="n"/>
      <c r="Y681" s="54" t="n">
        <v>483</v>
      </c>
      <c r="Z681" s="54" t="n">
        <v>779</v>
      </c>
      <c r="AA681" s="55">
        <f>IF(AND(A681="", B681="", E681=""), "", IF(AB681="", "Válido", IF((LEN(AB681)-LEN(SUBSTITUTE(AB681,"; ","")))/2+1&gt;(LEN(AB681)-LEN(SUBSTITUTE(AB681,"[Aviso]","")))/7, "Con Incidencias", "Válido")))</f>
        <v/>
      </c>
      <c r="AB681" s="56">
        <f>IF(AND(A681="", B681="", E681=""), "", TEXTJOIN("; ", TRUE, IF(OR(TRIM(A681&amp;"")="", ISNUMBER(SEARCH("FALTA", A681))), "UPC faltante/inválido", ""), IF(AND(A681&lt;&gt;"", IFERROR(_xlfn.XMATCH(A681,$A$2:$A$1063,0,1)&lt;&gt;_xlfn.XMATCH(A681,$A$2:$A$1063,0,-1),FALSE)), "Código de barras duplicado", ""), IF(AND(E681&lt;&gt;"", COUNTIF($E$2:$E$1063, E681)&gt;1), "SKU duplicado", ""), IF(OR(J681="", J681=""), "[Aviso] División no capturada ()", IF(ISNA(MATCH(J681, Criterios!$A$123:$A$126, 0)), "División no válida", "")), IF(OR(K681="", K681=""), "[Aviso] Categoría no capturada ()", IF(ISNA(MATCH(K681, Criterios!$A$81:$A$120, 0)), "Categoría no válida", IF(AND(J681&lt;&gt;"", J681&lt;&gt;"", J681&lt;&gt;VLOOKUP(K681, Criterios!$A$81:$B$120, 2, FALSE)), "División no coincide con Categoría", ""))), IF(OR(L681="", L681=""), "[Aviso] Género no capturado ()", IF(ISNA(MATCH(L681, Criterios!$B$123:$B$127, 0)), "Género no válido", "")), IF(OR(N681="", N681=""), "[Aviso] Temporada no capturada ()", IF(ISNA(MATCH(N681, Criterios!$C$123:$C$128, 0)), "Temporada no válida", "")), IF(OR(O681="", O681=""), "[Aviso] Ciclo de vida no capturado ()", IF(ISNA(MATCH(O681, Criterios!$D$123:$D$124, 0)), "Ciclo de vida no válido", ""))))</f>
        <v/>
      </c>
      <c r="AC681" s="56" t="n"/>
      <c r="AD681" s="51" t="n"/>
      <c r="AE681" s="156" t="n"/>
      <c r="AF681" s="51" t="n"/>
      <c r="AG681" s="156" t="inlineStr">
        <is>
          <t>Nuevo – Carga Hoja2 01/10/2026</t>
        </is>
      </c>
      <c r="AH681" s="156" t="inlineStr">
        <is>
          <t>Alta 01/10/2026 desde Hoja2 (fila 542) | 01/10/2026: Odoo Universal Unique Brands trae Marca «Montana West» — se conservó el valor de Productos | Homologación G1522 06/10/2026: Validador Shopify: WB: precio con IVA no termina en 9</t>
        </is>
      </c>
      <c r="AI681" s="156" t="n"/>
      <c r="AJ681" s="156" t="n"/>
      <c r="AK681" s="155" t="inlineStr">
        <is>
          <t>Hoja2: fila 542 | Odoo: producto 13310 / plantilla 16887 | Odoo: producto 27443 / plantilla 34143</t>
        </is>
      </c>
      <c r="AL681" s="58" t="n"/>
      <c r="AM681" s="58" t="n"/>
      <c r="AN681" s="155" t="inlineStr">
        <is>
          <t>Odoo Universal Unique Brands</t>
        </is>
      </c>
      <c r="AO681" s="59" t="n"/>
      <c r="AP681" s="59" t="n"/>
      <c r="AQ681" s="59" t="n">
        <v>31</v>
      </c>
      <c r="AR681" s="155" t="inlineStr">
        <is>
          <t>Odoo Universal Unique Brands › Bodega 25 › Bodega 25/General: 35</t>
        </is>
      </c>
    </row>
    <row r="682">
      <c r="A682" s="50" t="inlineStr">
        <is>
          <t>717325229886</t>
        </is>
      </c>
      <c r="B682" s="51" t="inlineStr">
        <is>
          <t>31020</t>
        </is>
      </c>
      <c r="C682" s="156" t="inlineStr">
        <is>
          <t>Wrangler</t>
        </is>
      </c>
      <c r="D682" s="156" t="inlineStr">
        <is>
          <t>WG244-9182BG</t>
        </is>
      </c>
      <c r="E682" s="156" t="inlineStr">
        <is>
          <t>WG244-9182BG</t>
        </is>
      </c>
      <c r="F682" s="156" t="inlineStr">
        <is>
          <t>Talla única</t>
        </is>
      </c>
      <c r="G682" s="156" t="inlineStr">
        <is>
          <t>One Size</t>
        </is>
      </c>
      <c r="H682" s="156" t="inlineStr">
        <is>
          <t>Wrangler</t>
        </is>
      </c>
      <c r="I682" s="156" t="inlineStr">
        <is>
          <t>Bolsa Hobo Wrangler Con Flecos Y Tachuelas Beige</t>
        </is>
      </c>
      <c r="J682" s="156" t="inlineStr">
        <is>
          <t>Accesorios</t>
        </is>
      </c>
      <c r="K682" s="156" t="inlineStr">
        <is>
          <t>Bolsos</t>
        </is>
      </c>
      <c r="L682" s="156" t="inlineStr">
        <is>
          <t>Unisex</t>
        </is>
      </c>
      <c r="M682" s="156" t="inlineStr">
        <is>
          <t>Wrangler</t>
        </is>
      </c>
      <c r="N682" s="156" t="n"/>
      <c r="O682" s="156" t="inlineStr">
        <is>
          <t>Core</t>
        </is>
      </c>
      <c r="P682" s="156" t="inlineStr">
        <is>
          <t>Varios</t>
        </is>
      </c>
      <c r="Q682" s="156" t="n"/>
      <c r="R682" s="156" t="n"/>
      <c r="S682" s="156" t="n"/>
      <c r="T682" s="156" t="inlineStr">
        <is>
          <t>Bolsa Hobo Wrangler. Modelo: Con Flecos Y Tachuelas. Color: Beige. Talla única. Unisex. País de origen: México. Referencia: WG244-9182BG.</t>
        </is>
      </c>
      <c r="U682" s="156" t="inlineStr">
        <is>
          <t>México</t>
        </is>
      </c>
      <c r="V682" s="156" t="inlineStr">
        <is>
          <t>PZS</t>
        </is>
      </c>
      <c r="W682" s="51" t="inlineStr">
        <is>
          <t>53121601</t>
        </is>
      </c>
      <c r="X682" s="156" t="n"/>
      <c r="Y682" s="54" t="n">
        <v>586.5</v>
      </c>
      <c r="Z682" s="54" t="n">
        <v>939</v>
      </c>
      <c r="AA682" s="55">
        <f>IF(AND(A682="", B682="", E682=""), "", IF(AB682="", "Válido", IF((LEN(AB682)-LEN(SUBSTITUTE(AB682,"; ","")))/2+1&gt;(LEN(AB682)-LEN(SUBSTITUTE(AB682,"[Aviso]","")))/7, "Con Incidencias", "Válido")))</f>
        <v/>
      </c>
      <c r="AB682" s="56">
        <f>IF(AND(A682="", B682="", E682=""), "", TEXTJOIN("; ", TRUE, IF(OR(TRIM(A682&amp;"")="", ISNUMBER(SEARCH("FALTA", A682))), "UPC faltante/inválido", ""), IF(AND(A682&lt;&gt;"", IFERROR(_xlfn.XMATCH(A682,$A$2:$A$1063,0,1)&lt;&gt;_xlfn.XMATCH(A682,$A$2:$A$1063,0,-1),FALSE)), "Código de barras duplicado", ""), IF(AND(E682&lt;&gt;"", COUNTIF($E$2:$E$1063, E682)&gt;1), "SKU duplicado", ""), IF(OR(J682="", J682=""), "[Aviso] División no capturada ()", IF(ISNA(MATCH(J682, Criterios!$A$123:$A$126, 0)), "División no válida", "")), IF(OR(K682="", K682=""), "[Aviso] Categoría no capturada ()", IF(ISNA(MATCH(K682, Criterios!$A$81:$A$120, 0)), "Categoría no válida", IF(AND(J682&lt;&gt;"", J682&lt;&gt;"", J682&lt;&gt;VLOOKUP(K682, Criterios!$A$81:$B$120, 2, FALSE)), "División no coincide con Categoría", ""))), IF(OR(L682="", L682=""), "[Aviso] Género no capturado ()", IF(ISNA(MATCH(L682, Criterios!$B$123:$B$127, 0)), "Género no válido", "")), IF(OR(N682="", N682=""), "[Aviso] Temporada no capturada ()", IF(ISNA(MATCH(N682, Criterios!$C$123:$C$128, 0)), "Temporada no válida", "")), IF(OR(O682="", O682=""), "[Aviso] Ciclo de vida no capturado ()", IF(ISNA(MATCH(O682, Criterios!$D$123:$D$124, 0)), "Ciclo de vida no válido", ""))))</f>
        <v/>
      </c>
      <c r="AC682" s="56" t="n"/>
      <c r="AD682" s="51" t="n"/>
      <c r="AE682" s="156" t="n"/>
      <c r="AF682" s="51" t="n"/>
      <c r="AG682" s="156" t="inlineStr">
        <is>
          <t>Nuevo – Carga Hoja2 01/10/2026</t>
        </is>
      </c>
      <c r="AH682" s="156" t="inlineStr">
        <is>
          <t>Alta 01/10/2026 desde Hoja2 (fila 543) | 01/10/2026: Odoo Universal Unique Brands trae Marca «Montana West» — se conservó el valor de Productos | 01/10/2026: Odoo Universal Unique Brands trae Color «Beige» — se conservó el valor de Productos</t>
        </is>
      </c>
      <c r="AI682" s="156" t="n"/>
      <c r="AJ682" s="156" t="n"/>
      <c r="AK682" s="155" t="inlineStr">
        <is>
          <t>Hoja2: fila 543 | Odoo: producto 27466 / plantilla 34166 | Odoo: producto 31020 / plantilla 39672</t>
        </is>
      </c>
      <c r="AL682" s="58" t="n"/>
      <c r="AM682" s="58" t="n"/>
      <c r="AN682" s="155" t="inlineStr">
        <is>
          <t>Odoo Universal Unique Brands</t>
        </is>
      </c>
      <c r="AO682" s="59" t="n"/>
      <c r="AP682" s="59" t="n"/>
      <c r="AQ682" s="59" t="n">
        <v>145</v>
      </c>
      <c r="AR682" s="155" t="inlineStr">
        <is>
          <t>Odoo Universal Unique Brands › Bodega 25 › Bodega 25/General: 6 | Odoo Universal Unique Brands › Bodega 25 › Bodega 25/General: 139</t>
        </is>
      </c>
    </row>
    <row r="683">
      <c r="A683" s="50" t="n"/>
      <c r="B683" s="51" t="inlineStr">
        <is>
          <t>31023</t>
        </is>
      </c>
      <c r="C683" s="156" t="inlineStr">
        <is>
          <t>Wrangler</t>
        </is>
      </c>
      <c r="D683" s="156" t="n"/>
      <c r="E683" s="156" t="inlineStr">
        <is>
          <t>WG244-9182BK</t>
        </is>
      </c>
      <c r="F683" s="156" t="inlineStr">
        <is>
          <t>Talla única</t>
        </is>
      </c>
      <c r="G683" s="156" t="inlineStr">
        <is>
          <t>One Size</t>
        </is>
      </c>
      <c r="H683" s="156" t="inlineStr">
        <is>
          <t>Wrangler</t>
        </is>
      </c>
      <c r="I683" s="156" t="inlineStr">
        <is>
          <t>Bolsa Hobo Wrangler Con Flecos Y Tachuelas</t>
        </is>
      </c>
      <c r="J683" s="156" t="inlineStr">
        <is>
          <t>Accesorios</t>
        </is>
      </c>
      <c r="K683" s="156" t="inlineStr">
        <is>
          <t>Bolsos</t>
        </is>
      </c>
      <c r="L683" s="156" t="inlineStr">
        <is>
          <t>Unisex</t>
        </is>
      </c>
      <c r="M683" s="156" t="inlineStr">
        <is>
          <t>Wrangler</t>
        </is>
      </c>
      <c r="N683" s="156" t="n"/>
      <c r="O683" s="156" t="n"/>
      <c r="P683" s="156" t="inlineStr">
        <is>
          <t>Varios</t>
        </is>
      </c>
      <c r="Q683" s="156" t="n"/>
      <c r="R683" s="156" t="n"/>
      <c r="S683" s="156" t="n"/>
      <c r="T683" s="156" t="n"/>
      <c r="U683" s="156" t="inlineStr">
        <is>
          <t>México</t>
        </is>
      </c>
      <c r="V683" s="156" t="inlineStr">
        <is>
          <t>PZS</t>
        </is>
      </c>
      <c r="W683" s="51" t="inlineStr">
        <is>
          <t>53121600</t>
        </is>
      </c>
      <c r="X683" s="156" t="n"/>
      <c r="Y683" s="54" t="n">
        <v>586.5</v>
      </c>
      <c r="Z683" s="54" t="n">
        <v>939</v>
      </c>
      <c r="AA683" s="55">
        <f>IF(AND(A683="", B683="", E683=""), "", IF(AB683="", "Válido", IF((LEN(AB683)-LEN(SUBSTITUTE(AB683,"; ","")))/2+1&gt;(LEN(AB683)-LEN(SUBSTITUTE(AB683,"[Aviso]","")))/7, "Con Incidencias", "Válido")))</f>
        <v/>
      </c>
      <c r="AB683" s="56">
        <f>IF(AND(A683="", B683="", E683=""), "", TEXTJOIN("; ", TRUE, IF(OR(TRIM(A683&amp;"")="", ISNUMBER(SEARCH("FALTA", A683))), "UPC faltante/inválido", ""), IF(AND(A683&lt;&gt;"", IFERROR(_xlfn.XMATCH(A683,$A$2:$A$1063,0,1)&lt;&gt;_xlfn.XMATCH(A683,$A$2:$A$1063,0,-1),FALSE)), "Código de barras duplicado", ""), IF(AND(E683&lt;&gt;"", COUNTIF($E$2:$E$1063, E683)&gt;1), "SKU duplicado", ""), IF(OR(J683="", J683=""), "[Aviso] División no capturada ()", IF(ISNA(MATCH(J683, Criterios!$A$123:$A$126, 0)), "División no válida", "")), IF(OR(K683="", K683=""), "[Aviso] Categoría no capturada ()", IF(ISNA(MATCH(K683, Criterios!$A$81:$A$120, 0)), "Categoría no válida", IF(AND(J683&lt;&gt;"", J683&lt;&gt;"", J683&lt;&gt;VLOOKUP(K683, Criterios!$A$81:$B$120, 2, FALSE)), "División no coincide con Categoría", ""))), IF(OR(L683="", L683=""), "[Aviso] Género no capturado ()", IF(ISNA(MATCH(L683, Criterios!$B$123:$B$127, 0)), "Género no válido", "")), IF(OR(N683="", N683=""), "[Aviso] Temporada no capturada ()", IF(ISNA(MATCH(N683, Criterios!$C$123:$C$128, 0)), "Temporada no válida", "")), IF(OR(O683="", O683=""), "[Aviso] Ciclo de vida no capturado ()", IF(ISNA(MATCH(O683, Criterios!$D$123:$D$124, 0)), "Ciclo de vida no válido", ""))))</f>
        <v/>
      </c>
      <c r="AC683" s="56" t="n"/>
      <c r="AD683" s="51" t="n"/>
      <c r="AE683" s="156" t="n"/>
      <c r="AF683" s="51" t="n"/>
      <c r="AG683" s="156" t="inlineStr">
        <is>
          <t>Nuevo – Carga Hoja2 01/10/2026</t>
        </is>
      </c>
      <c r="AH683" s="156" t="inlineStr">
        <is>
          <t>Alta 01/10/2026 desde Hoja2 (fila 544) | Homologación G1522 06/10/2026: WB País de origen: «Mexico» → «México» (Corrección aplicada)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</t>
        </is>
      </c>
      <c r="AI683" s="156" t="n"/>
      <c r="AJ683" s="156" t="n"/>
      <c r="AK683" s="155" t="inlineStr">
        <is>
          <t>Hoja2: fila 544</t>
        </is>
      </c>
      <c r="AL683" s="58" t="n"/>
      <c r="AM683" s="58" t="n"/>
      <c r="AN683" s="155" t="n"/>
      <c r="AO683" s="59" t="n"/>
      <c r="AP683" s="59" t="n"/>
      <c r="AQ683" s="59" t="n"/>
      <c r="AR683" s="155" t="n"/>
    </row>
    <row r="684">
      <c r="A684" s="50" t="inlineStr">
        <is>
          <t>717325229862</t>
        </is>
      </c>
      <c r="B684" s="51" t="inlineStr">
        <is>
          <t>31022</t>
        </is>
      </c>
      <c r="C684" s="156" t="inlineStr">
        <is>
          <t>Wrangler</t>
        </is>
      </c>
      <c r="D684" s="156" t="n"/>
      <c r="E684" s="156" t="inlineStr">
        <is>
          <t>WG244-9182CF</t>
        </is>
      </c>
      <c r="F684" s="156" t="inlineStr">
        <is>
          <t>Talla única</t>
        </is>
      </c>
      <c r="G684" s="156" t="inlineStr">
        <is>
          <t>One Size</t>
        </is>
      </c>
      <c r="H684" s="156" t="inlineStr">
        <is>
          <t>Wrangler</t>
        </is>
      </c>
      <c r="I684" s="156" t="inlineStr">
        <is>
          <t>Bolsa Hobo Wrangler Con Flecos Y Tachuelas</t>
        </is>
      </c>
      <c r="J684" s="156" t="inlineStr">
        <is>
          <t>Accesorios</t>
        </is>
      </c>
      <c r="K684" s="156" t="inlineStr">
        <is>
          <t>Bolsos</t>
        </is>
      </c>
      <c r="L684" s="156" t="inlineStr">
        <is>
          <t>Unisex</t>
        </is>
      </c>
      <c r="M684" s="156" t="inlineStr">
        <is>
          <t>Wrangler</t>
        </is>
      </c>
      <c r="N684" s="156" t="n"/>
      <c r="O684" s="156" t="n"/>
      <c r="P684" s="156" t="inlineStr">
        <is>
          <t>Varios</t>
        </is>
      </c>
      <c r="Q684" s="156" t="n"/>
      <c r="R684" s="156" t="n"/>
      <c r="S684" s="156" t="n"/>
      <c r="T684" s="156" t="inlineStr">
        <is>
          <t>Bolsa Hobo</t>
        </is>
      </c>
      <c r="U684" s="156" t="inlineStr">
        <is>
          <t>México</t>
        </is>
      </c>
      <c r="V684" s="156" t="inlineStr">
        <is>
          <t>PZS</t>
        </is>
      </c>
      <c r="W684" s="51" t="inlineStr">
        <is>
          <t>53121600</t>
        </is>
      </c>
      <c r="X684" s="156" t="n"/>
      <c r="Y684" s="54" t="n">
        <v>586.5</v>
      </c>
      <c r="Z684" s="54" t="n">
        <v>939</v>
      </c>
      <c r="AA684" s="55">
        <f>IF(AND(A684="", B684="", E684=""), "", IF(AB684="", "Válido", IF((LEN(AB684)-LEN(SUBSTITUTE(AB684,"; ","")))/2+1&gt;(LEN(AB684)-LEN(SUBSTITUTE(AB684,"[Aviso]","")))/7, "Con Incidencias", "Válido")))</f>
        <v/>
      </c>
      <c r="AB684" s="56">
        <f>IF(AND(A684="", B684="", E684=""), "", TEXTJOIN("; ", TRUE, IF(OR(TRIM(A684&amp;"")="", ISNUMBER(SEARCH("FALTA", A684))), "UPC faltante/inválido", ""), IF(AND(A684&lt;&gt;"", IFERROR(_xlfn.XMATCH(A684,$A$2:$A$1063,0,1)&lt;&gt;_xlfn.XMATCH(A684,$A$2:$A$1063,0,-1),FALSE)), "Código de barras duplicado", ""), IF(AND(E684&lt;&gt;"", COUNTIF($E$2:$E$1063, E684)&gt;1), "SKU duplicado", ""), IF(OR(J684="", J684=""), "[Aviso] División no capturada ()", IF(ISNA(MATCH(J684, Criterios!$A$123:$A$126, 0)), "División no válida", "")), IF(OR(K684="", K684=""), "[Aviso] Categoría no capturada ()", IF(ISNA(MATCH(K684, Criterios!$A$81:$A$120, 0)), "Categoría no válida", IF(AND(J684&lt;&gt;"", J684&lt;&gt;"", J684&lt;&gt;VLOOKUP(K684, Criterios!$A$81:$B$120, 2, FALSE)), "División no coincide con Categoría", ""))), IF(OR(L684="", L684=""), "[Aviso] Género no capturado ()", IF(ISNA(MATCH(L684, Criterios!$B$123:$B$127, 0)), "Género no válido", "")), IF(OR(N684="", N684=""), "[Aviso] Temporada no capturada ()", IF(ISNA(MATCH(N684, Criterios!$C$123:$C$128, 0)), "Temporada no válida", "")), IF(OR(O684="", O684=""), "[Aviso] Ciclo de vida no capturado ()", IF(ISNA(MATCH(O684, Criterios!$D$123:$D$124, 0)), "Ciclo de vida no válido", ""))))</f>
        <v/>
      </c>
      <c r="AC684" s="56" t="n"/>
      <c r="AD684" s="51" t="n"/>
      <c r="AE684" s="156" t="n"/>
      <c r="AF684" s="51" t="n"/>
      <c r="AG684" s="156" t="inlineStr">
        <is>
          <t>Nuevo – Carga Hoja2 01/10/2026</t>
        </is>
      </c>
      <c r="AH684" s="156" t="inlineStr">
        <is>
          <t>Alta 01/10/2026 desde Hoja2 (fila 545) | 01/10/2026: complementado desde Odoo Universal Unique Brands (match por código de barras): WB Talla, WB Talla de EE. UU., WB Descripción larga | 01/10/2026: Odoo Universal Unique Brands trae Color «Cafe» — se conservó el valor de Productos | Homologación G1522 06/10/2026: WB País de origen: «Mexico» → «México» (Corrección aplicada) · Validación G1522: Falta estilo · Validador NetSuite / Odoo: V6: falta estilo · Validador Shopify: V6: falta estilo</t>
        </is>
      </c>
      <c r="AI684" s="156" t="n"/>
      <c r="AJ684" s="156" t="n"/>
      <c r="AK684" s="155" t="inlineStr">
        <is>
          <t>Hoja2: fila 545 | Odoo: producto 31022 / plantilla 39672</t>
        </is>
      </c>
      <c r="AL684" s="58" t="n"/>
      <c r="AM684" s="58" t="n"/>
      <c r="AN684" s="155" t="inlineStr">
        <is>
          <t>Odoo Universal Unique Brands</t>
        </is>
      </c>
      <c r="AO684" s="59" t="n"/>
      <c r="AP684" s="59" t="n"/>
      <c r="AQ684" s="59" t="n">
        <v>133</v>
      </c>
      <c r="AR684" s="155" t="inlineStr">
        <is>
          <t>Odoo Universal Unique Brands › Bodega 25 › Bodega 25/General: 133</t>
        </is>
      </c>
    </row>
    <row r="685">
      <c r="A685" s="50" t="inlineStr">
        <is>
          <t>717325229893</t>
        </is>
      </c>
      <c r="B685" s="51" t="inlineStr">
        <is>
          <t>31024</t>
        </is>
      </c>
      <c r="C685" s="156" t="inlineStr">
        <is>
          <t>Wrangler</t>
        </is>
      </c>
      <c r="D685" s="156" t="inlineStr">
        <is>
          <t>WG244-9182DPK</t>
        </is>
      </c>
      <c r="E685" s="156" t="inlineStr">
        <is>
          <t>WG244-9182DPK</t>
        </is>
      </c>
      <c r="F685" s="156" t="inlineStr">
        <is>
          <t>Talla única</t>
        </is>
      </c>
      <c r="G685" s="156" t="inlineStr">
        <is>
          <t>One Size</t>
        </is>
      </c>
      <c r="H685" s="156" t="inlineStr">
        <is>
          <t>Wrangler</t>
        </is>
      </c>
      <c r="I685" s="156" t="inlineStr">
        <is>
          <t>Bolsa Hobo Wrangler Con Flecos Y Tachuelas Rosa Oscuro</t>
        </is>
      </c>
      <c r="J685" s="156" t="inlineStr">
        <is>
          <t>Accesorios</t>
        </is>
      </c>
      <c r="K685" s="156" t="inlineStr">
        <is>
          <t>Bolsos</t>
        </is>
      </c>
      <c r="L685" s="156" t="inlineStr">
        <is>
          <t>Unisex</t>
        </is>
      </c>
      <c r="M685" s="156" t="inlineStr">
        <is>
          <t>Wrangler</t>
        </is>
      </c>
      <c r="N685" s="156" t="n"/>
      <c r="O685" s="156" t="inlineStr">
        <is>
          <t>Core</t>
        </is>
      </c>
      <c r="P685" s="156" t="inlineStr">
        <is>
          <t>Varios</t>
        </is>
      </c>
      <c r="Q685" s="156" t="n"/>
      <c r="R685" s="156" t="n"/>
      <c r="S685" s="156" t="n"/>
      <c r="T685" s="156" t="inlineStr">
        <is>
          <t>Bolsa Hobo Wrangler. Modelo: Con Flecos Y Tachuelas. Color: Rosa Oscuro. Talla única. Unisex. País de origen: México. Referencia: WG244-9182DPK.</t>
        </is>
      </c>
      <c r="U685" s="156" t="inlineStr">
        <is>
          <t>México</t>
        </is>
      </c>
      <c r="V685" s="156" t="inlineStr">
        <is>
          <t>PZS</t>
        </is>
      </c>
      <c r="W685" s="51" t="inlineStr">
        <is>
          <t>53121601</t>
        </is>
      </c>
      <c r="X685" s="156" t="n"/>
      <c r="Y685" s="54" t="n">
        <v>586.5</v>
      </c>
      <c r="Z685" s="54" t="n">
        <v>939</v>
      </c>
      <c r="AA685" s="55">
        <f>IF(AND(A685="", B685="", E685=""), "", IF(AB685="", "Válido", IF((LEN(AB685)-LEN(SUBSTITUTE(AB685,"; ","")))/2+1&gt;(LEN(AB685)-LEN(SUBSTITUTE(AB685,"[Aviso]","")))/7, "Con Incidencias", "Válido")))</f>
        <v/>
      </c>
      <c r="AB685" s="56">
        <f>IF(AND(A685="", B685="", E685=""), "", TEXTJOIN("; ", TRUE, IF(OR(TRIM(A685&amp;"")="", ISNUMBER(SEARCH("FALTA", A685))), "UPC faltante/inválido", ""), IF(AND(A685&lt;&gt;"", IFERROR(_xlfn.XMATCH(A685,$A$2:$A$1063,0,1)&lt;&gt;_xlfn.XMATCH(A685,$A$2:$A$1063,0,-1),FALSE)), "Código de barras duplicado", ""), IF(AND(E685&lt;&gt;"", COUNTIF($E$2:$E$1063, E685)&gt;1), "SKU duplicado", ""), IF(OR(J685="", J685=""), "[Aviso] División no capturada ()", IF(ISNA(MATCH(J685, Criterios!$A$123:$A$126, 0)), "División no válida", "")), IF(OR(K685="", K685=""), "[Aviso] Categoría no capturada ()", IF(ISNA(MATCH(K685, Criterios!$A$81:$A$120, 0)), "Categoría no válida", IF(AND(J685&lt;&gt;"", J685&lt;&gt;"", J685&lt;&gt;VLOOKUP(K685, Criterios!$A$81:$B$120, 2, FALSE)), "División no coincide con Categoría", ""))), IF(OR(L685="", L685=""), "[Aviso] Género no capturado ()", IF(ISNA(MATCH(L685, Criterios!$B$123:$B$127, 0)), "Género no válido", "")), IF(OR(N685="", N685=""), "[Aviso] Temporada no capturada ()", IF(ISNA(MATCH(N685, Criterios!$C$123:$C$128, 0)), "Temporada no válida", "")), IF(OR(O685="", O685=""), "[Aviso] Ciclo de vida no capturado ()", IF(ISNA(MATCH(O685, Criterios!$D$123:$D$124, 0)), "Ciclo de vida no válido", ""))))</f>
        <v/>
      </c>
      <c r="AC685" s="56" t="n"/>
      <c r="AD685" s="51" t="n"/>
      <c r="AE685" s="156" t="n"/>
      <c r="AF685" s="51" t="n"/>
      <c r="AG685" s="156" t="inlineStr">
        <is>
          <t>Nuevo – Carga Hoja2 01/10/2026</t>
        </is>
      </c>
      <c r="AH685" s="156" t="inlineStr">
        <is>
          <t>Alta 01/10/2026 desde Hoja2 (fila 546) | 01/10/2026: Odoo Universal Unique Brands trae Marca «Montana West» — se conservó el valor de Productos | 01/10/2026: Odoo Universal Unique Brands trae Color «Rosa» — se conservó el valor de Productos</t>
        </is>
      </c>
      <c r="AI685" s="156" t="n"/>
      <c r="AJ685" s="156" t="n"/>
      <c r="AK685" s="155" t="inlineStr">
        <is>
          <t>Hoja2: fila 546 | Odoo: producto 27468 / plantilla 34168 | Odoo: producto 31024 / plantilla 39672</t>
        </is>
      </c>
      <c r="AL685" s="58" t="n"/>
      <c r="AM685" s="58" t="n"/>
      <c r="AN685" s="155" t="inlineStr">
        <is>
          <t>Odoo Universal Unique Brands</t>
        </is>
      </c>
      <c r="AO685" s="59" t="n"/>
      <c r="AP685" s="59" t="n"/>
      <c r="AQ685" s="59" t="n">
        <v>7</v>
      </c>
      <c r="AR685" s="155" t="inlineStr">
        <is>
          <t>Odoo Universal Unique Brands › Bodega 25 › Bodega 25/General: 6 | Odoo Universal Unique Brands › Bodega 25 › Bodega 25/General: 1</t>
        </is>
      </c>
    </row>
    <row r="686">
      <c r="A686" s="50" t="inlineStr">
        <is>
          <t>717325229916</t>
        </is>
      </c>
      <c r="B686" s="51" t="inlineStr">
        <is>
          <t>31021</t>
        </is>
      </c>
      <c r="C686" s="156" t="inlineStr">
        <is>
          <t>Wrangler</t>
        </is>
      </c>
      <c r="D686" s="156" t="inlineStr">
        <is>
          <t>WG244-9182TQ</t>
        </is>
      </c>
      <c r="E686" s="156" t="inlineStr">
        <is>
          <t>WG244-9182TQ</t>
        </is>
      </c>
      <c r="F686" s="156" t="inlineStr">
        <is>
          <t>Talla única</t>
        </is>
      </c>
      <c r="G686" s="156" t="inlineStr">
        <is>
          <t>One Size</t>
        </is>
      </c>
      <c r="H686" s="156" t="inlineStr">
        <is>
          <t>Wrangler</t>
        </is>
      </c>
      <c r="I686" s="156" t="inlineStr">
        <is>
          <t>Bolsa Hobo Wrangler Con Flecos Y Tachuelas Turquesa</t>
        </is>
      </c>
      <c r="J686" s="156" t="inlineStr">
        <is>
          <t>Accesorios</t>
        </is>
      </c>
      <c r="K686" s="156" t="inlineStr">
        <is>
          <t>Bolsos</t>
        </is>
      </c>
      <c r="L686" s="156" t="inlineStr">
        <is>
          <t>Unisex</t>
        </is>
      </c>
      <c r="M686" s="156" t="inlineStr">
        <is>
          <t>Wrangler</t>
        </is>
      </c>
      <c r="N686" s="156" t="n"/>
      <c r="O686" s="156" t="inlineStr">
        <is>
          <t>Core</t>
        </is>
      </c>
      <c r="P686" s="156" t="inlineStr">
        <is>
          <t>Varios</t>
        </is>
      </c>
      <c r="Q686" s="156" t="n"/>
      <c r="R686" s="156" t="n"/>
      <c r="S686" s="156" t="n"/>
      <c r="T686" s="156" t="inlineStr">
        <is>
          <t>Bolsa Hobo Wrangler. Modelo: Con Flecos Y Tachuelas. Color: Turquesa. Talla única. Unisex. País de origen: México. Referencia: WG244-9182TQ.</t>
        </is>
      </c>
      <c r="U686" s="156" t="inlineStr">
        <is>
          <t>México</t>
        </is>
      </c>
      <c r="V686" s="156" t="inlineStr">
        <is>
          <t>PZS</t>
        </is>
      </c>
      <c r="W686" s="51" t="inlineStr">
        <is>
          <t>53121601</t>
        </is>
      </c>
      <c r="X686" s="156" t="n"/>
      <c r="Y686" s="54" t="n">
        <v>586.5</v>
      </c>
      <c r="Z686" s="54" t="n">
        <v>939</v>
      </c>
      <c r="AA686" s="55">
        <f>IF(AND(A686="", B686="", E686=""), "", IF(AB686="", "Válido", IF((LEN(AB686)-LEN(SUBSTITUTE(AB686,"; ","")))/2+1&gt;(LEN(AB686)-LEN(SUBSTITUTE(AB686,"[Aviso]","")))/7, "Con Incidencias", "Válido")))</f>
        <v/>
      </c>
      <c r="AB686" s="56">
        <f>IF(AND(A686="", B686="", E686=""), "", TEXTJOIN("; ", TRUE, IF(OR(TRIM(A686&amp;"")="", ISNUMBER(SEARCH("FALTA", A686))), "UPC faltante/inválido", ""), IF(AND(A686&lt;&gt;"", IFERROR(_xlfn.XMATCH(A686,$A$2:$A$1063,0,1)&lt;&gt;_xlfn.XMATCH(A686,$A$2:$A$1063,0,-1),FALSE)), "Código de barras duplicado", ""), IF(AND(E686&lt;&gt;"", COUNTIF($E$2:$E$1063, E686)&gt;1), "SKU duplicado", ""), IF(OR(J686="", J686=""), "[Aviso] División no capturada ()", IF(ISNA(MATCH(J686, Criterios!$A$123:$A$126, 0)), "División no válida", "")), IF(OR(K686="", K686=""), "[Aviso] Categoría no capturada ()", IF(ISNA(MATCH(K686, Criterios!$A$81:$A$120, 0)), "Categoría no válida", IF(AND(J686&lt;&gt;"", J686&lt;&gt;"", J686&lt;&gt;VLOOKUP(K686, Criterios!$A$81:$B$120, 2, FALSE)), "División no coincide con Categoría", ""))), IF(OR(L686="", L686=""), "[Aviso] Género no capturado ()", IF(ISNA(MATCH(L686, Criterios!$B$123:$B$127, 0)), "Género no válido", "")), IF(OR(N686="", N686=""), "[Aviso] Temporada no capturada ()", IF(ISNA(MATCH(N686, Criterios!$C$123:$C$128, 0)), "Temporada no válida", "")), IF(OR(O686="", O686=""), "[Aviso] Ciclo de vida no capturado ()", IF(ISNA(MATCH(O686, Criterios!$D$123:$D$124, 0)), "Ciclo de vida no válido", ""))))</f>
        <v/>
      </c>
      <c r="AC686" s="56" t="n"/>
      <c r="AD686" s="51" t="n"/>
      <c r="AE686" s="156" t="n"/>
      <c r="AF686" s="51" t="n"/>
      <c r="AG686" s="156" t="inlineStr">
        <is>
          <t>Nuevo – Carga Hoja2 01/10/2026</t>
        </is>
      </c>
      <c r="AH686" s="156" t="inlineStr">
        <is>
          <t>Alta 01/10/2026 desde Hoja2 (fila 547) | 01/10/2026: Odoo Universal Unique Brands trae Marca «Montana West» — se conservó el valor de Productos | 01/10/2026: Odoo Universal Unique Brands trae Color «Azul» — se conservó el valor de Productos</t>
        </is>
      </c>
      <c r="AI686" s="156" t="n"/>
      <c r="AJ686" s="156" t="n"/>
      <c r="AK686" s="155" t="inlineStr">
        <is>
          <t>Hoja2: fila 547 | Odoo: producto 27469 / plantilla 34169 | Odoo: producto 31021 / plantilla 39672</t>
        </is>
      </c>
      <c r="AL686" s="58" t="n"/>
      <c r="AM686" s="58" t="n"/>
      <c r="AN686" s="155" t="inlineStr">
        <is>
          <t>Odoo Universal Unique Brands</t>
        </is>
      </c>
      <c r="AO686" s="59" t="n"/>
      <c r="AP686" s="59" t="n"/>
      <c r="AQ686" s="59" t="n">
        <v>35</v>
      </c>
      <c r="AR686" s="155" t="inlineStr">
        <is>
          <t>Odoo Universal Unique Brands › Bodega 25 › Bodega 25/General: 12 | Odoo Universal Unique Brands › Bodega 25 › Bodega 25/General: 23</t>
        </is>
      </c>
    </row>
    <row r="687">
      <c r="A687" s="50" t="inlineStr">
        <is>
          <t>717690455385</t>
        </is>
      </c>
      <c r="B687" s="51" t="inlineStr">
        <is>
          <t>31033</t>
        </is>
      </c>
      <c r="C687" s="156" t="inlineStr">
        <is>
          <t>Wrangler</t>
        </is>
      </c>
      <c r="D687" s="156" t="inlineStr">
        <is>
          <t>WG283-8015BK</t>
        </is>
      </c>
      <c r="E687" s="156" t="inlineStr">
        <is>
          <t>WG283-8015BK</t>
        </is>
      </c>
      <c r="F687" s="156" t="inlineStr">
        <is>
          <t>Talla única</t>
        </is>
      </c>
      <c r="G687" s="156" t="inlineStr">
        <is>
          <t>One Size</t>
        </is>
      </c>
      <c r="H687" s="156" t="inlineStr">
        <is>
          <t>Wrangler</t>
        </is>
      </c>
      <c r="I687" s="156" t="inlineStr">
        <is>
          <t>Bolsa Cruzada Wrangler Piel De Vaca Genuina Con Asa Y Flecos Negro</t>
        </is>
      </c>
      <c r="J687" s="156" t="inlineStr">
        <is>
          <t>Accesorios</t>
        </is>
      </c>
      <c r="K687" s="156" t="inlineStr">
        <is>
          <t>Bolsos</t>
        </is>
      </c>
      <c r="L687" s="156" t="inlineStr">
        <is>
          <t>Unisex</t>
        </is>
      </c>
      <c r="M687" s="156" t="inlineStr">
        <is>
          <t>Wrangler</t>
        </is>
      </c>
      <c r="N687" s="156" t="inlineStr">
        <is>
          <t>FW26</t>
        </is>
      </c>
      <c r="O687" s="156" t="inlineStr">
        <is>
          <t>Seasonal</t>
        </is>
      </c>
      <c r="P687" s="156" t="inlineStr">
        <is>
          <t>Varios</t>
        </is>
      </c>
      <c r="Q687" s="156" t="n"/>
      <c r="R687" s="156" t="n"/>
      <c r="S687" s="156" t="n"/>
      <c r="T687" s="156" t="inlineStr">
        <is>
          <t>Bolsa Cruzada Wrangler. Modelo: Piel De Vaca Genuina Con Asa Y Flecos. Color: Negro. Talla única. Unisex. País de origen: México. Referencia: WG283-8015BK.</t>
        </is>
      </c>
      <c r="U687" s="156" t="inlineStr">
        <is>
          <t>México</t>
        </is>
      </c>
      <c r="V687" s="156" t="inlineStr">
        <is>
          <t>PZS</t>
        </is>
      </c>
      <c r="W687" s="51" t="inlineStr">
        <is>
          <t>53121601</t>
        </is>
      </c>
      <c r="X687" s="156" t="n"/>
      <c r="Y687" s="54" t="n">
        <v>22.5</v>
      </c>
      <c r="Z687" s="54" t="n">
        <v>839</v>
      </c>
      <c r="AA687" s="55">
        <f>IF(AND(A687="", B687="", E687=""), "", IF(AB687="", "Válido", IF((LEN(AB687)-LEN(SUBSTITUTE(AB687,"; ","")))/2+1&gt;(LEN(AB687)-LEN(SUBSTITUTE(AB687,"[Aviso]","")))/7, "Con Incidencias", "Válido")))</f>
        <v/>
      </c>
      <c r="AB687" s="56">
        <f>IF(AND(A687="", B687="", E687=""), "", TEXTJOIN("; ", TRUE, IF(OR(TRIM(A687&amp;"")="", ISNUMBER(SEARCH("FALTA", A687))), "UPC faltante/inválido", ""), IF(AND(A687&lt;&gt;"", IFERROR(_xlfn.XMATCH(A687,$A$2:$A$1063,0,1)&lt;&gt;_xlfn.XMATCH(A687,$A$2:$A$1063,0,-1),FALSE)), "Código de barras duplicado", ""), IF(AND(E687&lt;&gt;"", COUNTIF($E$2:$E$1063, E687)&gt;1), "SKU duplicado", ""), IF(OR(J687="", J687=""), "[Aviso] División no capturada ()", IF(ISNA(MATCH(J687, Criterios!$A$123:$A$126, 0)), "División no válida", "")), IF(OR(K687="", K687=""), "[Aviso] Categoría no capturada ()", IF(ISNA(MATCH(K687, Criterios!$A$81:$A$120, 0)), "Categoría no válida", IF(AND(J687&lt;&gt;"", J687&lt;&gt;"", J687&lt;&gt;VLOOKUP(K687, Criterios!$A$81:$B$120, 2, FALSE)), "División no coincide con Categoría", ""))), IF(OR(L687="", L687=""), "[Aviso] Género no capturado ()", IF(ISNA(MATCH(L687, Criterios!$B$123:$B$127, 0)), "Género no válido", "")), IF(OR(N687="", N687=""), "[Aviso] Temporada no capturada ()", IF(ISNA(MATCH(N687, Criterios!$C$123:$C$128, 0)), "Temporada no válida", "")), IF(OR(O687="", O687=""), "[Aviso] Ciclo de vida no capturado ()", IF(ISNA(MATCH(O687, Criterios!$D$123:$D$124, 0)), "Ciclo de vida no válido", ""))))</f>
        <v/>
      </c>
      <c r="AC687" s="56" t="n"/>
      <c r="AD687" s="51" t="n"/>
      <c r="AE687" s="156" t="n"/>
      <c r="AF687" s="51" t="n"/>
      <c r="AG687" s="156" t="inlineStr">
        <is>
          <t>Nuevo – Carga Hoja2 01/10/2026</t>
        </is>
      </c>
      <c r="AH687" s="156" t="inlineStr">
        <is>
          <t>Alta 01/10/2026 desde Hoja2 (fila 548) | 01/10/2026: Odoo Universal Unique Brands trae Color «Negro» — se conservó el valor de Productos | Homologación G1522 06/10/2026: Validador Shopify: WB: precio con IVA no termina en 9</t>
        </is>
      </c>
      <c r="AI687" s="156" t="n"/>
      <c r="AJ687" s="156" t="n"/>
      <c r="AK687" s="155" t="inlineStr">
        <is>
          <t>Hoja2: fila 548 | Odoo: producto 31033 / plantilla 39675</t>
        </is>
      </c>
      <c r="AL687" s="58" t="n"/>
      <c r="AM687" s="58" t="n"/>
      <c r="AN687" s="155" t="inlineStr">
        <is>
          <t>Odoo Universal Unique Brands</t>
        </is>
      </c>
      <c r="AO687" s="59" t="n"/>
      <c r="AP687" s="59" t="n"/>
      <c r="AQ687" s="59" t="n">
        <v>-4</v>
      </c>
      <c r="AR687" s="155" t="n"/>
    </row>
    <row r="688">
      <c r="A688" s="50" t="inlineStr">
        <is>
          <t>717690455354</t>
        </is>
      </c>
      <c r="B688" s="51" t="inlineStr">
        <is>
          <t>31032</t>
        </is>
      </c>
      <c r="C688" s="156" t="inlineStr">
        <is>
          <t>Wrangler</t>
        </is>
      </c>
      <c r="D688" s="156" t="inlineStr">
        <is>
          <t>WG283-8015BR</t>
        </is>
      </c>
      <c r="E688" s="156" t="inlineStr">
        <is>
          <t>WG283-8015BR</t>
        </is>
      </c>
      <c r="F688" s="156" t="inlineStr">
        <is>
          <t>Talla única</t>
        </is>
      </c>
      <c r="G688" s="156" t="inlineStr">
        <is>
          <t>One Size</t>
        </is>
      </c>
      <c r="H688" s="156" t="inlineStr">
        <is>
          <t>Wrangler</t>
        </is>
      </c>
      <c r="I688" s="156" t="inlineStr">
        <is>
          <t>Bolsa Cruzada Wrangler Piel De Vaca Genuina Con Asa Y Flecos Café</t>
        </is>
      </c>
      <c r="J688" s="156" t="inlineStr">
        <is>
          <t>Accesorios</t>
        </is>
      </c>
      <c r="K688" s="156" t="inlineStr">
        <is>
          <t>Bolsos</t>
        </is>
      </c>
      <c r="L688" s="156" t="inlineStr">
        <is>
          <t>Unisex</t>
        </is>
      </c>
      <c r="M688" s="156" t="inlineStr">
        <is>
          <t>Wrangler</t>
        </is>
      </c>
      <c r="N688" s="156" t="inlineStr">
        <is>
          <t>FW26</t>
        </is>
      </c>
      <c r="O688" s="156" t="inlineStr">
        <is>
          <t>Seasonal</t>
        </is>
      </c>
      <c r="P688" s="156" t="inlineStr">
        <is>
          <t>Varios</t>
        </is>
      </c>
      <c r="Q688" s="156" t="n"/>
      <c r="R688" s="156" t="n"/>
      <c r="S688" s="156" t="n"/>
      <c r="T688" s="156" t="inlineStr">
        <is>
          <t>Bolsa Cruzada Wrangler. Modelo: Piel De Vaca Genuina Con Asa Y Flecos. Color: Café. Talla única. Unisex. País de origen: México. Referencia: WG283-8015BR.</t>
        </is>
      </c>
      <c r="U688" s="156" t="inlineStr">
        <is>
          <t>México</t>
        </is>
      </c>
      <c r="V688" s="156" t="inlineStr">
        <is>
          <t>PZS</t>
        </is>
      </c>
      <c r="W688" s="51" t="inlineStr">
        <is>
          <t>53121601</t>
        </is>
      </c>
      <c r="X688" s="156" t="n"/>
      <c r="Y688" s="54" t="n">
        <v>22.5</v>
      </c>
      <c r="Z688" s="54" t="n">
        <v>839</v>
      </c>
      <c r="AA688" s="55">
        <f>IF(AND(A688="", B688="", E688=""), "", IF(AB688="", "Válido", IF((LEN(AB688)-LEN(SUBSTITUTE(AB688,"; ","")))/2+1&gt;(LEN(AB688)-LEN(SUBSTITUTE(AB688,"[Aviso]","")))/7, "Con Incidencias", "Válido")))</f>
        <v/>
      </c>
      <c r="AB688" s="56">
        <f>IF(AND(A688="", B688="", E688=""), "", TEXTJOIN("; ", TRUE, IF(OR(TRIM(A688&amp;"")="", ISNUMBER(SEARCH("FALTA", A688))), "UPC faltante/inválido", ""), IF(AND(A688&lt;&gt;"", IFERROR(_xlfn.XMATCH(A688,$A$2:$A$1063,0,1)&lt;&gt;_xlfn.XMATCH(A688,$A$2:$A$1063,0,-1),FALSE)), "Código de barras duplicado", ""), IF(AND(E688&lt;&gt;"", COUNTIF($E$2:$E$1063, E688)&gt;1), "SKU duplicado", ""), IF(OR(J688="", J688=""), "[Aviso] División no capturada ()", IF(ISNA(MATCH(J688, Criterios!$A$123:$A$126, 0)), "División no válida", "")), IF(OR(K688="", K688=""), "[Aviso] Categoría no capturada ()", IF(ISNA(MATCH(K688, Criterios!$A$81:$A$120, 0)), "Categoría no válida", IF(AND(J688&lt;&gt;"", J688&lt;&gt;"", J688&lt;&gt;VLOOKUP(K688, Criterios!$A$81:$B$120, 2, FALSE)), "División no coincide con Categoría", ""))), IF(OR(L688="", L688=""), "[Aviso] Género no capturado ()", IF(ISNA(MATCH(L688, Criterios!$B$123:$B$127, 0)), "Género no válido", "")), IF(OR(N688="", N688=""), "[Aviso] Temporada no capturada ()", IF(ISNA(MATCH(N688, Criterios!$C$123:$C$128, 0)), "Temporada no válida", "")), IF(OR(O688="", O688=""), "[Aviso] Ciclo de vida no capturado ()", IF(ISNA(MATCH(O688, Criterios!$D$123:$D$124, 0)), "Ciclo de vida no válido", ""))))</f>
        <v/>
      </c>
      <c r="AC688" s="56" t="n"/>
      <c r="AD688" s="51" t="n"/>
      <c r="AE688" s="156" t="n"/>
      <c r="AF688" s="51" t="n"/>
      <c r="AG688" s="156" t="inlineStr">
        <is>
          <t>Nuevo – Carga Hoja2 01/10/2026</t>
        </is>
      </c>
      <c r="AH688" s="156" t="inlineStr">
        <is>
          <t>Alta 01/10/2026 desde Hoja2 (fila 549) | Homologación G1522 06/10/2026: Validador Shopify: WB: precio con IVA no termina en 9</t>
        </is>
      </c>
      <c r="AI688" s="156" t="n"/>
      <c r="AJ688" s="156" t="n"/>
      <c r="AK688" s="155" t="inlineStr">
        <is>
          <t>Hoja2: fila 549 | Odoo: producto 31032 / plantilla 39675</t>
        </is>
      </c>
      <c r="AL688" s="58" t="n"/>
      <c r="AM688" s="58" t="n"/>
      <c r="AN688" s="155" t="inlineStr">
        <is>
          <t>Odoo Universal Unique Brands</t>
        </is>
      </c>
      <c r="AO688" s="59" t="n"/>
      <c r="AP688" s="59" t="n"/>
      <c r="AQ688" s="59" t="n">
        <v>4</v>
      </c>
      <c r="AR688" s="155" t="inlineStr">
        <is>
          <t>Odoo Universal Unique Brands › Bodega 25 › Bodega 25/General: 4</t>
        </is>
      </c>
    </row>
    <row r="689">
      <c r="A689" s="50" t="inlineStr">
        <is>
          <t>717690455361</t>
        </is>
      </c>
      <c r="B689" s="51" t="inlineStr">
        <is>
          <t>31034</t>
        </is>
      </c>
      <c r="C689" s="156" t="inlineStr">
        <is>
          <t>Wrangler</t>
        </is>
      </c>
      <c r="D689" s="156" t="inlineStr">
        <is>
          <t>WG283-8015CF</t>
        </is>
      </c>
      <c r="E689" s="156" t="inlineStr">
        <is>
          <t>WG283-8015CF</t>
        </is>
      </c>
      <c r="F689" s="156" t="inlineStr">
        <is>
          <t>Talla única</t>
        </is>
      </c>
      <c r="G689" s="156" t="inlineStr">
        <is>
          <t>One Size</t>
        </is>
      </c>
      <c r="H689" s="156" t="inlineStr">
        <is>
          <t>Wrangler</t>
        </is>
      </c>
      <c r="I689" s="156" t="inlineStr">
        <is>
          <t>Bolsa Cruzada Wrangler Piel De Vaca Genuina Con Asa Y Flecos Café Oscuro</t>
        </is>
      </c>
      <c r="J689" s="156" t="inlineStr">
        <is>
          <t>Accesorios</t>
        </is>
      </c>
      <c r="K689" s="156" t="inlineStr">
        <is>
          <t>Bolsos</t>
        </is>
      </c>
      <c r="L689" s="156" t="inlineStr">
        <is>
          <t>Unisex</t>
        </is>
      </c>
      <c r="M689" s="156" t="inlineStr">
        <is>
          <t>Wrangler</t>
        </is>
      </c>
      <c r="N689" s="156" t="inlineStr">
        <is>
          <t>FW26</t>
        </is>
      </c>
      <c r="O689" s="156" t="inlineStr">
        <is>
          <t>Seasonal</t>
        </is>
      </c>
      <c r="P689" s="156" t="inlineStr">
        <is>
          <t>Varios</t>
        </is>
      </c>
      <c r="Q689" s="156" t="n"/>
      <c r="R689" s="156" t="n"/>
      <c r="S689" s="156" t="n"/>
      <c r="T689" s="156" t="inlineStr">
        <is>
          <t>Bolsa Cruzada Wrangler. Modelo: Piel De Vaca Genuina Con Asa Y Flecos. Color: Café Oscuro. Talla única. Unisex. País de origen: México. Referencia: WG283-8015CF.</t>
        </is>
      </c>
      <c r="U689" s="156" t="inlineStr">
        <is>
          <t>México</t>
        </is>
      </c>
      <c r="V689" s="156" t="inlineStr">
        <is>
          <t>PZS</t>
        </is>
      </c>
      <c r="W689" s="51" t="inlineStr">
        <is>
          <t>53121601</t>
        </is>
      </c>
      <c r="X689" s="156" t="n"/>
      <c r="Y689" s="54" t="n">
        <v>22.5</v>
      </c>
      <c r="Z689" s="54" t="n">
        <v>839</v>
      </c>
      <c r="AA689" s="55">
        <f>IF(AND(A689="", B689="", E689=""), "", IF(AB689="", "Válido", IF((LEN(AB689)-LEN(SUBSTITUTE(AB689,"; ","")))/2+1&gt;(LEN(AB689)-LEN(SUBSTITUTE(AB689,"[Aviso]","")))/7, "Con Incidencias", "Válido")))</f>
        <v/>
      </c>
      <c r="AB689" s="56">
        <f>IF(AND(A689="", B689="", E689=""), "", TEXTJOIN("; ", TRUE, IF(OR(TRIM(A689&amp;"")="", ISNUMBER(SEARCH("FALTA", A689))), "UPC faltante/inválido", ""), IF(AND(A689&lt;&gt;"", IFERROR(_xlfn.XMATCH(A689,$A$2:$A$1063,0,1)&lt;&gt;_xlfn.XMATCH(A689,$A$2:$A$1063,0,-1),FALSE)), "Código de barras duplicado", ""), IF(AND(E689&lt;&gt;"", COUNTIF($E$2:$E$1063, E689)&gt;1), "SKU duplicado", ""), IF(OR(J689="", J689=""), "[Aviso] División no capturada ()", IF(ISNA(MATCH(J689, Criterios!$A$123:$A$126, 0)), "División no válida", "")), IF(OR(K689="", K689=""), "[Aviso] Categoría no capturada ()", IF(ISNA(MATCH(K689, Criterios!$A$81:$A$120, 0)), "Categoría no válida", IF(AND(J689&lt;&gt;"", J689&lt;&gt;"", J689&lt;&gt;VLOOKUP(K689, Criterios!$A$81:$B$120, 2, FALSE)), "División no coincide con Categoría", ""))), IF(OR(L689="", L689=""), "[Aviso] Género no capturado ()", IF(ISNA(MATCH(L689, Criterios!$B$123:$B$127, 0)), "Género no válido", "")), IF(OR(N689="", N689=""), "[Aviso] Temporada no capturada ()", IF(ISNA(MATCH(N689, Criterios!$C$123:$C$128, 0)), "Temporada no válida", "")), IF(OR(O689="", O689=""), "[Aviso] Ciclo de vida no capturado ()", IF(ISNA(MATCH(O689, Criterios!$D$123:$D$124, 0)), "Ciclo de vida no válido", ""))))</f>
        <v/>
      </c>
      <c r="AC689" s="56" t="n"/>
      <c r="AD689" s="51" t="n"/>
      <c r="AE689" s="156" t="n"/>
      <c r="AF689" s="51" t="n"/>
      <c r="AG689" s="156" t="inlineStr">
        <is>
          <t>Nuevo – Carga Hoja2 01/10/2026</t>
        </is>
      </c>
      <c r="AH689" s="156" t="inlineStr">
        <is>
          <t>Alta 01/10/2026 desde Hoja2 (fila 550) | 01/10/2026: Odoo Universal Unique Brands trae Color «Cafe» — se conservó el valor de Productos | Homologación G1522 06/10/2026: Validador Shopify: WB: precio con IVA no termina en 9</t>
        </is>
      </c>
      <c r="AI689" s="156" t="n"/>
      <c r="AJ689" s="156" t="n"/>
      <c r="AK689" s="155" t="inlineStr">
        <is>
          <t>Hoja2: fila 550 | Odoo: producto 31034 / plantilla 39675</t>
        </is>
      </c>
      <c r="AL689" s="58" t="n"/>
      <c r="AM689" s="58" t="n"/>
      <c r="AN689" s="155" t="inlineStr">
        <is>
          <t>Odoo Universal Unique Brands</t>
        </is>
      </c>
      <c r="AO689" s="59" t="n"/>
      <c r="AP689" s="59" t="n"/>
      <c r="AQ689" s="59" t="n">
        <v>-4</v>
      </c>
      <c r="AR689" s="155" t="n"/>
    </row>
    <row r="690">
      <c r="A690" s="50" t="inlineStr">
        <is>
          <t>717690455378</t>
        </is>
      </c>
      <c r="B690" s="51" t="inlineStr">
        <is>
          <t>31031</t>
        </is>
      </c>
      <c r="C690" s="156" t="inlineStr">
        <is>
          <t>Wrangler</t>
        </is>
      </c>
      <c r="D690" s="156" t="inlineStr">
        <is>
          <t>WG283-8015TN</t>
        </is>
      </c>
      <c r="E690" s="156" t="inlineStr">
        <is>
          <t>WG283-8015TN</t>
        </is>
      </c>
      <c r="F690" s="156" t="inlineStr">
        <is>
          <t>Talla única</t>
        </is>
      </c>
      <c r="G690" s="156" t="inlineStr">
        <is>
          <t>One Size</t>
        </is>
      </c>
      <c r="H690" s="156" t="inlineStr">
        <is>
          <t>Wrangler</t>
        </is>
      </c>
      <c r="I690" s="156" t="inlineStr">
        <is>
          <t>Bolsa Cruzada Wrangler Piel De Vaca Genuina Con Asa Y Flecos Camel</t>
        </is>
      </c>
      <c r="J690" s="156" t="inlineStr">
        <is>
          <t>Accesorios</t>
        </is>
      </c>
      <c r="K690" s="156" t="inlineStr">
        <is>
          <t>Bolsos</t>
        </is>
      </c>
      <c r="L690" s="156" t="inlineStr">
        <is>
          <t>Unisex</t>
        </is>
      </c>
      <c r="M690" s="156" t="inlineStr">
        <is>
          <t>Wrangler</t>
        </is>
      </c>
      <c r="N690" s="156" t="n"/>
      <c r="O690" s="156" t="inlineStr">
        <is>
          <t>Core</t>
        </is>
      </c>
      <c r="P690" s="156" t="inlineStr">
        <is>
          <t>Varios</t>
        </is>
      </c>
      <c r="Q690" s="156" t="n"/>
      <c r="R690" s="156" t="n"/>
      <c r="S690" s="156" t="n"/>
      <c r="T690" s="156" t="inlineStr">
        <is>
          <t>Bolsa Cruzada Wrangler. Modelo: Piel De Vaca Genuina Con Asa Y Flecos. Color: Camel. Talla única. Unisex. País de origen: México. Referencia: WG283-8015TN.</t>
        </is>
      </c>
      <c r="U690" s="156" t="inlineStr">
        <is>
          <t>México</t>
        </is>
      </c>
      <c r="V690" s="156" t="inlineStr">
        <is>
          <t>PZS</t>
        </is>
      </c>
      <c r="W690" s="51" t="inlineStr">
        <is>
          <t>53121601</t>
        </is>
      </c>
      <c r="X690" s="156" t="n"/>
      <c r="Y690" s="54" t="n">
        <v>22.5</v>
      </c>
      <c r="Z690" s="54" t="n">
        <v>839</v>
      </c>
      <c r="AA690" s="55">
        <f>IF(AND(A690="", B690="", E690=""), "", IF(AB690="", "Válido", IF((LEN(AB690)-LEN(SUBSTITUTE(AB690,"; ","")))/2+1&gt;(LEN(AB690)-LEN(SUBSTITUTE(AB690,"[Aviso]","")))/7, "Con Incidencias", "Válido")))</f>
        <v/>
      </c>
      <c r="AB690" s="56">
        <f>IF(AND(A690="", B690="", E690=""), "", TEXTJOIN("; ", TRUE, IF(OR(TRIM(A690&amp;"")="", ISNUMBER(SEARCH("FALTA", A690))), "UPC faltante/inválido", ""), IF(AND(A690&lt;&gt;"", IFERROR(_xlfn.XMATCH(A690,$A$2:$A$1063,0,1)&lt;&gt;_xlfn.XMATCH(A690,$A$2:$A$1063,0,-1),FALSE)), "Código de barras duplicado", ""), IF(AND(E690&lt;&gt;"", COUNTIF($E$2:$E$1063, E690)&gt;1), "SKU duplicado", ""), IF(OR(J690="", J690=""), "[Aviso] División no capturada ()", IF(ISNA(MATCH(J690, Criterios!$A$123:$A$126, 0)), "División no válida", "")), IF(OR(K690="", K690=""), "[Aviso] Categoría no capturada ()", IF(ISNA(MATCH(K690, Criterios!$A$81:$A$120, 0)), "Categoría no válida", IF(AND(J690&lt;&gt;"", J690&lt;&gt;"", J690&lt;&gt;VLOOKUP(K690, Criterios!$A$81:$B$120, 2, FALSE)), "División no coincide con Categoría", ""))), IF(OR(L690="", L690=""), "[Aviso] Género no capturado ()", IF(ISNA(MATCH(L690, Criterios!$B$123:$B$127, 0)), "Género no válido", "")), IF(OR(N690="", N690=""), "[Aviso] Temporada no capturada ()", IF(ISNA(MATCH(N690, Criterios!$C$123:$C$128, 0)), "Temporada no válida", "")), IF(OR(O690="", O690=""), "[Aviso] Ciclo de vida no capturado ()", IF(ISNA(MATCH(O690, Criterios!$D$123:$D$124, 0)), "Ciclo de vida no válido", ""))))</f>
        <v/>
      </c>
      <c r="AC690" s="56" t="n"/>
      <c r="AD690" s="51" t="n"/>
      <c r="AE690" s="156" t="n"/>
      <c r="AF690" s="51" t="n"/>
      <c r="AG690" s="156" t="inlineStr">
        <is>
          <t>Nuevo – Carga Hoja2 01/10/2026</t>
        </is>
      </c>
      <c r="AH690" s="156" t="inlineStr">
        <is>
          <t>Alta 01/10/2026 desde Hoja2 (fila 551) | 01/10/2026: Odoo Universal Unique Brands trae Color «Cafe» — se conservó el valor de Productos | Homologación G1522 06/10/2026: Validador Shopify: WB: precio con IVA no termina en 9</t>
        </is>
      </c>
      <c r="AI690" s="156" t="n"/>
      <c r="AJ690" s="156" t="n"/>
      <c r="AK690" s="155" t="inlineStr">
        <is>
          <t>Hoja2: fila 551 | Odoo: producto 31031 / plantilla 39675</t>
        </is>
      </c>
      <c r="AL690" s="58" t="n"/>
      <c r="AM690" s="58" t="n"/>
      <c r="AN690" s="155" t="inlineStr">
        <is>
          <t>Odoo Universal Unique Brands</t>
        </is>
      </c>
      <c r="AO690" s="59" t="n"/>
      <c r="AP690" s="59" t="n"/>
      <c r="AQ690" s="59" t="n">
        <v>1</v>
      </c>
      <c r="AR690" s="155" t="inlineStr">
        <is>
          <t>Odoo Universal Unique Brands › Bodega 25 › Bodega 25/General: 1</t>
        </is>
      </c>
    </row>
    <row r="691">
      <c r="A691" s="50" t="inlineStr">
        <is>
          <t>712288142432</t>
        </is>
      </c>
      <c r="B691" s="51" t="inlineStr">
        <is>
          <t>13316</t>
        </is>
      </c>
      <c r="C691" s="156" t="inlineStr">
        <is>
          <t>Wrangler</t>
        </is>
      </c>
      <c r="D691" s="156" t="inlineStr">
        <is>
          <t>WG284D-8119BR</t>
        </is>
      </c>
      <c r="E691" s="156" t="inlineStr">
        <is>
          <t>WG284D-8119BR</t>
        </is>
      </c>
      <c r="F691" s="156" t="inlineStr">
        <is>
          <t>Talla única</t>
        </is>
      </c>
      <c r="G691" s="156" t="inlineStr">
        <is>
          <t>One Size</t>
        </is>
      </c>
      <c r="H691" s="156" t="inlineStr">
        <is>
          <t>Wrangler</t>
        </is>
      </c>
      <c r="I691" s="156" t="inlineStr">
        <is>
          <t>Bolsa Wrangler Café</t>
        </is>
      </c>
      <c r="J691" s="156" t="inlineStr">
        <is>
          <t>Accesorios</t>
        </is>
      </c>
      <c r="K691" s="156" t="inlineStr">
        <is>
          <t>Bolsos</t>
        </is>
      </c>
      <c r="L691" s="156" t="inlineStr">
        <is>
          <t>Unisex</t>
        </is>
      </c>
      <c r="M691" s="156" t="inlineStr">
        <is>
          <t>Wrangler</t>
        </is>
      </c>
      <c r="N691" s="156" t="n"/>
      <c r="O691" s="156" t="inlineStr">
        <is>
          <t>Core</t>
        </is>
      </c>
      <c r="P691" s="156" t="inlineStr">
        <is>
          <t>Cafe</t>
        </is>
      </c>
      <c r="Q691" s="156" t="n"/>
      <c r="R691" s="156" t="n"/>
      <c r="S691" s="156" t="n"/>
      <c r="T691" s="156" t="inlineStr">
        <is>
          <t>Bolsa Wrangler. Color: Café. Talla única. Unisex. Referencia: WG284D-8119BR.</t>
        </is>
      </c>
      <c r="U691" s="156" t="n"/>
      <c r="V691" s="156" t="inlineStr">
        <is>
          <t>PZS</t>
        </is>
      </c>
      <c r="W691" s="51" t="inlineStr">
        <is>
          <t>53121601</t>
        </is>
      </c>
      <c r="X691" s="156" t="n"/>
      <c r="Y691" s="54" t="n">
        <v>517.5</v>
      </c>
      <c r="Z691" s="54" t="n">
        <v>829</v>
      </c>
      <c r="AA691" s="55">
        <f>IF(AND(A691="", B691="", E691=""), "", IF(AB691="", "Válido", IF((LEN(AB691)-LEN(SUBSTITUTE(AB691,"; ","")))/2+1&gt;(LEN(AB691)-LEN(SUBSTITUTE(AB691,"[Aviso]","")))/7, "Con Incidencias", "Válido")))</f>
        <v/>
      </c>
      <c r="AB691" s="56">
        <f>IF(AND(A691="", B691="", E691=""), "", TEXTJOIN("; ", TRUE, IF(OR(TRIM(A691&amp;"")="", ISNUMBER(SEARCH("FALTA", A691))), "UPC faltante/inválido", ""), IF(AND(A691&lt;&gt;"", IFERROR(_xlfn.XMATCH(A691,$A$2:$A$1063,0,1)&lt;&gt;_xlfn.XMATCH(A691,$A$2:$A$1063,0,-1),FALSE)), "Código de barras duplicado", ""), IF(AND(E691&lt;&gt;"", COUNTIF($E$2:$E$1063, E691)&gt;1), "SKU duplicado", ""), IF(OR(J691="", J691=""), "[Aviso] División no capturada ()", IF(ISNA(MATCH(J691, Criterios!$A$123:$A$126, 0)), "División no válida", "")), IF(OR(K691="", K691=""), "[Aviso] Categoría no capturada ()", IF(ISNA(MATCH(K691, Criterios!$A$81:$A$120, 0)), "Categoría no válida", IF(AND(J691&lt;&gt;"", J691&lt;&gt;"", J691&lt;&gt;VLOOKUP(K691, Criterios!$A$81:$B$120, 2, FALSE)), "División no coincide con Categoría", ""))), IF(OR(L691="", L691=""), "[Aviso] Género no capturado ()", IF(ISNA(MATCH(L691, Criterios!$B$123:$B$127, 0)), "Género no válido", "")), IF(OR(N691="", N691=""), "[Aviso] Temporada no capturada ()", IF(ISNA(MATCH(N691, Criterios!$C$123:$C$128, 0)), "Temporada no válida", "")), IF(OR(O691="", O691=""), "[Aviso] Ciclo de vida no capturado ()", IF(ISNA(MATCH(O691, Criterios!$D$123:$D$124, 0)), "Ciclo de vida no válido", ""))))</f>
        <v/>
      </c>
      <c r="AC691" s="56" t="n"/>
      <c r="AD691" s="51" t="n"/>
      <c r="AE691" s="156" t="n"/>
      <c r="AF691" s="51" t="n"/>
      <c r="AG691" s="156" t="inlineStr">
        <is>
          <t>Nuevo – Carga Hoja2 01/10/2026</t>
        </is>
      </c>
      <c r="AH691" s="156" t="inlineStr">
        <is>
          <t>Alta 01/10/2026 desde Hoja2 (fila 552) | Homologación G1522 06/10/2026: Validador Shopify: WB: precio con IVA no termina en 9</t>
        </is>
      </c>
      <c r="AI691" s="156" t="n"/>
      <c r="AJ691" s="156" t="n"/>
      <c r="AK691" s="155" t="inlineStr">
        <is>
          <t>Hoja2: fila 552 | Odoo: producto 13316 / plantilla 16893</t>
        </is>
      </c>
      <c r="AL691" s="58" t="n"/>
      <c r="AM691" s="58" t="n"/>
      <c r="AN691" s="155" t="inlineStr">
        <is>
          <t>Odoo Universal Unique Brands</t>
        </is>
      </c>
      <c r="AO691" s="59" t="n"/>
      <c r="AP691" s="59" t="n"/>
      <c r="AQ691" s="59" t="n">
        <v>20</v>
      </c>
      <c r="AR691" s="155" t="inlineStr">
        <is>
          <t>Odoo Universal Unique Brands › Bodega 25 › Bodega 25/General: 20</t>
        </is>
      </c>
    </row>
    <row r="692">
      <c r="A692" s="50" t="inlineStr">
        <is>
          <t>712288142470</t>
        </is>
      </c>
      <c r="B692" s="51" t="inlineStr">
        <is>
          <t>13308</t>
        </is>
      </c>
      <c r="C692" s="156" t="inlineStr">
        <is>
          <t>Wrangler</t>
        </is>
      </c>
      <c r="D692" s="156" t="inlineStr">
        <is>
          <t>WG284D-8119TQ</t>
        </is>
      </c>
      <c r="E692" s="156" t="inlineStr">
        <is>
          <t>WG284D-8119TQ</t>
        </is>
      </c>
      <c r="F692" s="156" t="inlineStr">
        <is>
          <t>Talla única</t>
        </is>
      </c>
      <c r="G692" s="156" t="inlineStr">
        <is>
          <t>One Size</t>
        </is>
      </c>
      <c r="H692" s="156" t="inlineStr">
        <is>
          <t>Wrangler</t>
        </is>
      </c>
      <c r="I692" s="156" t="inlineStr">
        <is>
          <t>Bolsa Wrangler Turquesa</t>
        </is>
      </c>
      <c r="J692" s="156" t="inlineStr">
        <is>
          <t>Accesorios</t>
        </is>
      </c>
      <c r="K692" s="156" t="inlineStr">
        <is>
          <t>Bolsos</t>
        </is>
      </c>
      <c r="L692" s="156" t="inlineStr">
        <is>
          <t>Unisex</t>
        </is>
      </c>
      <c r="M692" s="156" t="inlineStr">
        <is>
          <t>Wrangler</t>
        </is>
      </c>
      <c r="N692" s="156" t="n"/>
      <c r="O692" s="156" t="inlineStr">
        <is>
          <t>Core</t>
        </is>
      </c>
      <c r="P692" s="156" t="inlineStr">
        <is>
          <t>Azul</t>
        </is>
      </c>
      <c r="Q692" s="156" t="n"/>
      <c r="R692" s="156" t="n"/>
      <c r="S692" s="156" t="n"/>
      <c r="T692" s="156" t="inlineStr">
        <is>
          <t>Bolsa Wrangler. Color: Turquesa. Talla única. Unisex. Referencia: WG284D-8119TQ.</t>
        </is>
      </c>
      <c r="U692" s="156" t="n"/>
      <c r="V692" s="156" t="inlineStr">
        <is>
          <t>PZS</t>
        </is>
      </c>
      <c r="W692" s="51" t="inlineStr">
        <is>
          <t>53121601</t>
        </is>
      </c>
      <c r="X692" s="156" t="n"/>
      <c r="Y692" s="54" t="n">
        <v>517.5</v>
      </c>
      <c r="Z692" s="54" t="n">
        <v>829</v>
      </c>
      <c r="AA692" s="55">
        <f>IF(AND(A692="", B692="", E692=""), "", IF(AB692="", "Válido", IF((LEN(AB692)-LEN(SUBSTITUTE(AB692,"; ","")))/2+1&gt;(LEN(AB692)-LEN(SUBSTITUTE(AB692,"[Aviso]","")))/7, "Con Incidencias", "Válido")))</f>
        <v/>
      </c>
      <c r="AB692" s="56">
        <f>IF(AND(A692="", B692="", E692=""), "", TEXTJOIN("; ", TRUE, IF(OR(TRIM(A692&amp;"")="", ISNUMBER(SEARCH("FALTA", A692))), "UPC faltante/inválido", ""), IF(AND(A692&lt;&gt;"", IFERROR(_xlfn.XMATCH(A692,$A$2:$A$1063,0,1)&lt;&gt;_xlfn.XMATCH(A692,$A$2:$A$1063,0,-1),FALSE)), "Código de barras duplicado", ""), IF(AND(E692&lt;&gt;"", COUNTIF($E$2:$E$1063, E692)&gt;1), "SKU duplicado", ""), IF(OR(J692="", J692=""), "[Aviso] División no capturada ()", IF(ISNA(MATCH(J692, Criterios!$A$123:$A$126, 0)), "División no válida", "")), IF(OR(K692="", K692=""), "[Aviso] Categoría no capturada ()", IF(ISNA(MATCH(K692, Criterios!$A$81:$A$120, 0)), "Categoría no válida", IF(AND(J692&lt;&gt;"", J692&lt;&gt;"", J692&lt;&gt;VLOOKUP(K692, Criterios!$A$81:$B$120, 2, FALSE)), "División no coincide con Categoría", ""))), IF(OR(L692="", L692=""), "[Aviso] Género no capturado ()", IF(ISNA(MATCH(L692, Criterios!$B$123:$B$127, 0)), "Género no válido", "")), IF(OR(N692="", N692=""), "[Aviso] Temporada no capturada ()", IF(ISNA(MATCH(N692, Criterios!$C$123:$C$128, 0)), "Temporada no válida", "")), IF(OR(O692="", O692=""), "[Aviso] Ciclo de vida no capturado ()", IF(ISNA(MATCH(O692, Criterios!$D$123:$D$124, 0)), "Ciclo de vida no válido", ""))))</f>
        <v/>
      </c>
      <c r="AC692" s="56" t="n"/>
      <c r="AD692" s="51" t="n"/>
      <c r="AE692" s="156" t="n"/>
      <c r="AF692" s="51" t="n"/>
      <c r="AG692" s="156" t="inlineStr">
        <is>
          <t>Nuevo – Carga Hoja2 01/10/2026</t>
        </is>
      </c>
      <c r="AH692" s="156" t="inlineStr">
        <is>
          <t>Alta 01/10/2026 desde Hoja2 (fila 553) | Homologación G1522 06/10/2026: Validador Shopify: WB: precio con IVA no termina en 9</t>
        </is>
      </c>
      <c r="AI692" s="156" t="n"/>
      <c r="AJ692" s="156" t="n"/>
      <c r="AK692" s="155" t="inlineStr">
        <is>
          <t>Hoja2: fila 553 | Odoo: producto 13308 / plantilla 16885</t>
        </is>
      </c>
      <c r="AL692" s="58" t="n"/>
      <c r="AM692" s="58" t="n"/>
      <c r="AN692" s="155" t="inlineStr">
        <is>
          <t>Odoo Universal Unique Brands</t>
        </is>
      </c>
      <c r="AO692" s="59" t="n"/>
      <c r="AP692" s="59" t="n"/>
      <c r="AQ692" s="59" t="n">
        <v>22</v>
      </c>
      <c r="AR692" s="155" t="inlineStr">
        <is>
          <t>Odoo Universal Unique Brands › Bodega 25 › Bodega 25/General: 22</t>
        </is>
      </c>
    </row>
    <row r="693">
      <c r="A693" s="50" t="inlineStr">
        <is>
          <t>717690459444</t>
        </is>
      </c>
      <c r="B693" s="51" t="inlineStr">
        <is>
          <t>31029</t>
        </is>
      </c>
      <c r="C693" s="156" t="inlineStr">
        <is>
          <t>Wrangler</t>
        </is>
      </c>
      <c r="D693" s="156" t="inlineStr">
        <is>
          <t>WG313-2003BR</t>
        </is>
      </c>
      <c r="E693" s="156" t="inlineStr">
        <is>
          <t>WG313-2003BR</t>
        </is>
      </c>
      <c r="F693" s="156" t="inlineStr">
        <is>
          <t>Talla única</t>
        </is>
      </c>
      <c r="G693" s="156" t="inlineStr">
        <is>
          <t>One Size</t>
        </is>
      </c>
      <c r="H693" s="156" t="inlineStr">
        <is>
          <t>Wrangler</t>
        </is>
      </c>
      <c r="I693" s="156" t="inlineStr">
        <is>
          <t>Bolsa Cruzada Wrangler Sherpa Azteca De Lona Café</t>
        </is>
      </c>
      <c r="J693" s="156" t="inlineStr">
        <is>
          <t>Accesorios</t>
        </is>
      </c>
      <c r="K693" s="156" t="inlineStr">
        <is>
          <t>Bolsos</t>
        </is>
      </c>
      <c r="L693" s="156" t="inlineStr">
        <is>
          <t>Unisex</t>
        </is>
      </c>
      <c r="M693" s="156" t="inlineStr">
        <is>
          <t>Wrangler</t>
        </is>
      </c>
      <c r="N693" s="156" t="n"/>
      <c r="O693" s="156" t="inlineStr">
        <is>
          <t>Core</t>
        </is>
      </c>
      <c r="P693" s="156" t="inlineStr">
        <is>
          <t>Varios</t>
        </is>
      </c>
      <c r="Q693" s="156" t="n"/>
      <c r="R693" s="156" t="n"/>
      <c r="S693" s="156" t="n"/>
      <c r="T693" s="156" t="inlineStr">
        <is>
          <t>Bolsa Cruzada Wrangler. Modelo: Sherpa Azteca De Lona. Color: Café. Talla única. Unisex. País de origen: México. Referencia: WG313-2003BR.</t>
        </is>
      </c>
      <c r="U693" s="156" t="inlineStr">
        <is>
          <t>México</t>
        </is>
      </c>
      <c r="V693" s="156" t="inlineStr">
        <is>
          <t>PZS</t>
        </is>
      </c>
      <c r="W693" s="51" t="inlineStr">
        <is>
          <t>53121601</t>
        </is>
      </c>
      <c r="X693" s="156" t="n"/>
      <c r="Y693" s="54" t="n">
        <v>10.5</v>
      </c>
      <c r="Z693" s="54" t="n">
        <v>799</v>
      </c>
      <c r="AA693" s="55">
        <f>IF(AND(A693="", B693="", E693=""), "", IF(AB693="", "Válido", IF((LEN(AB693)-LEN(SUBSTITUTE(AB693,"; ","")))/2+1&gt;(LEN(AB693)-LEN(SUBSTITUTE(AB693,"[Aviso]","")))/7, "Con Incidencias", "Válido")))</f>
        <v/>
      </c>
      <c r="AB693" s="56">
        <f>IF(AND(A693="", B693="", E693=""), "", TEXTJOIN("; ", TRUE, IF(OR(TRIM(A693&amp;"")="", ISNUMBER(SEARCH("FALTA", A693))), "UPC faltante/inválido", ""), IF(AND(A693&lt;&gt;"", IFERROR(_xlfn.XMATCH(A693,$A$2:$A$1063,0,1)&lt;&gt;_xlfn.XMATCH(A693,$A$2:$A$1063,0,-1),FALSE)), "Código de barras duplicado", ""), IF(AND(E693&lt;&gt;"", COUNTIF($E$2:$E$1063, E693)&gt;1), "SKU duplicado", ""), IF(OR(J693="", J693=""), "[Aviso] División no capturada ()", IF(ISNA(MATCH(J693, Criterios!$A$123:$A$126, 0)), "División no válida", "")), IF(OR(K693="", K693=""), "[Aviso] Categoría no capturada ()", IF(ISNA(MATCH(K693, Criterios!$A$81:$A$120, 0)), "Categoría no válida", IF(AND(J693&lt;&gt;"", J693&lt;&gt;"", J693&lt;&gt;VLOOKUP(K693, Criterios!$A$81:$B$120, 2, FALSE)), "División no coincide con Categoría", ""))), IF(OR(L693="", L693=""), "[Aviso] Género no capturado ()", IF(ISNA(MATCH(L693, Criterios!$B$123:$B$127, 0)), "Género no válido", "")), IF(OR(N693="", N693=""), "[Aviso] Temporada no capturada ()", IF(ISNA(MATCH(N693, Criterios!$C$123:$C$128, 0)), "Temporada no válida", "")), IF(OR(O693="", O693=""), "[Aviso] Ciclo de vida no capturado ()", IF(ISNA(MATCH(O693, Criterios!$D$123:$D$124, 0)), "Ciclo de vida no válido", ""))))</f>
        <v/>
      </c>
      <c r="AC693" s="56" t="n"/>
      <c r="AD693" s="51" t="n"/>
      <c r="AE693" s="156" t="n"/>
      <c r="AF693" s="51" t="n"/>
      <c r="AG693" s="156" t="inlineStr">
        <is>
          <t>Nuevo – Carga Hoja2 01/10/2026</t>
        </is>
      </c>
      <c r="AH693" s="156" t="inlineStr">
        <is>
          <t>Alta 01/10/2026 desde Hoja2 (fila 554) | Homologación G1522 06/10/2026: Validación G1522: [Aviso] Precio de compra posiblemente en USD · Validador Shopify: WB: precio con IVA no termina en 9</t>
        </is>
      </c>
      <c r="AI693" s="156" t="n"/>
      <c r="AJ693" s="156" t="n"/>
      <c r="AK693" s="155" t="inlineStr">
        <is>
          <t>Hoja2: fila 554 | Odoo: producto 31029 / plantilla 39674</t>
        </is>
      </c>
      <c r="AL693" s="58" t="n"/>
      <c r="AM693" s="58" t="n"/>
      <c r="AN693" s="155" t="inlineStr">
        <is>
          <t>Odoo Universal Unique Brands</t>
        </is>
      </c>
      <c r="AO693" s="59" t="n"/>
      <c r="AP693" s="59" t="n"/>
      <c r="AQ693" s="59" t="n">
        <v>0</v>
      </c>
      <c r="AR693" s="155" t="n"/>
    </row>
    <row r="694">
      <c r="A694" s="50" t="inlineStr">
        <is>
          <t>717690459635</t>
        </is>
      </c>
      <c r="B694" s="51" t="inlineStr">
        <is>
          <t>31030</t>
        </is>
      </c>
      <c r="C694" s="156" t="inlineStr">
        <is>
          <t>Wrangler</t>
        </is>
      </c>
      <c r="D694" s="156" t="n"/>
      <c r="E694" s="156" t="inlineStr">
        <is>
          <t>WG313-8365GN</t>
        </is>
      </c>
      <c r="F694" s="156" t="inlineStr">
        <is>
          <t>Talla única</t>
        </is>
      </c>
      <c r="G694" s="156" t="inlineStr">
        <is>
          <t>One Size</t>
        </is>
      </c>
      <c r="H694" s="156" t="inlineStr">
        <is>
          <t>Wrangler</t>
        </is>
      </c>
      <c r="I694" s="156" t="inlineStr">
        <is>
          <t>https://m-universal-unique-brands.odoo.com/odoo/action-697/28300</t>
        </is>
      </c>
      <c r="J694" s="156" t="inlineStr">
        <is>
          <t>Accesorios</t>
        </is>
      </c>
      <c r="K694" s="156" t="inlineStr">
        <is>
          <t>Bolsos</t>
        </is>
      </c>
      <c r="L694" s="156" t="inlineStr">
        <is>
          <t>Unisex</t>
        </is>
      </c>
      <c r="M694" s="156" t="inlineStr">
        <is>
          <t>Wrangler</t>
        </is>
      </c>
      <c r="N694" s="156" t="n"/>
      <c r="O694" s="156" t="n"/>
      <c r="P694" s="156" t="inlineStr">
        <is>
          <t>Varios</t>
        </is>
      </c>
      <c r="Q694" s="156" t="n"/>
      <c r="R694" s="156" t="n"/>
      <c r="S694" s="156" t="n"/>
      <c r="T694" s="156" t="inlineStr">
        <is>
          <t>Bolsa Cruzada</t>
        </is>
      </c>
      <c r="U694" s="156" t="inlineStr">
        <is>
          <t>México</t>
        </is>
      </c>
      <c r="V694" s="156" t="inlineStr">
        <is>
          <t>PZS</t>
        </is>
      </c>
      <c r="W694" s="51" t="inlineStr">
        <is>
          <t>53121601</t>
        </is>
      </c>
      <c r="X694" s="156" t="n"/>
      <c r="Y694" s="54" t="n">
        <v>10.5</v>
      </c>
      <c r="Z694" s="54" t="n">
        <v>799</v>
      </c>
      <c r="AA694" s="55">
        <f>IF(AND(A694="", B694="", E694=""), "", IF(AB694="", "Válido", IF((LEN(AB694)-LEN(SUBSTITUTE(AB694,"; ","")))/2+1&gt;(LEN(AB694)-LEN(SUBSTITUTE(AB694,"[Aviso]","")))/7, "Con Incidencias", "Válido")))</f>
        <v/>
      </c>
      <c r="AB694" s="56">
        <f>IF(AND(A694="", B694="", E694=""), "", TEXTJOIN("; ", TRUE, IF(OR(TRIM(A694&amp;"")="", ISNUMBER(SEARCH("FALTA", A694))), "UPC faltante/inválido", ""), IF(AND(A694&lt;&gt;"", IFERROR(_xlfn.XMATCH(A694,$A$2:$A$1063,0,1)&lt;&gt;_xlfn.XMATCH(A694,$A$2:$A$1063,0,-1),FALSE)), "Código de barras duplicado", ""), IF(AND(E694&lt;&gt;"", COUNTIF($E$2:$E$1063, E694)&gt;1), "SKU duplicado", ""), IF(OR(J694="", J694=""), "[Aviso] División no capturada ()", IF(ISNA(MATCH(J694, Criterios!$A$123:$A$126, 0)), "División no válida", "")), IF(OR(K694="", K694=""), "[Aviso] Categoría no capturada ()", IF(ISNA(MATCH(K694, Criterios!$A$81:$A$120, 0)), "Categoría no válida", IF(AND(J694&lt;&gt;"", J694&lt;&gt;"", J694&lt;&gt;VLOOKUP(K694, Criterios!$A$81:$B$120, 2, FALSE)), "División no coincide con Categoría", ""))), IF(OR(L694="", L694=""), "[Aviso] Género no capturado ()", IF(ISNA(MATCH(L694, Criterios!$B$123:$B$127, 0)), "Género no válido", "")), IF(OR(N694="", N694=""), "[Aviso] Temporada no capturada ()", IF(ISNA(MATCH(N694, Criterios!$C$123:$C$128, 0)), "Temporada no válida", "")), IF(OR(O694="", O694=""), "[Aviso] Ciclo de vida no capturado ()", IF(ISNA(MATCH(O694, Criterios!$D$123:$D$124, 0)), "Ciclo de vida no válido", ""))))</f>
        <v/>
      </c>
      <c r="AC694" s="56" t="n"/>
      <c r="AD694" s="51" t="n"/>
      <c r="AE694" s="156" t="n"/>
      <c r="AF694" s="51" t="n"/>
      <c r="AG694" s="156" t="inlineStr">
        <is>
          <t>Nuevo – Carga Hoja2 01/10/2026</t>
        </is>
      </c>
      <c r="AH694" s="156" t="inlineStr">
        <is>
          <t>Alta 01/10/2026 desde Hoja2 (fila 555) | 01/10/2026: complementado desde Odoo Universal Unique Brands (match por código de barras): WB Talla, WB Talla de EE. UU., WB Descripción larga | 01/10/2026: Odoo Universal Unique Brands trae Color «Verde» — se conservó el valor de Productos | Homologación G1522 06/10/2026: WB País de origen: «Mexico» → «México» (Corrección aplicada) · Validación G1522: Falta estilo; [Aviso] Precio de compra posiblemente en USD · Validador NetSuite / Odoo: V6: falta estilo · Validador Shopify: V6: falta estilo; WB: precio con IVA no termina en 9</t>
        </is>
      </c>
      <c r="AI694" s="156" t="n"/>
      <c r="AJ694" s="156" t="n"/>
      <c r="AK694" s="155" t="inlineStr">
        <is>
          <t>Hoja2: fila 555 | Odoo: producto 31030 / plantilla 39674</t>
        </is>
      </c>
      <c r="AL694" s="58" t="n"/>
      <c r="AM694" s="58" t="n"/>
      <c r="AN694" s="155" t="inlineStr">
        <is>
          <t>Odoo Universal Unique Brands</t>
        </is>
      </c>
      <c r="AO694" s="59" t="n"/>
      <c r="AP694" s="59" t="n"/>
      <c r="AQ694" s="59" t="n">
        <v>0</v>
      </c>
      <c r="AR694" s="155" t="n"/>
    </row>
    <row r="695">
      <c r="A695" s="50" t="inlineStr">
        <is>
          <t>717710507179</t>
        </is>
      </c>
      <c r="B695" s="51" t="inlineStr">
        <is>
          <t>31014</t>
        </is>
      </c>
      <c r="C695" s="156" t="inlineStr">
        <is>
          <t>Wrangler</t>
        </is>
      </c>
      <c r="D695" s="156" t="n"/>
      <c r="E695" s="156" t="inlineStr">
        <is>
          <t>WG367-8360BG</t>
        </is>
      </c>
      <c r="F695" s="156" t="inlineStr">
        <is>
          <t>Talla única</t>
        </is>
      </c>
      <c r="G695" s="156" t="inlineStr">
        <is>
          <t>One Size</t>
        </is>
      </c>
      <c r="H695" s="156" t="inlineStr">
        <is>
          <t>Wrangler</t>
        </is>
      </c>
      <c r="I695" s="156" t="inlineStr">
        <is>
          <t>Bolsa Cruzada Wrangler Bolsillo De Mezclilla Con Flecos De Piel</t>
        </is>
      </c>
      <c r="J695" s="156" t="inlineStr">
        <is>
          <t>Accesorios</t>
        </is>
      </c>
      <c r="K695" s="156" t="inlineStr">
        <is>
          <t>Carteras</t>
        </is>
      </c>
      <c r="L695" s="156" t="inlineStr">
        <is>
          <t>Unisex</t>
        </is>
      </c>
      <c r="M695" s="156" t="inlineStr">
        <is>
          <t>Wrangler</t>
        </is>
      </c>
      <c r="N695" s="156" t="n"/>
      <c r="O695" s="156" t="n"/>
      <c r="P695" s="156" t="inlineStr">
        <is>
          <t>Varios</t>
        </is>
      </c>
      <c r="Q695" s="156" t="n"/>
      <c r="R695" s="156" t="n"/>
      <c r="S695" s="156" t="n"/>
      <c r="T695" s="156" t="inlineStr">
        <is>
          <t>Bolsa Cruzada</t>
        </is>
      </c>
      <c r="U695" s="156" t="inlineStr">
        <is>
          <t>México</t>
        </is>
      </c>
      <c r="V695" s="156" t="inlineStr">
        <is>
          <t>PZS</t>
        </is>
      </c>
      <c r="W695" s="51" t="inlineStr">
        <is>
          <t>53121600</t>
        </is>
      </c>
      <c r="X695" s="156" t="inlineStr">
        <is>
          <t>https://m-universal-unique-brands.odoo.com/web/image/product.product/31014/image_1920</t>
        </is>
      </c>
      <c r="Y695" s="54" t="n">
        <v>16.5</v>
      </c>
      <c r="Z695" s="54" t="n">
        <v>639</v>
      </c>
      <c r="AA695" s="55">
        <f>IF(AND(A695="", B695="", E695=""), "", IF(AB695="", "Válido", IF((LEN(AB695)-LEN(SUBSTITUTE(AB695,"; ","")))/2+1&gt;(LEN(AB695)-LEN(SUBSTITUTE(AB695,"[Aviso]","")))/7, "Con Incidencias", "Válido")))</f>
        <v/>
      </c>
      <c r="AB695" s="56">
        <f>IF(AND(A695="", B695="", E695=""), "", TEXTJOIN("; ", TRUE, IF(OR(TRIM(A695&amp;"")="", ISNUMBER(SEARCH("FALTA", A695))), "UPC faltante/inválido", ""), IF(AND(A695&lt;&gt;"", IFERROR(_xlfn.XMATCH(A695,$A$2:$A$1063,0,1)&lt;&gt;_xlfn.XMATCH(A695,$A$2:$A$1063,0,-1),FALSE)), "Código de barras duplicado", ""), IF(AND(E695&lt;&gt;"", COUNTIF($E$2:$E$1063, E695)&gt;1), "SKU duplicado", ""), IF(OR(J695="", J695=""), "[Aviso] División no capturada ()", IF(ISNA(MATCH(J695, Criterios!$A$123:$A$126, 0)), "División no válida", "")), IF(OR(K695="", K695=""), "[Aviso] Categoría no capturada ()", IF(ISNA(MATCH(K695, Criterios!$A$81:$A$120, 0)), "Categoría no válida", IF(AND(J695&lt;&gt;"", J695&lt;&gt;"", J695&lt;&gt;VLOOKUP(K695, Criterios!$A$81:$B$120, 2, FALSE)), "División no coincide con Categoría", ""))), IF(OR(L695="", L695=""), "[Aviso] Género no capturado ()", IF(ISNA(MATCH(L695, Criterios!$B$123:$B$127, 0)), "Género no válido", "")), IF(OR(N695="", N695=""), "[Aviso] Temporada no capturada ()", IF(ISNA(MATCH(N695, Criterios!$C$123:$C$128, 0)), "Temporada no válida", "")), IF(OR(O695="", O695=""), "[Aviso] Ciclo de vida no capturado ()", IF(ISNA(MATCH(O695, Criterios!$D$123:$D$124, 0)), "Ciclo de vida no válido", ""))))</f>
        <v/>
      </c>
      <c r="AC695" s="56" t="n"/>
      <c r="AD695" s="51" t="n"/>
      <c r="AE695" s="156" t="n"/>
      <c r="AF695" s="51" t="n"/>
      <c r="AG695" s="156" t="inlineStr">
        <is>
          <t>Nuevo – Carga Hoja2 01/10/2026</t>
        </is>
      </c>
      <c r="AH695" s="156" t="inlineStr">
        <is>
          <t>Alta 01/10/2026 desde Hoja2 (fila 556) | 01/10/2026: complementado desde Odoo Universal Unique Brands (match por código de barras): WB Talla, WB Talla de EE. UU., WB Descripción larga, Enlace de imagen | 01/10/2026: Odoo Universal Unique Brands trae Color «Beige» — se conservó el valor de Productos | Homologación G1522 06/10/2026: WB País de origen: «Mexico» → «México» (Corrección aplicada) · Validación G1522: Falta estilo; [Aviso] Precio de compra posiblemente en USD · Validador NetSuite / Odoo: V6: falta estilo · Validador Shopify: V6: falta estilo; WB: precio con IVA no termina en 9</t>
        </is>
      </c>
      <c r="AI695" s="156" t="n"/>
      <c r="AJ695" s="156" t="n"/>
      <c r="AK695" s="155" t="inlineStr">
        <is>
          <t>Hoja2: fila 556 | Odoo: producto 31014 / plantilla 39670</t>
        </is>
      </c>
      <c r="AL695" s="58" t="n"/>
      <c r="AM695" s="58" t="n"/>
      <c r="AN695" s="155" t="inlineStr">
        <is>
          <t>Odoo Universal Unique Brands</t>
        </is>
      </c>
      <c r="AO695" s="59" t="n"/>
      <c r="AP695" s="59" t="n"/>
      <c r="AQ695" s="59" t="n">
        <v>1</v>
      </c>
      <c r="AR695" s="155" t="inlineStr">
        <is>
          <t>Odoo Universal Unique Brands › Bodega 25 › Bodega 25/General: 1</t>
        </is>
      </c>
    </row>
    <row r="696">
      <c r="A696" s="50" t="inlineStr">
        <is>
          <t>717710507131</t>
        </is>
      </c>
      <c r="B696" s="51" t="inlineStr">
        <is>
          <t>31017</t>
        </is>
      </c>
      <c r="C696" s="156" t="inlineStr">
        <is>
          <t>Wrangler</t>
        </is>
      </c>
      <c r="D696" s="156" t="n"/>
      <c r="E696" s="156" t="inlineStr">
        <is>
          <t>WG367-8360BK</t>
        </is>
      </c>
      <c r="F696" s="156" t="inlineStr">
        <is>
          <t>Talla única</t>
        </is>
      </c>
      <c r="G696" s="156" t="inlineStr">
        <is>
          <t>One Size</t>
        </is>
      </c>
      <c r="H696" s="156" t="inlineStr">
        <is>
          <t>Wrangler</t>
        </is>
      </c>
      <c r="I696" s="156" t="inlineStr">
        <is>
          <t>Bolsa Cruzada Wrangler Bolsillo De Mezclilla Con Flecos De Piel</t>
        </is>
      </c>
      <c r="J696" s="156" t="inlineStr">
        <is>
          <t>Accesorios</t>
        </is>
      </c>
      <c r="K696" s="156" t="inlineStr">
        <is>
          <t>Carteras</t>
        </is>
      </c>
      <c r="L696" s="156" t="inlineStr">
        <is>
          <t>Unisex</t>
        </is>
      </c>
      <c r="M696" s="156" t="inlineStr">
        <is>
          <t>Wrangler</t>
        </is>
      </c>
      <c r="N696" s="156" t="n"/>
      <c r="O696" s="156" t="n"/>
      <c r="P696" s="156" t="inlineStr">
        <is>
          <t>Varios</t>
        </is>
      </c>
      <c r="Q696" s="156" t="n"/>
      <c r="R696" s="156" t="n"/>
      <c r="S696" s="156" t="n"/>
      <c r="T696" s="156" t="inlineStr">
        <is>
          <t>Bolsa Cruzada</t>
        </is>
      </c>
      <c r="U696" s="156" t="inlineStr">
        <is>
          <t>México</t>
        </is>
      </c>
      <c r="V696" s="156" t="inlineStr">
        <is>
          <t>PZS</t>
        </is>
      </c>
      <c r="W696" s="51" t="inlineStr">
        <is>
          <t>53121600</t>
        </is>
      </c>
      <c r="X696" s="156" t="inlineStr">
        <is>
          <t>https://m-universal-unique-brands.odoo.com/web/image/product.product/31017/image_1920</t>
        </is>
      </c>
      <c r="Y696" s="54" t="n">
        <v>16.5</v>
      </c>
      <c r="Z696" s="54" t="n">
        <v>639</v>
      </c>
      <c r="AA696" s="55">
        <f>IF(AND(A696="", B696="", E696=""), "", IF(AB696="", "Válido", IF((LEN(AB696)-LEN(SUBSTITUTE(AB696,"; ","")))/2+1&gt;(LEN(AB696)-LEN(SUBSTITUTE(AB696,"[Aviso]","")))/7, "Con Incidencias", "Válido")))</f>
        <v/>
      </c>
      <c r="AB696" s="56">
        <f>IF(AND(A696="", B696="", E696=""), "", TEXTJOIN("; ", TRUE, IF(OR(TRIM(A696&amp;"")="", ISNUMBER(SEARCH("FALTA", A696))), "UPC faltante/inválido", ""), IF(AND(A696&lt;&gt;"", IFERROR(_xlfn.XMATCH(A696,$A$2:$A$1063,0,1)&lt;&gt;_xlfn.XMATCH(A696,$A$2:$A$1063,0,-1),FALSE)), "Código de barras duplicado", ""), IF(AND(E696&lt;&gt;"", COUNTIF($E$2:$E$1063, E696)&gt;1), "SKU duplicado", ""), IF(OR(J696="", J696=""), "[Aviso] División no capturada ()", IF(ISNA(MATCH(J696, Criterios!$A$123:$A$126, 0)), "División no válida", "")), IF(OR(K696="", K696=""), "[Aviso] Categoría no capturada ()", IF(ISNA(MATCH(K696, Criterios!$A$81:$A$120, 0)), "Categoría no válida", IF(AND(J696&lt;&gt;"", J696&lt;&gt;"", J696&lt;&gt;VLOOKUP(K696, Criterios!$A$81:$B$120, 2, FALSE)), "División no coincide con Categoría", ""))), IF(OR(L696="", L696=""), "[Aviso] Género no capturado ()", IF(ISNA(MATCH(L696, Criterios!$B$123:$B$127, 0)), "Género no válido", "")), IF(OR(N696="", N696=""), "[Aviso] Temporada no capturada ()", IF(ISNA(MATCH(N696, Criterios!$C$123:$C$128, 0)), "Temporada no válida", "")), IF(OR(O696="", O696=""), "[Aviso] Ciclo de vida no capturado ()", IF(ISNA(MATCH(O696, Criterios!$D$123:$D$124, 0)), "Ciclo de vida no válido", ""))))</f>
        <v/>
      </c>
      <c r="AC696" s="56" t="n"/>
      <c r="AD696" s="51" t="n"/>
      <c r="AE696" s="156" t="n"/>
      <c r="AF696" s="51" t="n"/>
      <c r="AG696" s="156" t="inlineStr">
        <is>
          <t>Nuevo – Carga Hoja2 01/10/2026</t>
        </is>
      </c>
      <c r="AH696" s="156" t="inlineStr">
        <is>
          <t>Alta 01/10/2026 desde Hoja2 (fila 557) | 01/10/2026: complementado desde Odoo Universal Unique Brands (match por código de barras): WB Talla, WB Talla de EE. UU., WB Descripción larga, Enlace de imagen | 01/10/2026: Odoo Universal Unique Brands trae Color «Negro» — se conservó el valor de Productos | Homologación G1522 06/10/2026: WB País de origen: «Mexico» → «México» (Corrección aplicada) · Validación G1522: Falta estilo; [Aviso] Precio de compra posiblemente en USD · Validador NetSuite / Odoo: V6: falta estilo · Validador Shopify: V6: falta estilo; WB: precio con IVA no termina en 9</t>
        </is>
      </c>
      <c r="AI696" s="156" t="n"/>
      <c r="AJ696" s="156" t="n"/>
      <c r="AK696" s="155" t="inlineStr">
        <is>
          <t>Hoja2: fila 557 | Odoo: producto 31017 / plantilla 39670</t>
        </is>
      </c>
      <c r="AL696" s="58" t="n"/>
      <c r="AM696" s="58" t="n"/>
      <c r="AN696" s="155" t="inlineStr">
        <is>
          <t>Odoo Universal Unique Brands</t>
        </is>
      </c>
      <c r="AO696" s="59" t="n"/>
      <c r="AP696" s="59" t="n"/>
      <c r="AQ696" s="59" t="n">
        <v>0</v>
      </c>
      <c r="AR696" s="155" t="n"/>
    </row>
    <row r="697">
      <c r="A697" s="50" t="inlineStr">
        <is>
          <t>717710507148</t>
        </is>
      </c>
      <c r="B697" s="51" t="inlineStr">
        <is>
          <t>31015</t>
        </is>
      </c>
      <c r="C697" s="156" t="inlineStr">
        <is>
          <t>Wrangler</t>
        </is>
      </c>
      <c r="D697" s="156" t="inlineStr">
        <is>
          <t>WG367-8360CF</t>
        </is>
      </c>
      <c r="E697" s="156" t="inlineStr">
        <is>
          <t>WG367-8360CF</t>
        </is>
      </c>
      <c r="F697" s="156" t="inlineStr">
        <is>
          <t>Talla única</t>
        </is>
      </c>
      <c r="G697" s="156" t="inlineStr">
        <is>
          <t>One Size</t>
        </is>
      </c>
      <c r="H697" s="156" t="inlineStr">
        <is>
          <t>Wrangler</t>
        </is>
      </c>
      <c r="I697" s="156" t="inlineStr">
        <is>
          <t>Bolsa Cruzada Wrangler Bolsillo De Mezclilla Con Flecos De Piel Café Oscuro</t>
        </is>
      </c>
      <c r="J697" s="156" t="inlineStr">
        <is>
          <t>Accesorios</t>
        </is>
      </c>
      <c r="K697" s="156" t="inlineStr">
        <is>
          <t>Carteras</t>
        </is>
      </c>
      <c r="L697" s="156" t="inlineStr">
        <is>
          <t>Unisex</t>
        </is>
      </c>
      <c r="M697" s="156" t="inlineStr">
        <is>
          <t>Wrangler</t>
        </is>
      </c>
      <c r="N697" s="156" t="n"/>
      <c r="O697" s="156" t="inlineStr">
        <is>
          <t>Core</t>
        </is>
      </c>
      <c r="P697" s="156" t="inlineStr">
        <is>
          <t>Varios</t>
        </is>
      </c>
      <c r="Q697" s="156" t="n"/>
      <c r="R697" s="156" t="n"/>
      <c r="S697" s="156" t="n"/>
      <c r="T697" s="156" t="inlineStr">
        <is>
          <t>Bolsa Cruzada Wrangler. Modelo: Bolsillo De Mezclilla Con Flecos De Piel. Color: Café Oscuro. Talla única. Unisex. País de origen: México. Referencia: WG367-8360CF.</t>
        </is>
      </c>
      <c r="U697" s="156" t="inlineStr">
        <is>
          <t>México</t>
        </is>
      </c>
      <c r="V697" s="156" t="inlineStr">
        <is>
          <t>PZS</t>
        </is>
      </c>
      <c r="W697" s="51" t="inlineStr">
        <is>
          <t>53121700</t>
        </is>
      </c>
      <c r="X697" s="156" t="inlineStr">
        <is>
          <t>https://m-universal-unique-brands.odoo.com/web/image/product.product/31015/image_1920</t>
        </is>
      </c>
      <c r="Y697" s="54" t="n">
        <v>16.5</v>
      </c>
      <c r="Z697" s="54" t="n">
        <v>639</v>
      </c>
      <c r="AA697" s="55">
        <f>IF(AND(A697="", B697="", E697=""), "", IF(AB697="", "Válido", IF((LEN(AB697)-LEN(SUBSTITUTE(AB697,"; ","")))/2+1&gt;(LEN(AB697)-LEN(SUBSTITUTE(AB697,"[Aviso]","")))/7, "Con Incidencias", "Válido")))</f>
        <v/>
      </c>
      <c r="AB697" s="56">
        <f>IF(AND(A697="", B697="", E697=""), "", TEXTJOIN("; ", TRUE, IF(OR(TRIM(A697&amp;"")="", ISNUMBER(SEARCH("FALTA", A697))), "UPC faltante/inválido", ""), IF(AND(A697&lt;&gt;"", IFERROR(_xlfn.XMATCH(A697,$A$2:$A$1063,0,1)&lt;&gt;_xlfn.XMATCH(A697,$A$2:$A$1063,0,-1),FALSE)), "Código de barras duplicado", ""), IF(AND(E697&lt;&gt;"", COUNTIF($E$2:$E$1063, E697)&gt;1), "SKU duplicado", ""), IF(OR(J697="", J697=""), "[Aviso] División no capturada ()", IF(ISNA(MATCH(J697, Criterios!$A$123:$A$126, 0)), "División no válida", "")), IF(OR(K697="", K697=""), "[Aviso] Categoría no capturada ()", IF(ISNA(MATCH(K697, Criterios!$A$81:$A$120, 0)), "Categoría no válida", IF(AND(J697&lt;&gt;"", J697&lt;&gt;"", J697&lt;&gt;VLOOKUP(K697, Criterios!$A$81:$B$120, 2, FALSE)), "División no coincide con Categoría", ""))), IF(OR(L697="", L697=""), "[Aviso] Género no capturado ()", IF(ISNA(MATCH(L697, Criterios!$B$123:$B$127, 0)), "Género no válido", "")), IF(OR(N697="", N697=""), "[Aviso] Temporada no capturada ()", IF(ISNA(MATCH(N697, Criterios!$C$123:$C$128, 0)), "Temporada no válida", "")), IF(OR(O697="", O697=""), "[Aviso] Ciclo de vida no capturado ()", IF(ISNA(MATCH(O697, Criterios!$D$123:$D$124, 0)), "Ciclo de vida no válido", ""))))</f>
        <v/>
      </c>
      <c r="AC697" s="56" t="n"/>
      <c r="AD697" s="51" t="n"/>
      <c r="AE697" s="156" t="n"/>
      <c r="AF697" s="51" t="n"/>
      <c r="AG697" s="156" t="inlineStr">
        <is>
          <t>Nuevo – Carga Hoja2 01/10/2026</t>
        </is>
      </c>
      <c r="AH697" s="156" t="inlineStr">
        <is>
          <t>Alta 01/10/2026 desde Hoja2 (fila 558) | 01/10/2026: complementado desde Odoo Universal Unique Brands (match por código de barras): Enlace de imagen | 01/10/2026: Odoo Universal Unique Brands trae Color «Cafe» — se conservó el valor de Productos | Homologación G1522 06/10/2026: Validación G1522: [Aviso] Precio de compra posiblemente en USD · Validador Shopify: WB: precio con IVA no termina en 9</t>
        </is>
      </c>
      <c r="AI697" s="156" t="n"/>
      <c r="AJ697" s="156" t="n"/>
      <c r="AK697" s="155" t="inlineStr">
        <is>
          <t>Hoja2: fila 558 | Odoo: producto 31015 / plantilla 39670</t>
        </is>
      </c>
      <c r="AL697" s="58" t="n"/>
      <c r="AM697" s="58" t="n"/>
      <c r="AN697" s="155" t="inlineStr">
        <is>
          <t>Odoo Universal Unique Brands</t>
        </is>
      </c>
      <c r="AO697" s="59" t="n"/>
      <c r="AP697" s="59" t="n"/>
      <c r="AQ697" s="59" t="n">
        <v>0</v>
      </c>
      <c r="AR697" s="155" t="n"/>
    </row>
    <row r="698">
      <c r="A698" s="50" t="inlineStr">
        <is>
          <t>717710507186</t>
        </is>
      </c>
      <c r="B698" s="51" t="inlineStr">
        <is>
          <t>31019</t>
        </is>
      </c>
      <c r="C698" s="156" t="inlineStr">
        <is>
          <t>Wrangler</t>
        </is>
      </c>
      <c r="D698" s="156" t="inlineStr">
        <is>
          <t>WG367-8360HPK</t>
        </is>
      </c>
      <c r="E698" s="156" t="inlineStr">
        <is>
          <t>WG367-8360HPK</t>
        </is>
      </c>
      <c r="F698" s="156" t="inlineStr">
        <is>
          <t>Talla única</t>
        </is>
      </c>
      <c r="G698" s="156" t="inlineStr">
        <is>
          <t>One Size</t>
        </is>
      </c>
      <c r="H698" s="156" t="inlineStr">
        <is>
          <t>Wrangler</t>
        </is>
      </c>
      <c r="I698" s="156" t="inlineStr">
        <is>
          <t>Bolsa Cruzada Wrangler Bolsillo De Mezclilla Con Flecos De Piel Rosa Fuerte</t>
        </is>
      </c>
      <c r="J698" s="156" t="inlineStr">
        <is>
          <t>Accesorios</t>
        </is>
      </c>
      <c r="K698" s="156" t="inlineStr">
        <is>
          <t>Carteras</t>
        </is>
      </c>
      <c r="L698" s="156" t="inlineStr">
        <is>
          <t>Unisex</t>
        </is>
      </c>
      <c r="M698" s="156" t="inlineStr">
        <is>
          <t>Wrangler</t>
        </is>
      </c>
      <c r="N698" s="156" t="n"/>
      <c r="O698" s="156" t="inlineStr">
        <is>
          <t>Core</t>
        </is>
      </c>
      <c r="P698" s="156" t="inlineStr">
        <is>
          <t>Varios</t>
        </is>
      </c>
      <c r="Q698" s="156" t="n"/>
      <c r="R698" s="156" t="n"/>
      <c r="S698" s="156" t="n"/>
      <c r="T698" s="156" t="inlineStr">
        <is>
          <t>Bolsa Cruzada Wrangler. Modelo: Bolsillo De Mezclilla Con Flecos De Piel. Color: Rosa Fuerte. Talla única. Unisex. País de origen: México. Referencia: WG367-8360HPK.</t>
        </is>
      </c>
      <c r="U698" s="156" t="inlineStr">
        <is>
          <t>México</t>
        </is>
      </c>
      <c r="V698" s="156" t="inlineStr">
        <is>
          <t>PZS</t>
        </is>
      </c>
      <c r="W698" s="51" t="inlineStr">
        <is>
          <t>53121700</t>
        </is>
      </c>
      <c r="X698" s="156" t="inlineStr">
        <is>
          <t>https://m-universal-unique-brands.odoo.com/web/image/product.product/31019/image_1920</t>
        </is>
      </c>
      <c r="Y698" s="54" t="n">
        <v>16.5</v>
      </c>
      <c r="Z698" s="54" t="n">
        <v>639</v>
      </c>
      <c r="AA698" s="55">
        <f>IF(AND(A698="", B698="", E698=""), "", IF(AB698="", "Válido", IF((LEN(AB698)-LEN(SUBSTITUTE(AB698,"; ","")))/2+1&gt;(LEN(AB698)-LEN(SUBSTITUTE(AB698,"[Aviso]","")))/7, "Con Incidencias", "Válido")))</f>
        <v/>
      </c>
      <c r="AB698" s="56">
        <f>IF(AND(A698="", B698="", E698=""), "", TEXTJOIN("; ", TRUE, IF(OR(TRIM(A698&amp;"")="", ISNUMBER(SEARCH("FALTA", A698))), "UPC faltante/inválido", ""), IF(AND(A698&lt;&gt;"", IFERROR(_xlfn.XMATCH(A698,$A$2:$A$1063,0,1)&lt;&gt;_xlfn.XMATCH(A698,$A$2:$A$1063,0,-1),FALSE)), "Código de barras duplicado", ""), IF(AND(E698&lt;&gt;"", COUNTIF($E$2:$E$1063, E698)&gt;1), "SKU duplicado", ""), IF(OR(J698="", J698=""), "[Aviso] División no capturada ()", IF(ISNA(MATCH(J698, Criterios!$A$123:$A$126, 0)), "División no válida", "")), IF(OR(K698="", K698=""), "[Aviso] Categoría no capturada ()", IF(ISNA(MATCH(K698, Criterios!$A$81:$A$120, 0)), "Categoría no válida", IF(AND(J698&lt;&gt;"", J698&lt;&gt;"", J698&lt;&gt;VLOOKUP(K698, Criterios!$A$81:$B$120, 2, FALSE)), "División no coincide con Categoría", ""))), IF(OR(L698="", L698=""), "[Aviso] Género no capturado ()", IF(ISNA(MATCH(L698, Criterios!$B$123:$B$127, 0)), "Género no válido", "")), IF(OR(N698="", N698=""), "[Aviso] Temporada no capturada ()", IF(ISNA(MATCH(N698, Criterios!$C$123:$C$128, 0)), "Temporada no válida", "")), IF(OR(O698="", O698=""), "[Aviso] Ciclo de vida no capturado ()", IF(ISNA(MATCH(O698, Criterios!$D$123:$D$124, 0)), "Ciclo de vida no válido", ""))))</f>
        <v/>
      </c>
      <c r="AC698" s="56" t="n"/>
      <c r="AD698" s="51" t="n"/>
      <c r="AE698" s="156" t="n"/>
      <c r="AF698" s="51" t="n"/>
      <c r="AG698" s="156" t="inlineStr">
        <is>
          <t>Nuevo – Carga Hoja2 01/10/2026</t>
        </is>
      </c>
      <c r="AH698" s="156" t="inlineStr">
        <is>
          <t>Alta 01/10/2026 desde Hoja2 (fila 559) | 01/10/2026: complementado desde Odoo Universal Unique Brands (match por código de barras): Enlace de imagen | 01/10/2026: Odoo Universal Unique Brands trae Color «Rosa» — se conservó el valor de Productos | Homologación G1522 06/10/2026: Validación G1522: [Aviso] Precio de compra posiblemente en USD · Validador Shopify: WB: precio con IVA no termina en 9</t>
        </is>
      </c>
      <c r="AI698" s="156" t="n"/>
      <c r="AJ698" s="156" t="n"/>
      <c r="AK698" s="155" t="inlineStr">
        <is>
          <t>Hoja2: fila 559 | Odoo: producto 31019 / plantilla 39670</t>
        </is>
      </c>
      <c r="AL698" s="58" t="n"/>
      <c r="AM698" s="58" t="n"/>
      <c r="AN698" s="155" t="inlineStr">
        <is>
          <t>Odoo Universal Unique Brands</t>
        </is>
      </c>
      <c r="AO698" s="59" t="n"/>
      <c r="AP698" s="59" t="n"/>
      <c r="AQ698" s="59" t="n">
        <v>0</v>
      </c>
      <c r="AR698" s="155" t="n"/>
    </row>
    <row r="699">
      <c r="A699" s="50" t="inlineStr">
        <is>
          <t>717710507155</t>
        </is>
      </c>
      <c r="B699" s="51" t="inlineStr">
        <is>
          <t>31016</t>
        </is>
      </c>
      <c r="C699" s="156" t="inlineStr">
        <is>
          <t>Wrangler</t>
        </is>
      </c>
      <c r="D699" s="156" t="inlineStr">
        <is>
          <t>WG367-8360LBR</t>
        </is>
      </c>
      <c r="E699" s="156" t="inlineStr">
        <is>
          <t>WG367-8360LBR</t>
        </is>
      </c>
      <c r="F699" s="156" t="inlineStr">
        <is>
          <t>Talla única</t>
        </is>
      </c>
      <c r="G699" s="156" t="inlineStr">
        <is>
          <t>One Size</t>
        </is>
      </c>
      <c r="H699" s="156" t="inlineStr">
        <is>
          <t>Wrangler</t>
        </is>
      </c>
      <c r="I699" s="156" t="inlineStr">
        <is>
          <t>Bolsa Cruzada Wrangler Bolsillo De Mezclilla Con Flecos De Piel Leopardo Café</t>
        </is>
      </c>
      <c r="J699" s="156" t="inlineStr">
        <is>
          <t>Accesorios</t>
        </is>
      </c>
      <c r="K699" s="156" t="inlineStr">
        <is>
          <t>Carteras</t>
        </is>
      </c>
      <c r="L699" s="156" t="inlineStr">
        <is>
          <t>Unisex</t>
        </is>
      </c>
      <c r="M699" s="156" t="inlineStr">
        <is>
          <t>Wrangler</t>
        </is>
      </c>
      <c r="N699" s="156" t="n"/>
      <c r="O699" s="156" t="inlineStr">
        <is>
          <t>Core</t>
        </is>
      </c>
      <c r="P699" s="156" t="inlineStr">
        <is>
          <t>Varios</t>
        </is>
      </c>
      <c r="Q699" s="156" t="n"/>
      <c r="R699" s="156" t="n"/>
      <c r="S699" s="156" t="n"/>
      <c r="T699" s="156" t="inlineStr">
        <is>
          <t>Bolsa Cruzada Wrangler. Modelo: Bolsillo De Mezclilla Con Flecos De Piel. Color: Leopardo Café. Talla única. Unisex. País de origen: México. Referencia: WG367-8360LBR.</t>
        </is>
      </c>
      <c r="U699" s="156" t="inlineStr">
        <is>
          <t>México</t>
        </is>
      </c>
      <c r="V699" s="156" t="inlineStr">
        <is>
          <t>PZS</t>
        </is>
      </c>
      <c r="W699" s="51" t="inlineStr">
        <is>
          <t>53121700</t>
        </is>
      </c>
      <c r="X699" s="156" t="inlineStr">
        <is>
          <t>https://m-universal-unique-brands.odoo.com/web/image/product.product/31016/image_1920</t>
        </is>
      </c>
      <c r="Y699" s="54" t="n">
        <v>16.5</v>
      </c>
      <c r="Z699" s="54" t="n">
        <v>639</v>
      </c>
      <c r="AA699" s="55">
        <f>IF(AND(A699="", B699="", E699=""), "", IF(AB699="", "Válido", IF((LEN(AB699)-LEN(SUBSTITUTE(AB699,"; ","")))/2+1&gt;(LEN(AB699)-LEN(SUBSTITUTE(AB699,"[Aviso]","")))/7, "Con Incidencias", "Válido")))</f>
        <v/>
      </c>
      <c r="AB699" s="56">
        <f>IF(AND(A699="", B699="", E699=""), "", TEXTJOIN("; ", TRUE, IF(OR(TRIM(A699&amp;"")="", ISNUMBER(SEARCH("FALTA", A699))), "UPC faltante/inválido", ""), IF(AND(A699&lt;&gt;"", IFERROR(_xlfn.XMATCH(A699,$A$2:$A$1063,0,1)&lt;&gt;_xlfn.XMATCH(A699,$A$2:$A$1063,0,-1),FALSE)), "Código de barras duplicado", ""), IF(AND(E699&lt;&gt;"", COUNTIF($E$2:$E$1063, E699)&gt;1), "SKU duplicado", ""), IF(OR(J699="", J699=""), "[Aviso] División no capturada ()", IF(ISNA(MATCH(J699, Criterios!$A$123:$A$126, 0)), "División no válida", "")), IF(OR(K699="", K699=""), "[Aviso] Categoría no capturada ()", IF(ISNA(MATCH(K699, Criterios!$A$81:$A$120, 0)), "Categoría no válida", IF(AND(J699&lt;&gt;"", J699&lt;&gt;"", J699&lt;&gt;VLOOKUP(K699, Criterios!$A$81:$B$120, 2, FALSE)), "División no coincide con Categoría", ""))), IF(OR(L699="", L699=""), "[Aviso] Género no capturado ()", IF(ISNA(MATCH(L699, Criterios!$B$123:$B$127, 0)), "Género no válido", "")), IF(OR(N699="", N699=""), "[Aviso] Temporada no capturada ()", IF(ISNA(MATCH(N699, Criterios!$C$123:$C$128, 0)), "Temporada no válida", "")), IF(OR(O699="", O699=""), "[Aviso] Ciclo de vida no capturado ()", IF(ISNA(MATCH(O699, Criterios!$D$123:$D$124, 0)), "Ciclo de vida no válido", ""))))</f>
        <v/>
      </c>
      <c r="AC699" s="56" t="n"/>
      <c r="AD699" s="51" t="n"/>
      <c r="AE699" s="156" t="n"/>
      <c r="AF699" s="51" t="n"/>
      <c r="AG699" s="156" t="inlineStr">
        <is>
          <t>Nuevo – Carga Hoja2 01/10/2026</t>
        </is>
      </c>
      <c r="AH699" s="156" t="inlineStr">
        <is>
          <t>Alta 01/10/2026 desde Hoja2 (fila 560) | 01/10/2026: complementado desde Odoo Universal Unique Brands (match por código de barras): Enlace de imagen | 01/10/2026: Odoo Universal Unique Brands trae Color «Cafe» — se conservó el valor de Productos | Homologación G1522 06/10/2026: Validación G1522: [Aviso] Precio de compra posiblemente en USD · Validador Shopify: WB: precio con IVA no termina en 9</t>
        </is>
      </c>
      <c r="AI699" s="156" t="n"/>
      <c r="AJ699" s="156" t="n"/>
      <c r="AK699" s="155" t="inlineStr">
        <is>
          <t>Hoja2: fila 560 | Odoo: producto 31016 / plantilla 39670</t>
        </is>
      </c>
      <c r="AL699" s="58" t="n"/>
      <c r="AM699" s="58" t="n"/>
      <c r="AN699" s="155" t="inlineStr">
        <is>
          <t>Odoo Universal Unique Brands</t>
        </is>
      </c>
      <c r="AO699" s="59" t="n"/>
      <c r="AP699" s="59" t="n"/>
      <c r="AQ699" s="59" t="n">
        <v>0</v>
      </c>
      <c r="AR699" s="155" t="n"/>
    </row>
    <row r="700">
      <c r="A700" s="50" t="inlineStr">
        <is>
          <t>717710507162</t>
        </is>
      </c>
      <c r="B700" s="51" t="inlineStr">
        <is>
          <t>31018</t>
        </is>
      </c>
      <c r="C700" s="156" t="inlineStr">
        <is>
          <t>Wrangler</t>
        </is>
      </c>
      <c r="D700" s="156" t="inlineStr">
        <is>
          <t>WG367-8360RD</t>
        </is>
      </c>
      <c r="E700" s="156" t="inlineStr">
        <is>
          <t>WG367-8360RD</t>
        </is>
      </c>
      <c r="F700" s="156" t="inlineStr">
        <is>
          <t>Talla única</t>
        </is>
      </c>
      <c r="G700" s="156" t="inlineStr">
        <is>
          <t>One Size</t>
        </is>
      </c>
      <c r="H700" s="156" t="inlineStr">
        <is>
          <t>Wrangler</t>
        </is>
      </c>
      <c r="I700" s="156" t="inlineStr">
        <is>
          <t>Bolsa Cruzada Wrangler Bolsillo De Mezclilla Con Flecos De Piel Rojo</t>
        </is>
      </c>
      <c r="J700" s="156" t="inlineStr">
        <is>
          <t>Accesorios</t>
        </is>
      </c>
      <c r="K700" s="156" t="inlineStr">
        <is>
          <t>Carteras</t>
        </is>
      </c>
      <c r="L700" s="156" t="inlineStr">
        <is>
          <t>Unisex</t>
        </is>
      </c>
      <c r="M700" s="156" t="inlineStr">
        <is>
          <t>Wrangler</t>
        </is>
      </c>
      <c r="N700" s="156" t="n"/>
      <c r="O700" s="156" t="inlineStr">
        <is>
          <t>Core</t>
        </is>
      </c>
      <c r="P700" s="156" t="inlineStr">
        <is>
          <t>Varios</t>
        </is>
      </c>
      <c r="Q700" s="156" t="n"/>
      <c r="R700" s="156" t="n"/>
      <c r="S700" s="156" t="n"/>
      <c r="T700" s="156" t="inlineStr">
        <is>
          <t>Bolsa Cruzada Wrangler. Modelo: Bolsillo De Mezclilla Con Flecos De Piel. Color: Rojo. Talla única. Unisex. País de origen: México. Referencia: WG367-8360RD.</t>
        </is>
      </c>
      <c r="U700" s="156" t="inlineStr">
        <is>
          <t>México</t>
        </is>
      </c>
      <c r="V700" s="156" t="inlineStr">
        <is>
          <t>PZS</t>
        </is>
      </c>
      <c r="W700" s="51" t="inlineStr">
        <is>
          <t>53121700</t>
        </is>
      </c>
      <c r="X700" s="156" t="inlineStr">
        <is>
          <t>https://m-universal-unique-brands.odoo.com/web/image/product.product/31018/image_1920</t>
        </is>
      </c>
      <c r="Y700" s="54" t="n">
        <v>16.5</v>
      </c>
      <c r="Z700" s="54" t="n">
        <v>639</v>
      </c>
      <c r="AA700" s="55">
        <f>IF(AND(A700="", B700="", E700=""), "", IF(AB700="", "Válido", IF((LEN(AB700)-LEN(SUBSTITUTE(AB700,"; ","")))/2+1&gt;(LEN(AB700)-LEN(SUBSTITUTE(AB700,"[Aviso]","")))/7, "Con Incidencias", "Válido")))</f>
        <v/>
      </c>
      <c r="AB700" s="56">
        <f>IF(AND(A700="", B700="", E700=""), "", TEXTJOIN("; ", TRUE, IF(OR(TRIM(A700&amp;"")="", ISNUMBER(SEARCH("FALTA", A700))), "UPC faltante/inválido", ""), IF(AND(A700&lt;&gt;"", IFERROR(_xlfn.XMATCH(A700,$A$2:$A$1063,0,1)&lt;&gt;_xlfn.XMATCH(A700,$A$2:$A$1063,0,-1),FALSE)), "Código de barras duplicado", ""), IF(AND(E700&lt;&gt;"", COUNTIF($E$2:$E$1063, E700)&gt;1), "SKU duplicado", ""), IF(OR(J700="", J700=""), "[Aviso] División no capturada ()", IF(ISNA(MATCH(J700, Criterios!$A$123:$A$126, 0)), "División no válida", "")), IF(OR(K700="", K700=""), "[Aviso] Categoría no capturada ()", IF(ISNA(MATCH(K700, Criterios!$A$81:$A$120, 0)), "Categoría no válida", IF(AND(J700&lt;&gt;"", J700&lt;&gt;"", J700&lt;&gt;VLOOKUP(K700, Criterios!$A$81:$B$120, 2, FALSE)), "División no coincide con Categoría", ""))), IF(OR(L700="", L700=""), "[Aviso] Género no capturado ()", IF(ISNA(MATCH(L700, Criterios!$B$123:$B$127, 0)), "Género no válido", "")), IF(OR(N700="", N700=""), "[Aviso] Temporada no capturada ()", IF(ISNA(MATCH(N700, Criterios!$C$123:$C$128, 0)), "Temporada no válida", "")), IF(OR(O700="", O700=""), "[Aviso] Ciclo de vida no capturado ()", IF(ISNA(MATCH(O700, Criterios!$D$123:$D$124, 0)), "Ciclo de vida no válido", ""))))</f>
        <v/>
      </c>
      <c r="AC700" s="56" t="n"/>
      <c r="AD700" s="51" t="n"/>
      <c r="AE700" s="156" t="n"/>
      <c r="AF700" s="51" t="n"/>
      <c r="AG700" s="156" t="inlineStr">
        <is>
          <t>Nuevo – Carga Hoja2 01/10/2026</t>
        </is>
      </c>
      <c r="AH700" s="156" t="inlineStr">
        <is>
          <t>Alta 01/10/2026 desde Hoja2 (fila 561) | 01/10/2026: complementado desde Odoo Universal Unique Brands (match por código de barras): Enlace de imagen | 01/10/2026: Odoo Universal Unique Brands trae Color «Rojo» — se conservó el valor de Productos | Homologación G1522 06/10/2026: Validación G1522: [Aviso] Precio de compra posiblemente en USD · Validador Shopify: WB: precio con IVA no termina en 9</t>
        </is>
      </c>
      <c r="AI700" s="156" t="n"/>
      <c r="AJ700" s="156" t="n"/>
      <c r="AK700" s="155" t="inlineStr">
        <is>
          <t>Hoja2: fila 561 | Odoo: producto 31018 / plantilla 39670</t>
        </is>
      </c>
      <c r="AL700" s="58" t="n"/>
      <c r="AM700" s="58" t="n"/>
      <c r="AN700" s="155" t="inlineStr">
        <is>
          <t>Odoo Universal Unique Brands</t>
        </is>
      </c>
      <c r="AO700" s="59" t="n"/>
      <c r="AP700" s="59" t="n"/>
      <c r="AQ700" s="59" t="n">
        <v>4</v>
      </c>
      <c r="AR700" s="155" t="inlineStr">
        <is>
          <t>Odoo Universal Unique Brands › Bodega 25 › Bodega 25/General: 4</t>
        </is>
      </c>
    </row>
    <row r="701">
      <c r="A701" s="50" t="inlineStr">
        <is>
          <t>717690428570</t>
        </is>
      </c>
      <c r="B701" s="51" t="inlineStr">
        <is>
          <t>27588</t>
        </is>
      </c>
      <c r="C701" s="156" t="inlineStr">
        <is>
          <t>Wrangler</t>
        </is>
      </c>
      <c r="D701" s="156" t="inlineStr">
        <is>
          <t>WG60-8317JN</t>
        </is>
      </c>
      <c r="E701" s="156" t="inlineStr">
        <is>
          <t>WG60-8317JN</t>
        </is>
      </c>
      <c r="F701" s="156" t="inlineStr">
        <is>
          <t>Talla única</t>
        </is>
      </c>
      <c r="G701" s="156" t="inlineStr">
        <is>
          <t>One Size</t>
        </is>
      </c>
      <c r="H701" s="156" t="inlineStr">
        <is>
          <t>Wrangler</t>
        </is>
      </c>
      <c r="I701" s="156" t="inlineStr">
        <is>
          <t>Bolsa Wrangler Mezclilla</t>
        </is>
      </c>
      <c r="J701" s="156" t="inlineStr">
        <is>
          <t>Accesorios</t>
        </is>
      </c>
      <c r="K701" s="156" t="inlineStr">
        <is>
          <t>Bolsos</t>
        </is>
      </c>
      <c r="L701" s="156" t="inlineStr">
        <is>
          <t>Unisex</t>
        </is>
      </c>
      <c r="M701" s="156" t="inlineStr">
        <is>
          <t>Wrangler</t>
        </is>
      </c>
      <c r="N701" s="156" t="n"/>
      <c r="O701" s="156" t="inlineStr">
        <is>
          <t>Core</t>
        </is>
      </c>
      <c r="P701" s="156" t="inlineStr">
        <is>
          <t>Varios</t>
        </is>
      </c>
      <c r="Q701" s="156" t="n"/>
      <c r="R701" s="156" t="n"/>
      <c r="S701" s="156" t="n"/>
      <c r="T701" s="156" t="inlineStr">
        <is>
          <t>Bolsa Wrangler. Color: Mezclilla. Talla única. Unisex. Referencia: WG60-8317JN.</t>
        </is>
      </c>
      <c r="U701" s="156" t="n"/>
      <c r="V701" s="156" t="inlineStr">
        <is>
          <t>PZS</t>
        </is>
      </c>
      <c r="W701" s="51" t="inlineStr">
        <is>
          <t>53121601</t>
        </is>
      </c>
      <c r="X701" s="156" t="n"/>
      <c r="Y701" s="54" t="n"/>
      <c r="Z701" s="54" t="n">
        <v>779</v>
      </c>
      <c r="AA701" s="55">
        <f>IF(AND(A701="", B701="", E701=""), "", IF(AB701="", "Válido", IF((LEN(AB701)-LEN(SUBSTITUTE(AB701,"; ","")))/2+1&gt;(LEN(AB701)-LEN(SUBSTITUTE(AB701,"[Aviso]","")))/7, "Con Incidencias", "Válido")))</f>
        <v/>
      </c>
      <c r="AB701" s="56">
        <f>IF(AND(A701="", B701="", E701=""), "", TEXTJOIN("; ", TRUE, IF(OR(TRIM(A701&amp;"")="", ISNUMBER(SEARCH("FALTA", A701))), "UPC faltante/inválido", ""), IF(AND(A701&lt;&gt;"", IFERROR(_xlfn.XMATCH(A701,$A$2:$A$1063,0,1)&lt;&gt;_xlfn.XMATCH(A701,$A$2:$A$1063,0,-1),FALSE)), "Código de barras duplicado", ""), IF(AND(E701&lt;&gt;"", COUNTIF($E$2:$E$1063, E701)&gt;1), "SKU duplicado", ""), IF(OR(J701="", J701=""), "[Aviso] División no capturada ()", IF(ISNA(MATCH(J701, Criterios!$A$123:$A$126, 0)), "División no válida", "")), IF(OR(K701="", K701=""), "[Aviso] Categoría no capturada ()", IF(ISNA(MATCH(K701, Criterios!$A$81:$A$120, 0)), "Categoría no válida", IF(AND(J701&lt;&gt;"", J701&lt;&gt;"", J701&lt;&gt;VLOOKUP(K701, Criterios!$A$81:$B$120, 2, FALSE)), "División no coincide con Categoría", ""))), IF(OR(L701="", L701=""), "[Aviso] Género no capturado ()", IF(ISNA(MATCH(L701, Criterios!$B$123:$B$127, 0)), "Género no válido", "")), IF(OR(N701="", N701=""), "[Aviso] Temporada no capturada ()", IF(ISNA(MATCH(N701, Criterios!$C$123:$C$128, 0)), "Temporada no válida", "")), IF(OR(O701="", O701=""), "[Aviso] Ciclo de vida no capturado ()", IF(ISNA(MATCH(O701, Criterios!$D$123:$D$124, 0)), "Ciclo de vida no válido", ""))))</f>
        <v/>
      </c>
      <c r="AC701" s="56" t="n"/>
      <c r="AD701" s="51" t="n"/>
      <c r="AE701" s="156" t="n"/>
      <c r="AF701" s="51" t="n"/>
      <c r="AG701" s="156" t="inlineStr">
        <is>
          <t>Nuevo – Carga Hoja2 01/10/2026</t>
        </is>
      </c>
      <c r="AH701" s="156" t="inlineStr">
        <is>
          <t>Alta 01/10/2026 desde Hoja2 (fila 562); Precio de compra en 0/vacío en origen | Homologación G1522 06/10/2026: Validador Shopify: WB: precio con IVA no termina en 9</t>
        </is>
      </c>
      <c r="AI701" s="156" t="n"/>
      <c r="AJ701" s="156" t="n"/>
      <c r="AK701" s="155" t="inlineStr">
        <is>
          <t>Hoja2: fila 562 | Odoo: producto 27588 / plantilla 34288</t>
        </is>
      </c>
      <c r="AL701" s="58" t="n"/>
      <c r="AM701" s="58" t="n"/>
      <c r="AN701" s="155" t="inlineStr">
        <is>
          <t>Odoo Universal Unique Brands</t>
        </is>
      </c>
      <c r="AO701" s="59" t="n"/>
      <c r="AP701" s="59" t="n"/>
      <c r="AQ701" s="59" t="n">
        <v>-7</v>
      </c>
      <c r="AR701" s="155" t="n"/>
    </row>
    <row r="702">
      <c r="A702" s="50" t="inlineStr">
        <is>
          <t>717690428082</t>
        </is>
      </c>
      <c r="B702" s="51" t="inlineStr">
        <is>
          <t>27589</t>
        </is>
      </c>
      <c r="C702" s="156" t="inlineStr">
        <is>
          <t>Wrangler</t>
        </is>
      </c>
      <c r="D702" s="156" t="inlineStr">
        <is>
          <t>WG60-9110DBR</t>
        </is>
      </c>
      <c r="E702" s="156" t="inlineStr">
        <is>
          <t>WG60-9110DBR</t>
        </is>
      </c>
      <c r="F702" s="156" t="inlineStr">
        <is>
          <t>Talla única</t>
        </is>
      </c>
      <c r="G702" s="156" t="inlineStr">
        <is>
          <t>One Size</t>
        </is>
      </c>
      <c r="H702" s="156" t="inlineStr">
        <is>
          <t>Wrangler</t>
        </is>
      </c>
      <c r="I702" s="156" t="inlineStr">
        <is>
          <t>Mochila Wrangler Estampado Vaquero Retro Vintage Café Oscuro</t>
        </is>
      </c>
      <c r="J702" s="156" t="inlineStr">
        <is>
          <t>Accesorios</t>
        </is>
      </c>
      <c r="K702" s="156" t="inlineStr">
        <is>
          <t>Mochilas</t>
        </is>
      </c>
      <c r="L702" s="156" t="inlineStr">
        <is>
          <t>Unisex</t>
        </is>
      </c>
      <c r="M702" s="156" t="inlineStr">
        <is>
          <t>Wrangler</t>
        </is>
      </c>
      <c r="N702" s="156" t="n"/>
      <c r="O702" s="156" t="inlineStr">
        <is>
          <t>Core</t>
        </is>
      </c>
      <c r="P702" s="156" t="inlineStr">
        <is>
          <t>Cafe</t>
        </is>
      </c>
      <c r="Q702" s="156" t="n"/>
      <c r="R702" s="156" t="n"/>
      <c r="S702" s="156" t="n"/>
      <c r="T702" s="156" t="inlineStr">
        <is>
          <t>Mochila Wrangler. Modelo: Estampado Vaquero Retro Vintage. Color: Café Oscuro. Talla única. Unisex. Referencia: WG60-9110DBR.</t>
        </is>
      </c>
      <c r="U702" s="156" t="n"/>
      <c r="V702" s="156" t="inlineStr">
        <is>
          <t>PZS</t>
        </is>
      </c>
      <c r="W702" s="51" t="inlineStr">
        <is>
          <t>53121600</t>
        </is>
      </c>
      <c r="X702" s="156" t="inlineStr">
        <is>
          <t>https://cdn.shopify.com/s/files/1/0005/9015/1741/files/WG60-9110DBR0.webp?v=1758248026</t>
        </is>
      </c>
      <c r="Y702" s="54" t="n"/>
      <c r="Z702" s="54" t="n">
        <v>829</v>
      </c>
      <c r="AA702" s="55">
        <f>IF(AND(A702="", B702="", E702=""), "", IF(AB702="", "Válido", IF((LEN(AB702)-LEN(SUBSTITUTE(AB702,"; ","")))/2+1&gt;(LEN(AB702)-LEN(SUBSTITUTE(AB702,"[Aviso]","")))/7, "Con Incidencias", "Válido")))</f>
        <v/>
      </c>
      <c r="AB702" s="56">
        <f>IF(AND(A702="", B702="", E702=""), "", TEXTJOIN("; ", TRUE, IF(OR(TRIM(A702&amp;"")="", ISNUMBER(SEARCH("FALTA", A702))), "UPC faltante/inválido", ""), IF(AND(A702&lt;&gt;"", IFERROR(_xlfn.XMATCH(A702,$A$2:$A$1063,0,1)&lt;&gt;_xlfn.XMATCH(A702,$A$2:$A$1063,0,-1),FALSE)), "Código de barras duplicado", ""), IF(AND(E702&lt;&gt;"", COUNTIF($E$2:$E$1063, E702)&gt;1), "SKU duplicado", ""), IF(OR(J702="", J702=""), "[Aviso] División no capturada ()", IF(ISNA(MATCH(J702, Criterios!$A$123:$A$126, 0)), "División no válida", "")), IF(OR(K702="", K702=""), "[Aviso] Categoría no capturada ()", IF(ISNA(MATCH(K702, Criterios!$A$81:$A$120, 0)), "Categoría no válida", IF(AND(J702&lt;&gt;"", J702&lt;&gt;"", J702&lt;&gt;VLOOKUP(K702, Criterios!$A$81:$B$120, 2, FALSE)), "División no coincide con Categoría", ""))), IF(OR(L702="", L702=""), "[Aviso] Género no capturado ()", IF(ISNA(MATCH(L702, Criterios!$B$123:$B$127, 0)), "Género no válido", "")), IF(OR(N702="", N702=""), "[Aviso] Temporada no capturada ()", IF(ISNA(MATCH(N702, Criterios!$C$123:$C$128, 0)), "Temporada no válida", "")), IF(OR(O702="", O702=""), "[Aviso] Ciclo de vida no capturado ()", IF(ISNA(MATCH(O702, Criterios!$D$123:$D$124, 0)), "Ciclo de vida no válido", ""))))</f>
        <v/>
      </c>
      <c r="AC702" s="56" t="n"/>
      <c r="AD702" s="51" t="n"/>
      <c r="AE702" s="156" t="n"/>
      <c r="AF702" s="51" t="n"/>
      <c r="AG702" s="156" t="inlineStr">
        <is>
          <t>Nuevo – Carga Hoja2 01/10/2026</t>
        </is>
      </c>
      <c r="AH702" s="156" t="inlineStr">
        <is>
          <t>Alta 01/10/2026 desde Hoja2 (fila 563); Precio de compra en 0/vacío en origen | Homologación G1522 06/10/2026: Enlace de imagen: «» → «https://cdn.shopify.com/s/files/1/0005/9015/1741/files/WG60-9110DBR0.webp?v=1758248026» (Completado por investigación en línea) · Validador Shopify: WB: precio con IVA no termina en 9</t>
        </is>
      </c>
      <c r="AI702" s="156" t="n"/>
      <c r="AJ702" s="156" t="n"/>
      <c r="AK702" s="155" t="inlineStr">
        <is>
          <t>Hoja2: fila 563 | Odoo: producto 27589 / plantilla 34289 | Investigación en línea 06/10/2026: https://montanawestworld.com/products/wrangler-cowboy-print-diaper-bag</t>
        </is>
      </c>
      <c r="AL702" s="58" t="n"/>
      <c r="AM702" s="58" t="n"/>
      <c r="AN702" s="155" t="inlineStr">
        <is>
          <t>Odoo Universal Unique Brands</t>
        </is>
      </c>
      <c r="AO702" s="59" t="n"/>
      <c r="AP702" s="59" t="n"/>
      <c r="AQ702" s="59" t="n">
        <v>7</v>
      </c>
      <c r="AR702" s="155" t="inlineStr">
        <is>
          <t>Odoo Universal Unique Brands › Bodega 25 › Bodega 25/General: 7</t>
        </is>
      </c>
    </row>
    <row r="703">
      <c r="A703" s="50" t="n"/>
      <c r="B703" s="51" t="inlineStr">
        <is>
          <t>27585</t>
        </is>
      </c>
      <c r="C703" s="156" t="inlineStr">
        <is>
          <t>Wrangler</t>
        </is>
      </c>
      <c r="D703" s="156" t="n"/>
      <c r="E703" s="156" t="inlineStr">
        <is>
          <t>WG60G-8317JN</t>
        </is>
      </c>
      <c r="F703" s="156" t="inlineStr">
        <is>
          <t>Talla única</t>
        </is>
      </c>
      <c r="G703" s="156" t="inlineStr">
        <is>
          <t>One Size</t>
        </is>
      </c>
      <c r="H703" s="156" t="inlineStr">
        <is>
          <t>Wrangler</t>
        </is>
      </c>
      <c r="I703" s="156" t="inlineStr">
        <is>
          <t>WG60G-8317JN</t>
        </is>
      </c>
      <c r="J703" s="156" t="inlineStr">
        <is>
          <t>Accesorios</t>
        </is>
      </c>
      <c r="K703" s="156" t="inlineStr">
        <is>
          <t>Bolsos</t>
        </is>
      </c>
      <c r="L703" s="156" t="inlineStr">
        <is>
          <t>Unisex</t>
        </is>
      </c>
      <c r="M703" s="156" t="n"/>
      <c r="N703" s="156" t="n"/>
      <c r="O703" s="156" t="n"/>
      <c r="P703" s="156" t="n"/>
      <c r="Q703" s="156" t="n"/>
      <c r="R703" s="156" t="n"/>
      <c r="S703" s="156" t="n"/>
      <c r="T703" s="156" t="n"/>
      <c r="U703" s="156" t="n"/>
      <c r="V703" s="156" t="inlineStr">
        <is>
          <t>PZS</t>
        </is>
      </c>
      <c r="W703" s="51" t="inlineStr">
        <is>
          <t>53121600</t>
        </is>
      </c>
      <c r="X703" s="156" t="inlineStr">
        <is>
          <t>https://cdn.shopify.com/s/files/1/0005/9015/1741/files/WG60G-8317JN.webp?v=1787761888</t>
        </is>
      </c>
      <c r="Y703" s="54" t="n">
        <v>28</v>
      </c>
      <c r="Z703" s="54" t="n">
        <v>899</v>
      </c>
      <c r="AA703" s="55">
        <f>IF(AND(A703="", B703="", E703=""), "", IF(AB703="", "Válido", IF((LEN(AB703)-LEN(SUBSTITUTE(AB703,"; ","")))/2+1&gt;(LEN(AB703)-LEN(SUBSTITUTE(AB703,"[Aviso]","")))/7, "Con Incidencias", "Válido")))</f>
        <v/>
      </c>
      <c r="AB703" s="56">
        <f>IF(AND(A703="", B703="", E703=""), "", TEXTJOIN("; ", TRUE, IF(OR(TRIM(A703&amp;"")="", ISNUMBER(SEARCH("FALTA", A703))), "UPC faltante/inválido", ""), IF(AND(A703&lt;&gt;"", IFERROR(_xlfn.XMATCH(A703,$A$2:$A$1063,0,1)&lt;&gt;_xlfn.XMATCH(A703,$A$2:$A$1063,0,-1),FALSE)), "Código de barras duplicado", ""), IF(AND(E703&lt;&gt;"", COUNTIF($E$2:$E$1063, E703)&gt;1), "SKU duplicado", ""), IF(OR(J703="", J703=""), "[Aviso] División no capturada ()", IF(ISNA(MATCH(J703, Criterios!$A$123:$A$126, 0)), "División no válida", "")), IF(OR(K703="", K703=""), "[Aviso] Categoría no capturada ()", IF(ISNA(MATCH(K703, Criterios!$A$81:$A$120, 0)), "Categoría no válida", IF(AND(J703&lt;&gt;"", J703&lt;&gt;"", J703&lt;&gt;VLOOKUP(K703, Criterios!$A$81:$B$120, 2, FALSE)), "División no coincide con Categoría", ""))), IF(OR(L703="", L703=""), "[Aviso] Género no capturado ()", IF(ISNA(MATCH(L703, Criterios!$B$123:$B$127, 0)), "Género no válido", "")), IF(OR(N703="", N703=""), "[Aviso] Temporada no capturada ()", IF(ISNA(MATCH(N703, Criterios!$C$123:$C$128, 0)), "Temporada no válida", "")), IF(OR(O703="", O703=""), "[Aviso] Ciclo de vida no capturado ()", IF(ISNA(MATCH(O703, Criterios!$D$123:$D$124, 0)), "Ciclo de vida no válido", ""))))</f>
        <v/>
      </c>
      <c r="AC703" s="56" t="n"/>
      <c r="AD703" s="51" t="n"/>
      <c r="AE703" s="156" t="n"/>
      <c r="AF703" s="51" t="n"/>
      <c r="AG703" s="156" t="inlineStr">
        <is>
          <t>Nuevo – Carga Hoja2 01/10/2026</t>
        </is>
      </c>
      <c r="AH703" s="156" t="inlineStr">
        <is>
          <t>Alta 01/10/2026 desde Hoja2 (fila 564) | 01/10/2026: complementado desde Odoo Universal Unique Brands (match por SKU): WB Talla, WB Talla de EE. UU., WB Género | Homologación G1522 06/10/2026: Enlace de imagen: «» → «https://cdn.shopify.com/s/files/1/0005/9015/1741/files/WG60G-8317JN.webp?v=1787761888»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703" s="156" t="n"/>
      <c r="AJ703" s="156" t="n"/>
      <c r="AK703" s="155" t="inlineStr">
        <is>
          <t>Hoja2: fila 564 | Odoo: producto 27585 / plantilla 34285 | Investigación en línea 06/10/2026: https://montanawestworld.com/products/wrangler-cowboy-print-concealed-carry-tote-bag</t>
        </is>
      </c>
      <c r="AL703" s="58" t="n"/>
      <c r="AM703" s="58" t="n"/>
      <c r="AN703" s="155" t="inlineStr">
        <is>
          <t>Odoo Universal Unique Brands</t>
        </is>
      </c>
      <c r="AO703" s="59" t="n"/>
      <c r="AP703" s="59" t="n"/>
      <c r="AQ703" s="59" t="n">
        <v>18</v>
      </c>
      <c r="AR703" s="155" t="inlineStr">
        <is>
          <t>Odoo Universal Unique Brands › Bodega 25 › Bodega 25/General: 18</t>
        </is>
      </c>
    </row>
    <row r="704">
      <c r="A704" s="50" t="inlineStr">
        <is>
          <t>717205901369</t>
        </is>
      </c>
      <c r="B704" s="51" t="inlineStr">
        <is>
          <t>13295</t>
        </is>
      </c>
      <c r="C704" s="156" t="inlineStr">
        <is>
          <t>Wrangler</t>
        </is>
      </c>
      <c r="D704" s="156" t="n"/>
      <c r="E704" s="156" t="inlineStr">
        <is>
          <t>WG87-324CF</t>
        </is>
      </c>
      <c r="F704" s="156" t="inlineStr">
        <is>
          <t>Talla única</t>
        </is>
      </c>
      <c r="G704" s="156" t="inlineStr">
        <is>
          <t>One Size</t>
        </is>
      </c>
      <c r="H704" s="156" t="inlineStr">
        <is>
          <t>Wrangler</t>
        </is>
      </c>
      <c r="I704" s="156" t="inlineStr">
        <is>
          <t>WG BAG CF</t>
        </is>
      </c>
      <c r="J704" s="156" t="inlineStr">
        <is>
          <t>Accesorios</t>
        </is>
      </c>
      <c r="K704" s="156" t="inlineStr">
        <is>
          <t>Bolsos</t>
        </is>
      </c>
      <c r="L704" s="156" t="inlineStr">
        <is>
          <t>Unisex</t>
        </is>
      </c>
      <c r="M704" s="156" t="n"/>
      <c r="N704" s="156" t="n"/>
      <c r="O704" s="156" t="n"/>
      <c r="P704" s="156" t="n"/>
      <c r="Q704" s="156" t="n"/>
      <c r="R704" s="156" t="n"/>
      <c r="S704" s="156" t="n"/>
      <c r="T704" s="156" t="n"/>
      <c r="U704" s="156" t="n"/>
      <c r="V704" s="156" t="inlineStr">
        <is>
          <t>PZS</t>
        </is>
      </c>
      <c r="W704" s="51" t="inlineStr">
        <is>
          <t>53121601</t>
        </is>
      </c>
      <c r="X704" s="156" t="n"/>
      <c r="Y704" s="54" t="n">
        <v>232.88</v>
      </c>
      <c r="Z704" s="54" t="n">
        <v>379</v>
      </c>
      <c r="AA704" s="55">
        <f>IF(AND(A704="", B704="", E704=""), "", IF(AB704="", "Válido", IF((LEN(AB704)-LEN(SUBSTITUTE(AB704,"; ","")))/2+1&gt;(LEN(AB704)-LEN(SUBSTITUTE(AB704,"[Aviso]","")))/7, "Con Incidencias", "Válido")))</f>
        <v/>
      </c>
      <c r="AB704" s="56">
        <f>IF(AND(A704="", B704="", E704=""), "", TEXTJOIN("; ", TRUE, IF(OR(TRIM(A704&amp;"")="", ISNUMBER(SEARCH("FALTA", A704))), "UPC faltante/inválido", ""), IF(AND(A704&lt;&gt;"", IFERROR(_xlfn.XMATCH(A704,$A$2:$A$1063,0,1)&lt;&gt;_xlfn.XMATCH(A704,$A$2:$A$1063,0,-1),FALSE)), "Código de barras duplicado", ""), IF(AND(E704&lt;&gt;"", COUNTIF($E$2:$E$1063, E704)&gt;1), "SKU duplicado", ""), IF(OR(J704="", J704=""), "[Aviso] División no capturada ()", IF(ISNA(MATCH(J704, Criterios!$A$123:$A$126, 0)), "División no válida", "")), IF(OR(K704="", K704=""), "[Aviso] Categoría no capturada ()", IF(ISNA(MATCH(K704, Criterios!$A$81:$A$120, 0)), "Categoría no válida", IF(AND(J704&lt;&gt;"", J704&lt;&gt;"", J704&lt;&gt;VLOOKUP(K704, Criterios!$A$81:$B$120, 2, FALSE)), "División no coincide con Categoría", ""))), IF(OR(L704="", L704=""), "[Aviso] Género no capturado ()", IF(ISNA(MATCH(L704, Criterios!$B$123:$B$127, 0)), "Género no válido", "")), IF(OR(N704="", N704=""), "[Aviso] Temporada no capturada ()", IF(ISNA(MATCH(N704, Criterios!$C$123:$C$128, 0)), "Temporada no válida", "")), IF(OR(O704="", O704=""), "[Aviso] Ciclo de vida no capturado ()", IF(ISNA(MATCH(O704, Criterios!$D$123:$D$124, 0)), "Ciclo de vida no válido", ""))))</f>
        <v/>
      </c>
      <c r="AC704" s="56" t="n"/>
      <c r="AD704" s="51" t="n"/>
      <c r="AE704" s="156" t="n"/>
      <c r="AF704" s="51" t="n"/>
      <c r="AG704" s="156" t="inlineStr">
        <is>
          <t>Nuevo – Carga Hoja2 01/10/2026</t>
        </is>
      </c>
      <c r="AH704" s="156" t="inlineStr">
        <is>
          <t>Alta 01/10/2026 desde Hoja2 (fila 565) | 01/10/2026: complementado desde Odoo Universal Unique Brands (match por código de barras): WB Talla, WB Talla de EE. UU., WB Género | Homologación G1522 06/10/2026: Validación G1522: Falta estilo · Validador NetSuite / Odoo: V6: falta estilo · Validador Shopify: V6: falta estilo</t>
        </is>
      </c>
      <c r="AI704" s="156" t="n"/>
      <c r="AJ704" s="156" t="n"/>
      <c r="AK704" s="155" t="inlineStr">
        <is>
          <t>Hoja2: fila 565 | Odoo: producto 13295 / plantilla 16872</t>
        </is>
      </c>
      <c r="AL704" s="58" t="n"/>
      <c r="AM704" s="58" t="n"/>
      <c r="AN704" s="155" t="inlineStr">
        <is>
          <t>Odoo Universal Unique Brands</t>
        </is>
      </c>
      <c r="AO704" s="59" t="n"/>
      <c r="AP704" s="59" t="n"/>
      <c r="AQ704" s="59" t="n">
        <v>19</v>
      </c>
      <c r="AR704" s="155" t="inlineStr">
        <is>
          <t>Odoo Universal Unique Brands › Bodega 25 › Bodega 25/General: 19</t>
        </is>
      </c>
    </row>
    <row r="705">
      <c r="A705" s="50" t="inlineStr">
        <is>
          <t>7506674602593</t>
        </is>
      </c>
      <c r="B705" s="51" t="inlineStr">
        <is>
          <t>31039</t>
        </is>
      </c>
      <c r="C705" s="156" t="inlineStr">
        <is>
          <t>Wrangler</t>
        </is>
      </c>
      <c r="D705" s="156" t="inlineStr">
        <is>
          <t>C47556-27</t>
        </is>
      </c>
      <c r="E705" s="156" t="inlineStr">
        <is>
          <t>C47556-27-32</t>
        </is>
      </c>
      <c r="F705" s="156" t="inlineStr">
        <is>
          <t>32</t>
        </is>
      </c>
      <c r="G705" s="156" t="inlineStr">
        <is>
          <t>32</t>
        </is>
      </c>
      <c r="H705" s="156" t="inlineStr">
        <is>
          <t>Wrangler</t>
        </is>
      </c>
      <c r="I705" s="156" t="inlineStr">
        <is>
          <t>Cinturón de hombre C47556-27 Café</t>
        </is>
      </c>
      <c r="J705" s="156" t="inlineStr">
        <is>
          <t>Accesorios</t>
        </is>
      </c>
      <c r="K705" s="156" t="inlineStr">
        <is>
          <t>Cinturones</t>
        </is>
      </c>
      <c r="L705" s="156" t="inlineStr">
        <is>
          <t>Hombre</t>
        </is>
      </c>
      <c r="M705" s="156" t="inlineStr">
        <is>
          <t>Wrangler</t>
        </is>
      </c>
      <c r="N705" s="156" t="inlineStr">
        <is>
          <t>FW26</t>
        </is>
      </c>
      <c r="O705" s="156" t="n"/>
      <c r="P705" s="156" t="inlineStr">
        <is>
          <t>Cafe</t>
        </is>
      </c>
      <c r="Q705" s="156" t="n"/>
      <c r="R705" s="156" t="n"/>
      <c r="S705" s="156" t="inlineStr">
        <is>
          <t>100% PIEL VACUNO</t>
        </is>
      </c>
      <c r="T705" s="156" t="inlineStr">
        <is>
          <t>Cinturón para Caballero de Piel</t>
        </is>
      </c>
      <c r="U705" s="156" t="inlineStr">
        <is>
          <t>México</t>
        </is>
      </c>
      <c r="V705" s="156" t="inlineStr">
        <is>
          <t>PZS</t>
        </is>
      </c>
      <c r="W705" s="51" t="inlineStr">
        <is>
          <t>53102501</t>
        </is>
      </c>
      <c r="X705" s="156" t="n"/>
      <c r="Y705" s="54" t="n"/>
      <c r="Z705" s="54" t="n">
        <v>344.48</v>
      </c>
      <c r="AA705" s="55">
        <f>IF(AND(A705="", B705="", E705=""), "", IF(AB705="", "Válido", IF((LEN(AB705)-LEN(SUBSTITUTE(AB705,"; ","")))/2+1&gt;(LEN(AB705)-LEN(SUBSTITUTE(AB705,"[Aviso]","")))/7, "Con Incidencias", "Válido")))</f>
        <v/>
      </c>
      <c r="AB705" s="56">
        <f>IF(AND(A705="", B705="", E705=""), "", TEXTJOIN("; ", TRUE, IF(OR(TRIM(A705&amp;"")="", ISNUMBER(SEARCH("FALTA", A705))), "UPC faltante/inválido", ""), IF(AND(A705&lt;&gt;"", IFERROR(_xlfn.XMATCH(A705,$A$2:$A$1063,0,1)&lt;&gt;_xlfn.XMATCH(A705,$A$2:$A$1063,0,-1),FALSE)), "Código de barras duplicado", ""), IF(AND(E705&lt;&gt;"", COUNTIF($E$2:$E$1063, E705)&gt;1), "SKU duplicado", ""), IF(OR(J705="", J705=""), "[Aviso] División no capturada ()", IF(ISNA(MATCH(J705, Criterios!$A$123:$A$126, 0)), "División no válida", "")), IF(OR(K705="", K705=""), "[Aviso] Categoría no capturada ()", IF(ISNA(MATCH(K705, Criterios!$A$81:$A$120, 0)), "Categoría no válida", IF(AND(J705&lt;&gt;"", J705&lt;&gt;"", J705&lt;&gt;VLOOKUP(K705, Criterios!$A$81:$B$120, 2, FALSE)), "División no coincide con Categoría", ""))), IF(OR(L705="", L705=""), "[Aviso] Género no capturado ()", IF(ISNA(MATCH(L705, Criterios!$B$123:$B$127, 0)), "Género no válido", "")), IF(OR(N705="", N705=""), "[Aviso] Temporada no capturada ()", IF(ISNA(MATCH(N705, Criterios!$C$123:$C$128, 0)), "Temporada no válida", "")), IF(OR(O705="", O705=""), "[Aviso] Ciclo de vida no capturado ()", IF(ISNA(MATCH(O705, Criterios!$D$123:$D$124, 0)), "Ciclo de vida no válido", ""))))</f>
        <v/>
      </c>
      <c r="AC705" s="56" t="n"/>
      <c r="AD705" s="51" t="n"/>
      <c r="AE705" s="156" t="n"/>
      <c r="AF705" s="51" t="n"/>
      <c r="AG705" s="156" t="inlineStr">
        <is>
          <t>Nuevo – Carga Hoja2 01/10/2026</t>
        </is>
      </c>
      <c r="AH705" s="156" t="inlineStr">
        <is>
          <t>Alta 01/10/2026 desde Hoja2 (fila 628);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05" s="156" t="n"/>
      <c r="AJ705" s="156" t="n"/>
      <c r="AK705" s="155" t="inlineStr">
        <is>
          <t>Hoja2: fila 628 | Odoo: producto 31039 / plantilla 39678</t>
        </is>
      </c>
      <c r="AL705" s="58" t="n"/>
      <c r="AM705" s="58" t="n"/>
      <c r="AN705" s="155" t="inlineStr">
        <is>
          <t>Odoo Universal Unique Brands</t>
        </is>
      </c>
      <c r="AO705" s="59" t="n"/>
      <c r="AP705" s="59" t="n"/>
      <c r="AQ705" s="59" t="n">
        <v>0</v>
      </c>
      <c r="AR705" s="155" t="n"/>
    </row>
    <row r="706">
      <c r="A706" s="50" t="inlineStr">
        <is>
          <t>7506674602609</t>
        </is>
      </c>
      <c r="B706" s="51" t="inlineStr">
        <is>
          <t>31040</t>
        </is>
      </c>
      <c r="C706" s="156" t="inlineStr">
        <is>
          <t>Wrangler</t>
        </is>
      </c>
      <c r="D706" s="156" t="inlineStr">
        <is>
          <t>C47556-27</t>
        </is>
      </c>
      <c r="E706" s="156" t="inlineStr">
        <is>
          <t>C47556-27-34</t>
        </is>
      </c>
      <c r="F706" s="156" t="inlineStr">
        <is>
          <t>34</t>
        </is>
      </c>
      <c r="G706" s="156" t="inlineStr">
        <is>
          <t>34</t>
        </is>
      </c>
      <c r="H706" s="156" t="inlineStr">
        <is>
          <t>Wrangler</t>
        </is>
      </c>
      <c r="I706" s="156" t="inlineStr">
        <is>
          <t>Cinturón de hombre C47556-27 Café</t>
        </is>
      </c>
      <c r="J706" s="156" t="inlineStr">
        <is>
          <t>Accesorios</t>
        </is>
      </c>
      <c r="K706" s="156" t="inlineStr">
        <is>
          <t>Cinturones</t>
        </is>
      </c>
      <c r="L706" s="156" t="inlineStr">
        <is>
          <t>Hombre</t>
        </is>
      </c>
      <c r="M706" s="156" t="inlineStr">
        <is>
          <t>Wrangler</t>
        </is>
      </c>
      <c r="N706" s="156" t="inlineStr">
        <is>
          <t>FW26</t>
        </is>
      </c>
      <c r="O706" s="156" t="n"/>
      <c r="P706" s="156" t="inlineStr">
        <is>
          <t>Cafe</t>
        </is>
      </c>
      <c r="Q706" s="156" t="n"/>
      <c r="R706" s="156" t="n"/>
      <c r="S706" s="156" t="inlineStr">
        <is>
          <t>100% PIEL VACUNO</t>
        </is>
      </c>
      <c r="T706" s="156" t="inlineStr">
        <is>
          <t>Cinturón para Caballero de Piel</t>
        </is>
      </c>
      <c r="U706" s="156" t="inlineStr">
        <is>
          <t>México</t>
        </is>
      </c>
      <c r="V706" s="156" t="inlineStr">
        <is>
          <t>PZS</t>
        </is>
      </c>
      <c r="W706" s="51" t="inlineStr">
        <is>
          <t>53102501</t>
        </is>
      </c>
      <c r="X706" s="156" t="n"/>
      <c r="Y706" s="54" t="n"/>
      <c r="Z706" s="54" t="n">
        <v>344.48</v>
      </c>
      <c r="AA706" s="55">
        <f>IF(AND(A706="", B706="", E706=""), "", IF(AB706="", "Válido", IF((LEN(AB706)-LEN(SUBSTITUTE(AB706,"; ","")))/2+1&gt;(LEN(AB706)-LEN(SUBSTITUTE(AB706,"[Aviso]","")))/7, "Con Incidencias", "Válido")))</f>
        <v/>
      </c>
      <c r="AB706" s="56">
        <f>IF(AND(A706="", B706="", E706=""), "", TEXTJOIN("; ", TRUE, IF(OR(TRIM(A706&amp;"")="", ISNUMBER(SEARCH("FALTA", A706))), "UPC faltante/inválido", ""), IF(AND(A706&lt;&gt;"", IFERROR(_xlfn.XMATCH(A706,$A$2:$A$1063,0,1)&lt;&gt;_xlfn.XMATCH(A706,$A$2:$A$1063,0,-1),FALSE)), "Código de barras duplicado", ""), IF(AND(E706&lt;&gt;"", COUNTIF($E$2:$E$1063, E706)&gt;1), "SKU duplicado", ""), IF(OR(J706="", J706=""), "[Aviso] División no capturada ()", IF(ISNA(MATCH(J706, Criterios!$A$123:$A$126, 0)), "División no válida", "")), IF(OR(K706="", K706=""), "[Aviso] Categoría no capturada ()", IF(ISNA(MATCH(K706, Criterios!$A$81:$A$120, 0)), "Categoría no válida", IF(AND(J706&lt;&gt;"", J706&lt;&gt;"", J706&lt;&gt;VLOOKUP(K706, Criterios!$A$81:$B$120, 2, FALSE)), "División no coincide con Categoría", ""))), IF(OR(L706="", L706=""), "[Aviso] Género no capturado ()", IF(ISNA(MATCH(L706, Criterios!$B$123:$B$127, 0)), "Género no válido", "")), IF(OR(N706="", N706=""), "[Aviso] Temporada no capturada ()", IF(ISNA(MATCH(N706, Criterios!$C$123:$C$128, 0)), "Temporada no válida", "")), IF(OR(O706="", O706=""), "[Aviso] Ciclo de vida no capturado ()", IF(ISNA(MATCH(O706, Criterios!$D$123:$D$124, 0)), "Ciclo de vida no válido", ""))))</f>
        <v/>
      </c>
      <c r="AC706" s="56" t="n"/>
      <c r="AD706" s="51" t="n"/>
      <c r="AE706" s="156" t="n"/>
      <c r="AF706" s="51" t="n"/>
      <c r="AG706" s="156" t="inlineStr">
        <is>
          <t>Nuevo – Carga Hoja2 01/10/2026</t>
        </is>
      </c>
      <c r="AH706" s="156" t="inlineStr">
        <is>
          <t>Alta 01/10/2026 desde Hoja2 (fila 629);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06" s="156" t="n"/>
      <c r="AJ706" s="156" t="n"/>
      <c r="AK706" s="155" t="inlineStr">
        <is>
          <t>Hoja2: fila 629 | Odoo: producto 31040 / plantilla 39678</t>
        </is>
      </c>
      <c r="AL706" s="58" t="n"/>
      <c r="AM706" s="58" t="n"/>
      <c r="AN706" s="155" t="inlineStr">
        <is>
          <t>Odoo Universal Unique Brands</t>
        </is>
      </c>
      <c r="AO706" s="59" t="n"/>
      <c r="AP706" s="59" t="n"/>
      <c r="AQ706" s="59" t="n">
        <v>0</v>
      </c>
      <c r="AR706" s="155" t="n"/>
    </row>
    <row r="707">
      <c r="A707" s="50" t="inlineStr">
        <is>
          <t>7506674602616</t>
        </is>
      </c>
      <c r="B707" s="51" t="inlineStr">
        <is>
          <t>31041</t>
        </is>
      </c>
      <c r="C707" s="156" t="inlineStr">
        <is>
          <t>Wrangler</t>
        </is>
      </c>
      <c r="D707" s="156" t="inlineStr">
        <is>
          <t>C47556-27</t>
        </is>
      </c>
      <c r="E707" s="156" t="inlineStr">
        <is>
          <t>C47556-27-36</t>
        </is>
      </c>
      <c r="F707" s="156" t="inlineStr">
        <is>
          <t>36</t>
        </is>
      </c>
      <c r="G707" s="156" t="inlineStr">
        <is>
          <t>36</t>
        </is>
      </c>
      <c r="H707" s="156" t="inlineStr">
        <is>
          <t>Wrangler</t>
        </is>
      </c>
      <c r="I707" s="156" t="inlineStr">
        <is>
          <t>Cinturón de hombre C47556-27 Café</t>
        </is>
      </c>
      <c r="J707" s="156" t="inlineStr">
        <is>
          <t>Accesorios</t>
        </is>
      </c>
      <c r="K707" s="156" t="inlineStr">
        <is>
          <t>Cinturones</t>
        </is>
      </c>
      <c r="L707" s="156" t="inlineStr">
        <is>
          <t>Hombre</t>
        </is>
      </c>
      <c r="M707" s="156" t="inlineStr">
        <is>
          <t>Wrangler</t>
        </is>
      </c>
      <c r="N707" s="156" t="inlineStr">
        <is>
          <t>FW26</t>
        </is>
      </c>
      <c r="O707" s="156" t="n"/>
      <c r="P707" s="156" t="inlineStr">
        <is>
          <t>Cafe</t>
        </is>
      </c>
      <c r="Q707" s="156" t="n"/>
      <c r="R707" s="156" t="n"/>
      <c r="S707" s="156" t="inlineStr">
        <is>
          <t>100% PIEL VACUNO</t>
        </is>
      </c>
      <c r="T707" s="156" t="inlineStr">
        <is>
          <t>Cinturón para Caballero de Piel</t>
        </is>
      </c>
      <c r="U707" s="156" t="inlineStr">
        <is>
          <t>México</t>
        </is>
      </c>
      <c r="V707" s="156" t="inlineStr">
        <is>
          <t>PZS</t>
        </is>
      </c>
      <c r="W707" s="51" t="inlineStr">
        <is>
          <t>53102501</t>
        </is>
      </c>
      <c r="X707" s="156" t="n"/>
      <c r="Y707" s="54" t="n"/>
      <c r="Z707" s="54" t="n">
        <v>344.48</v>
      </c>
      <c r="AA707" s="55">
        <f>IF(AND(A707="", B707="", E707=""), "", IF(AB707="", "Válido", IF((LEN(AB707)-LEN(SUBSTITUTE(AB707,"; ","")))/2+1&gt;(LEN(AB707)-LEN(SUBSTITUTE(AB707,"[Aviso]","")))/7, "Con Incidencias", "Válido")))</f>
        <v/>
      </c>
      <c r="AB707" s="56">
        <f>IF(AND(A707="", B707="", E707=""), "", TEXTJOIN("; ", TRUE, IF(OR(TRIM(A707&amp;"")="", ISNUMBER(SEARCH("FALTA", A707))), "UPC faltante/inválido", ""), IF(AND(A707&lt;&gt;"", IFERROR(_xlfn.XMATCH(A707,$A$2:$A$1063,0,1)&lt;&gt;_xlfn.XMATCH(A707,$A$2:$A$1063,0,-1),FALSE)), "Código de barras duplicado", ""), IF(AND(E707&lt;&gt;"", COUNTIF($E$2:$E$1063, E707)&gt;1), "SKU duplicado", ""), IF(OR(J707="", J707=""), "[Aviso] División no capturada ()", IF(ISNA(MATCH(J707, Criterios!$A$123:$A$126, 0)), "División no válida", "")), IF(OR(K707="", K707=""), "[Aviso] Categoría no capturada ()", IF(ISNA(MATCH(K707, Criterios!$A$81:$A$120, 0)), "Categoría no válida", IF(AND(J707&lt;&gt;"", J707&lt;&gt;"", J707&lt;&gt;VLOOKUP(K707, Criterios!$A$81:$B$120, 2, FALSE)), "División no coincide con Categoría", ""))), IF(OR(L707="", L707=""), "[Aviso] Género no capturado ()", IF(ISNA(MATCH(L707, Criterios!$B$123:$B$127, 0)), "Género no válido", "")), IF(OR(N707="", N707=""), "[Aviso] Temporada no capturada ()", IF(ISNA(MATCH(N707, Criterios!$C$123:$C$128, 0)), "Temporada no válida", "")), IF(OR(O707="", O707=""), "[Aviso] Ciclo de vida no capturado ()", IF(ISNA(MATCH(O707, Criterios!$D$123:$D$124, 0)), "Ciclo de vida no válido", ""))))</f>
        <v/>
      </c>
      <c r="AC707" s="56" t="n"/>
      <c r="AD707" s="51" t="n"/>
      <c r="AE707" s="156" t="n"/>
      <c r="AF707" s="51" t="n"/>
      <c r="AG707" s="156" t="inlineStr">
        <is>
          <t>Nuevo – Carga Hoja2 01/10/2026</t>
        </is>
      </c>
      <c r="AH707" s="156" t="inlineStr">
        <is>
          <t>Alta 01/10/2026 desde Hoja2 (fila 630);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07" s="156" t="n"/>
      <c r="AJ707" s="156" t="n"/>
      <c r="AK707" s="155" t="inlineStr">
        <is>
          <t>Hoja2: fila 630 | Odoo: producto 31041 / plantilla 39678</t>
        </is>
      </c>
      <c r="AL707" s="58" t="n"/>
      <c r="AM707" s="58" t="n"/>
      <c r="AN707" s="155" t="inlineStr">
        <is>
          <t>Odoo Universal Unique Brands</t>
        </is>
      </c>
      <c r="AO707" s="59" t="n"/>
      <c r="AP707" s="59" t="n"/>
      <c r="AQ707" s="59" t="n">
        <v>0</v>
      </c>
      <c r="AR707" s="155" t="n"/>
    </row>
    <row r="708">
      <c r="A708" s="50" t="inlineStr">
        <is>
          <t>7506674602623</t>
        </is>
      </c>
      <c r="B708" s="51" t="inlineStr">
        <is>
          <t>31042</t>
        </is>
      </c>
      <c r="C708" s="156" t="inlineStr">
        <is>
          <t>Wrangler</t>
        </is>
      </c>
      <c r="D708" s="156" t="inlineStr">
        <is>
          <t>C47556-27</t>
        </is>
      </c>
      <c r="E708" s="156" t="inlineStr">
        <is>
          <t>C47556-27-38</t>
        </is>
      </c>
      <c r="F708" s="156" t="inlineStr">
        <is>
          <t>38</t>
        </is>
      </c>
      <c r="G708" s="156" t="inlineStr">
        <is>
          <t>38</t>
        </is>
      </c>
      <c r="H708" s="156" t="inlineStr">
        <is>
          <t>Wrangler</t>
        </is>
      </c>
      <c r="I708" s="156" t="inlineStr">
        <is>
          <t>Cinturón de hombre C47556-27 Café</t>
        </is>
      </c>
      <c r="J708" s="156" t="inlineStr">
        <is>
          <t>Accesorios</t>
        </is>
      </c>
      <c r="K708" s="156" t="inlineStr">
        <is>
          <t>Cinturones</t>
        </is>
      </c>
      <c r="L708" s="156" t="inlineStr">
        <is>
          <t>Hombre</t>
        </is>
      </c>
      <c r="M708" s="156" t="inlineStr">
        <is>
          <t>Wrangler</t>
        </is>
      </c>
      <c r="N708" s="156" t="inlineStr">
        <is>
          <t>FW26</t>
        </is>
      </c>
      <c r="O708" s="156" t="n"/>
      <c r="P708" s="156" t="inlineStr">
        <is>
          <t>Cafe</t>
        </is>
      </c>
      <c r="Q708" s="156" t="n"/>
      <c r="R708" s="156" t="n"/>
      <c r="S708" s="156" t="inlineStr">
        <is>
          <t>100% PIEL VACUNO</t>
        </is>
      </c>
      <c r="T708" s="156" t="inlineStr">
        <is>
          <t>Cinturón para Caballero de Piel</t>
        </is>
      </c>
      <c r="U708" s="156" t="inlineStr">
        <is>
          <t>México</t>
        </is>
      </c>
      <c r="V708" s="156" t="inlineStr">
        <is>
          <t>PZS</t>
        </is>
      </c>
      <c r="W708" s="51" t="inlineStr">
        <is>
          <t>53102501</t>
        </is>
      </c>
      <c r="X708" s="156" t="n"/>
      <c r="Y708" s="54" t="n"/>
      <c r="Z708" s="54" t="n">
        <v>344.48</v>
      </c>
      <c r="AA708" s="55">
        <f>IF(AND(A708="", B708="", E708=""), "", IF(AB708="", "Válido", IF((LEN(AB708)-LEN(SUBSTITUTE(AB708,"; ","")))/2+1&gt;(LEN(AB708)-LEN(SUBSTITUTE(AB708,"[Aviso]","")))/7, "Con Incidencias", "Válido")))</f>
        <v/>
      </c>
      <c r="AB708" s="56">
        <f>IF(AND(A708="", B708="", E708=""), "", TEXTJOIN("; ", TRUE, IF(OR(TRIM(A708&amp;"")="", ISNUMBER(SEARCH("FALTA", A708))), "UPC faltante/inválido", ""), IF(AND(A708&lt;&gt;"", IFERROR(_xlfn.XMATCH(A708,$A$2:$A$1063,0,1)&lt;&gt;_xlfn.XMATCH(A708,$A$2:$A$1063,0,-1),FALSE)), "Código de barras duplicado", ""), IF(AND(E708&lt;&gt;"", COUNTIF($E$2:$E$1063, E708)&gt;1), "SKU duplicado", ""), IF(OR(J708="", J708=""), "[Aviso] División no capturada ()", IF(ISNA(MATCH(J708, Criterios!$A$123:$A$126, 0)), "División no válida", "")), IF(OR(K708="", K708=""), "[Aviso] Categoría no capturada ()", IF(ISNA(MATCH(K708, Criterios!$A$81:$A$120, 0)), "Categoría no válida", IF(AND(J708&lt;&gt;"", J708&lt;&gt;"", J708&lt;&gt;VLOOKUP(K708, Criterios!$A$81:$B$120, 2, FALSE)), "División no coincide con Categoría", ""))), IF(OR(L708="", L708=""), "[Aviso] Género no capturado ()", IF(ISNA(MATCH(L708, Criterios!$B$123:$B$127, 0)), "Género no válido", "")), IF(OR(N708="", N708=""), "[Aviso] Temporada no capturada ()", IF(ISNA(MATCH(N708, Criterios!$C$123:$C$128, 0)), "Temporada no válida", "")), IF(OR(O708="", O708=""), "[Aviso] Ciclo de vida no capturado ()", IF(ISNA(MATCH(O708, Criterios!$D$123:$D$124, 0)), "Ciclo de vida no válido", ""))))</f>
        <v/>
      </c>
      <c r="AC708" s="56" t="n"/>
      <c r="AD708" s="51" t="n"/>
      <c r="AE708" s="156" t="n"/>
      <c r="AF708" s="51" t="n"/>
      <c r="AG708" s="156" t="inlineStr">
        <is>
          <t>Nuevo – Carga Hoja2 01/10/2026</t>
        </is>
      </c>
      <c r="AH708" s="156" t="inlineStr">
        <is>
          <t>Alta 01/10/2026 desde Hoja2 (fila 631);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08" s="156" t="n"/>
      <c r="AJ708" s="156" t="n"/>
      <c r="AK708" s="155" t="inlineStr">
        <is>
          <t>Hoja2: fila 631 | Odoo: producto 31042 / plantilla 39678</t>
        </is>
      </c>
      <c r="AL708" s="58" t="n"/>
      <c r="AM708" s="58" t="n"/>
      <c r="AN708" s="155" t="inlineStr">
        <is>
          <t>Odoo Universal Unique Brands</t>
        </is>
      </c>
      <c r="AO708" s="59" t="n"/>
      <c r="AP708" s="59" t="n"/>
      <c r="AQ708" s="59" t="n">
        <v>0</v>
      </c>
      <c r="AR708" s="155" t="n"/>
    </row>
    <row r="709">
      <c r="A709" s="50" t="inlineStr">
        <is>
          <t>7506674602630</t>
        </is>
      </c>
      <c r="B709" s="51" t="inlineStr">
        <is>
          <t>31043</t>
        </is>
      </c>
      <c r="C709" s="156" t="inlineStr">
        <is>
          <t>Wrangler</t>
        </is>
      </c>
      <c r="D709" s="156" t="inlineStr">
        <is>
          <t>C47556-27</t>
        </is>
      </c>
      <c r="E709" s="156" t="inlineStr">
        <is>
          <t>C47556-27-40</t>
        </is>
      </c>
      <c r="F709" s="156" t="inlineStr">
        <is>
          <t>40</t>
        </is>
      </c>
      <c r="G709" s="156" t="inlineStr">
        <is>
          <t>40</t>
        </is>
      </c>
      <c r="H709" s="156" t="inlineStr">
        <is>
          <t>Wrangler</t>
        </is>
      </c>
      <c r="I709" s="156" t="inlineStr">
        <is>
          <t>Cinturón de hombre C47556-27 Café</t>
        </is>
      </c>
      <c r="J709" s="156" t="inlineStr">
        <is>
          <t>Accesorios</t>
        </is>
      </c>
      <c r="K709" s="156" t="inlineStr">
        <is>
          <t>Cinturones</t>
        </is>
      </c>
      <c r="L709" s="156" t="inlineStr">
        <is>
          <t>Hombre</t>
        </is>
      </c>
      <c r="M709" s="156" t="inlineStr">
        <is>
          <t>Wrangler</t>
        </is>
      </c>
      <c r="N709" s="156" t="inlineStr">
        <is>
          <t>FW26</t>
        </is>
      </c>
      <c r="O709" s="156" t="n"/>
      <c r="P709" s="156" t="inlineStr">
        <is>
          <t>Cafe</t>
        </is>
      </c>
      <c r="Q709" s="156" t="n"/>
      <c r="R709" s="156" t="n"/>
      <c r="S709" s="156" t="inlineStr">
        <is>
          <t>100% PIEL VACUNO</t>
        </is>
      </c>
      <c r="T709" s="156" t="inlineStr">
        <is>
          <t>Cinturón para Caballero de Piel</t>
        </is>
      </c>
      <c r="U709" s="156" t="inlineStr">
        <is>
          <t>México</t>
        </is>
      </c>
      <c r="V709" s="156" t="inlineStr">
        <is>
          <t>PZS</t>
        </is>
      </c>
      <c r="W709" s="51" t="inlineStr">
        <is>
          <t>53102501</t>
        </is>
      </c>
      <c r="X709" s="156" t="n"/>
      <c r="Y709" s="54" t="n"/>
      <c r="Z709" s="54" t="n">
        <v>344.48</v>
      </c>
      <c r="AA709" s="55">
        <f>IF(AND(A709="", B709="", E709=""), "", IF(AB709="", "Válido", IF((LEN(AB709)-LEN(SUBSTITUTE(AB709,"; ","")))/2+1&gt;(LEN(AB709)-LEN(SUBSTITUTE(AB709,"[Aviso]","")))/7, "Con Incidencias", "Válido")))</f>
        <v/>
      </c>
      <c r="AB709" s="56">
        <f>IF(AND(A709="", B709="", E709=""), "", TEXTJOIN("; ", TRUE, IF(OR(TRIM(A709&amp;"")="", ISNUMBER(SEARCH("FALTA", A709))), "UPC faltante/inválido", ""), IF(AND(A709&lt;&gt;"", IFERROR(_xlfn.XMATCH(A709,$A$2:$A$1063,0,1)&lt;&gt;_xlfn.XMATCH(A709,$A$2:$A$1063,0,-1),FALSE)), "Código de barras duplicado", ""), IF(AND(E709&lt;&gt;"", COUNTIF($E$2:$E$1063, E709)&gt;1), "SKU duplicado", ""), IF(OR(J709="", J709=""), "[Aviso] División no capturada ()", IF(ISNA(MATCH(J709, Criterios!$A$123:$A$126, 0)), "División no válida", "")), IF(OR(K709="", K709=""), "[Aviso] Categoría no capturada ()", IF(ISNA(MATCH(K709, Criterios!$A$81:$A$120, 0)), "Categoría no válida", IF(AND(J709&lt;&gt;"", J709&lt;&gt;"", J709&lt;&gt;VLOOKUP(K709, Criterios!$A$81:$B$120, 2, FALSE)), "División no coincide con Categoría", ""))), IF(OR(L709="", L709=""), "[Aviso] Género no capturado ()", IF(ISNA(MATCH(L709, Criterios!$B$123:$B$127, 0)), "Género no válido", "")), IF(OR(N709="", N709=""), "[Aviso] Temporada no capturada ()", IF(ISNA(MATCH(N709, Criterios!$C$123:$C$128, 0)), "Temporada no válida", "")), IF(OR(O709="", O709=""), "[Aviso] Ciclo de vida no capturado ()", IF(ISNA(MATCH(O709, Criterios!$D$123:$D$124, 0)), "Ciclo de vida no válido", ""))))</f>
        <v/>
      </c>
      <c r="AC709" s="56" t="n"/>
      <c r="AD709" s="51" t="n"/>
      <c r="AE709" s="156" t="n"/>
      <c r="AF709" s="51" t="n"/>
      <c r="AG709" s="156" t="inlineStr">
        <is>
          <t>Nuevo – Carga Hoja2 01/10/2026</t>
        </is>
      </c>
      <c r="AH709" s="156" t="inlineStr">
        <is>
          <t>Alta 01/10/2026 desde Hoja2 (fila 632);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09" s="156" t="n"/>
      <c r="AJ709" s="156" t="n"/>
      <c r="AK709" s="155" t="inlineStr">
        <is>
          <t>Hoja2: fila 632 | Odoo: producto 31043 / plantilla 39678</t>
        </is>
      </c>
      <c r="AL709" s="58" t="n"/>
      <c r="AM709" s="58" t="n"/>
      <c r="AN709" s="155" t="inlineStr">
        <is>
          <t>Odoo Universal Unique Brands</t>
        </is>
      </c>
      <c r="AO709" s="59" t="n"/>
      <c r="AP709" s="59" t="n"/>
      <c r="AQ709" s="59" t="n">
        <v>0</v>
      </c>
      <c r="AR709" s="155" t="n"/>
    </row>
    <row r="710">
      <c r="A710" s="50" t="inlineStr">
        <is>
          <t>7506674602647</t>
        </is>
      </c>
      <c r="B710" s="51" t="inlineStr">
        <is>
          <t>31044</t>
        </is>
      </c>
      <c r="C710" s="156" t="inlineStr">
        <is>
          <t>Wrangler</t>
        </is>
      </c>
      <c r="D710" s="156" t="inlineStr">
        <is>
          <t>C47556-27</t>
        </is>
      </c>
      <c r="E710" s="156" t="inlineStr">
        <is>
          <t>C47556-27-42</t>
        </is>
      </c>
      <c r="F710" s="156" t="inlineStr">
        <is>
          <t>42</t>
        </is>
      </c>
      <c r="G710" s="156" t="inlineStr">
        <is>
          <t>42</t>
        </is>
      </c>
      <c r="H710" s="156" t="inlineStr">
        <is>
          <t>Wrangler</t>
        </is>
      </c>
      <c r="I710" s="156" t="inlineStr">
        <is>
          <t>Cinturón de hombre C47556-27 Café</t>
        </is>
      </c>
      <c r="J710" s="156" t="inlineStr">
        <is>
          <t>Accesorios</t>
        </is>
      </c>
      <c r="K710" s="156" t="inlineStr">
        <is>
          <t>Cinturones</t>
        </is>
      </c>
      <c r="L710" s="156" t="inlineStr">
        <is>
          <t>Hombre</t>
        </is>
      </c>
      <c r="M710" s="156" t="inlineStr">
        <is>
          <t>Wrangler</t>
        </is>
      </c>
      <c r="N710" s="156" t="inlineStr">
        <is>
          <t>FW26</t>
        </is>
      </c>
      <c r="O710" s="156" t="n"/>
      <c r="P710" s="156" t="inlineStr">
        <is>
          <t>Cafe</t>
        </is>
      </c>
      <c r="Q710" s="156" t="n"/>
      <c r="R710" s="156" t="n"/>
      <c r="S710" s="156" t="inlineStr">
        <is>
          <t>100% PIEL VACUNO</t>
        </is>
      </c>
      <c r="T710" s="156" t="inlineStr">
        <is>
          <t>Cinturón para Caballero de Piel</t>
        </is>
      </c>
      <c r="U710" s="156" t="inlineStr">
        <is>
          <t>México</t>
        </is>
      </c>
      <c r="V710" s="156" t="inlineStr">
        <is>
          <t>PZS</t>
        </is>
      </c>
      <c r="W710" s="51" t="inlineStr">
        <is>
          <t>53102501</t>
        </is>
      </c>
      <c r="X710" s="156" t="n"/>
      <c r="Y710" s="54" t="n"/>
      <c r="Z710" s="54" t="n">
        <v>344.48</v>
      </c>
      <c r="AA710" s="55">
        <f>IF(AND(A710="", B710="", E710=""), "", IF(AB710="", "Válido", IF((LEN(AB710)-LEN(SUBSTITUTE(AB710,"; ","")))/2+1&gt;(LEN(AB710)-LEN(SUBSTITUTE(AB710,"[Aviso]","")))/7, "Con Incidencias", "Válido")))</f>
        <v/>
      </c>
      <c r="AB710" s="56">
        <f>IF(AND(A710="", B710="", E710=""), "", TEXTJOIN("; ", TRUE, IF(OR(TRIM(A710&amp;"")="", ISNUMBER(SEARCH("FALTA", A710))), "UPC faltante/inválido", ""), IF(AND(A710&lt;&gt;"", IFERROR(_xlfn.XMATCH(A710,$A$2:$A$1063,0,1)&lt;&gt;_xlfn.XMATCH(A710,$A$2:$A$1063,0,-1),FALSE)), "Código de barras duplicado", ""), IF(AND(E710&lt;&gt;"", COUNTIF($E$2:$E$1063, E710)&gt;1), "SKU duplicado", ""), IF(OR(J710="", J710=""), "[Aviso] División no capturada ()", IF(ISNA(MATCH(J710, Criterios!$A$123:$A$126, 0)), "División no válida", "")), IF(OR(K710="", K710=""), "[Aviso] Categoría no capturada ()", IF(ISNA(MATCH(K710, Criterios!$A$81:$A$120, 0)), "Categoría no válida", IF(AND(J710&lt;&gt;"", J710&lt;&gt;"", J710&lt;&gt;VLOOKUP(K710, Criterios!$A$81:$B$120, 2, FALSE)), "División no coincide con Categoría", ""))), IF(OR(L710="", L710=""), "[Aviso] Género no capturado ()", IF(ISNA(MATCH(L710, Criterios!$B$123:$B$127, 0)), "Género no válido", "")), IF(OR(N710="", N710=""), "[Aviso] Temporada no capturada ()", IF(ISNA(MATCH(N710, Criterios!$C$123:$C$128, 0)), "Temporada no válida", "")), IF(OR(O710="", O710=""), "[Aviso] Ciclo de vida no capturado ()", IF(ISNA(MATCH(O710, Criterios!$D$123:$D$124, 0)), "Ciclo de vida no válido", ""))))</f>
        <v/>
      </c>
      <c r="AC710" s="56" t="n"/>
      <c r="AD710" s="51" t="n"/>
      <c r="AE710" s="156" t="n"/>
      <c r="AF710" s="51" t="n"/>
      <c r="AG710" s="156" t="inlineStr">
        <is>
          <t>Nuevo – Carga Hoja2 01/10/2026</t>
        </is>
      </c>
      <c r="AH710" s="156" t="inlineStr">
        <is>
          <t>Alta 01/10/2026 desde Hoja2 (fila 633);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10" s="156" t="n"/>
      <c r="AJ710" s="156" t="n"/>
      <c r="AK710" s="155" t="inlineStr">
        <is>
          <t>Hoja2: fila 633 | Odoo: producto 31044 / plantilla 39678</t>
        </is>
      </c>
      <c r="AL710" s="58" t="n"/>
      <c r="AM710" s="58" t="n"/>
      <c r="AN710" s="155" t="inlineStr">
        <is>
          <t>Odoo Universal Unique Brands</t>
        </is>
      </c>
      <c r="AO710" s="59" t="n"/>
      <c r="AP710" s="59" t="n"/>
      <c r="AQ710" s="59" t="n">
        <v>0</v>
      </c>
      <c r="AR710" s="155" t="n"/>
    </row>
    <row r="711">
      <c r="A711" s="50" t="inlineStr">
        <is>
          <t>7506674602654</t>
        </is>
      </c>
      <c r="B711" s="51" t="inlineStr">
        <is>
          <t>31045</t>
        </is>
      </c>
      <c r="C711" s="156" t="inlineStr">
        <is>
          <t>Wrangler</t>
        </is>
      </c>
      <c r="D711" s="156" t="inlineStr">
        <is>
          <t>C47556-27</t>
        </is>
      </c>
      <c r="E711" s="156" t="inlineStr">
        <is>
          <t>C47556-27-44</t>
        </is>
      </c>
      <c r="F711" s="156" t="inlineStr">
        <is>
          <t>44</t>
        </is>
      </c>
      <c r="G711" s="156" t="inlineStr">
        <is>
          <t>44</t>
        </is>
      </c>
      <c r="H711" s="156" t="inlineStr">
        <is>
          <t>Wrangler</t>
        </is>
      </c>
      <c r="I711" s="156" t="inlineStr">
        <is>
          <t>Cinturón de hombre C47556-27 Café</t>
        </is>
      </c>
      <c r="J711" s="156" t="inlineStr">
        <is>
          <t>Accesorios</t>
        </is>
      </c>
      <c r="K711" s="156" t="inlineStr">
        <is>
          <t>Cinturones</t>
        </is>
      </c>
      <c r="L711" s="156" t="inlineStr">
        <is>
          <t>Hombre</t>
        </is>
      </c>
      <c r="M711" s="156" t="inlineStr">
        <is>
          <t>Wrangler</t>
        </is>
      </c>
      <c r="N711" s="156" t="inlineStr">
        <is>
          <t>FW26</t>
        </is>
      </c>
      <c r="O711" s="156" t="n"/>
      <c r="P711" s="156" t="inlineStr">
        <is>
          <t>Cafe</t>
        </is>
      </c>
      <c r="Q711" s="156" t="n"/>
      <c r="R711" s="156" t="n"/>
      <c r="S711" s="156" t="inlineStr">
        <is>
          <t>100% PIEL VACUNO</t>
        </is>
      </c>
      <c r="T711" s="156" t="inlineStr">
        <is>
          <t>Cinturón para Caballero de Piel</t>
        </is>
      </c>
      <c r="U711" s="156" t="inlineStr">
        <is>
          <t>México</t>
        </is>
      </c>
      <c r="V711" s="156" t="inlineStr">
        <is>
          <t>PZS</t>
        </is>
      </c>
      <c r="W711" s="51" t="inlineStr">
        <is>
          <t>53102501</t>
        </is>
      </c>
      <c r="X711" s="156" t="n"/>
      <c r="Y711" s="54" t="n"/>
      <c r="Z711" s="54" t="n">
        <v>344.48</v>
      </c>
      <c r="AA711" s="55">
        <f>IF(AND(A711="", B711="", E711=""), "", IF(AB711="", "Válido", IF((LEN(AB711)-LEN(SUBSTITUTE(AB711,"; ","")))/2+1&gt;(LEN(AB711)-LEN(SUBSTITUTE(AB711,"[Aviso]","")))/7, "Con Incidencias", "Válido")))</f>
        <v/>
      </c>
      <c r="AB711" s="56">
        <f>IF(AND(A711="", B711="", E711=""), "", TEXTJOIN("; ", TRUE, IF(OR(TRIM(A711&amp;"")="", ISNUMBER(SEARCH("FALTA", A711))), "UPC faltante/inválido", ""), IF(AND(A711&lt;&gt;"", IFERROR(_xlfn.XMATCH(A711,$A$2:$A$1063,0,1)&lt;&gt;_xlfn.XMATCH(A711,$A$2:$A$1063,0,-1),FALSE)), "Código de barras duplicado", ""), IF(AND(E711&lt;&gt;"", COUNTIF($E$2:$E$1063, E711)&gt;1), "SKU duplicado", ""), IF(OR(J711="", J711=""), "[Aviso] División no capturada ()", IF(ISNA(MATCH(J711, Criterios!$A$123:$A$126, 0)), "División no válida", "")), IF(OR(K711="", K711=""), "[Aviso] Categoría no capturada ()", IF(ISNA(MATCH(K711, Criterios!$A$81:$A$120, 0)), "Categoría no válida", IF(AND(J711&lt;&gt;"", J711&lt;&gt;"", J711&lt;&gt;VLOOKUP(K711, Criterios!$A$81:$B$120, 2, FALSE)), "División no coincide con Categoría", ""))), IF(OR(L711="", L711=""), "[Aviso] Género no capturado ()", IF(ISNA(MATCH(L711, Criterios!$B$123:$B$127, 0)), "Género no válido", "")), IF(OR(N711="", N711=""), "[Aviso] Temporada no capturada ()", IF(ISNA(MATCH(N711, Criterios!$C$123:$C$128, 0)), "Temporada no válida", "")), IF(OR(O711="", O711=""), "[Aviso] Ciclo de vida no capturado ()", IF(ISNA(MATCH(O711, Criterios!$D$123:$D$124, 0)), "Ciclo de vida no válido", ""))))</f>
        <v/>
      </c>
      <c r="AC711" s="56" t="n"/>
      <c r="AD711" s="51" t="n"/>
      <c r="AE711" s="156" t="n"/>
      <c r="AF711" s="51" t="n"/>
      <c r="AG711" s="156" t="inlineStr">
        <is>
          <t>Nuevo – Carga Hoja2 01/10/2026</t>
        </is>
      </c>
      <c r="AH711" s="156" t="inlineStr">
        <is>
          <t>Alta 01/10/2026 desde Hoja2 (fila 634);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11" s="156" t="n"/>
      <c r="AJ711" s="156" t="n"/>
      <c r="AK711" s="155" t="inlineStr">
        <is>
          <t>Hoja2: fila 634 | Odoo: producto 31045 / plantilla 39678</t>
        </is>
      </c>
      <c r="AL711" s="58" t="n"/>
      <c r="AM711" s="58" t="n"/>
      <c r="AN711" s="155" t="inlineStr">
        <is>
          <t>Odoo Universal Unique Brands</t>
        </is>
      </c>
      <c r="AO711" s="59" t="n"/>
      <c r="AP711" s="59" t="n"/>
      <c r="AQ711" s="59" t="n">
        <v>0</v>
      </c>
      <c r="AR711" s="155" t="n"/>
    </row>
    <row r="712">
      <c r="A712" s="50" t="inlineStr">
        <is>
          <t>7506674602661</t>
        </is>
      </c>
      <c r="B712" s="51" t="inlineStr">
        <is>
          <t>31046</t>
        </is>
      </c>
      <c r="C712" s="156" t="inlineStr">
        <is>
          <t>Wrangler</t>
        </is>
      </c>
      <c r="D712" s="156" t="inlineStr">
        <is>
          <t>C47557-27</t>
        </is>
      </c>
      <c r="E712" s="156" t="inlineStr">
        <is>
          <t>C47557-27-32</t>
        </is>
      </c>
      <c r="F712" s="156" t="inlineStr">
        <is>
          <t>32</t>
        </is>
      </c>
      <c r="G712" s="156" t="inlineStr">
        <is>
          <t>32</t>
        </is>
      </c>
      <c r="H712" s="156" t="inlineStr">
        <is>
          <t>Wrangler</t>
        </is>
      </c>
      <c r="I712" s="156" t="inlineStr">
        <is>
          <t>Cinturón de hombre C47557-27 Café</t>
        </is>
      </c>
      <c r="J712" s="156" t="inlineStr">
        <is>
          <t>Accesorios</t>
        </is>
      </c>
      <c r="K712" s="156" t="inlineStr">
        <is>
          <t>Cinturones</t>
        </is>
      </c>
      <c r="L712" s="156" t="inlineStr">
        <is>
          <t>Hombre</t>
        </is>
      </c>
      <c r="M712" s="156" t="inlineStr">
        <is>
          <t>Wrangler</t>
        </is>
      </c>
      <c r="N712" s="156" t="inlineStr">
        <is>
          <t>FW26</t>
        </is>
      </c>
      <c r="O712" s="156" t="n"/>
      <c r="P712" s="156" t="inlineStr">
        <is>
          <t>Cafe</t>
        </is>
      </c>
      <c r="Q712" s="156" t="n"/>
      <c r="R712" s="156" t="n"/>
      <c r="S712" s="156" t="inlineStr">
        <is>
          <t>100% PIEL VACUNO</t>
        </is>
      </c>
      <c r="T712" s="156" t="inlineStr">
        <is>
          <t>Cinturón para Caballero de Piel</t>
        </is>
      </c>
      <c r="U712" s="156" t="inlineStr">
        <is>
          <t>México</t>
        </is>
      </c>
      <c r="V712" s="156" t="inlineStr">
        <is>
          <t>PZS</t>
        </is>
      </c>
      <c r="W712" s="51" t="inlineStr">
        <is>
          <t>53102501</t>
        </is>
      </c>
      <c r="X712" s="156" t="n"/>
      <c r="Y712" s="54" t="n"/>
      <c r="Z712" s="54" t="n">
        <v>344.48</v>
      </c>
      <c r="AA712" s="55">
        <f>IF(AND(A712="", B712="", E712=""), "", IF(AB712="", "Válido", IF((LEN(AB712)-LEN(SUBSTITUTE(AB712,"; ","")))/2+1&gt;(LEN(AB712)-LEN(SUBSTITUTE(AB712,"[Aviso]","")))/7, "Con Incidencias", "Válido")))</f>
        <v/>
      </c>
      <c r="AB712" s="56">
        <f>IF(AND(A712="", B712="", E712=""), "", TEXTJOIN("; ", TRUE, IF(OR(TRIM(A712&amp;"")="", ISNUMBER(SEARCH("FALTA", A712))), "UPC faltante/inválido", ""), IF(AND(A712&lt;&gt;"", IFERROR(_xlfn.XMATCH(A712,$A$2:$A$1063,0,1)&lt;&gt;_xlfn.XMATCH(A712,$A$2:$A$1063,0,-1),FALSE)), "Código de barras duplicado", ""), IF(AND(E712&lt;&gt;"", COUNTIF($E$2:$E$1063, E712)&gt;1), "SKU duplicado", ""), IF(OR(J712="", J712=""), "[Aviso] División no capturada ()", IF(ISNA(MATCH(J712, Criterios!$A$123:$A$126, 0)), "División no válida", "")), IF(OR(K712="", K712=""), "[Aviso] Categoría no capturada ()", IF(ISNA(MATCH(K712, Criterios!$A$81:$A$120, 0)), "Categoría no válida", IF(AND(J712&lt;&gt;"", J712&lt;&gt;"", J712&lt;&gt;VLOOKUP(K712, Criterios!$A$81:$B$120, 2, FALSE)), "División no coincide con Categoría", ""))), IF(OR(L712="", L712=""), "[Aviso] Género no capturado ()", IF(ISNA(MATCH(L712, Criterios!$B$123:$B$127, 0)), "Género no válido", "")), IF(OR(N712="", N712=""), "[Aviso] Temporada no capturada ()", IF(ISNA(MATCH(N712, Criterios!$C$123:$C$128, 0)), "Temporada no válida", "")), IF(OR(O712="", O712=""), "[Aviso] Ciclo de vida no capturado ()", IF(ISNA(MATCH(O712, Criterios!$D$123:$D$124, 0)), "Ciclo de vida no válido", ""))))</f>
        <v/>
      </c>
      <c r="AC712" s="56" t="n"/>
      <c r="AD712" s="51" t="n"/>
      <c r="AE712" s="156" t="n"/>
      <c r="AF712" s="51" t="n"/>
      <c r="AG712" s="156" t="inlineStr">
        <is>
          <t>Nuevo – Carga Hoja2 01/10/2026</t>
        </is>
      </c>
      <c r="AH712" s="156" t="inlineStr">
        <is>
          <t>Alta 01/10/2026 desde Hoja2 (fila 635);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12" s="156" t="n"/>
      <c r="AJ712" s="156" t="n"/>
      <c r="AK712" s="155" t="inlineStr">
        <is>
          <t>Hoja2: fila 635 | Odoo: producto 31046 / plantilla 39679</t>
        </is>
      </c>
      <c r="AL712" s="58" t="n"/>
      <c r="AM712" s="58" t="n"/>
      <c r="AN712" s="155" t="inlineStr">
        <is>
          <t>Odoo Universal Unique Brands</t>
        </is>
      </c>
      <c r="AO712" s="59" t="n"/>
      <c r="AP712" s="59" t="n"/>
      <c r="AQ712" s="59" t="n">
        <v>0</v>
      </c>
      <c r="AR712" s="155" t="n"/>
    </row>
    <row r="713">
      <c r="A713" s="50" t="inlineStr">
        <is>
          <t>7506674602678</t>
        </is>
      </c>
      <c r="B713" s="51" t="inlineStr">
        <is>
          <t>31047</t>
        </is>
      </c>
      <c r="C713" s="156" t="inlineStr">
        <is>
          <t>Wrangler</t>
        </is>
      </c>
      <c r="D713" s="156" t="inlineStr">
        <is>
          <t>C47557-27</t>
        </is>
      </c>
      <c r="E713" s="156" t="inlineStr">
        <is>
          <t>C47557-27-34</t>
        </is>
      </c>
      <c r="F713" s="156" t="inlineStr">
        <is>
          <t>34</t>
        </is>
      </c>
      <c r="G713" s="156" t="inlineStr">
        <is>
          <t>34</t>
        </is>
      </c>
      <c r="H713" s="156" t="inlineStr">
        <is>
          <t>Wrangler</t>
        </is>
      </c>
      <c r="I713" s="156" t="inlineStr">
        <is>
          <t>Cinturón de hombre C47557-27 Café</t>
        </is>
      </c>
      <c r="J713" s="156" t="inlineStr">
        <is>
          <t>Accesorios</t>
        </is>
      </c>
      <c r="K713" s="156" t="inlineStr">
        <is>
          <t>Cinturones</t>
        </is>
      </c>
      <c r="L713" s="156" t="inlineStr">
        <is>
          <t>Hombre</t>
        </is>
      </c>
      <c r="M713" s="156" t="inlineStr">
        <is>
          <t>Wrangler</t>
        </is>
      </c>
      <c r="N713" s="156" t="inlineStr">
        <is>
          <t>FW26</t>
        </is>
      </c>
      <c r="O713" s="156" t="n"/>
      <c r="P713" s="156" t="inlineStr">
        <is>
          <t>Cafe</t>
        </is>
      </c>
      <c r="Q713" s="156" t="n"/>
      <c r="R713" s="156" t="n"/>
      <c r="S713" s="156" t="inlineStr">
        <is>
          <t>100% PIEL VACUNO</t>
        </is>
      </c>
      <c r="T713" s="156" t="inlineStr">
        <is>
          <t>Cinturón para Caballero de Piel</t>
        </is>
      </c>
      <c r="U713" s="156" t="inlineStr">
        <is>
          <t>México</t>
        </is>
      </c>
      <c r="V713" s="156" t="inlineStr">
        <is>
          <t>PZS</t>
        </is>
      </c>
      <c r="W713" s="51" t="inlineStr">
        <is>
          <t>53102501</t>
        </is>
      </c>
      <c r="X713" s="156" t="n"/>
      <c r="Y713" s="54" t="n"/>
      <c r="Z713" s="54" t="n">
        <v>344.48</v>
      </c>
      <c r="AA713" s="55">
        <f>IF(AND(A713="", B713="", E713=""), "", IF(AB713="", "Válido", IF((LEN(AB713)-LEN(SUBSTITUTE(AB713,"; ","")))/2+1&gt;(LEN(AB713)-LEN(SUBSTITUTE(AB713,"[Aviso]","")))/7, "Con Incidencias", "Válido")))</f>
        <v/>
      </c>
      <c r="AB713" s="56">
        <f>IF(AND(A713="", B713="", E713=""), "", TEXTJOIN("; ", TRUE, IF(OR(TRIM(A713&amp;"")="", ISNUMBER(SEARCH("FALTA", A713))), "UPC faltante/inválido", ""), IF(AND(A713&lt;&gt;"", IFERROR(_xlfn.XMATCH(A713,$A$2:$A$1063,0,1)&lt;&gt;_xlfn.XMATCH(A713,$A$2:$A$1063,0,-1),FALSE)), "Código de barras duplicado", ""), IF(AND(E713&lt;&gt;"", COUNTIF($E$2:$E$1063, E713)&gt;1), "SKU duplicado", ""), IF(OR(J713="", J713=""), "[Aviso] División no capturada ()", IF(ISNA(MATCH(J713, Criterios!$A$123:$A$126, 0)), "División no válida", "")), IF(OR(K713="", K713=""), "[Aviso] Categoría no capturada ()", IF(ISNA(MATCH(K713, Criterios!$A$81:$A$120, 0)), "Categoría no válida", IF(AND(J713&lt;&gt;"", J713&lt;&gt;"", J713&lt;&gt;VLOOKUP(K713, Criterios!$A$81:$B$120, 2, FALSE)), "División no coincide con Categoría", ""))), IF(OR(L713="", L713=""), "[Aviso] Género no capturado ()", IF(ISNA(MATCH(L713, Criterios!$B$123:$B$127, 0)), "Género no válido", "")), IF(OR(N713="", N713=""), "[Aviso] Temporada no capturada ()", IF(ISNA(MATCH(N713, Criterios!$C$123:$C$128, 0)), "Temporada no válida", "")), IF(OR(O713="", O713=""), "[Aviso] Ciclo de vida no capturado ()", IF(ISNA(MATCH(O713, Criterios!$D$123:$D$124, 0)), "Ciclo de vida no válido", ""))))</f>
        <v/>
      </c>
      <c r="AC713" s="56" t="n"/>
      <c r="AD713" s="51" t="n"/>
      <c r="AE713" s="156" t="n"/>
      <c r="AF713" s="51" t="n"/>
      <c r="AG713" s="156" t="inlineStr">
        <is>
          <t>Nuevo – Carga Hoja2 01/10/2026</t>
        </is>
      </c>
      <c r="AH713" s="156" t="inlineStr">
        <is>
          <t>Alta 01/10/2026 desde Hoja2 (fila 636);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13" s="156" t="n"/>
      <c r="AJ713" s="156" t="n"/>
      <c r="AK713" s="155" t="inlineStr">
        <is>
          <t>Hoja2: fila 636 | Odoo: producto 31047 / plantilla 39679</t>
        </is>
      </c>
      <c r="AL713" s="58" t="n"/>
      <c r="AM713" s="58" t="n"/>
      <c r="AN713" s="155" t="inlineStr">
        <is>
          <t>Odoo Universal Unique Brands</t>
        </is>
      </c>
      <c r="AO713" s="59" t="n"/>
      <c r="AP713" s="59" t="n"/>
      <c r="AQ713" s="59" t="n">
        <v>0</v>
      </c>
      <c r="AR713" s="155" t="n"/>
    </row>
    <row r="714">
      <c r="A714" s="50" t="n"/>
      <c r="B714" s="51" t="inlineStr">
        <is>
          <t>31048</t>
        </is>
      </c>
      <c r="C714" s="156" t="inlineStr">
        <is>
          <t>Wrangler</t>
        </is>
      </c>
      <c r="D714" s="156" t="inlineStr">
        <is>
          <t>C47557-27</t>
        </is>
      </c>
      <c r="E714" s="156" t="inlineStr">
        <is>
          <t>C47557-27-36</t>
        </is>
      </c>
      <c r="F714" s="156" t="inlineStr">
        <is>
          <t>36</t>
        </is>
      </c>
      <c r="G714" s="156" t="inlineStr">
        <is>
          <t>36</t>
        </is>
      </c>
      <c r="H714" s="156" t="inlineStr">
        <is>
          <t>Wrangler</t>
        </is>
      </c>
      <c r="I714" s="156" t="inlineStr">
        <is>
          <t>Cinturón de hombre C47557-27 Café</t>
        </is>
      </c>
      <c r="J714" s="156" t="inlineStr">
        <is>
          <t>Accesorios</t>
        </is>
      </c>
      <c r="K714" s="156" t="inlineStr">
        <is>
          <t>Cinturones</t>
        </is>
      </c>
      <c r="L714" s="156" t="inlineStr">
        <is>
          <t>Hombre</t>
        </is>
      </c>
      <c r="M714" s="156" t="inlineStr">
        <is>
          <t>Wrangler</t>
        </is>
      </c>
      <c r="N714" s="156" t="inlineStr">
        <is>
          <t>FW26</t>
        </is>
      </c>
      <c r="O714" s="156" t="n"/>
      <c r="P714" s="156" t="inlineStr">
        <is>
          <t>Cafe</t>
        </is>
      </c>
      <c r="Q714" s="156" t="n"/>
      <c r="R714" s="156" t="n"/>
      <c r="S714" s="156" t="inlineStr">
        <is>
          <t>100% PIEL VACUNO</t>
        </is>
      </c>
      <c r="T714" s="156" t="inlineStr">
        <is>
          <t>Cinturón para Caballero de Piel</t>
        </is>
      </c>
      <c r="U714" s="156" t="inlineStr">
        <is>
          <t>México</t>
        </is>
      </c>
      <c r="V714" s="156" t="inlineStr">
        <is>
          <t>PZS</t>
        </is>
      </c>
      <c r="W714" s="51" t="inlineStr">
        <is>
          <t>53102501</t>
        </is>
      </c>
      <c r="X714" s="156" t="n"/>
      <c r="Y714" s="54" t="n"/>
      <c r="Z714" s="54" t="n">
        <v>344.48</v>
      </c>
      <c r="AA714" s="55">
        <f>IF(AND(A714="", B714="", E714=""), "", IF(AB714="", "Válido", IF((LEN(AB714)-LEN(SUBSTITUTE(AB714,"; ","")))/2+1&gt;(LEN(AB714)-LEN(SUBSTITUTE(AB714,"[Aviso]","")))/7, "Con Incidencias", "Válido")))</f>
        <v/>
      </c>
      <c r="AB714" s="56">
        <f>IF(AND(A714="", B714="", E714=""), "", TEXTJOIN("; ", TRUE, IF(OR(TRIM(A714&amp;"")="", ISNUMBER(SEARCH("FALTA", A714))), "UPC faltante/inválido", ""), IF(AND(A714&lt;&gt;"", IFERROR(_xlfn.XMATCH(A714,$A$2:$A$1063,0,1)&lt;&gt;_xlfn.XMATCH(A714,$A$2:$A$1063,0,-1),FALSE)), "Código de barras duplicado", ""), IF(AND(E714&lt;&gt;"", COUNTIF($E$2:$E$1063, E714)&gt;1), "SKU duplicado", ""), IF(OR(J714="", J714=""), "[Aviso] División no capturada ()", IF(ISNA(MATCH(J714, Criterios!$A$123:$A$126, 0)), "División no válida", "")), IF(OR(K714="", K714=""), "[Aviso] Categoría no capturada ()", IF(ISNA(MATCH(K714, Criterios!$A$81:$A$120, 0)), "Categoría no válida", IF(AND(J714&lt;&gt;"", J714&lt;&gt;"", J714&lt;&gt;VLOOKUP(K714, Criterios!$A$81:$B$120, 2, FALSE)), "División no coincide con Categoría", ""))), IF(OR(L714="", L714=""), "[Aviso] Género no capturado ()", IF(ISNA(MATCH(L714, Criterios!$B$123:$B$127, 0)), "Género no válido", "")), IF(OR(N714="", N714=""), "[Aviso] Temporada no capturada ()", IF(ISNA(MATCH(N714, Criterios!$C$123:$C$128, 0)), "Temporada no válida", "")), IF(OR(O714="", O714=""), "[Aviso] Ciclo de vida no capturado ()", IF(ISNA(MATCH(O714, Criterios!$D$123:$D$124, 0)), "Ciclo de vida no válido", ""))))</f>
        <v/>
      </c>
      <c r="AC714" s="56" t="n"/>
      <c r="AD714" s="51" t="n"/>
      <c r="AE714" s="156" t="n"/>
      <c r="AF714" s="51" t="n"/>
      <c r="AG714" s="156" t="inlineStr">
        <is>
          <t>Nuevo – Carga Hoja2 01/10/2026</t>
        </is>
      </c>
      <c r="AH714" s="156" t="inlineStr">
        <is>
          <t>Alta 01/10/2026 desde Hoja2 (fila 637); Precio de compra en 0/vacío en origen | 01/10/2026: complementado desde Odoo Universal Unique Brands (match por SKU): WB Talla de EE. UU. | Homologación G1522 06/10/2026: WB País de origen: «Mexico» → «México» (Corrección aplicada) · Validación G1522: Código de barras faltante · Validador NetSuite / Odoo: V1: falta código de barras · Validador Shopify: V1: falta código de barras</t>
        </is>
      </c>
      <c r="AI714" s="156" t="n"/>
      <c r="AJ714" s="156" t="n"/>
      <c r="AK714" s="155" t="inlineStr">
        <is>
          <t>Hoja2: fila 637 | Odoo: producto 31048 / plantilla 39679</t>
        </is>
      </c>
      <c r="AL714" s="58" t="n"/>
      <c r="AM714" s="58" t="n"/>
      <c r="AN714" s="155" t="inlineStr">
        <is>
          <t>Odoo Universal Unique Brands</t>
        </is>
      </c>
      <c r="AO714" s="59" t="n"/>
      <c r="AP714" s="59" t="n"/>
      <c r="AQ714" s="59" t="n">
        <v>0</v>
      </c>
      <c r="AR714" s="155" t="n"/>
    </row>
    <row r="715">
      <c r="A715" s="50" t="inlineStr">
        <is>
          <t>7506674602692</t>
        </is>
      </c>
      <c r="B715" s="51" t="inlineStr">
        <is>
          <t>31049</t>
        </is>
      </c>
      <c r="C715" s="156" t="inlineStr">
        <is>
          <t>Wrangler</t>
        </is>
      </c>
      <c r="D715" s="156" t="inlineStr">
        <is>
          <t>C47557-27</t>
        </is>
      </c>
      <c r="E715" s="156" t="inlineStr">
        <is>
          <t>C47557-27-38</t>
        </is>
      </c>
      <c r="F715" s="156" t="inlineStr">
        <is>
          <t>38</t>
        </is>
      </c>
      <c r="G715" s="156" t="inlineStr">
        <is>
          <t>38</t>
        </is>
      </c>
      <c r="H715" s="156" t="inlineStr">
        <is>
          <t>Wrangler</t>
        </is>
      </c>
      <c r="I715" s="156" t="inlineStr">
        <is>
          <t>Cinturón de hombre C47557-27 Café</t>
        </is>
      </c>
      <c r="J715" s="156" t="inlineStr">
        <is>
          <t>Accesorios</t>
        </is>
      </c>
      <c r="K715" s="156" t="inlineStr">
        <is>
          <t>Cinturones</t>
        </is>
      </c>
      <c r="L715" s="156" t="inlineStr">
        <is>
          <t>Hombre</t>
        </is>
      </c>
      <c r="M715" s="156" t="inlineStr">
        <is>
          <t>Wrangler</t>
        </is>
      </c>
      <c r="N715" s="156" t="inlineStr">
        <is>
          <t>FW26</t>
        </is>
      </c>
      <c r="O715" s="156" t="n"/>
      <c r="P715" s="156" t="inlineStr">
        <is>
          <t>Cafe</t>
        </is>
      </c>
      <c r="Q715" s="156" t="n"/>
      <c r="R715" s="156" t="n"/>
      <c r="S715" s="156" t="inlineStr">
        <is>
          <t>100% PIEL VACUNO</t>
        </is>
      </c>
      <c r="T715" s="156" t="inlineStr">
        <is>
          <t>Cinturón para Caballero de Piel</t>
        </is>
      </c>
      <c r="U715" s="156" t="inlineStr">
        <is>
          <t>México</t>
        </is>
      </c>
      <c r="V715" s="156" t="inlineStr">
        <is>
          <t>PZS</t>
        </is>
      </c>
      <c r="W715" s="51" t="inlineStr">
        <is>
          <t>53102501</t>
        </is>
      </c>
      <c r="X715" s="156" t="n"/>
      <c r="Y715" s="54" t="n"/>
      <c r="Z715" s="54" t="n">
        <v>344.48</v>
      </c>
      <c r="AA715" s="55">
        <f>IF(AND(A715="", B715="", E715=""), "", IF(AB715="", "Válido", IF((LEN(AB715)-LEN(SUBSTITUTE(AB715,"; ","")))/2+1&gt;(LEN(AB715)-LEN(SUBSTITUTE(AB715,"[Aviso]","")))/7, "Con Incidencias", "Válido")))</f>
        <v/>
      </c>
      <c r="AB715" s="56">
        <f>IF(AND(A715="", B715="", E715=""), "", TEXTJOIN("; ", TRUE, IF(OR(TRIM(A715&amp;"")="", ISNUMBER(SEARCH("FALTA", A715))), "UPC faltante/inválido", ""), IF(AND(A715&lt;&gt;"", IFERROR(_xlfn.XMATCH(A715,$A$2:$A$1063,0,1)&lt;&gt;_xlfn.XMATCH(A715,$A$2:$A$1063,0,-1),FALSE)), "Código de barras duplicado", ""), IF(AND(E715&lt;&gt;"", COUNTIF($E$2:$E$1063, E715)&gt;1), "SKU duplicado", ""), IF(OR(J715="", J715=""), "[Aviso] División no capturada ()", IF(ISNA(MATCH(J715, Criterios!$A$123:$A$126, 0)), "División no válida", "")), IF(OR(K715="", K715=""), "[Aviso] Categoría no capturada ()", IF(ISNA(MATCH(K715, Criterios!$A$81:$A$120, 0)), "Categoría no válida", IF(AND(J715&lt;&gt;"", J715&lt;&gt;"", J715&lt;&gt;VLOOKUP(K715, Criterios!$A$81:$B$120, 2, FALSE)), "División no coincide con Categoría", ""))), IF(OR(L715="", L715=""), "[Aviso] Género no capturado ()", IF(ISNA(MATCH(L715, Criterios!$B$123:$B$127, 0)), "Género no válido", "")), IF(OR(N715="", N715=""), "[Aviso] Temporada no capturada ()", IF(ISNA(MATCH(N715, Criterios!$C$123:$C$128, 0)), "Temporada no válida", "")), IF(OR(O715="", O715=""), "[Aviso] Ciclo de vida no capturado ()", IF(ISNA(MATCH(O715, Criterios!$D$123:$D$124, 0)), "Ciclo de vida no válido", ""))))</f>
        <v/>
      </c>
      <c r="AC715" s="56" t="n"/>
      <c r="AD715" s="51" t="n"/>
      <c r="AE715" s="156" t="n"/>
      <c r="AF715" s="51" t="n"/>
      <c r="AG715" s="156" t="inlineStr">
        <is>
          <t>Nuevo – Carga Hoja2 01/10/2026</t>
        </is>
      </c>
      <c r="AH715" s="156" t="inlineStr">
        <is>
          <t>Alta 01/10/2026 desde Hoja2 (fila 638);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15" s="156" t="n"/>
      <c r="AJ715" s="156" t="n"/>
      <c r="AK715" s="155" t="inlineStr">
        <is>
          <t>Hoja2: fila 638 | Odoo: producto 31049 / plantilla 39679</t>
        </is>
      </c>
      <c r="AL715" s="58" t="n"/>
      <c r="AM715" s="58" t="n"/>
      <c r="AN715" s="155" t="inlineStr">
        <is>
          <t>Odoo Universal Unique Brands</t>
        </is>
      </c>
      <c r="AO715" s="59" t="n"/>
      <c r="AP715" s="59" t="n"/>
      <c r="AQ715" s="59" t="n">
        <v>0</v>
      </c>
      <c r="AR715" s="155" t="n"/>
    </row>
    <row r="716">
      <c r="A716" s="50" t="inlineStr">
        <is>
          <t>7506674602708</t>
        </is>
      </c>
      <c r="B716" s="51" t="inlineStr">
        <is>
          <t>31050</t>
        </is>
      </c>
      <c r="C716" s="156" t="inlineStr">
        <is>
          <t>Wrangler</t>
        </is>
      </c>
      <c r="D716" s="156" t="inlineStr">
        <is>
          <t>C47557-27</t>
        </is>
      </c>
      <c r="E716" s="156" t="inlineStr">
        <is>
          <t>C47557-27-40</t>
        </is>
      </c>
      <c r="F716" s="156" t="inlineStr">
        <is>
          <t>40</t>
        </is>
      </c>
      <c r="G716" s="156" t="inlineStr">
        <is>
          <t>40</t>
        </is>
      </c>
      <c r="H716" s="156" t="inlineStr">
        <is>
          <t>Wrangler</t>
        </is>
      </c>
      <c r="I716" s="156" t="inlineStr">
        <is>
          <t>Cinturón de hombre C47557-27 Café</t>
        </is>
      </c>
      <c r="J716" s="156" t="inlineStr">
        <is>
          <t>Accesorios</t>
        </is>
      </c>
      <c r="K716" s="156" t="inlineStr">
        <is>
          <t>Cinturones</t>
        </is>
      </c>
      <c r="L716" s="156" t="inlineStr">
        <is>
          <t>Hombre</t>
        </is>
      </c>
      <c r="M716" s="156" t="inlineStr">
        <is>
          <t>Wrangler</t>
        </is>
      </c>
      <c r="N716" s="156" t="inlineStr">
        <is>
          <t>FW26</t>
        </is>
      </c>
      <c r="O716" s="156" t="n"/>
      <c r="P716" s="156" t="inlineStr">
        <is>
          <t>Cafe</t>
        </is>
      </c>
      <c r="Q716" s="156" t="n"/>
      <c r="R716" s="156" t="n"/>
      <c r="S716" s="156" t="inlineStr">
        <is>
          <t>100% PIEL VACUNO</t>
        </is>
      </c>
      <c r="T716" s="156" t="inlineStr">
        <is>
          <t>Cinturón para Caballero de Piel</t>
        </is>
      </c>
      <c r="U716" s="156" t="inlineStr">
        <is>
          <t>México</t>
        </is>
      </c>
      <c r="V716" s="156" t="inlineStr">
        <is>
          <t>PZS</t>
        </is>
      </c>
      <c r="W716" s="51" t="inlineStr">
        <is>
          <t>53102501</t>
        </is>
      </c>
      <c r="X716" s="156" t="n"/>
      <c r="Y716" s="54" t="n"/>
      <c r="Z716" s="54" t="n">
        <v>344.48</v>
      </c>
      <c r="AA716" s="55">
        <f>IF(AND(A716="", B716="", E716=""), "", IF(AB716="", "Válido", IF((LEN(AB716)-LEN(SUBSTITUTE(AB716,"; ","")))/2+1&gt;(LEN(AB716)-LEN(SUBSTITUTE(AB716,"[Aviso]","")))/7, "Con Incidencias", "Válido")))</f>
        <v/>
      </c>
      <c r="AB716" s="56">
        <f>IF(AND(A716="", B716="", E716=""), "", TEXTJOIN("; ", TRUE, IF(OR(TRIM(A716&amp;"")="", ISNUMBER(SEARCH("FALTA", A716))), "UPC faltante/inválido", ""), IF(AND(A716&lt;&gt;"", IFERROR(_xlfn.XMATCH(A716,$A$2:$A$1063,0,1)&lt;&gt;_xlfn.XMATCH(A716,$A$2:$A$1063,0,-1),FALSE)), "Código de barras duplicado", ""), IF(AND(E716&lt;&gt;"", COUNTIF($E$2:$E$1063, E716)&gt;1), "SKU duplicado", ""), IF(OR(J716="", J716=""), "[Aviso] División no capturada ()", IF(ISNA(MATCH(J716, Criterios!$A$123:$A$126, 0)), "División no válida", "")), IF(OR(K716="", K716=""), "[Aviso] Categoría no capturada ()", IF(ISNA(MATCH(K716, Criterios!$A$81:$A$120, 0)), "Categoría no válida", IF(AND(J716&lt;&gt;"", J716&lt;&gt;"", J716&lt;&gt;VLOOKUP(K716, Criterios!$A$81:$B$120, 2, FALSE)), "División no coincide con Categoría", ""))), IF(OR(L716="", L716=""), "[Aviso] Género no capturado ()", IF(ISNA(MATCH(L716, Criterios!$B$123:$B$127, 0)), "Género no válido", "")), IF(OR(N716="", N716=""), "[Aviso] Temporada no capturada ()", IF(ISNA(MATCH(N716, Criterios!$C$123:$C$128, 0)), "Temporada no válida", "")), IF(OR(O716="", O716=""), "[Aviso] Ciclo de vida no capturado ()", IF(ISNA(MATCH(O716, Criterios!$D$123:$D$124, 0)), "Ciclo de vida no válido", ""))))</f>
        <v/>
      </c>
      <c r="AC716" s="56" t="n"/>
      <c r="AD716" s="51" t="n"/>
      <c r="AE716" s="156" t="n"/>
      <c r="AF716" s="51" t="n"/>
      <c r="AG716" s="156" t="inlineStr">
        <is>
          <t>Nuevo – Carga Hoja2 01/10/2026</t>
        </is>
      </c>
      <c r="AH716" s="156" t="inlineStr">
        <is>
          <t>Alta 01/10/2026 desde Hoja2 (fila 639);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16" s="156" t="n"/>
      <c r="AJ716" s="156" t="n"/>
      <c r="AK716" s="155" t="inlineStr">
        <is>
          <t>Hoja2: fila 639 | Odoo: producto 31050 / plantilla 39679</t>
        </is>
      </c>
      <c r="AL716" s="58" t="n"/>
      <c r="AM716" s="58" t="n"/>
      <c r="AN716" s="155" t="inlineStr">
        <is>
          <t>Odoo Universal Unique Brands</t>
        </is>
      </c>
      <c r="AO716" s="59" t="n"/>
      <c r="AP716" s="59" t="n"/>
      <c r="AQ716" s="59" t="n">
        <v>0</v>
      </c>
      <c r="AR716" s="155" t="n"/>
    </row>
    <row r="717">
      <c r="A717" s="50" t="inlineStr">
        <is>
          <t>7506674602715</t>
        </is>
      </c>
      <c r="B717" s="51" t="inlineStr">
        <is>
          <t>31051</t>
        </is>
      </c>
      <c r="C717" s="156" t="inlineStr">
        <is>
          <t>Wrangler</t>
        </is>
      </c>
      <c r="D717" s="156" t="inlineStr">
        <is>
          <t>C47557-27</t>
        </is>
      </c>
      <c r="E717" s="156" t="inlineStr">
        <is>
          <t>C47557-27-42</t>
        </is>
      </c>
      <c r="F717" s="156" t="inlineStr">
        <is>
          <t>42</t>
        </is>
      </c>
      <c r="G717" s="156" t="inlineStr">
        <is>
          <t>42</t>
        </is>
      </c>
      <c r="H717" s="156" t="inlineStr">
        <is>
          <t>Wrangler</t>
        </is>
      </c>
      <c r="I717" s="156" t="inlineStr">
        <is>
          <t>Cinturón de hombre C47557-27 Café</t>
        </is>
      </c>
      <c r="J717" s="156" t="inlineStr">
        <is>
          <t>Accesorios</t>
        </is>
      </c>
      <c r="K717" s="156" t="inlineStr">
        <is>
          <t>Cinturones</t>
        </is>
      </c>
      <c r="L717" s="156" t="inlineStr">
        <is>
          <t>Hombre</t>
        </is>
      </c>
      <c r="M717" s="156" t="inlineStr">
        <is>
          <t>Wrangler</t>
        </is>
      </c>
      <c r="N717" s="156" t="inlineStr">
        <is>
          <t>FW26</t>
        </is>
      </c>
      <c r="O717" s="156" t="n"/>
      <c r="P717" s="156" t="inlineStr">
        <is>
          <t>Cafe</t>
        </is>
      </c>
      <c r="Q717" s="156" t="n"/>
      <c r="R717" s="156" t="n"/>
      <c r="S717" s="156" t="inlineStr">
        <is>
          <t>100% PIEL VACUNO</t>
        </is>
      </c>
      <c r="T717" s="156" t="inlineStr">
        <is>
          <t>Cinturón para Caballero de Piel</t>
        </is>
      </c>
      <c r="U717" s="156" t="inlineStr">
        <is>
          <t>México</t>
        </is>
      </c>
      <c r="V717" s="156" t="inlineStr">
        <is>
          <t>PZS</t>
        </is>
      </c>
      <c r="W717" s="51" t="inlineStr">
        <is>
          <t>53102501</t>
        </is>
      </c>
      <c r="X717" s="156" t="n"/>
      <c r="Y717" s="54" t="n"/>
      <c r="Z717" s="54" t="n">
        <v>344.48</v>
      </c>
      <c r="AA717" s="55">
        <f>IF(AND(A717="", B717="", E717=""), "", IF(AB717="", "Válido", IF((LEN(AB717)-LEN(SUBSTITUTE(AB717,"; ","")))/2+1&gt;(LEN(AB717)-LEN(SUBSTITUTE(AB717,"[Aviso]","")))/7, "Con Incidencias", "Válido")))</f>
        <v/>
      </c>
      <c r="AB717" s="56">
        <f>IF(AND(A717="", B717="", E717=""), "", TEXTJOIN("; ", TRUE, IF(OR(TRIM(A717&amp;"")="", ISNUMBER(SEARCH("FALTA", A717))), "UPC faltante/inválido", ""), IF(AND(A717&lt;&gt;"", IFERROR(_xlfn.XMATCH(A717,$A$2:$A$1063,0,1)&lt;&gt;_xlfn.XMATCH(A717,$A$2:$A$1063,0,-1),FALSE)), "Código de barras duplicado", ""), IF(AND(E717&lt;&gt;"", COUNTIF($E$2:$E$1063, E717)&gt;1), "SKU duplicado", ""), IF(OR(J717="", J717=""), "[Aviso] División no capturada ()", IF(ISNA(MATCH(J717, Criterios!$A$123:$A$126, 0)), "División no válida", "")), IF(OR(K717="", K717=""), "[Aviso] Categoría no capturada ()", IF(ISNA(MATCH(K717, Criterios!$A$81:$A$120, 0)), "Categoría no válida", IF(AND(J717&lt;&gt;"", J717&lt;&gt;"", J717&lt;&gt;VLOOKUP(K717, Criterios!$A$81:$B$120, 2, FALSE)), "División no coincide con Categoría", ""))), IF(OR(L717="", L717=""), "[Aviso] Género no capturado ()", IF(ISNA(MATCH(L717, Criterios!$B$123:$B$127, 0)), "Género no válido", "")), IF(OR(N717="", N717=""), "[Aviso] Temporada no capturada ()", IF(ISNA(MATCH(N717, Criterios!$C$123:$C$128, 0)), "Temporada no válida", "")), IF(OR(O717="", O717=""), "[Aviso] Ciclo de vida no capturado ()", IF(ISNA(MATCH(O717, Criterios!$D$123:$D$124, 0)), "Ciclo de vida no válido", ""))))</f>
        <v/>
      </c>
      <c r="AC717" s="56" t="n"/>
      <c r="AD717" s="51" t="n"/>
      <c r="AE717" s="156" t="n"/>
      <c r="AF717" s="51" t="n"/>
      <c r="AG717" s="156" t="inlineStr">
        <is>
          <t>Nuevo – Carga Hoja2 01/10/2026</t>
        </is>
      </c>
      <c r="AH717" s="156" t="inlineStr">
        <is>
          <t>Alta 01/10/2026 desde Hoja2 (fila 640);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17" s="156" t="n"/>
      <c r="AJ717" s="156" t="n"/>
      <c r="AK717" s="155" t="inlineStr">
        <is>
          <t>Hoja2: fila 640 | Odoo: producto 31051 / plantilla 39679</t>
        </is>
      </c>
      <c r="AL717" s="58" t="n"/>
      <c r="AM717" s="58" t="n"/>
      <c r="AN717" s="155" t="inlineStr">
        <is>
          <t>Odoo Universal Unique Brands</t>
        </is>
      </c>
      <c r="AO717" s="59" t="n"/>
      <c r="AP717" s="59" t="n"/>
      <c r="AQ717" s="59" t="n">
        <v>0</v>
      </c>
      <c r="AR717" s="155" t="n"/>
    </row>
    <row r="718">
      <c r="A718" s="50" t="inlineStr">
        <is>
          <t>7506674602722</t>
        </is>
      </c>
      <c r="B718" s="51" t="inlineStr">
        <is>
          <t>31052</t>
        </is>
      </c>
      <c r="C718" s="156" t="inlineStr">
        <is>
          <t>Wrangler</t>
        </is>
      </c>
      <c r="D718" s="156" t="inlineStr">
        <is>
          <t>C47557-27</t>
        </is>
      </c>
      <c r="E718" s="156" t="inlineStr">
        <is>
          <t>C47557-27-44</t>
        </is>
      </c>
      <c r="F718" s="156" t="inlineStr">
        <is>
          <t>44</t>
        </is>
      </c>
      <c r="G718" s="156" t="inlineStr">
        <is>
          <t>44</t>
        </is>
      </c>
      <c r="H718" s="156" t="inlineStr">
        <is>
          <t>Wrangler</t>
        </is>
      </c>
      <c r="I718" s="156" t="inlineStr">
        <is>
          <t>Cinturón de hombre C47557-27 Café</t>
        </is>
      </c>
      <c r="J718" s="156" t="inlineStr">
        <is>
          <t>Accesorios</t>
        </is>
      </c>
      <c r="K718" s="156" t="inlineStr">
        <is>
          <t>Cinturones</t>
        </is>
      </c>
      <c r="L718" s="156" t="inlineStr">
        <is>
          <t>Hombre</t>
        </is>
      </c>
      <c r="M718" s="156" t="inlineStr">
        <is>
          <t>Wrangler</t>
        </is>
      </c>
      <c r="N718" s="156" t="inlineStr">
        <is>
          <t>FW26</t>
        </is>
      </c>
      <c r="O718" s="156" t="n"/>
      <c r="P718" s="156" t="inlineStr">
        <is>
          <t>Cafe</t>
        </is>
      </c>
      <c r="Q718" s="156" t="n"/>
      <c r="R718" s="156" t="n"/>
      <c r="S718" s="156" t="inlineStr">
        <is>
          <t>100% PIEL VACUNO</t>
        </is>
      </c>
      <c r="T718" s="156" t="inlineStr">
        <is>
          <t>Cinturón para Caballero de Piel</t>
        </is>
      </c>
      <c r="U718" s="156" t="inlineStr">
        <is>
          <t>México</t>
        </is>
      </c>
      <c r="V718" s="156" t="inlineStr">
        <is>
          <t>PZS</t>
        </is>
      </c>
      <c r="W718" s="51" t="inlineStr">
        <is>
          <t>53102501</t>
        </is>
      </c>
      <c r="X718" s="156" t="n"/>
      <c r="Y718" s="54" t="n"/>
      <c r="Z718" s="54" t="n">
        <v>344.48</v>
      </c>
      <c r="AA718" s="55">
        <f>IF(AND(A718="", B718="", E718=""), "", IF(AB718="", "Válido", IF((LEN(AB718)-LEN(SUBSTITUTE(AB718,"; ","")))/2+1&gt;(LEN(AB718)-LEN(SUBSTITUTE(AB718,"[Aviso]","")))/7, "Con Incidencias", "Válido")))</f>
        <v/>
      </c>
      <c r="AB718" s="56">
        <f>IF(AND(A718="", B718="", E718=""), "", TEXTJOIN("; ", TRUE, IF(OR(TRIM(A718&amp;"")="", ISNUMBER(SEARCH("FALTA", A718))), "UPC faltante/inválido", ""), IF(AND(A718&lt;&gt;"", IFERROR(_xlfn.XMATCH(A718,$A$2:$A$1063,0,1)&lt;&gt;_xlfn.XMATCH(A718,$A$2:$A$1063,0,-1),FALSE)), "Código de barras duplicado", ""), IF(AND(E718&lt;&gt;"", COUNTIF($E$2:$E$1063, E718)&gt;1), "SKU duplicado", ""), IF(OR(J718="", J718=""), "[Aviso] División no capturada ()", IF(ISNA(MATCH(J718, Criterios!$A$123:$A$126, 0)), "División no válida", "")), IF(OR(K718="", K718=""), "[Aviso] Categoría no capturada ()", IF(ISNA(MATCH(K718, Criterios!$A$81:$A$120, 0)), "Categoría no válida", IF(AND(J718&lt;&gt;"", J718&lt;&gt;"", J718&lt;&gt;VLOOKUP(K718, Criterios!$A$81:$B$120, 2, FALSE)), "División no coincide con Categoría", ""))), IF(OR(L718="", L718=""), "[Aviso] Género no capturado ()", IF(ISNA(MATCH(L718, Criterios!$B$123:$B$127, 0)), "Género no válido", "")), IF(OR(N718="", N718=""), "[Aviso] Temporada no capturada ()", IF(ISNA(MATCH(N718, Criterios!$C$123:$C$128, 0)), "Temporada no válida", "")), IF(OR(O718="", O718=""), "[Aviso] Ciclo de vida no capturado ()", IF(ISNA(MATCH(O718, Criterios!$D$123:$D$124, 0)), "Ciclo de vida no válido", ""))))</f>
        <v/>
      </c>
      <c r="AC718" s="56" t="n"/>
      <c r="AD718" s="51" t="n"/>
      <c r="AE718" s="156" t="n"/>
      <c r="AF718" s="51" t="n"/>
      <c r="AG718" s="156" t="inlineStr">
        <is>
          <t>Nuevo – Carga Hoja2 01/10/2026</t>
        </is>
      </c>
      <c r="AH718" s="156" t="inlineStr">
        <is>
          <t>Alta 01/10/2026 desde Hoja2 (fila 641); Precio de compra en 0/vacío en origen | 01/10/2026: complementado desde Odoo Universal Unique Brands (match por código de barras): WB Talla de EE. UU. | Homologación G1522 06/10/2026: WB País de origen: «Mexico» → «México» (Corrección aplicada)</t>
        </is>
      </c>
      <c r="AI718" s="156" t="n"/>
      <c r="AJ718" s="156" t="n"/>
      <c r="AK718" s="155" t="inlineStr">
        <is>
          <t>Hoja2: fila 641 | Odoo: producto 31052 / plantilla 39679</t>
        </is>
      </c>
      <c r="AL718" s="58" t="n"/>
      <c r="AM718" s="58" t="n"/>
      <c r="AN718" s="155" t="inlineStr">
        <is>
          <t>Odoo Universal Unique Brands</t>
        </is>
      </c>
      <c r="AO718" s="59" t="n"/>
      <c r="AP718" s="59" t="n"/>
      <c r="AQ718" s="59" t="n">
        <v>0</v>
      </c>
      <c r="AR718" s="155" t="n"/>
    </row>
    <row r="719">
      <c r="A719" s="50" t="n"/>
      <c r="B719" s="51" t="inlineStr">
        <is>
          <t>30972</t>
        </is>
      </c>
      <c r="C719" s="156" t="inlineStr">
        <is>
          <t>Wrangler</t>
        </is>
      </c>
      <c r="D719" s="156" t="inlineStr">
        <is>
          <t>C47567-27</t>
        </is>
      </c>
      <c r="E719" s="156" t="n"/>
      <c r="F719" s="156" t="inlineStr">
        <is>
          <t>32</t>
        </is>
      </c>
      <c r="G719" s="156" t="inlineStr">
        <is>
          <t>32</t>
        </is>
      </c>
      <c r="H719" s="156" t="inlineStr">
        <is>
          <t>Wrangler</t>
        </is>
      </c>
      <c r="I719" s="156" t="inlineStr">
        <is>
          <t>Cinturon de hombre C47567-27 Café T36</t>
        </is>
      </c>
      <c r="J719" s="156" t="inlineStr">
        <is>
          <t>Accesorios</t>
        </is>
      </c>
      <c r="K719" s="156" t="inlineStr">
        <is>
          <t>Cinturones</t>
        </is>
      </c>
      <c r="L719" s="156" t="inlineStr">
        <is>
          <t>Hombre</t>
        </is>
      </c>
      <c r="M719" s="156" t="inlineStr">
        <is>
          <t>Wrangler</t>
        </is>
      </c>
      <c r="N719" s="156" t="n"/>
      <c r="O719" s="156" t="n"/>
      <c r="P719" s="156" t="inlineStr">
        <is>
          <t>Cafe</t>
        </is>
      </c>
      <c r="Q719" s="156" t="n"/>
      <c r="R719" s="156" t="n"/>
      <c r="S719" s="156" t="n"/>
      <c r="T719" s="156" t="n"/>
      <c r="U719" s="156" t="inlineStr">
        <is>
          <t>México</t>
        </is>
      </c>
      <c r="V719" s="156" t="inlineStr">
        <is>
          <t>PZS</t>
        </is>
      </c>
      <c r="W719" s="51" t="inlineStr">
        <is>
          <t>53102501</t>
        </is>
      </c>
      <c r="X719" s="156" t="n"/>
      <c r="Y719" s="54" t="n">
        <v>292.76</v>
      </c>
      <c r="Z719" s="54" t="n">
        <v>430.6</v>
      </c>
      <c r="AA719" s="55">
        <f>IF(AND(A719="", B719="", E719=""), "", IF(AB719="", "Válido", IF((LEN(AB719)-LEN(SUBSTITUTE(AB719,"; ","")))/2+1&gt;(LEN(AB719)-LEN(SUBSTITUTE(AB719,"[Aviso]","")))/7, "Con Incidencias", "Válido")))</f>
        <v/>
      </c>
      <c r="AB719" s="56">
        <f>IF(AND(A719="", B719="", E719=""), "", TEXTJOIN("; ", TRUE, IF(OR(TRIM(A719&amp;"")="", ISNUMBER(SEARCH("FALTA", A719))), "UPC faltante/inválido", ""), IF(AND(A719&lt;&gt;"", IFERROR(_xlfn.XMATCH(A719,$A$2:$A$1063,0,1)&lt;&gt;_xlfn.XMATCH(A719,$A$2:$A$1063,0,-1),FALSE)), "Código de barras duplicado", ""), IF(AND(E719&lt;&gt;"", COUNTIF($E$2:$E$1063, E719)&gt;1), "SKU duplicado", ""), IF(OR(J719="", J719=""), "[Aviso] División no capturada ()", IF(ISNA(MATCH(J719, Criterios!$A$123:$A$126, 0)), "División no válida", "")), IF(OR(K719="", K719=""), "[Aviso] Categoría no capturada ()", IF(ISNA(MATCH(K719, Criterios!$A$81:$A$120, 0)), "Categoría no válida", IF(AND(J719&lt;&gt;"", J719&lt;&gt;"", J719&lt;&gt;VLOOKUP(K719, Criterios!$A$81:$B$120, 2, FALSE)), "División no coincide con Categoría", ""))), IF(OR(L719="", L719=""), "[Aviso] Género no capturado ()", IF(ISNA(MATCH(L719, Criterios!$B$123:$B$127, 0)), "Género no válido", "")), IF(OR(N719="", N719=""), "[Aviso] Temporada no capturada ()", IF(ISNA(MATCH(N719, Criterios!$C$123:$C$128, 0)), "Temporada no válida", "")), IF(OR(O719="", O719=""), "[Aviso] Ciclo de vida no capturado ()", IF(ISNA(MATCH(O719, Criterios!$D$123:$D$124, 0)), "Ciclo de vida no válido", ""))))</f>
        <v/>
      </c>
      <c r="AC719" s="56" t="n"/>
      <c r="AD719" s="51" t="n"/>
      <c r="AE719" s="156" t="n"/>
      <c r="AF719" s="51" t="n"/>
      <c r="AG719" s="156" t="inlineStr">
        <is>
          <t>Nuevo – Carga Hoja2 01/10/2026</t>
        </is>
      </c>
      <c r="AH719" s="156" t="inlineStr">
        <is>
          <t>Alta 01/10/2026 desde Hoja2 (fila 646) | Homologación G1522 06/10/2026: WB País de origen: «Mexico» → «México» (Corrección aplicada) · WB Talla de EE. UU.: «» → «32» (Completado por regla) · Validación G1522: Código de barras faltante; WB SKU faltante · Validador NetSuite / Odoo: V1: falta código de barras · Validador Shopify: V1: falta código de barras</t>
        </is>
      </c>
      <c r="AI719" s="156" t="n"/>
      <c r="AJ719" s="156" t="n"/>
      <c r="AK719" s="155" t="inlineStr">
        <is>
          <t>Hoja2: fila 646</t>
        </is>
      </c>
      <c r="AL719" s="58" t="n"/>
      <c r="AM719" s="58" t="n"/>
      <c r="AN719" s="155" t="n"/>
      <c r="AO719" s="59" t="n"/>
      <c r="AP719" s="59" t="n"/>
      <c r="AQ719" s="59" t="n"/>
      <c r="AR719" s="155" t="n"/>
    </row>
    <row r="720">
      <c r="A720" s="50" t="n"/>
      <c r="B720" s="51" t="inlineStr">
        <is>
          <t>30973</t>
        </is>
      </c>
      <c r="C720" s="156" t="inlineStr">
        <is>
          <t>Wrangler</t>
        </is>
      </c>
      <c r="D720" s="156" t="inlineStr">
        <is>
          <t>C47567-27</t>
        </is>
      </c>
      <c r="E720" s="156" t="n"/>
      <c r="F720" s="156" t="inlineStr">
        <is>
          <t>34</t>
        </is>
      </c>
      <c r="G720" s="156" t="inlineStr">
        <is>
          <t>34</t>
        </is>
      </c>
      <c r="H720" s="156" t="inlineStr">
        <is>
          <t>Wrangler</t>
        </is>
      </c>
      <c r="I720" s="156" t="inlineStr">
        <is>
          <t>Cinturon de hombre C47567-27 Café T36</t>
        </is>
      </c>
      <c r="J720" s="156" t="inlineStr">
        <is>
          <t>Accesorios</t>
        </is>
      </c>
      <c r="K720" s="156" t="inlineStr">
        <is>
          <t>Cinturones</t>
        </is>
      </c>
      <c r="L720" s="156" t="inlineStr">
        <is>
          <t>Hombre</t>
        </is>
      </c>
      <c r="M720" s="156" t="inlineStr">
        <is>
          <t>Wrangler</t>
        </is>
      </c>
      <c r="N720" s="156" t="n"/>
      <c r="O720" s="156" t="n"/>
      <c r="P720" s="156" t="inlineStr">
        <is>
          <t>Cafe</t>
        </is>
      </c>
      <c r="Q720" s="156" t="n"/>
      <c r="R720" s="156" t="n"/>
      <c r="S720" s="156" t="n"/>
      <c r="T720" s="156" t="n"/>
      <c r="U720" s="156" t="inlineStr">
        <is>
          <t>México</t>
        </is>
      </c>
      <c r="V720" s="156" t="inlineStr">
        <is>
          <t>PZS</t>
        </is>
      </c>
      <c r="W720" s="51" t="inlineStr">
        <is>
          <t>53102501</t>
        </is>
      </c>
      <c r="X720" s="156" t="n"/>
      <c r="Y720" s="54" t="n">
        <v>292.76</v>
      </c>
      <c r="Z720" s="54" t="n">
        <v>430.6</v>
      </c>
      <c r="AA720" s="55">
        <f>IF(AND(A720="", B720="", E720=""), "", IF(AB720="", "Válido", IF((LEN(AB720)-LEN(SUBSTITUTE(AB720,"; ","")))/2+1&gt;(LEN(AB720)-LEN(SUBSTITUTE(AB720,"[Aviso]","")))/7, "Con Incidencias", "Válido")))</f>
        <v/>
      </c>
      <c r="AB720" s="56">
        <f>IF(AND(A720="", B720="", E720=""), "", TEXTJOIN("; ", TRUE, IF(OR(TRIM(A720&amp;"")="", ISNUMBER(SEARCH("FALTA", A720))), "UPC faltante/inválido", ""), IF(AND(A720&lt;&gt;"", IFERROR(_xlfn.XMATCH(A720,$A$2:$A$1063,0,1)&lt;&gt;_xlfn.XMATCH(A720,$A$2:$A$1063,0,-1),FALSE)), "Código de barras duplicado", ""), IF(AND(E720&lt;&gt;"", COUNTIF($E$2:$E$1063, E720)&gt;1), "SKU duplicado", ""), IF(OR(J720="", J720=""), "[Aviso] División no capturada ()", IF(ISNA(MATCH(J720, Criterios!$A$123:$A$126, 0)), "División no válida", "")), IF(OR(K720="", K720=""), "[Aviso] Categoría no capturada ()", IF(ISNA(MATCH(K720, Criterios!$A$81:$A$120, 0)), "Categoría no válida", IF(AND(J720&lt;&gt;"", J720&lt;&gt;"", J720&lt;&gt;VLOOKUP(K720, Criterios!$A$81:$B$120, 2, FALSE)), "División no coincide con Categoría", ""))), IF(OR(L720="", L720=""), "[Aviso] Género no capturado ()", IF(ISNA(MATCH(L720, Criterios!$B$123:$B$127, 0)), "Género no válido", "")), IF(OR(N720="", N720=""), "[Aviso] Temporada no capturada ()", IF(ISNA(MATCH(N720, Criterios!$C$123:$C$128, 0)), "Temporada no válida", "")), IF(OR(O720="", O720=""), "[Aviso] Ciclo de vida no capturado ()", IF(ISNA(MATCH(O720, Criterios!$D$123:$D$124, 0)), "Ciclo de vida no válido", ""))))</f>
        <v/>
      </c>
      <c r="AC720" s="56" t="n"/>
      <c r="AD720" s="51" t="n"/>
      <c r="AE720" s="156" t="n"/>
      <c r="AF720" s="51" t="n"/>
      <c r="AG720" s="156" t="inlineStr">
        <is>
          <t>Nuevo – Carga Hoja2 01/10/2026</t>
        </is>
      </c>
      <c r="AH720" s="156" t="inlineStr">
        <is>
          <t>Alta 01/10/2026 desde Hoja2 (fila 647) | Homologación G1522 06/10/2026: WB País de origen: «Mexico» → «México» (Corrección aplicada) · WB Talla de EE. UU.: «» → «34» (Completado por regla) · Validación G1522: Código de barras faltante; WB SKU faltante · Validador NetSuite / Odoo: V1: falta código de barras · Validador Shopify: V1: falta código de barras</t>
        </is>
      </c>
      <c r="AI720" s="156" t="n"/>
      <c r="AJ720" s="156" t="n"/>
      <c r="AK720" s="155" t="inlineStr">
        <is>
          <t>Hoja2: fila 647</t>
        </is>
      </c>
      <c r="AL720" s="58" t="n"/>
      <c r="AM720" s="58" t="n"/>
      <c r="AN720" s="155" t="n"/>
      <c r="AO720" s="59" t="n"/>
      <c r="AP720" s="59" t="n"/>
      <c r="AQ720" s="59" t="n"/>
      <c r="AR720" s="155" t="n"/>
    </row>
    <row r="721">
      <c r="A721" s="50" t="n"/>
      <c r="B721" s="51" t="inlineStr">
        <is>
          <t>30975</t>
        </is>
      </c>
      <c r="C721" s="156" t="inlineStr">
        <is>
          <t>Wrangler</t>
        </is>
      </c>
      <c r="D721" s="156" t="inlineStr">
        <is>
          <t>C47567-27</t>
        </is>
      </c>
      <c r="E721" s="156" t="n"/>
      <c r="F721" s="156" t="inlineStr">
        <is>
          <t>38</t>
        </is>
      </c>
      <c r="G721" s="156" t="inlineStr">
        <is>
          <t>38</t>
        </is>
      </c>
      <c r="H721" s="156" t="inlineStr">
        <is>
          <t>Wrangler</t>
        </is>
      </c>
      <c r="I721" s="156" t="inlineStr">
        <is>
          <t>Cinturon de hombre C47567-27 Café T36</t>
        </is>
      </c>
      <c r="J721" s="156" t="inlineStr">
        <is>
          <t>Accesorios</t>
        </is>
      </c>
      <c r="K721" s="156" t="inlineStr">
        <is>
          <t>Cinturones</t>
        </is>
      </c>
      <c r="L721" s="156" t="inlineStr">
        <is>
          <t>Hombre</t>
        </is>
      </c>
      <c r="M721" s="156" t="inlineStr">
        <is>
          <t>Wrangler</t>
        </is>
      </c>
      <c r="N721" s="156" t="n"/>
      <c r="O721" s="156" t="n"/>
      <c r="P721" s="156" t="inlineStr">
        <is>
          <t>Cafe</t>
        </is>
      </c>
      <c r="Q721" s="156" t="n"/>
      <c r="R721" s="156" t="n"/>
      <c r="S721" s="156" t="n"/>
      <c r="T721" s="156" t="n"/>
      <c r="U721" s="156" t="inlineStr">
        <is>
          <t>México</t>
        </is>
      </c>
      <c r="V721" s="156" t="inlineStr">
        <is>
          <t>PZS</t>
        </is>
      </c>
      <c r="W721" s="51" t="inlineStr">
        <is>
          <t>53102501</t>
        </is>
      </c>
      <c r="X721" s="156" t="n"/>
      <c r="Y721" s="54" t="n">
        <v>292.76</v>
      </c>
      <c r="Z721" s="54" t="n">
        <v>430.6</v>
      </c>
      <c r="AA721" s="55">
        <f>IF(AND(A721="", B721="", E721=""), "", IF(AB721="", "Válido", IF((LEN(AB721)-LEN(SUBSTITUTE(AB721,"; ","")))/2+1&gt;(LEN(AB721)-LEN(SUBSTITUTE(AB721,"[Aviso]","")))/7, "Con Incidencias", "Válido")))</f>
        <v/>
      </c>
      <c r="AB721" s="56">
        <f>IF(AND(A721="", B721="", E721=""), "", TEXTJOIN("; ", TRUE, IF(OR(TRIM(A721&amp;"")="", ISNUMBER(SEARCH("FALTA", A721))), "UPC faltante/inválido", ""), IF(AND(A721&lt;&gt;"", IFERROR(_xlfn.XMATCH(A721,$A$2:$A$1063,0,1)&lt;&gt;_xlfn.XMATCH(A721,$A$2:$A$1063,0,-1),FALSE)), "Código de barras duplicado", ""), IF(AND(E721&lt;&gt;"", COUNTIF($E$2:$E$1063, E721)&gt;1), "SKU duplicado", ""), IF(OR(J721="", J721=""), "[Aviso] División no capturada ()", IF(ISNA(MATCH(J721, Criterios!$A$123:$A$126, 0)), "División no válida", "")), IF(OR(K721="", K721=""), "[Aviso] Categoría no capturada ()", IF(ISNA(MATCH(K721, Criterios!$A$81:$A$120, 0)), "Categoría no válida", IF(AND(J721&lt;&gt;"", J721&lt;&gt;"", J721&lt;&gt;VLOOKUP(K721, Criterios!$A$81:$B$120, 2, FALSE)), "División no coincide con Categoría", ""))), IF(OR(L721="", L721=""), "[Aviso] Género no capturado ()", IF(ISNA(MATCH(L721, Criterios!$B$123:$B$127, 0)), "Género no válido", "")), IF(OR(N721="", N721=""), "[Aviso] Temporada no capturada ()", IF(ISNA(MATCH(N721, Criterios!$C$123:$C$128, 0)), "Temporada no válida", "")), IF(OR(O721="", O721=""), "[Aviso] Ciclo de vida no capturado ()", IF(ISNA(MATCH(O721, Criterios!$D$123:$D$124, 0)), "Ciclo de vida no válido", ""))))</f>
        <v/>
      </c>
      <c r="AC721" s="56" t="n"/>
      <c r="AD721" s="51" t="n"/>
      <c r="AE721" s="156" t="n"/>
      <c r="AF721" s="51" t="n"/>
      <c r="AG721" s="156" t="inlineStr">
        <is>
          <t>Nuevo – Carga Hoja2 01/10/2026</t>
        </is>
      </c>
      <c r="AH721" s="156" t="inlineStr">
        <is>
          <t>Alta 01/10/2026 desde Hoja2 (fila 648) | Homologación G1522 06/10/2026: WB País de origen: «Mexico» → «México» (Corrección aplicada) · WB Talla de EE. UU.: «» → «38» (Completado por regla) · Validación G1522: Código de barras faltante; WB SKU faltante · Validador NetSuite / Odoo: V1: falta código de barras · Validador Shopify: V1: falta código de barras</t>
        </is>
      </c>
      <c r="AI721" s="156" t="n"/>
      <c r="AJ721" s="156" t="n"/>
      <c r="AK721" s="155" t="inlineStr">
        <is>
          <t>Hoja2: fila 648</t>
        </is>
      </c>
      <c r="AL721" s="58" t="n"/>
      <c r="AM721" s="58" t="n"/>
      <c r="AN721" s="155" t="n"/>
      <c r="AO721" s="59" t="n"/>
      <c r="AP721" s="59" t="n"/>
      <c r="AQ721" s="59" t="n"/>
      <c r="AR721" s="155" t="n"/>
    </row>
    <row r="722">
      <c r="A722" s="50" t="n"/>
      <c r="B722" s="51" t="inlineStr">
        <is>
          <t>30976</t>
        </is>
      </c>
      <c r="C722" s="156" t="inlineStr">
        <is>
          <t>Wrangler</t>
        </is>
      </c>
      <c r="D722" s="156" t="inlineStr">
        <is>
          <t>C47567-27</t>
        </is>
      </c>
      <c r="E722" s="156" t="n"/>
      <c r="F722" s="156" t="inlineStr">
        <is>
          <t>40</t>
        </is>
      </c>
      <c r="G722" s="156" t="inlineStr">
        <is>
          <t>40</t>
        </is>
      </c>
      <c r="H722" s="156" t="inlineStr">
        <is>
          <t>Wrangler</t>
        </is>
      </c>
      <c r="I722" s="156" t="inlineStr">
        <is>
          <t>Cinturon de hombre C47567-27 Café T36</t>
        </is>
      </c>
      <c r="J722" s="156" t="inlineStr">
        <is>
          <t>Accesorios</t>
        </is>
      </c>
      <c r="K722" s="156" t="inlineStr">
        <is>
          <t>Cinturones</t>
        </is>
      </c>
      <c r="L722" s="156" t="inlineStr">
        <is>
          <t>Hombre</t>
        </is>
      </c>
      <c r="M722" s="156" t="inlineStr">
        <is>
          <t>Wrangler</t>
        </is>
      </c>
      <c r="N722" s="156" t="n"/>
      <c r="O722" s="156" t="n"/>
      <c r="P722" s="156" t="inlineStr">
        <is>
          <t>Cafe</t>
        </is>
      </c>
      <c r="Q722" s="156" t="n"/>
      <c r="R722" s="156" t="n"/>
      <c r="S722" s="156" t="n"/>
      <c r="T722" s="156" t="n"/>
      <c r="U722" s="156" t="inlineStr">
        <is>
          <t>México</t>
        </is>
      </c>
      <c r="V722" s="156" t="inlineStr">
        <is>
          <t>PZS</t>
        </is>
      </c>
      <c r="W722" s="51" t="inlineStr">
        <is>
          <t>53102501</t>
        </is>
      </c>
      <c r="X722" s="156" t="n"/>
      <c r="Y722" s="54" t="n">
        <v>292.76</v>
      </c>
      <c r="Z722" s="54" t="n">
        <v>430.6</v>
      </c>
      <c r="AA722" s="55">
        <f>IF(AND(A722="", B722="", E722=""), "", IF(AB722="", "Válido", IF((LEN(AB722)-LEN(SUBSTITUTE(AB722,"; ","")))/2+1&gt;(LEN(AB722)-LEN(SUBSTITUTE(AB722,"[Aviso]","")))/7, "Con Incidencias", "Válido")))</f>
        <v/>
      </c>
      <c r="AB722" s="56">
        <f>IF(AND(A722="", B722="", E722=""), "", TEXTJOIN("; ", TRUE, IF(OR(TRIM(A722&amp;"")="", ISNUMBER(SEARCH("FALTA", A722))), "UPC faltante/inválido", ""), IF(AND(A722&lt;&gt;"", IFERROR(_xlfn.XMATCH(A722,$A$2:$A$1063,0,1)&lt;&gt;_xlfn.XMATCH(A722,$A$2:$A$1063,0,-1),FALSE)), "Código de barras duplicado", ""), IF(AND(E722&lt;&gt;"", COUNTIF($E$2:$E$1063, E722)&gt;1), "SKU duplicado", ""), IF(OR(J722="", J722=""), "[Aviso] División no capturada ()", IF(ISNA(MATCH(J722, Criterios!$A$123:$A$126, 0)), "División no válida", "")), IF(OR(K722="", K722=""), "[Aviso] Categoría no capturada ()", IF(ISNA(MATCH(K722, Criterios!$A$81:$A$120, 0)), "Categoría no válida", IF(AND(J722&lt;&gt;"", J722&lt;&gt;"", J722&lt;&gt;VLOOKUP(K722, Criterios!$A$81:$B$120, 2, FALSE)), "División no coincide con Categoría", ""))), IF(OR(L722="", L722=""), "[Aviso] Género no capturado ()", IF(ISNA(MATCH(L722, Criterios!$B$123:$B$127, 0)), "Género no válido", "")), IF(OR(N722="", N722=""), "[Aviso] Temporada no capturada ()", IF(ISNA(MATCH(N722, Criterios!$C$123:$C$128, 0)), "Temporada no válida", "")), IF(OR(O722="", O722=""), "[Aviso] Ciclo de vida no capturado ()", IF(ISNA(MATCH(O722, Criterios!$D$123:$D$124, 0)), "Ciclo de vida no válido", ""))))</f>
        <v/>
      </c>
      <c r="AC722" s="56" t="n"/>
      <c r="AD722" s="51" t="n"/>
      <c r="AE722" s="156" t="n"/>
      <c r="AF722" s="51" t="n"/>
      <c r="AG722" s="156" t="inlineStr">
        <is>
          <t>Nuevo – Carga Hoja2 01/10/2026</t>
        </is>
      </c>
      <c r="AH722" s="156" t="inlineStr">
        <is>
          <t>Alta 01/10/2026 desde Hoja2 (fila 649) | Homologación G1522 06/10/2026: WB País de origen: «Mexico» → «México» (Corrección aplicada) · WB Talla de EE. UU.: «» → «40» (Completado por regla) · Validación G1522: Código de barras faltante; WB SKU faltante · Validador NetSuite / Odoo: V1: falta código de barras · Validador Shopify: V1: falta código de barras</t>
        </is>
      </c>
      <c r="AI722" s="156" t="n"/>
      <c r="AJ722" s="156" t="n"/>
      <c r="AK722" s="155" t="inlineStr">
        <is>
          <t>Hoja2: fila 649</t>
        </is>
      </c>
      <c r="AL722" s="58" t="n"/>
      <c r="AM722" s="58" t="n"/>
      <c r="AN722" s="155" t="n"/>
      <c r="AO722" s="59" t="n"/>
      <c r="AP722" s="59" t="n"/>
      <c r="AQ722" s="59" t="n"/>
      <c r="AR722" s="155" t="n"/>
    </row>
    <row r="723">
      <c r="A723" s="50" t="n"/>
      <c r="B723" s="51" t="inlineStr">
        <is>
          <t>30977</t>
        </is>
      </c>
      <c r="C723" s="156" t="inlineStr">
        <is>
          <t>Wrangler</t>
        </is>
      </c>
      <c r="D723" s="156" t="inlineStr">
        <is>
          <t>C47567-27</t>
        </is>
      </c>
      <c r="E723" s="156" t="n"/>
      <c r="F723" s="156" t="inlineStr">
        <is>
          <t>42</t>
        </is>
      </c>
      <c r="G723" s="156" t="inlineStr">
        <is>
          <t>42</t>
        </is>
      </c>
      <c r="H723" s="156" t="inlineStr">
        <is>
          <t>Wrangler</t>
        </is>
      </c>
      <c r="I723" s="156" t="inlineStr">
        <is>
          <t>Cinturon de hombre C47567-27 Café T36</t>
        </is>
      </c>
      <c r="J723" s="156" t="inlineStr">
        <is>
          <t>Accesorios</t>
        </is>
      </c>
      <c r="K723" s="156" t="inlineStr">
        <is>
          <t>Cinturones</t>
        </is>
      </c>
      <c r="L723" s="156" t="inlineStr">
        <is>
          <t>Hombre</t>
        </is>
      </c>
      <c r="M723" s="156" t="inlineStr">
        <is>
          <t>Wrangler</t>
        </is>
      </c>
      <c r="N723" s="156" t="n"/>
      <c r="O723" s="156" t="n"/>
      <c r="P723" s="156" t="inlineStr">
        <is>
          <t>Cafe</t>
        </is>
      </c>
      <c r="Q723" s="156" t="n"/>
      <c r="R723" s="156" t="n"/>
      <c r="S723" s="156" t="n"/>
      <c r="T723" s="156" t="n"/>
      <c r="U723" s="156" t="inlineStr">
        <is>
          <t>México</t>
        </is>
      </c>
      <c r="V723" s="156" t="inlineStr">
        <is>
          <t>PZS</t>
        </is>
      </c>
      <c r="W723" s="51" t="inlineStr">
        <is>
          <t>53102501</t>
        </is>
      </c>
      <c r="X723" s="156" t="n"/>
      <c r="Y723" s="54" t="n">
        <v>292.76</v>
      </c>
      <c r="Z723" s="54" t="n">
        <v>430.6</v>
      </c>
      <c r="AA723" s="55">
        <f>IF(AND(A723="", B723="", E723=""), "", IF(AB723="", "Válido", IF((LEN(AB723)-LEN(SUBSTITUTE(AB723,"; ","")))/2+1&gt;(LEN(AB723)-LEN(SUBSTITUTE(AB723,"[Aviso]","")))/7, "Con Incidencias", "Válido")))</f>
        <v/>
      </c>
      <c r="AB723" s="56">
        <f>IF(AND(A723="", B723="", E723=""), "", TEXTJOIN("; ", TRUE, IF(OR(TRIM(A723&amp;"")="", ISNUMBER(SEARCH("FALTA", A723))), "UPC faltante/inválido", ""), IF(AND(A723&lt;&gt;"", IFERROR(_xlfn.XMATCH(A723,$A$2:$A$1063,0,1)&lt;&gt;_xlfn.XMATCH(A723,$A$2:$A$1063,0,-1),FALSE)), "Código de barras duplicado", ""), IF(AND(E723&lt;&gt;"", COUNTIF($E$2:$E$1063, E723)&gt;1), "SKU duplicado", ""), IF(OR(J723="", J723=""), "[Aviso] División no capturada ()", IF(ISNA(MATCH(J723, Criterios!$A$123:$A$126, 0)), "División no válida", "")), IF(OR(K723="", K723=""), "[Aviso] Categoría no capturada ()", IF(ISNA(MATCH(K723, Criterios!$A$81:$A$120, 0)), "Categoría no válida", IF(AND(J723&lt;&gt;"", J723&lt;&gt;"", J723&lt;&gt;VLOOKUP(K723, Criterios!$A$81:$B$120, 2, FALSE)), "División no coincide con Categoría", ""))), IF(OR(L723="", L723=""), "[Aviso] Género no capturado ()", IF(ISNA(MATCH(L723, Criterios!$B$123:$B$127, 0)), "Género no válido", "")), IF(OR(N723="", N723=""), "[Aviso] Temporada no capturada ()", IF(ISNA(MATCH(N723, Criterios!$C$123:$C$128, 0)), "Temporada no válida", "")), IF(OR(O723="", O723=""), "[Aviso] Ciclo de vida no capturado ()", IF(ISNA(MATCH(O723, Criterios!$D$123:$D$124, 0)), "Ciclo de vida no válido", ""))))</f>
        <v/>
      </c>
      <c r="AC723" s="56" t="n"/>
      <c r="AD723" s="51" t="n"/>
      <c r="AE723" s="156" t="n"/>
      <c r="AF723" s="51" t="n"/>
      <c r="AG723" s="156" t="inlineStr">
        <is>
          <t>Nuevo – Carga Hoja2 01/10/2026</t>
        </is>
      </c>
      <c r="AH723" s="156" t="inlineStr">
        <is>
          <t>Alta 01/10/2026 desde Hoja2 (fila 650) | Homologación G1522 06/10/2026: WB País de origen: «Mexico» → «México» (Corrección aplicada) · WB Talla de EE. UU.: «» → «42» (Completado por regla) · Validación G1522: Código de barras faltante; WB SKU faltante · Validador NetSuite / Odoo: V1: falta código de barras · Validador Shopify: V1: falta código de barras</t>
        </is>
      </c>
      <c r="AI723" s="156" t="n"/>
      <c r="AJ723" s="156" t="n"/>
      <c r="AK723" s="155" t="inlineStr">
        <is>
          <t>Hoja2: fila 650</t>
        </is>
      </c>
      <c r="AL723" s="58" t="n"/>
      <c r="AM723" s="58" t="n"/>
      <c r="AN723" s="155" t="n"/>
      <c r="AO723" s="59" t="n"/>
      <c r="AP723" s="59" t="n"/>
      <c r="AQ723" s="59" t="n"/>
      <c r="AR723" s="155" t="n"/>
    </row>
    <row r="724">
      <c r="A724" s="50" t="n"/>
      <c r="B724" s="51" t="inlineStr">
        <is>
          <t>30978</t>
        </is>
      </c>
      <c r="C724" s="156" t="inlineStr">
        <is>
          <t>Wrangler</t>
        </is>
      </c>
      <c r="D724" s="156" t="inlineStr">
        <is>
          <t>C47567-27</t>
        </is>
      </c>
      <c r="E724" s="156" t="n"/>
      <c r="F724" s="156" t="inlineStr">
        <is>
          <t>44</t>
        </is>
      </c>
      <c r="G724" s="156" t="inlineStr">
        <is>
          <t>44</t>
        </is>
      </c>
      <c r="H724" s="156" t="inlineStr">
        <is>
          <t>Wrangler</t>
        </is>
      </c>
      <c r="I724" s="156" t="inlineStr">
        <is>
          <t>Cinturon de hombre C47567-27 Café T36</t>
        </is>
      </c>
      <c r="J724" s="156" t="inlineStr">
        <is>
          <t>Accesorios</t>
        </is>
      </c>
      <c r="K724" s="156" t="inlineStr">
        <is>
          <t>Cinturones</t>
        </is>
      </c>
      <c r="L724" s="156" t="inlineStr">
        <is>
          <t>Hombre</t>
        </is>
      </c>
      <c r="M724" s="156" t="inlineStr">
        <is>
          <t>Wrangler</t>
        </is>
      </c>
      <c r="N724" s="156" t="n"/>
      <c r="O724" s="156" t="n"/>
      <c r="P724" s="156" t="inlineStr">
        <is>
          <t>Cafe</t>
        </is>
      </c>
      <c r="Q724" s="156" t="n"/>
      <c r="R724" s="156" t="n"/>
      <c r="S724" s="156" t="n"/>
      <c r="T724" s="156" t="n"/>
      <c r="U724" s="156" t="inlineStr">
        <is>
          <t>México</t>
        </is>
      </c>
      <c r="V724" s="156" t="inlineStr">
        <is>
          <t>PZS</t>
        </is>
      </c>
      <c r="W724" s="51" t="inlineStr">
        <is>
          <t>53102501</t>
        </is>
      </c>
      <c r="X724" s="156" t="n"/>
      <c r="Y724" s="54" t="n">
        <v>292.76</v>
      </c>
      <c r="Z724" s="54" t="n">
        <v>430.6</v>
      </c>
      <c r="AA724" s="55">
        <f>IF(AND(A724="", B724="", E724=""), "", IF(AB724="", "Válido", IF((LEN(AB724)-LEN(SUBSTITUTE(AB724,"; ","")))/2+1&gt;(LEN(AB724)-LEN(SUBSTITUTE(AB724,"[Aviso]","")))/7, "Con Incidencias", "Válido")))</f>
        <v/>
      </c>
      <c r="AB724" s="56">
        <f>IF(AND(A724="", B724="", E724=""), "", TEXTJOIN("; ", TRUE, IF(OR(TRIM(A724&amp;"")="", ISNUMBER(SEARCH("FALTA", A724))), "UPC faltante/inválido", ""), IF(AND(A724&lt;&gt;"", IFERROR(_xlfn.XMATCH(A724,$A$2:$A$1063,0,1)&lt;&gt;_xlfn.XMATCH(A724,$A$2:$A$1063,0,-1),FALSE)), "Código de barras duplicado", ""), IF(AND(E724&lt;&gt;"", COUNTIF($E$2:$E$1063, E724)&gt;1), "SKU duplicado", ""), IF(OR(J724="", J724=""), "[Aviso] División no capturada ()", IF(ISNA(MATCH(J724, Criterios!$A$123:$A$126, 0)), "División no válida", "")), IF(OR(K724="", K724=""), "[Aviso] Categoría no capturada ()", IF(ISNA(MATCH(K724, Criterios!$A$81:$A$120, 0)), "Categoría no válida", IF(AND(J724&lt;&gt;"", J724&lt;&gt;"", J724&lt;&gt;VLOOKUP(K724, Criterios!$A$81:$B$120, 2, FALSE)), "División no coincide con Categoría", ""))), IF(OR(L724="", L724=""), "[Aviso] Género no capturado ()", IF(ISNA(MATCH(L724, Criterios!$B$123:$B$127, 0)), "Género no válido", "")), IF(OR(N724="", N724=""), "[Aviso] Temporada no capturada ()", IF(ISNA(MATCH(N724, Criterios!$C$123:$C$128, 0)), "Temporada no válida", "")), IF(OR(O724="", O724=""), "[Aviso] Ciclo de vida no capturado ()", IF(ISNA(MATCH(O724, Criterios!$D$123:$D$124, 0)), "Ciclo de vida no válido", ""))))</f>
        <v/>
      </c>
      <c r="AC724" s="56" t="n"/>
      <c r="AD724" s="51" t="n"/>
      <c r="AE724" s="156" t="n"/>
      <c r="AF724" s="51" t="n"/>
      <c r="AG724" s="156" t="inlineStr">
        <is>
          <t>Nuevo – Carga Hoja2 01/10/2026</t>
        </is>
      </c>
      <c r="AH724" s="156" t="inlineStr">
        <is>
          <t>Alta 01/10/2026 desde Hoja2 (fila 651) | Homologación G1522 06/10/2026: WB País de origen: «Mexico» → «México» (Corrección aplicada) · WB Talla de EE. UU.: «» → «44» (Completado por regla) · Validación G1522: Código de barras faltante; WB SKU faltante · Validador NetSuite / Odoo: V1: falta código de barras · Validador Shopify: V1: falta código de barras</t>
        </is>
      </c>
      <c r="AI724" s="156" t="n"/>
      <c r="AJ724" s="156" t="n"/>
      <c r="AK724" s="155" t="inlineStr">
        <is>
          <t>Hoja2: fila 651</t>
        </is>
      </c>
      <c r="AL724" s="58" t="n"/>
      <c r="AM724" s="58" t="n"/>
      <c r="AN724" s="155" t="n"/>
      <c r="AO724" s="59" t="n"/>
      <c r="AP724" s="59" t="n"/>
      <c r="AQ724" s="59" t="n"/>
      <c r="AR724" s="155" t="n"/>
    </row>
    <row r="725">
      <c r="A725" s="50" t="n"/>
      <c r="B725" s="51" t="inlineStr">
        <is>
          <t>30974</t>
        </is>
      </c>
      <c r="C725" s="156" t="inlineStr">
        <is>
          <t>Wrangler</t>
        </is>
      </c>
      <c r="D725" s="156" t="inlineStr">
        <is>
          <t>C47567-27</t>
        </is>
      </c>
      <c r="E725" s="156" t="inlineStr">
        <is>
          <t>C47567-27-36</t>
        </is>
      </c>
      <c r="F725" s="156" t="inlineStr">
        <is>
          <t>36</t>
        </is>
      </c>
      <c r="G725" s="156" t="inlineStr">
        <is>
          <t>36</t>
        </is>
      </c>
      <c r="H725" s="156" t="inlineStr">
        <is>
          <t>Wrangler</t>
        </is>
      </c>
      <c r="I725" s="156" t="inlineStr">
        <is>
          <t>Cinturon de hombre C47567-27 Café T36</t>
        </is>
      </c>
      <c r="J725" s="156" t="inlineStr">
        <is>
          <t>Accesorios</t>
        </is>
      </c>
      <c r="K725" s="156" t="inlineStr">
        <is>
          <t>Cinturones</t>
        </is>
      </c>
      <c r="L725" s="156" t="inlineStr">
        <is>
          <t>Hombre</t>
        </is>
      </c>
      <c r="M725" s="156" t="inlineStr">
        <is>
          <t>Wrangler</t>
        </is>
      </c>
      <c r="N725" s="156" t="inlineStr">
        <is>
          <t>SS26</t>
        </is>
      </c>
      <c r="O725" s="156" t="n"/>
      <c r="P725" s="156" t="inlineStr">
        <is>
          <t>Cafe</t>
        </is>
      </c>
      <c r="Q725" s="156" t="n"/>
      <c r="R725" s="156" t="n"/>
      <c r="S725" s="156" t="n"/>
      <c r="T725" s="156" t="inlineStr">
        <is>
          <t>Cinturón Vaquero</t>
        </is>
      </c>
      <c r="U725" s="156" t="inlineStr">
        <is>
          <t>México</t>
        </is>
      </c>
      <c r="V725" s="156" t="inlineStr">
        <is>
          <t>PZS</t>
        </is>
      </c>
      <c r="W725" s="51" t="inlineStr">
        <is>
          <t>53102501</t>
        </is>
      </c>
      <c r="X725" s="156" t="n"/>
      <c r="Y725" s="54" t="n">
        <v>292.76</v>
      </c>
      <c r="Z725" s="54" t="n">
        <v>430.6</v>
      </c>
      <c r="AA725" s="55">
        <f>IF(AND(A725="", B725="", E725=""), "", IF(AB725="", "Válido", IF((LEN(AB725)-LEN(SUBSTITUTE(AB725,"; ","")))/2+1&gt;(LEN(AB725)-LEN(SUBSTITUTE(AB725,"[Aviso]","")))/7, "Con Incidencias", "Válido")))</f>
        <v/>
      </c>
      <c r="AB725" s="56">
        <f>IF(AND(A725="", B725="", E725=""), "", TEXTJOIN("; ", TRUE, IF(OR(TRIM(A725&amp;"")="", ISNUMBER(SEARCH("FALTA", A725))), "UPC faltante/inválido", ""), IF(AND(A725&lt;&gt;"", IFERROR(_xlfn.XMATCH(A725,$A$2:$A$1063,0,1)&lt;&gt;_xlfn.XMATCH(A725,$A$2:$A$1063,0,-1),FALSE)), "Código de barras duplicado", ""), IF(AND(E725&lt;&gt;"", COUNTIF($E$2:$E$1063, E725)&gt;1), "SKU duplicado", ""), IF(OR(J725="", J725=""), "[Aviso] División no capturada ()", IF(ISNA(MATCH(J725, Criterios!$A$123:$A$126, 0)), "División no válida", "")), IF(OR(K725="", K725=""), "[Aviso] Categoría no capturada ()", IF(ISNA(MATCH(K725, Criterios!$A$81:$A$120, 0)), "Categoría no válida", IF(AND(J725&lt;&gt;"", J725&lt;&gt;"", J725&lt;&gt;VLOOKUP(K725, Criterios!$A$81:$B$120, 2, FALSE)), "División no coincide con Categoría", ""))), IF(OR(L725="", L725=""), "[Aviso] Género no capturado ()", IF(ISNA(MATCH(L725, Criterios!$B$123:$B$127, 0)), "Género no válido", "")), IF(OR(N725="", N725=""), "[Aviso] Temporada no capturada ()", IF(ISNA(MATCH(N725, Criterios!$C$123:$C$128, 0)), "Temporada no válida", "")), IF(OR(O725="", O725=""), "[Aviso] Ciclo de vida no capturado ()", IF(ISNA(MATCH(O725, Criterios!$D$123:$D$124, 0)), "Ciclo de vida no válido", ""))))</f>
        <v/>
      </c>
      <c r="AC725" s="56" t="n"/>
      <c r="AD725" s="51" t="n"/>
      <c r="AE725" s="156" t="n"/>
      <c r="AF725" s="51" t="n"/>
      <c r="AG725" s="156" t="inlineStr">
        <is>
          <t>Nuevo – Carga Hoja2 01/10/2026</t>
        </is>
      </c>
      <c r="AH725" s="156" t="inlineStr">
        <is>
          <t>Alta 01/10/2026 desde Hoja2 (fila 652) | 01/10/2026: complementado desde Odoo Universal Unique Brands (match por SKU): WB Talla de EE. UU., WB Temporada, WB Descripción larga | Homologación G1522 06/10/2026: WB País de origen: «Mexico» → «México» (Corrección aplicada) · Validación G1522: Código de barras faltante · Validador NetSuite / Odoo: V1: falta código de barras · Validador Shopify: V1: falta código de barras</t>
        </is>
      </c>
      <c r="AI725" s="156" t="n"/>
      <c r="AJ725" s="156" t="n"/>
      <c r="AK725" s="155" t="inlineStr">
        <is>
          <t>Hoja2: fila 652 | Odoo: producto 30974 / plantilla 39512</t>
        </is>
      </c>
      <c r="AL725" s="58" t="n"/>
      <c r="AM725" s="58" t="n"/>
      <c r="AN725" s="155" t="inlineStr">
        <is>
          <t>Odoo Universal Unique Brands</t>
        </is>
      </c>
      <c r="AO725" s="59" t="n"/>
      <c r="AP725" s="59" t="n"/>
      <c r="AQ725" s="59" t="n">
        <v>0</v>
      </c>
      <c r="AR725" s="155" t="n"/>
    </row>
    <row r="726">
      <c r="A726" s="50" t="inlineStr">
        <is>
          <t>7506674606843</t>
        </is>
      </c>
      <c r="B726" s="51" t="inlineStr">
        <is>
          <t>31053</t>
        </is>
      </c>
      <c r="C726" s="156" t="inlineStr">
        <is>
          <t>Wrangler</t>
        </is>
      </c>
      <c r="D726" s="156" t="inlineStr">
        <is>
          <t>W47499-27</t>
        </is>
      </c>
      <c r="E726" s="156" t="inlineStr">
        <is>
          <t>W47499-27</t>
        </is>
      </c>
      <c r="F726" s="156" t="inlineStr">
        <is>
          <t>Talla única</t>
        </is>
      </c>
      <c r="G726" s="156" t="inlineStr">
        <is>
          <t>One Size</t>
        </is>
      </c>
      <c r="H726" s="156" t="inlineStr">
        <is>
          <t>Wrangler</t>
        </is>
      </c>
      <c r="I726" s="156" t="inlineStr">
        <is>
          <t>Cartera Rodeo W47499-27 Negro</t>
        </is>
      </c>
      <c r="J726" s="156" t="inlineStr">
        <is>
          <t>Accesorios</t>
        </is>
      </c>
      <c r="K726" s="156" t="inlineStr">
        <is>
          <t>Carteras</t>
        </is>
      </c>
      <c r="L726" s="156" t="inlineStr">
        <is>
          <t>Hombre</t>
        </is>
      </c>
      <c r="M726" s="156" t="inlineStr">
        <is>
          <t>Wrangler</t>
        </is>
      </c>
      <c r="N726" s="156" t="inlineStr">
        <is>
          <t>FW26</t>
        </is>
      </c>
      <c r="O726" s="156" t="n"/>
      <c r="P726" s="156" t="inlineStr">
        <is>
          <t>Negro</t>
        </is>
      </c>
      <c r="Q726" s="156" t="n"/>
      <c r="R726" s="156" t="n"/>
      <c r="S726" s="156" t="n"/>
      <c r="T726" s="156" t="inlineStr">
        <is>
          <t>Cartera de piel Rodeo</t>
        </is>
      </c>
      <c r="U726" s="156" t="inlineStr">
        <is>
          <t>México</t>
        </is>
      </c>
      <c r="V726" s="156" t="inlineStr">
        <is>
          <t>PZS</t>
        </is>
      </c>
      <c r="W726" s="51" t="inlineStr">
        <is>
          <t>53121700</t>
        </is>
      </c>
      <c r="X726" s="156" t="n"/>
      <c r="Y726" s="54" t="n"/>
      <c r="Z726" s="54" t="n">
        <v>344.48</v>
      </c>
      <c r="AA726" s="55">
        <f>IF(AND(A726="", B726="", E726=""), "", IF(AB726="", "Válido", IF((LEN(AB726)-LEN(SUBSTITUTE(AB726,"; ","")))/2+1&gt;(LEN(AB726)-LEN(SUBSTITUTE(AB726,"[Aviso]","")))/7, "Con Incidencias", "Válido")))</f>
        <v/>
      </c>
      <c r="AB726" s="56">
        <f>IF(AND(A726="", B726="", E726=""), "", TEXTJOIN("; ", TRUE, IF(OR(TRIM(A726&amp;"")="", ISNUMBER(SEARCH("FALTA", A726))), "UPC faltante/inválido", ""), IF(AND(A726&lt;&gt;"", IFERROR(_xlfn.XMATCH(A726,$A$2:$A$1063,0,1)&lt;&gt;_xlfn.XMATCH(A726,$A$2:$A$1063,0,-1),FALSE)), "Código de barras duplicado", ""), IF(AND(E726&lt;&gt;"", COUNTIF($E$2:$E$1063, E726)&gt;1), "SKU duplicado", ""), IF(OR(J726="", J726=""), "[Aviso] División no capturada ()", IF(ISNA(MATCH(J726, Criterios!$A$123:$A$126, 0)), "División no válida", "")), IF(OR(K726="", K726=""), "[Aviso] Categoría no capturada ()", IF(ISNA(MATCH(K726, Criterios!$A$81:$A$120, 0)), "Categoría no válida", IF(AND(J726&lt;&gt;"", J726&lt;&gt;"", J726&lt;&gt;VLOOKUP(K726, Criterios!$A$81:$B$120, 2, FALSE)), "División no coincide con Categoría", ""))), IF(OR(L726="", L726=""), "[Aviso] Género no capturado ()", IF(ISNA(MATCH(L726, Criterios!$B$123:$B$127, 0)), "Género no válido", "")), IF(OR(N726="", N726=""), "[Aviso] Temporada no capturada ()", IF(ISNA(MATCH(N726, Criterios!$C$123:$C$128, 0)), "Temporada no válida", "")), IF(OR(O726="", O726=""), "[Aviso] Ciclo de vida no capturado ()", IF(ISNA(MATCH(O726, Criterios!$D$123:$D$124, 0)), "Ciclo de vida no válido", ""))))</f>
        <v/>
      </c>
      <c r="AC726" s="56" t="n"/>
      <c r="AD726" s="51" t="n"/>
      <c r="AE726" s="156" t="n"/>
      <c r="AF726" s="51" t="n"/>
      <c r="AG726" s="156" t="inlineStr">
        <is>
          <t>Nuevo – Carga Hoja2 01/10/2026</t>
        </is>
      </c>
      <c r="AH726" s="156" t="inlineStr">
        <is>
          <t>Alta 01/10/2026 desde Hoja2 (fila 738); Precio de compra en 0/vacío en origen | Homologación G1522 06/10/2026: WB País de origen: «Mexico» → «México» (Corrección aplicada)</t>
        </is>
      </c>
      <c r="AI726" s="156" t="n"/>
      <c r="AJ726" s="156" t="n"/>
      <c r="AK726" s="155" t="inlineStr">
        <is>
          <t>Hoja2: fila 738 | Odoo: producto 31053 / plantilla 39680</t>
        </is>
      </c>
      <c r="AL726" s="58" t="n"/>
      <c r="AM726" s="58" t="n"/>
      <c r="AN726" s="155" t="inlineStr">
        <is>
          <t>Odoo Universal Unique Brands</t>
        </is>
      </c>
      <c r="AO726" s="59" t="n"/>
      <c r="AP726" s="59" t="n"/>
      <c r="AQ726" s="59" t="n">
        <v>0</v>
      </c>
      <c r="AR726" s="155" t="n"/>
    </row>
    <row r="727">
      <c r="A727" s="50" t="inlineStr">
        <is>
          <t>7506674606850</t>
        </is>
      </c>
      <c r="B727" s="51" t="inlineStr">
        <is>
          <t>31054</t>
        </is>
      </c>
      <c r="C727" s="156" t="inlineStr">
        <is>
          <t>Wrangler</t>
        </is>
      </c>
      <c r="D727" s="156" t="inlineStr">
        <is>
          <t>W47501-27</t>
        </is>
      </c>
      <c r="E727" s="156" t="inlineStr">
        <is>
          <t>W47501-27</t>
        </is>
      </c>
      <c r="F727" s="156" t="inlineStr">
        <is>
          <t>Talla única</t>
        </is>
      </c>
      <c r="G727" s="156" t="inlineStr">
        <is>
          <t>One Size</t>
        </is>
      </c>
      <c r="H727" s="156" t="inlineStr">
        <is>
          <t>Wrangler</t>
        </is>
      </c>
      <c r="I727" s="156" t="inlineStr">
        <is>
          <t>Cartera Clásica W47501-27 Café</t>
        </is>
      </c>
      <c r="J727" s="156" t="inlineStr">
        <is>
          <t>Accesorios</t>
        </is>
      </c>
      <c r="K727" s="156" t="inlineStr">
        <is>
          <t>Carteras</t>
        </is>
      </c>
      <c r="L727" s="156" t="inlineStr">
        <is>
          <t>Hombre</t>
        </is>
      </c>
      <c r="M727" s="156" t="inlineStr">
        <is>
          <t>Wrangler</t>
        </is>
      </c>
      <c r="N727" s="156" t="inlineStr">
        <is>
          <t>FW26</t>
        </is>
      </c>
      <c r="O727" s="156" t="n"/>
      <c r="P727" s="156" t="inlineStr">
        <is>
          <t>Cafe</t>
        </is>
      </c>
      <c r="Q727" s="156" t="n"/>
      <c r="R727" s="156" t="n"/>
      <c r="S727" s="156" t="n"/>
      <c r="T727" s="156" t="inlineStr">
        <is>
          <t>Cartera de piel Bifold</t>
        </is>
      </c>
      <c r="U727" s="156" t="inlineStr">
        <is>
          <t>México</t>
        </is>
      </c>
      <c r="V727" s="156" t="inlineStr">
        <is>
          <t>PZS</t>
        </is>
      </c>
      <c r="W727" s="51" t="inlineStr">
        <is>
          <t>53121700</t>
        </is>
      </c>
      <c r="X727" s="156" t="n"/>
      <c r="Y727" s="54" t="n"/>
      <c r="Z727" s="54" t="n">
        <v>292.76</v>
      </c>
      <c r="AA727" s="55">
        <f>IF(AND(A727="", B727="", E727=""), "", IF(AB727="", "Válido", IF((LEN(AB727)-LEN(SUBSTITUTE(AB727,"; ","")))/2+1&gt;(LEN(AB727)-LEN(SUBSTITUTE(AB727,"[Aviso]","")))/7, "Con Incidencias", "Válido")))</f>
        <v/>
      </c>
      <c r="AB727" s="56">
        <f>IF(AND(A727="", B727="", E727=""), "", TEXTJOIN("; ", TRUE, IF(OR(TRIM(A727&amp;"")="", ISNUMBER(SEARCH("FALTA", A727))), "UPC faltante/inválido", ""), IF(AND(A727&lt;&gt;"", IFERROR(_xlfn.XMATCH(A727,$A$2:$A$1063,0,1)&lt;&gt;_xlfn.XMATCH(A727,$A$2:$A$1063,0,-1),FALSE)), "Código de barras duplicado", ""), IF(AND(E727&lt;&gt;"", COUNTIF($E$2:$E$1063, E727)&gt;1), "SKU duplicado", ""), IF(OR(J727="", J727=""), "[Aviso] División no capturada ()", IF(ISNA(MATCH(J727, Criterios!$A$123:$A$126, 0)), "División no válida", "")), IF(OR(K727="", K727=""), "[Aviso] Categoría no capturada ()", IF(ISNA(MATCH(K727, Criterios!$A$81:$A$120, 0)), "Categoría no válida", IF(AND(J727&lt;&gt;"", J727&lt;&gt;"", J727&lt;&gt;VLOOKUP(K727, Criterios!$A$81:$B$120, 2, FALSE)), "División no coincide con Categoría", ""))), IF(OR(L727="", L727=""), "[Aviso] Género no capturado ()", IF(ISNA(MATCH(L727, Criterios!$B$123:$B$127, 0)), "Género no válido", "")), IF(OR(N727="", N727=""), "[Aviso] Temporada no capturada ()", IF(ISNA(MATCH(N727, Criterios!$C$123:$C$128, 0)), "Temporada no válida", "")), IF(OR(O727="", O727=""), "[Aviso] Ciclo de vida no capturado ()", IF(ISNA(MATCH(O727, Criterios!$D$123:$D$124, 0)), "Ciclo de vida no válido", ""))))</f>
        <v/>
      </c>
      <c r="AC727" s="56" t="n"/>
      <c r="AD727" s="51" t="n"/>
      <c r="AE727" s="156" t="n"/>
      <c r="AF727" s="51" t="n"/>
      <c r="AG727" s="156" t="inlineStr">
        <is>
          <t>Nuevo – Carga Hoja2 01/10/2026</t>
        </is>
      </c>
      <c r="AH727" s="156" t="inlineStr">
        <is>
          <t>Alta 01/10/2026 desde Hoja2 (fila 739); Precio de compra en 0/vacío en origen | Homologación G1522 06/10/2026: WB País de origen: «Mexico» → «México» (Corrección aplicada)</t>
        </is>
      </c>
      <c r="AI727" s="156" t="n"/>
      <c r="AJ727" s="156" t="n"/>
      <c r="AK727" s="155" t="inlineStr">
        <is>
          <t>Hoja2: fila 739 | Odoo: producto 31054 / plantilla 39681</t>
        </is>
      </c>
      <c r="AL727" s="58" t="n"/>
      <c r="AM727" s="58" t="n"/>
      <c r="AN727" s="155" t="inlineStr">
        <is>
          <t>Odoo Universal Unique Brands</t>
        </is>
      </c>
      <c r="AO727" s="59" t="n"/>
      <c r="AP727" s="59" t="n"/>
      <c r="AQ727" s="59" t="n">
        <v>0</v>
      </c>
      <c r="AR727" s="155" t="n"/>
    </row>
    <row r="728">
      <c r="A728" s="50" t="inlineStr">
        <is>
          <t>7506674606867</t>
        </is>
      </c>
      <c r="B728" s="51" t="inlineStr">
        <is>
          <t>31055</t>
        </is>
      </c>
      <c r="C728" s="156" t="inlineStr">
        <is>
          <t>Wrangler</t>
        </is>
      </c>
      <c r="D728" s="156" t="inlineStr">
        <is>
          <t>W47503-59</t>
        </is>
      </c>
      <c r="E728" s="156" t="inlineStr">
        <is>
          <t>W47503-59</t>
        </is>
      </c>
      <c r="F728" s="156" t="inlineStr">
        <is>
          <t>Talla única</t>
        </is>
      </c>
      <c r="G728" s="156" t="inlineStr">
        <is>
          <t>One Size</t>
        </is>
      </c>
      <c r="H728" s="156" t="inlineStr">
        <is>
          <t>Wrangler</t>
        </is>
      </c>
      <c r="I728" s="156" t="inlineStr">
        <is>
          <t>Cartera Rodeo W47503-59 Café claro</t>
        </is>
      </c>
      <c r="J728" s="156" t="inlineStr">
        <is>
          <t>Accesorios</t>
        </is>
      </c>
      <c r="K728" s="156" t="inlineStr">
        <is>
          <t>Carteras</t>
        </is>
      </c>
      <c r="L728" s="156" t="inlineStr">
        <is>
          <t>Hombre</t>
        </is>
      </c>
      <c r="M728" s="156" t="inlineStr">
        <is>
          <t>Wrangler</t>
        </is>
      </c>
      <c r="N728" s="156" t="inlineStr">
        <is>
          <t>FW26</t>
        </is>
      </c>
      <c r="O728" s="156" t="n"/>
      <c r="P728" s="156" t="inlineStr">
        <is>
          <t>Cafe</t>
        </is>
      </c>
      <c r="Q728" s="156" t="n"/>
      <c r="R728" s="156" t="n"/>
      <c r="S728" s="156" t="n"/>
      <c r="T728" s="156" t="inlineStr">
        <is>
          <t>Cartera de piel Rodeo</t>
        </is>
      </c>
      <c r="U728" s="156" t="inlineStr">
        <is>
          <t>México</t>
        </is>
      </c>
      <c r="V728" s="156" t="inlineStr">
        <is>
          <t>PZS</t>
        </is>
      </c>
      <c r="W728" s="51" t="inlineStr">
        <is>
          <t>53121700</t>
        </is>
      </c>
      <c r="X728" s="156" t="n"/>
      <c r="Y728" s="54" t="n"/>
      <c r="Z728" s="54" t="n">
        <v>344.48</v>
      </c>
      <c r="AA728" s="55">
        <f>IF(AND(A728="", B728="", E728=""), "", IF(AB728="", "Válido", IF((LEN(AB728)-LEN(SUBSTITUTE(AB728,"; ","")))/2+1&gt;(LEN(AB728)-LEN(SUBSTITUTE(AB728,"[Aviso]","")))/7, "Con Incidencias", "Válido")))</f>
        <v/>
      </c>
      <c r="AB728" s="56">
        <f>IF(AND(A728="", B728="", E728=""), "", TEXTJOIN("; ", TRUE, IF(OR(TRIM(A728&amp;"")="", ISNUMBER(SEARCH("FALTA", A728))), "UPC faltante/inválido", ""), IF(AND(A728&lt;&gt;"", IFERROR(_xlfn.XMATCH(A728,$A$2:$A$1063,0,1)&lt;&gt;_xlfn.XMATCH(A728,$A$2:$A$1063,0,-1),FALSE)), "Código de barras duplicado", ""), IF(AND(E728&lt;&gt;"", COUNTIF($E$2:$E$1063, E728)&gt;1), "SKU duplicado", ""), IF(OR(J728="", J728=""), "[Aviso] División no capturada ()", IF(ISNA(MATCH(J728, Criterios!$A$123:$A$126, 0)), "División no válida", "")), IF(OR(K728="", K728=""), "[Aviso] Categoría no capturada ()", IF(ISNA(MATCH(K728, Criterios!$A$81:$A$120, 0)), "Categoría no válida", IF(AND(J728&lt;&gt;"", J728&lt;&gt;"", J728&lt;&gt;VLOOKUP(K728, Criterios!$A$81:$B$120, 2, FALSE)), "División no coincide con Categoría", ""))), IF(OR(L728="", L728=""), "[Aviso] Género no capturado ()", IF(ISNA(MATCH(L728, Criterios!$B$123:$B$127, 0)), "Género no válido", "")), IF(OR(N728="", N728=""), "[Aviso] Temporada no capturada ()", IF(ISNA(MATCH(N728, Criterios!$C$123:$C$128, 0)), "Temporada no válida", "")), IF(OR(O728="", O728=""), "[Aviso] Ciclo de vida no capturado ()", IF(ISNA(MATCH(O728, Criterios!$D$123:$D$124, 0)), "Ciclo de vida no válido", ""))))</f>
        <v/>
      </c>
      <c r="AC728" s="56" t="n"/>
      <c r="AD728" s="51" t="n"/>
      <c r="AE728" s="156" t="n"/>
      <c r="AF728" s="51" t="n"/>
      <c r="AG728" s="156" t="inlineStr">
        <is>
          <t>Nuevo – Carga Hoja2 01/10/2026</t>
        </is>
      </c>
      <c r="AH728" s="156" t="inlineStr">
        <is>
          <t>Alta 01/10/2026 desde Hoja2 (fila 740); Precio de compra en 0/vacío en origen | Homologación G1522 06/10/2026: WB País de origen: «Mexico» → «México» (Corrección aplicada)</t>
        </is>
      </c>
      <c r="AI728" s="156" t="n"/>
      <c r="AJ728" s="156" t="n"/>
      <c r="AK728" s="155" t="inlineStr">
        <is>
          <t>Hoja2: fila 740 | Odoo: producto 31055 / plantilla 39682</t>
        </is>
      </c>
      <c r="AL728" s="58" t="n"/>
      <c r="AM728" s="58" t="n"/>
      <c r="AN728" s="155" t="inlineStr">
        <is>
          <t>Odoo Universal Unique Brands</t>
        </is>
      </c>
      <c r="AO728" s="59" t="n"/>
      <c r="AP728" s="59" t="n"/>
      <c r="AQ728" s="59" t="n">
        <v>0</v>
      </c>
      <c r="AR728" s="155" t="n"/>
    </row>
    <row r="729">
      <c r="A729" s="50" t="inlineStr">
        <is>
          <t>7506674606874</t>
        </is>
      </c>
      <c r="B729" s="51" t="inlineStr">
        <is>
          <t>31056</t>
        </is>
      </c>
      <c r="C729" s="156" t="inlineStr">
        <is>
          <t>Wrangler</t>
        </is>
      </c>
      <c r="D729" s="156" t="inlineStr">
        <is>
          <t>W47504-59</t>
        </is>
      </c>
      <c r="E729" s="156" t="inlineStr">
        <is>
          <t>W47504-59</t>
        </is>
      </c>
      <c r="F729" s="156" t="inlineStr">
        <is>
          <t>Talla única</t>
        </is>
      </c>
      <c r="G729" s="156" t="inlineStr">
        <is>
          <t>One Size</t>
        </is>
      </c>
      <c r="H729" s="156" t="inlineStr">
        <is>
          <t>Wrangler</t>
        </is>
      </c>
      <c r="I729" s="156" t="inlineStr">
        <is>
          <t>Cartera Clásica W47504-59 Negro</t>
        </is>
      </c>
      <c r="J729" s="156" t="inlineStr">
        <is>
          <t>Accesorios</t>
        </is>
      </c>
      <c r="K729" s="156" t="inlineStr">
        <is>
          <t>Carteras</t>
        </is>
      </c>
      <c r="L729" s="156" t="inlineStr">
        <is>
          <t>Hombre</t>
        </is>
      </c>
      <c r="M729" s="156" t="inlineStr">
        <is>
          <t>Wrangler</t>
        </is>
      </c>
      <c r="N729" s="156" t="inlineStr">
        <is>
          <t>FW26</t>
        </is>
      </c>
      <c r="O729" s="156" t="n"/>
      <c r="P729" s="156" t="inlineStr">
        <is>
          <t>Negro</t>
        </is>
      </c>
      <c r="Q729" s="156" t="n"/>
      <c r="R729" s="156" t="n"/>
      <c r="S729" s="156" t="n"/>
      <c r="T729" s="156" t="inlineStr">
        <is>
          <t>Cartera de piel Bifold</t>
        </is>
      </c>
      <c r="U729" s="156" t="inlineStr">
        <is>
          <t>México</t>
        </is>
      </c>
      <c r="V729" s="156" t="inlineStr">
        <is>
          <t>PZS</t>
        </is>
      </c>
      <c r="W729" s="51" t="inlineStr">
        <is>
          <t>53121700</t>
        </is>
      </c>
      <c r="X729" s="156" t="n"/>
      <c r="Y729" s="54" t="n"/>
      <c r="Z729" s="54" t="n">
        <v>292.76</v>
      </c>
      <c r="AA729" s="55">
        <f>IF(AND(A729="", B729="", E729=""), "", IF(AB729="", "Válido", IF((LEN(AB729)-LEN(SUBSTITUTE(AB729,"; ","")))/2+1&gt;(LEN(AB729)-LEN(SUBSTITUTE(AB729,"[Aviso]","")))/7, "Con Incidencias", "Válido")))</f>
        <v/>
      </c>
      <c r="AB729" s="56">
        <f>IF(AND(A729="", B729="", E729=""), "", TEXTJOIN("; ", TRUE, IF(OR(TRIM(A729&amp;"")="", ISNUMBER(SEARCH("FALTA", A729))), "UPC faltante/inválido", ""), IF(AND(A729&lt;&gt;"", IFERROR(_xlfn.XMATCH(A729,$A$2:$A$1063,0,1)&lt;&gt;_xlfn.XMATCH(A729,$A$2:$A$1063,0,-1),FALSE)), "Código de barras duplicado", ""), IF(AND(E729&lt;&gt;"", COUNTIF($E$2:$E$1063, E729)&gt;1), "SKU duplicado", ""), IF(OR(J729="", J729=""), "[Aviso] División no capturada ()", IF(ISNA(MATCH(J729, Criterios!$A$123:$A$126, 0)), "División no válida", "")), IF(OR(K729="", K729=""), "[Aviso] Categoría no capturada ()", IF(ISNA(MATCH(K729, Criterios!$A$81:$A$120, 0)), "Categoría no válida", IF(AND(J729&lt;&gt;"", J729&lt;&gt;"", J729&lt;&gt;VLOOKUP(K729, Criterios!$A$81:$B$120, 2, FALSE)), "División no coincide con Categoría", ""))), IF(OR(L729="", L729=""), "[Aviso] Género no capturado ()", IF(ISNA(MATCH(L729, Criterios!$B$123:$B$127, 0)), "Género no válido", "")), IF(OR(N729="", N729=""), "[Aviso] Temporada no capturada ()", IF(ISNA(MATCH(N729, Criterios!$C$123:$C$128, 0)), "Temporada no válida", "")), IF(OR(O729="", O729=""), "[Aviso] Ciclo de vida no capturado ()", IF(ISNA(MATCH(O729, Criterios!$D$123:$D$124, 0)), "Ciclo de vida no válido", ""))))</f>
        <v/>
      </c>
      <c r="AC729" s="56" t="n"/>
      <c r="AD729" s="51" t="n"/>
      <c r="AE729" s="156" t="n"/>
      <c r="AF729" s="51" t="n"/>
      <c r="AG729" s="156" t="inlineStr">
        <is>
          <t>Nuevo – Carga Hoja2 01/10/2026</t>
        </is>
      </c>
      <c r="AH729" s="156" t="inlineStr">
        <is>
          <t>Alta 01/10/2026 desde Hoja2 (fila 741); Precio de compra en 0/vacío en origen | Homologación G1522 06/10/2026: WB País de origen: «Mexico» → «México» (Corrección aplicada)</t>
        </is>
      </c>
      <c r="AI729" s="156" t="n"/>
      <c r="AJ729" s="156" t="n"/>
      <c r="AK729" s="155" t="inlineStr">
        <is>
          <t>Hoja2: fila 741 | Odoo: producto 31056 / plantilla 39683</t>
        </is>
      </c>
      <c r="AL729" s="58" t="n"/>
      <c r="AM729" s="58" t="n"/>
      <c r="AN729" s="155" t="inlineStr">
        <is>
          <t>Odoo Universal Unique Brands</t>
        </is>
      </c>
      <c r="AO729" s="59" t="n"/>
      <c r="AP729" s="59" t="n"/>
      <c r="AQ729" s="59" t="n">
        <v>0</v>
      </c>
      <c r="AR729" s="155" t="n"/>
    </row>
    <row r="730">
      <c r="A730" s="50" t="inlineStr">
        <is>
          <t>717012188533</t>
        </is>
      </c>
      <c r="B730" s="51" t="inlineStr">
        <is>
          <t>11209</t>
        </is>
      </c>
      <c r="C730" s="156" t="inlineStr">
        <is>
          <t>Wrangler</t>
        </is>
      </c>
      <c r="D730" s="156" t="inlineStr">
        <is>
          <t>WG102-8120SBR</t>
        </is>
      </c>
      <c r="E730" s="156" t="inlineStr">
        <is>
          <t>WG102-8120SBR</t>
        </is>
      </c>
      <c r="F730" s="156" t="inlineStr">
        <is>
          <t>Talla única</t>
        </is>
      </c>
      <c r="G730" s="156" t="inlineStr">
        <is>
          <t>One Size</t>
        </is>
      </c>
      <c r="H730" s="156" t="inlineStr">
        <is>
          <t>Wrangler</t>
        </is>
      </c>
      <c r="I730" s="156" t="inlineStr">
        <is>
          <t>Bolsa Tote Cruzada Wrangler Estampado De Vaca Con Compartimento Oculto</t>
        </is>
      </c>
      <c r="J730" s="156" t="inlineStr">
        <is>
          <t>Accesorios</t>
        </is>
      </c>
      <c r="K730" s="156" t="inlineStr">
        <is>
          <t>Bolsos</t>
        </is>
      </c>
      <c r="L730" s="156" t="inlineStr">
        <is>
          <t>Unisex</t>
        </is>
      </c>
      <c r="M730" s="156" t="inlineStr">
        <is>
          <t>Wrangler</t>
        </is>
      </c>
      <c r="N730" s="156" t="n"/>
      <c r="O730" s="156" t="n"/>
      <c r="P730" s="156" t="inlineStr">
        <is>
          <t>Cafe</t>
        </is>
      </c>
      <c r="Q730" s="156" t="n"/>
      <c r="R730" s="156" t="n"/>
      <c r="S730" s="156" t="n"/>
      <c r="T730" s="156" t="inlineStr">
        <is>
          <t>Bolsa Tote Cruzada</t>
        </is>
      </c>
      <c r="U730" s="156" t="inlineStr">
        <is>
          <t>México</t>
        </is>
      </c>
      <c r="V730" s="156" t="inlineStr">
        <is>
          <t>PZS</t>
        </is>
      </c>
      <c r="W730" s="51" t="inlineStr">
        <is>
          <t>53121601</t>
        </is>
      </c>
      <c r="X730" s="156" t="inlineStr">
        <is>
          <t>https://cdn.shopify.com/s/files/1/0005/9015/1741/files/WG102-8120SBR.webp?v=1787708494</t>
        </is>
      </c>
      <c r="Y730" s="54" t="n">
        <v>483</v>
      </c>
      <c r="Z730" s="54" t="n">
        <v>779</v>
      </c>
      <c r="AA730" s="55">
        <f>IF(AND(A730="", B730="", E730=""), "", IF(AB730="", "Válido", IF((LEN(AB730)-LEN(SUBSTITUTE(AB730,"; ","")))/2+1&gt;(LEN(AB730)-LEN(SUBSTITUTE(AB730,"[Aviso]","")))/7, "Con Incidencias", "Válido")))</f>
        <v/>
      </c>
      <c r="AB730" s="56">
        <f>IF(AND(A730="", B730="", E730=""), "", TEXTJOIN("; ", TRUE, IF(OR(TRIM(A730&amp;"")="", ISNUMBER(SEARCH("FALTA", A730))), "UPC faltante/inválido", ""), IF(AND(A730&lt;&gt;"", IFERROR(_xlfn.XMATCH(A730,$A$2:$A$1063,0,1)&lt;&gt;_xlfn.XMATCH(A730,$A$2:$A$1063,0,-1),FALSE)), "Código de barras duplicado", ""), IF(AND(E730&lt;&gt;"", COUNTIF($E$2:$E$1063, E730)&gt;1), "SKU duplicado", ""), IF(OR(J730="", J730=""), "[Aviso] División no capturada ()", IF(ISNA(MATCH(J730, Criterios!$A$123:$A$126, 0)), "División no válida", "")), IF(OR(K730="", K730=""), "[Aviso] Categoría no capturada ()", IF(ISNA(MATCH(K730, Criterios!$A$81:$A$120, 0)), "Categoría no válida", IF(AND(J730&lt;&gt;"", J730&lt;&gt;"", J730&lt;&gt;VLOOKUP(K730, Criterios!$A$81:$B$120, 2, FALSE)), "División no coincide con Categoría", ""))), IF(OR(L730="", L730=""), "[Aviso] Género no capturado ()", IF(ISNA(MATCH(L730, Criterios!$B$123:$B$127, 0)), "Género no válido", "")), IF(OR(N730="", N730=""), "[Aviso] Temporada no capturada ()", IF(ISNA(MATCH(N730, Criterios!$C$123:$C$128, 0)), "Temporada no válida", "")), IF(OR(O730="", O730=""), "[Aviso] Ciclo de vida no capturado ()", IF(ISNA(MATCH(O730, Criterios!$D$123:$D$124, 0)), "Ciclo de vida no válido", ""))))</f>
        <v/>
      </c>
      <c r="AC730" s="56" t="n"/>
      <c r="AD730" s="51" t="n"/>
      <c r="AE730" s="156" t="n"/>
      <c r="AF730" s="51" t="n"/>
      <c r="AG730" s="156" t="inlineStr">
        <is>
          <t>Nuevo – Carga Hoja2 01/10/2026</t>
        </is>
      </c>
      <c r="AH730" s="156" t="inlineStr">
        <is>
          <t>Alta 01/10/2026 desde Hoja2 (fila 742) | 01/10/2026: complementado desde Odoo Universal Unique Brands (match por código de barras): WB Talla, WB Talla de EE. UU., WB Descripción larga | Homologación G1522 06/10/2026: WB País de origen: «Mexico» → «México» (Corrección aplicada) · Enlace de imagen: «» → «https://cdn.shopify.com/s/files/1/0005/9015/1741/files/WG102-8120SBR.webp?v=1787708494» (Completado por investigación en línea) · Validador Shopify: WB: precio con IVA no termina en 9</t>
        </is>
      </c>
      <c r="AI730" s="156" t="n"/>
      <c r="AJ730" s="156" t="n"/>
      <c r="AK730" s="155" t="inlineStr">
        <is>
          <t>Hoja2: fila 742 | Odoo: producto 11209 / plantilla 14644 | Investigación en línea 06/10/2026: https://montanawestworld.com/products/wrangler-cow-print-crossbody-tote-western-tote-bag</t>
        </is>
      </c>
      <c r="AL730" s="58" t="n"/>
      <c r="AM730" s="58" t="n"/>
      <c r="AN730" s="155" t="inlineStr">
        <is>
          <t>Odoo Universal Unique Brands</t>
        </is>
      </c>
      <c r="AO730" s="59" t="n"/>
      <c r="AP730" s="59" t="n"/>
      <c r="AQ730" s="59" t="n">
        <v>35</v>
      </c>
      <c r="AR730" s="155" t="inlineStr">
        <is>
          <t>Odoo Universal Unique Brands › Bodega 25 › Bodega 25/General: 35</t>
        </is>
      </c>
    </row>
    <row r="731">
      <c r="A731" s="50" t="inlineStr">
        <is>
          <t>717325208331</t>
        </is>
      </c>
      <c r="B731" s="51" t="inlineStr">
        <is>
          <t>15676</t>
        </is>
      </c>
      <c r="C731" s="156" t="inlineStr">
        <is>
          <t>Wrangler</t>
        </is>
      </c>
      <c r="D731" s="156" t="inlineStr">
        <is>
          <t>WG102-8120SLPTN</t>
        </is>
      </c>
      <c r="E731" s="156" t="inlineStr">
        <is>
          <t>WG102-8120SLPTN</t>
        </is>
      </c>
      <c r="F731" s="156" t="inlineStr">
        <is>
          <t>Talla única</t>
        </is>
      </c>
      <c r="G731" s="156" t="inlineStr">
        <is>
          <t>One Size</t>
        </is>
      </c>
      <c r="H731" s="156" t="inlineStr">
        <is>
          <t>Wrangler</t>
        </is>
      </c>
      <c r="I731" s="156" t="inlineStr">
        <is>
          <t>Bolsa De Mano Wrangler WG</t>
        </is>
      </c>
      <c r="J731" s="156" t="inlineStr">
        <is>
          <t>Accesorios</t>
        </is>
      </c>
      <c r="K731" s="156" t="inlineStr">
        <is>
          <t>Bolsos</t>
        </is>
      </c>
      <c r="L731" s="156" t="inlineStr">
        <is>
          <t>Unisex</t>
        </is>
      </c>
      <c r="M731" s="156" t="inlineStr">
        <is>
          <t>Wrangler</t>
        </is>
      </c>
      <c r="N731" s="156" t="n"/>
      <c r="O731" s="156" t="n"/>
      <c r="P731" s="156" t="inlineStr">
        <is>
          <t>Beige</t>
        </is>
      </c>
      <c r="Q731" s="156" t="n"/>
      <c r="R731" s="156" t="n"/>
      <c r="S731" s="156" t="n"/>
      <c r="T731" s="156" t="inlineStr">
        <is>
          <t>Bolsa De Mano</t>
        </is>
      </c>
      <c r="U731" s="156" t="inlineStr">
        <is>
          <t>México</t>
        </is>
      </c>
      <c r="V731" s="156" t="inlineStr">
        <is>
          <t>PZS</t>
        </is>
      </c>
      <c r="W731" s="51" t="inlineStr">
        <is>
          <t>53121600</t>
        </is>
      </c>
      <c r="X731" s="156" t="inlineStr">
        <is>
          <t>https://m-universal-unique-brands.odoo.com/web/image/product.product/15676/image_1920</t>
        </is>
      </c>
      <c r="Y731" s="54" t="n">
        <v>483</v>
      </c>
      <c r="Z731" s="54" t="n">
        <v>1559</v>
      </c>
      <c r="AA731" s="55">
        <f>IF(AND(A731="", B731="", E731=""), "", IF(AB731="", "Válido", IF((LEN(AB731)-LEN(SUBSTITUTE(AB731,"; ","")))/2+1&gt;(LEN(AB731)-LEN(SUBSTITUTE(AB731,"[Aviso]","")))/7, "Con Incidencias", "Válido")))</f>
        <v/>
      </c>
      <c r="AB731" s="56">
        <f>IF(AND(A731="", B731="", E731=""), "", TEXTJOIN("; ", TRUE, IF(OR(TRIM(A731&amp;"")="", ISNUMBER(SEARCH("FALTA", A731))), "UPC faltante/inválido", ""), IF(AND(A731&lt;&gt;"", IFERROR(_xlfn.XMATCH(A731,$A$2:$A$1063,0,1)&lt;&gt;_xlfn.XMATCH(A731,$A$2:$A$1063,0,-1),FALSE)), "Código de barras duplicado", ""), IF(AND(E731&lt;&gt;"", COUNTIF($E$2:$E$1063, E731)&gt;1), "SKU duplicado", ""), IF(OR(J731="", J731=""), "[Aviso] División no capturada ()", IF(ISNA(MATCH(J731, Criterios!$A$123:$A$126, 0)), "División no válida", "")), IF(OR(K731="", K731=""), "[Aviso] Categoría no capturada ()", IF(ISNA(MATCH(K731, Criterios!$A$81:$A$120, 0)), "Categoría no válida", IF(AND(J731&lt;&gt;"", J731&lt;&gt;"", J731&lt;&gt;VLOOKUP(K731, Criterios!$A$81:$B$120, 2, FALSE)), "División no coincide con Categoría", ""))), IF(OR(L731="", L731=""), "[Aviso] Género no capturado ()", IF(ISNA(MATCH(L731, Criterios!$B$123:$B$127, 0)), "Género no válido", "")), IF(OR(N731="", N731=""), "[Aviso] Temporada no capturada ()", IF(ISNA(MATCH(N731, Criterios!$C$123:$C$128, 0)), "Temporada no válida", "")), IF(OR(O731="", O731=""), "[Aviso] Ciclo de vida no capturado ()", IF(ISNA(MATCH(O731, Criterios!$D$123:$D$124, 0)), "Ciclo de vida no válido", ""))))</f>
        <v/>
      </c>
      <c r="AC731" s="56" t="n"/>
      <c r="AD731" s="51" t="n"/>
      <c r="AE731" s="156" t="n"/>
      <c r="AF731" s="51" t="n"/>
      <c r="AG731" s="156" t="inlineStr">
        <is>
          <t>Nuevo – Carga Hoja2 01/10/2026</t>
        </is>
      </c>
      <c r="AH731" s="156" t="inlineStr">
        <is>
          <t>Alta 01/10/2026 desde Hoja2 (fila 743)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731" s="156" t="n"/>
      <c r="AJ731" s="156" t="n"/>
      <c r="AK731" s="155" t="inlineStr">
        <is>
          <t>Hoja2: fila 743 | Odoo: producto 15676 / plantilla 20029</t>
        </is>
      </c>
      <c r="AL731" s="58" t="n"/>
      <c r="AM731" s="58" t="n"/>
      <c r="AN731" s="155" t="inlineStr">
        <is>
          <t>Odoo Universal Unique Brands</t>
        </is>
      </c>
      <c r="AO731" s="59" t="n"/>
      <c r="AP731" s="59" t="n"/>
      <c r="AQ731" s="59" t="n">
        <v>36</v>
      </c>
      <c r="AR731" s="155" t="inlineStr">
        <is>
          <t>Odoo Universal Unique Brands › Bodega 25 › Bodega 25/General: 36</t>
        </is>
      </c>
    </row>
    <row r="732">
      <c r="A732" s="50" t="n"/>
      <c r="B732" s="51" t="inlineStr">
        <is>
          <t>11365</t>
        </is>
      </c>
      <c r="C732" s="156" t="inlineStr">
        <is>
          <t>Wrangler</t>
        </is>
      </c>
      <c r="D732" s="156" t="inlineStr">
        <is>
          <t>WG102-8120STN</t>
        </is>
      </c>
      <c r="E732" s="156" t="inlineStr">
        <is>
          <t>WG102-8120STN</t>
        </is>
      </c>
      <c r="F732" s="156" t="inlineStr">
        <is>
          <t>Talla única</t>
        </is>
      </c>
      <c r="G732" s="156" t="inlineStr">
        <is>
          <t>One Size</t>
        </is>
      </c>
      <c r="H732" s="156" t="inlineStr">
        <is>
          <t>Wrangler</t>
        </is>
      </c>
      <c r="I732" s="156" t="inlineStr">
        <is>
          <t>Bolsa Tote Cruzada Wrangler Estampado De Leopardo Con Compartimento Oculto</t>
        </is>
      </c>
      <c r="J732" s="156" t="inlineStr">
        <is>
          <t>Accesorios</t>
        </is>
      </c>
      <c r="K732" s="156" t="inlineStr">
        <is>
          <t>Bolsos</t>
        </is>
      </c>
      <c r="L732" s="156" t="inlineStr">
        <is>
          <t>Unisex</t>
        </is>
      </c>
      <c r="M732" s="156" t="inlineStr">
        <is>
          <t>Wrangler</t>
        </is>
      </c>
      <c r="N732" s="156" t="n"/>
      <c r="O732" s="156" t="n"/>
      <c r="P732" s="156" t="inlineStr">
        <is>
          <t>Beige</t>
        </is>
      </c>
      <c r="Q732" s="156" t="n"/>
      <c r="R732" s="156" t="n"/>
      <c r="S732" s="156" t="n"/>
      <c r="T732" s="156" t="inlineStr">
        <is>
          <t>Bolsa Tote Cruzada</t>
        </is>
      </c>
      <c r="U732" s="156" t="inlineStr">
        <is>
          <t>México</t>
        </is>
      </c>
      <c r="V732" s="156" t="inlineStr">
        <is>
          <t>PZS</t>
        </is>
      </c>
      <c r="W732" s="51" t="inlineStr">
        <is>
          <t>53121601</t>
        </is>
      </c>
      <c r="X732" s="156" t="n"/>
      <c r="Y732" s="54" t="n">
        <v>483</v>
      </c>
      <c r="Z732" s="54" t="n">
        <v>779</v>
      </c>
      <c r="AA732" s="55">
        <f>IF(AND(A732="", B732="", E732=""), "", IF(AB732="", "Válido", IF((LEN(AB732)-LEN(SUBSTITUTE(AB732,"; ","")))/2+1&gt;(LEN(AB732)-LEN(SUBSTITUTE(AB732,"[Aviso]","")))/7, "Con Incidencias", "Válido")))</f>
        <v/>
      </c>
      <c r="AB732" s="56">
        <f>IF(AND(A732="", B732="", E732=""), "", TEXTJOIN("; ", TRUE, IF(OR(TRIM(A732&amp;"")="", ISNUMBER(SEARCH("FALTA", A732))), "UPC faltante/inválido", ""), IF(AND(A732&lt;&gt;"", IFERROR(_xlfn.XMATCH(A732,$A$2:$A$1063,0,1)&lt;&gt;_xlfn.XMATCH(A732,$A$2:$A$1063,0,-1),FALSE)), "Código de barras duplicado", ""), IF(AND(E732&lt;&gt;"", COUNTIF($E$2:$E$1063, E732)&gt;1), "SKU duplicado", ""), IF(OR(J732="", J732=""), "[Aviso] División no capturada ()", IF(ISNA(MATCH(J732, Criterios!$A$123:$A$126, 0)), "División no válida", "")), IF(OR(K732="", K732=""), "[Aviso] Categoría no capturada ()", IF(ISNA(MATCH(K732, Criterios!$A$81:$A$120, 0)), "Categoría no válida", IF(AND(J732&lt;&gt;"", J732&lt;&gt;"", J732&lt;&gt;VLOOKUP(K732, Criterios!$A$81:$B$120, 2, FALSE)), "División no coincide con Categoría", ""))), IF(OR(L732="", L732=""), "[Aviso] Género no capturado ()", IF(ISNA(MATCH(L732, Criterios!$B$123:$B$127, 0)), "Género no válido", "")), IF(OR(N732="", N732=""), "[Aviso] Temporada no capturada ()", IF(ISNA(MATCH(N732, Criterios!$C$123:$C$128, 0)), "Temporada no válida", "")), IF(OR(O732="", O732=""), "[Aviso] Ciclo de vida no capturado ()", IF(ISNA(MATCH(O732, Criterios!$D$123:$D$124, 0)), "Ciclo de vida no válido", ""))))</f>
        <v/>
      </c>
      <c r="AC732" s="56" t="n"/>
      <c r="AD732" s="51" t="n"/>
      <c r="AE732" s="156" t="n"/>
      <c r="AF732" s="51" t="n"/>
      <c r="AG732" s="156" t="inlineStr">
        <is>
          <t>Nuevo – Carga Hoja2 01/10/2026</t>
        </is>
      </c>
      <c r="AH732" s="156" t="inlineStr">
        <is>
          <t>Alta 01/10/2026 desde Hoja2 (fila 745) | 01/10/2026: complementado desde Odoo Universal Unique Brands (match por SKU): WB Talla, WB Talla de EE. UU., WB Descripción larga | Homologación G1522 06/10/2026: WB País de origen: «Mexico» → «México» (Corrección aplicada) · Validación G1522: Código de barras faltante · Validador NetSuite / Odoo: V1: falta código de barras · Validador Shopify: V1: falta código de barras; WB: precio con IVA no termina en 9</t>
        </is>
      </c>
      <c r="AI732" s="156" t="n"/>
      <c r="AJ732" s="156" t="n"/>
      <c r="AK732" s="155" t="inlineStr">
        <is>
          <t>Hoja2: fila 745 | Odoo: producto 11365 / plantilla 14800</t>
        </is>
      </c>
      <c r="AL732" s="58" t="n"/>
      <c r="AM732" s="58" t="n"/>
      <c r="AN732" s="155" t="inlineStr">
        <is>
          <t>Odoo Universal Unique Brands</t>
        </is>
      </c>
      <c r="AO732" s="59" t="n"/>
      <c r="AP732" s="59" t="n"/>
      <c r="AQ732" s="59" t="n">
        <v>46</v>
      </c>
      <c r="AR732" s="155" t="inlineStr">
        <is>
          <t>Odoo Universal Unique Brands › Bodega 25 › Bodega 25/General: 46</t>
        </is>
      </c>
    </row>
    <row r="733">
      <c r="A733" s="50" t="inlineStr">
        <is>
          <t>717019709878</t>
        </is>
      </c>
      <c r="B733" s="51" t="inlineStr">
        <is>
          <t>14905</t>
        </is>
      </c>
      <c r="C733" s="156" t="inlineStr">
        <is>
          <t>Wrangler</t>
        </is>
      </c>
      <c r="D733" s="156" t="inlineStr">
        <is>
          <t>WG102-8600BR</t>
        </is>
      </c>
      <c r="E733" s="156" t="inlineStr">
        <is>
          <t>WG102-8600BR</t>
        </is>
      </c>
      <c r="F733" s="156" t="inlineStr">
        <is>
          <t>Talla única</t>
        </is>
      </c>
      <c r="G733" s="156" t="inlineStr">
        <is>
          <t>One Size</t>
        </is>
      </c>
      <c r="H733" s="156" t="inlineStr">
        <is>
          <t>Wrangler</t>
        </is>
      </c>
      <c r="I733" s="156" t="inlineStr">
        <is>
          <t>WG102-8600BR</t>
        </is>
      </c>
      <c r="J733" s="156" t="inlineStr">
        <is>
          <t>Accesorios</t>
        </is>
      </c>
      <c r="K733" s="156" t="inlineStr">
        <is>
          <t>Mochilas</t>
        </is>
      </c>
      <c r="L733" s="156" t="inlineStr">
        <is>
          <t>Unisex</t>
        </is>
      </c>
      <c r="M733" s="156" t="inlineStr">
        <is>
          <t>Wrangler</t>
        </is>
      </c>
      <c r="N733" s="156" t="n"/>
      <c r="O733" s="156" t="n"/>
      <c r="P733" s="156" t="inlineStr">
        <is>
          <t>Cafe</t>
        </is>
      </c>
      <c r="Q733" s="156" t="n"/>
      <c r="R733" s="156" t="n"/>
      <c r="S733" s="156" t="n"/>
      <c r="T733" s="156" t="n"/>
      <c r="U733" s="156" t="inlineStr">
        <is>
          <t>México</t>
        </is>
      </c>
      <c r="V733" s="156" t="inlineStr">
        <is>
          <t>PZS</t>
        </is>
      </c>
      <c r="W733" s="51" t="inlineStr">
        <is>
          <t>53121600</t>
        </is>
      </c>
      <c r="X733" s="156" t="inlineStr">
        <is>
          <t>https://m-universal-unique-brands.odoo.com/web/image/product.product/14905/image_1920</t>
        </is>
      </c>
      <c r="Y733" s="54" t="n"/>
      <c r="Z733" s="54" t="n">
        <v>419</v>
      </c>
      <c r="AA733" s="55">
        <f>IF(AND(A733="", B733="", E733=""), "", IF(AB733="", "Válido", IF((LEN(AB733)-LEN(SUBSTITUTE(AB733,"; ","")))/2+1&gt;(LEN(AB733)-LEN(SUBSTITUTE(AB733,"[Aviso]","")))/7, "Con Incidencias", "Válido")))</f>
        <v/>
      </c>
      <c r="AB733" s="56">
        <f>IF(AND(A733="", B733="", E733=""), "", TEXTJOIN("; ", TRUE, IF(OR(TRIM(A733&amp;"")="", ISNUMBER(SEARCH("FALTA", A733))), "UPC faltante/inválido", ""), IF(AND(A733&lt;&gt;"", IFERROR(_xlfn.XMATCH(A733,$A$2:$A$1063,0,1)&lt;&gt;_xlfn.XMATCH(A733,$A$2:$A$1063,0,-1),FALSE)), "Código de barras duplicado", ""), IF(AND(E733&lt;&gt;"", COUNTIF($E$2:$E$1063, E733)&gt;1), "SKU duplicado", ""), IF(OR(J733="", J733=""), "[Aviso] División no capturada ()", IF(ISNA(MATCH(J733, Criterios!$A$123:$A$126, 0)), "División no válida", "")), IF(OR(K733="", K733=""), "[Aviso] Categoría no capturada ()", IF(ISNA(MATCH(K733, Criterios!$A$81:$A$120, 0)), "Categoría no válida", IF(AND(J733&lt;&gt;"", J733&lt;&gt;"", J733&lt;&gt;VLOOKUP(K733, Criterios!$A$81:$B$120, 2, FALSE)), "División no coincide con Categoría", ""))), IF(OR(L733="", L733=""), "[Aviso] Género no capturado ()", IF(ISNA(MATCH(L733, Criterios!$B$123:$B$127, 0)), "Género no válido", "")), IF(OR(N733="", N733=""), "[Aviso] Temporada no capturada ()", IF(ISNA(MATCH(N733, Criterios!$C$123:$C$128, 0)), "Temporada no válida", "")), IF(OR(O733="", O733=""), "[Aviso] Ciclo de vida no capturado ()", IF(ISNA(MATCH(O733, Criterios!$D$123:$D$124, 0)), "Ciclo de vida no válido", ""))))</f>
        <v/>
      </c>
      <c r="AC733" s="56" t="n"/>
      <c r="AD733" s="51" t="n"/>
      <c r="AE733" s="156" t="n"/>
      <c r="AF733" s="51" t="n"/>
      <c r="AG733" s="156" t="inlineStr">
        <is>
          <t>Nuevo – Carga Hoja2 01/10/2026</t>
        </is>
      </c>
      <c r="AH733" s="156" t="inlineStr">
        <is>
          <t>Alta 01/10/2026 desde Hoja2 (fila 746); Precio de compra en 0/vacío en origen | 01/10/2026: complementado desde Odoo Universal Unique Brands (match por código de barras): WB Talla, WB Talla de EE. UU., Enlace de imagen | Homologación G1522 06/10/2026: WB País de origen: «Mexico» → «México» (Corrección aplicada) · Validador Shopify: WB: precio con IVA no termina en 9</t>
        </is>
      </c>
      <c r="AI733" s="156" t="n"/>
      <c r="AJ733" s="156" t="n"/>
      <c r="AK733" s="155" t="inlineStr">
        <is>
          <t>Hoja2: fila 746 | Odoo: producto 14905 / plantilla 19258</t>
        </is>
      </c>
      <c r="AL733" s="58" t="n"/>
      <c r="AM733" s="58" t="n"/>
      <c r="AN733" s="155" t="inlineStr">
        <is>
          <t>Odoo Universal Unique Brands</t>
        </is>
      </c>
      <c r="AO733" s="59" t="n"/>
      <c r="AP733" s="59" t="n"/>
      <c r="AQ733" s="59" t="n">
        <v>0</v>
      </c>
      <c r="AR733" s="155" t="n"/>
    </row>
    <row r="734">
      <c r="A734" s="50" t="inlineStr">
        <is>
          <t>717012185778</t>
        </is>
      </c>
      <c r="B734" s="51" t="inlineStr">
        <is>
          <t>11228</t>
        </is>
      </c>
      <c r="C734" s="156" t="inlineStr">
        <is>
          <t>Wrangler</t>
        </is>
      </c>
      <c r="D734" s="156" t="inlineStr">
        <is>
          <t>WG120-209CF</t>
        </is>
      </c>
      <c r="E734" s="156" t="inlineStr">
        <is>
          <t>WG120-209CF</t>
        </is>
      </c>
      <c r="F734" s="156" t="inlineStr">
        <is>
          <t>Talla única</t>
        </is>
      </c>
      <c r="G734" s="156" t="inlineStr">
        <is>
          <t>One Size</t>
        </is>
      </c>
      <c r="H734" s="156" t="inlineStr">
        <is>
          <t>Wrangler</t>
        </is>
      </c>
      <c r="I734" s="156" t="inlineStr">
        <is>
          <t>Bolsa Cruzada Wrangler De Doble Compartimento Con Cierre</t>
        </is>
      </c>
      <c r="J734" s="156" t="inlineStr">
        <is>
          <t>Accesorios</t>
        </is>
      </c>
      <c r="K734" s="156" t="inlineStr">
        <is>
          <t>Bolsos</t>
        </is>
      </c>
      <c r="L734" s="156" t="inlineStr">
        <is>
          <t>Unisex</t>
        </is>
      </c>
      <c r="M734" s="156" t="inlineStr">
        <is>
          <t>Wrangler</t>
        </is>
      </c>
      <c r="N734" s="156" t="n"/>
      <c r="O734" s="156" t="n"/>
      <c r="P734" s="156" t="inlineStr">
        <is>
          <t>Cafe</t>
        </is>
      </c>
      <c r="Q734" s="156" t="n"/>
      <c r="R734" s="156" t="n"/>
      <c r="S734" s="156" t="n"/>
      <c r="T734" s="156" t="inlineStr">
        <is>
          <t>Bolsa Cruzada</t>
        </is>
      </c>
      <c r="U734" s="156" t="inlineStr">
        <is>
          <t>México</t>
        </is>
      </c>
      <c r="V734" s="156" t="inlineStr">
        <is>
          <t>PZS</t>
        </is>
      </c>
      <c r="W734" s="51" t="inlineStr">
        <is>
          <t>53121600</t>
        </is>
      </c>
      <c r="X734" s="156" t="n"/>
      <c r="Y734" s="54" t="n">
        <v>276</v>
      </c>
      <c r="Z734" s="54" t="n">
        <v>449</v>
      </c>
      <c r="AA734" s="55">
        <f>IF(AND(A734="", B734="", E734=""), "", IF(AB734="", "Válido", IF((LEN(AB734)-LEN(SUBSTITUTE(AB734,"; ","")))/2+1&gt;(LEN(AB734)-LEN(SUBSTITUTE(AB734,"[Aviso]","")))/7, "Con Incidencias", "Válido")))</f>
        <v/>
      </c>
      <c r="AB734" s="56">
        <f>IF(AND(A734="", B734="", E734=""), "", TEXTJOIN("; ", TRUE, IF(OR(TRIM(A734&amp;"")="", ISNUMBER(SEARCH("FALTA", A734))), "UPC faltante/inválido", ""), IF(AND(A734&lt;&gt;"", IFERROR(_xlfn.XMATCH(A734,$A$2:$A$1063,0,1)&lt;&gt;_xlfn.XMATCH(A734,$A$2:$A$1063,0,-1),FALSE)), "Código de barras duplicado", ""), IF(AND(E734&lt;&gt;"", COUNTIF($E$2:$E$1063, E734)&gt;1), "SKU duplicado", ""), IF(OR(J734="", J734=""), "[Aviso] División no capturada ()", IF(ISNA(MATCH(J734, Criterios!$A$123:$A$126, 0)), "División no válida", "")), IF(OR(K734="", K734=""), "[Aviso] Categoría no capturada ()", IF(ISNA(MATCH(K734, Criterios!$A$81:$A$120, 0)), "Categoría no válida", IF(AND(J734&lt;&gt;"", J734&lt;&gt;"", J734&lt;&gt;VLOOKUP(K734, Criterios!$A$81:$B$120, 2, FALSE)), "División no coincide con Categoría", ""))), IF(OR(L734="", L734=""), "[Aviso] Género no capturado ()", IF(ISNA(MATCH(L734, Criterios!$B$123:$B$127, 0)), "Género no válido", "")), IF(OR(N734="", N734=""), "[Aviso] Temporada no capturada ()", IF(ISNA(MATCH(N734, Criterios!$C$123:$C$128, 0)), "Temporada no válida", "")), IF(OR(O734="", O734=""), "[Aviso] Ciclo de vida no capturado ()", IF(ISNA(MATCH(O734, Criterios!$D$123:$D$124, 0)), "Ciclo de vida no válido", ""))))</f>
        <v/>
      </c>
      <c r="AC734" s="56" t="n"/>
      <c r="AD734" s="51" t="n"/>
      <c r="AE734" s="156" t="n"/>
      <c r="AF734" s="51" t="n"/>
      <c r="AG734" s="156" t="inlineStr">
        <is>
          <t>Nuevo – Carga Hoja2 01/10/2026</t>
        </is>
      </c>
      <c r="AH734" s="156" t="inlineStr">
        <is>
          <t>Alta 01/10/2026 desde Hoja2 (fila 750)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734" s="156" t="n"/>
      <c r="AJ734" s="156" t="n"/>
      <c r="AK734" s="155" t="inlineStr">
        <is>
          <t>Hoja2: fila 750 | Odoo: producto 11228 / plantilla 14663</t>
        </is>
      </c>
      <c r="AL734" s="58" t="n"/>
      <c r="AM734" s="58" t="n"/>
      <c r="AN734" s="155" t="inlineStr">
        <is>
          <t>Odoo Universal Unique Brands</t>
        </is>
      </c>
      <c r="AO734" s="59" t="n"/>
      <c r="AP734" s="59" t="n"/>
      <c r="AQ734" s="59" t="n">
        <v>48</v>
      </c>
      <c r="AR734" s="155" t="inlineStr">
        <is>
          <t>Odoo Universal Unique Brands › Bodega 25 › Bodega 25/General: 48</t>
        </is>
      </c>
    </row>
    <row r="735">
      <c r="A735" s="50" t="inlineStr">
        <is>
          <t>717325229565</t>
        </is>
      </c>
      <c r="B735" s="51" t="inlineStr">
        <is>
          <t>15596</t>
        </is>
      </c>
      <c r="C735" s="156" t="inlineStr">
        <is>
          <t>Wrangler</t>
        </is>
      </c>
      <c r="D735" s="156" t="inlineStr">
        <is>
          <t>WG130-3003LV</t>
        </is>
      </c>
      <c r="E735" s="156" t="inlineStr">
        <is>
          <t>WG130-3003LV</t>
        </is>
      </c>
      <c r="F735" s="156" t="inlineStr">
        <is>
          <t>Talla única</t>
        </is>
      </c>
      <c r="G735" s="156" t="inlineStr">
        <is>
          <t>One Size</t>
        </is>
      </c>
      <c r="H735" s="156" t="inlineStr">
        <is>
          <t>Wrangler</t>
        </is>
      </c>
      <c r="I735" s="156" t="inlineStr">
        <is>
          <t>Bolsa Wrangler Lavanda</t>
        </is>
      </c>
      <c r="J735" s="156" t="inlineStr">
        <is>
          <t>Accesorios</t>
        </is>
      </c>
      <c r="K735" s="156" t="inlineStr">
        <is>
          <t>Bolsos</t>
        </is>
      </c>
      <c r="L735" s="156" t="inlineStr">
        <is>
          <t>Unisex</t>
        </is>
      </c>
      <c r="M735" s="156" t="inlineStr">
        <is>
          <t>Wrangler</t>
        </is>
      </c>
      <c r="N735" s="156" t="n"/>
      <c r="O735" s="156" t="inlineStr">
        <is>
          <t>Core</t>
        </is>
      </c>
      <c r="P735" s="156" t="inlineStr">
        <is>
          <t>Morado</t>
        </is>
      </c>
      <c r="Q735" s="156" t="n"/>
      <c r="R735" s="156" t="n"/>
      <c r="S735" s="156" t="n"/>
      <c r="T735" s="156" t="inlineStr">
        <is>
          <t>Bolsa Wrangler. Color: Lavanda. Talla única. Unisex. País de origen: México. Referencia: WG130-3003LV.</t>
        </is>
      </c>
      <c r="U735" s="156" t="inlineStr">
        <is>
          <t>México</t>
        </is>
      </c>
      <c r="V735" s="156" t="inlineStr">
        <is>
          <t>PZS</t>
        </is>
      </c>
      <c r="W735" s="51" t="inlineStr">
        <is>
          <t>53121601</t>
        </is>
      </c>
      <c r="X735" s="156" t="inlineStr">
        <is>
          <t>https://m-universal-unique-brands.odoo.com/web/image/product.product/15596/image_1920</t>
        </is>
      </c>
      <c r="Y735" s="54" t="n"/>
      <c r="Z735" s="54" t="n">
        <v>609</v>
      </c>
      <c r="AA735" s="55">
        <f>IF(AND(A735="", B735="", E735=""), "", IF(AB735="", "Válido", IF((LEN(AB735)-LEN(SUBSTITUTE(AB735,"; ","")))/2+1&gt;(LEN(AB735)-LEN(SUBSTITUTE(AB735,"[Aviso]","")))/7, "Con Incidencias", "Válido")))</f>
        <v/>
      </c>
      <c r="AB735" s="56">
        <f>IF(AND(A735="", B735="", E735=""), "", TEXTJOIN("; ", TRUE, IF(OR(TRIM(A735&amp;"")="", ISNUMBER(SEARCH("FALTA", A735))), "UPC faltante/inválido", ""), IF(AND(A735&lt;&gt;"", IFERROR(_xlfn.XMATCH(A735,$A$2:$A$1063,0,1)&lt;&gt;_xlfn.XMATCH(A735,$A$2:$A$1063,0,-1),FALSE)), "Código de barras duplicado", ""), IF(AND(E735&lt;&gt;"", COUNTIF($E$2:$E$1063, E735)&gt;1), "SKU duplicado", ""), IF(OR(J735="", J735=""), "[Aviso] División no capturada ()", IF(ISNA(MATCH(J735, Criterios!$A$123:$A$126, 0)), "División no válida", "")), IF(OR(K735="", K735=""), "[Aviso] Categoría no capturada ()", IF(ISNA(MATCH(K735, Criterios!$A$81:$A$120, 0)), "Categoría no válida", IF(AND(J735&lt;&gt;"", J735&lt;&gt;"", J735&lt;&gt;VLOOKUP(K735, Criterios!$A$81:$B$120, 2, FALSE)), "División no coincide con Categoría", ""))), IF(OR(L735="", L735=""), "[Aviso] Género no capturado ()", IF(ISNA(MATCH(L735, Criterios!$B$123:$B$127, 0)), "Género no válido", "")), IF(OR(N735="", N735=""), "[Aviso] Temporada no capturada ()", IF(ISNA(MATCH(N735, Criterios!$C$123:$C$128, 0)), "Temporada no válida", "")), IF(OR(O735="", O735=""), "[Aviso] Ciclo de vida no capturado ()", IF(ISNA(MATCH(O735, Criterios!$D$123:$D$124, 0)), "Ciclo de vida no válido", ""))))</f>
        <v/>
      </c>
      <c r="AC735" s="56" t="n"/>
      <c r="AD735" s="51" t="n"/>
      <c r="AE735" s="156" t="n"/>
      <c r="AF735" s="51" t="n"/>
      <c r="AG735" s="156" t="inlineStr">
        <is>
          <t>Nuevo – Carga Hoja2 01/10/2026</t>
        </is>
      </c>
      <c r="AH735" s="156" t="inlineStr">
        <is>
          <t>Alta 01/10/2026 desde Hoja2 (fila 751); Precio de compra en 0/vacío en origen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35" s="156" t="n"/>
      <c r="AJ735" s="156" t="n"/>
      <c r="AK735" s="155" t="inlineStr">
        <is>
          <t>Hoja2: fila 751 | Odoo: producto 15596 / plantilla 19949 | Odoo: producto 27230 / plantilla 33930</t>
        </is>
      </c>
      <c r="AL735" s="58" t="n"/>
      <c r="AM735" s="58" t="n"/>
      <c r="AN735" s="155" t="inlineStr">
        <is>
          <t>Odoo Universal Unique Brands</t>
        </is>
      </c>
      <c r="AO735" s="59" t="n"/>
      <c r="AP735" s="59" t="n"/>
      <c r="AQ735" s="59" t="n">
        <v>26</v>
      </c>
      <c r="AR735" s="155" t="inlineStr">
        <is>
          <t>Odoo Universal Unique Brands › Bodega 25 › Bodega 25/General: 24 | Odoo Universal Unique Brands › Bodega 25 › Bodega 25/General: 2</t>
        </is>
      </c>
    </row>
    <row r="736">
      <c r="A736" s="50" t="inlineStr">
        <is>
          <t>717205895873</t>
        </is>
      </c>
      <c r="B736" s="51" t="inlineStr">
        <is>
          <t>11220</t>
        </is>
      </c>
      <c r="C736" s="156" t="inlineStr">
        <is>
          <t>Wrangler</t>
        </is>
      </c>
      <c r="D736" s="156" t="inlineStr">
        <is>
          <t>WG133-8120SBK</t>
        </is>
      </c>
      <c r="E736" s="156" t="inlineStr">
        <is>
          <t>WG133-8120SBK</t>
        </is>
      </c>
      <c r="F736" s="156" t="inlineStr">
        <is>
          <t>Talla única</t>
        </is>
      </c>
      <c r="G736" s="156" t="inlineStr">
        <is>
          <t>One Size</t>
        </is>
      </c>
      <c r="H736" s="156" t="inlineStr">
        <is>
          <t>Wrangler</t>
        </is>
      </c>
      <c r="I736" s="156" t="inlineStr">
        <is>
          <t>Bolsa Tote Cruzada Wrangler Estampado De Vaca Con Compartimento Oculto Negro</t>
        </is>
      </c>
      <c r="J736" s="156" t="inlineStr">
        <is>
          <t>Accesorios</t>
        </is>
      </c>
      <c r="K736" s="156" t="inlineStr">
        <is>
          <t>Bolsos</t>
        </is>
      </c>
      <c r="L736" s="156" t="inlineStr">
        <is>
          <t>Unisex</t>
        </is>
      </c>
      <c r="M736" s="156" t="inlineStr">
        <is>
          <t>Wrangler</t>
        </is>
      </c>
      <c r="N736" s="156" t="n"/>
      <c r="O736" s="156" t="inlineStr">
        <is>
          <t>Core</t>
        </is>
      </c>
      <c r="P736" s="156" t="inlineStr">
        <is>
          <t>Negro</t>
        </is>
      </c>
      <c r="Q736" s="156" t="n"/>
      <c r="R736" s="156" t="n"/>
      <c r="S736" s="156" t="n"/>
      <c r="T736" s="156" t="inlineStr">
        <is>
          <t>Bolsa Tote Cruzada Wrangler. Modelo: Estampado De Vaca Con Compartimento Oculto. Color: Negro. Talla única. Unisex. País de origen: México. Referencia: WG133-8120SBK.</t>
        </is>
      </c>
      <c r="U736" s="156" t="inlineStr">
        <is>
          <t>México</t>
        </is>
      </c>
      <c r="V736" s="156" t="inlineStr">
        <is>
          <t>PZS</t>
        </is>
      </c>
      <c r="W736" s="51" t="inlineStr">
        <is>
          <t>53121601</t>
        </is>
      </c>
      <c r="X736" s="156" t="inlineStr">
        <is>
          <t>https://m-universal-unique-brands.odoo.com/web/image/product.product/11220/image_1920</t>
        </is>
      </c>
      <c r="Y736" s="54" t="n">
        <v>483</v>
      </c>
      <c r="Z736" s="54" t="n">
        <v>779</v>
      </c>
      <c r="AA736" s="55">
        <f>IF(AND(A736="", B736="", E736=""), "", IF(AB736="", "Válido", IF((LEN(AB736)-LEN(SUBSTITUTE(AB736,"; ","")))/2+1&gt;(LEN(AB736)-LEN(SUBSTITUTE(AB736,"[Aviso]","")))/7, "Con Incidencias", "Válido")))</f>
        <v/>
      </c>
      <c r="AB736" s="56">
        <f>IF(AND(A736="", B736="", E736=""), "", TEXTJOIN("; ", TRUE, IF(OR(TRIM(A736&amp;"")="", ISNUMBER(SEARCH("FALTA", A736))), "UPC faltante/inválido", ""), IF(AND(A736&lt;&gt;"", IFERROR(_xlfn.XMATCH(A736,$A$2:$A$1063,0,1)&lt;&gt;_xlfn.XMATCH(A736,$A$2:$A$1063,0,-1),FALSE)), "Código de barras duplicado", ""), IF(AND(E736&lt;&gt;"", COUNTIF($E$2:$E$1063, E736)&gt;1), "SKU duplicado", ""), IF(OR(J736="", J736=""), "[Aviso] División no capturada ()", IF(ISNA(MATCH(J736, Criterios!$A$123:$A$126, 0)), "División no válida", "")), IF(OR(K736="", K736=""), "[Aviso] Categoría no capturada ()", IF(ISNA(MATCH(K736, Criterios!$A$81:$A$120, 0)), "Categoría no válida", IF(AND(J736&lt;&gt;"", J736&lt;&gt;"", J736&lt;&gt;VLOOKUP(K736, Criterios!$A$81:$B$120, 2, FALSE)), "División no coincide con Categoría", ""))), IF(OR(L736="", L736=""), "[Aviso] Género no capturado ()", IF(ISNA(MATCH(L736, Criterios!$B$123:$B$127, 0)), "Género no válido", "")), IF(OR(N736="", N736=""), "[Aviso] Temporada no capturada ()", IF(ISNA(MATCH(N736, Criterios!$C$123:$C$128, 0)), "Temporada no válida", "")), IF(OR(O736="", O736=""), "[Aviso] Ciclo de vida no capturado ()", IF(ISNA(MATCH(O736, Criterios!$D$123:$D$124, 0)), "Ciclo de vida no válido", ""))))</f>
        <v/>
      </c>
      <c r="AC736" s="56" t="n"/>
      <c r="AD736" s="51" t="n"/>
      <c r="AE736" s="156" t="n"/>
      <c r="AF736" s="51" t="n"/>
      <c r="AG736" s="156" t="inlineStr">
        <is>
          <t>Nuevo – Carga Hoja2 01/10/2026</t>
        </is>
      </c>
      <c r="AH736" s="156" t="inlineStr">
        <is>
          <t>Alta 01/10/2026 desde Hoja2 (fila 752)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36" s="156" t="n"/>
      <c r="AJ736" s="156" t="n"/>
      <c r="AK736" s="155" t="inlineStr">
        <is>
          <t>Hoja2: fila 752 | Odoo: producto 11220 / plantilla 14655 | Odoo: producto 27234 / plantilla 33934</t>
        </is>
      </c>
      <c r="AL736" s="58" t="n"/>
      <c r="AM736" s="58" t="n"/>
      <c r="AN736" s="155" t="inlineStr">
        <is>
          <t>Odoo Universal Unique Brands</t>
        </is>
      </c>
      <c r="AO736" s="59" t="n"/>
      <c r="AP736" s="59" t="n"/>
      <c r="AQ736" s="59" t="n">
        <v>425</v>
      </c>
      <c r="AR736" s="155" t="inlineStr">
        <is>
          <t>Odoo Universal Unique Brands › Bodega 25 › Bodega 25/General: 425</t>
        </is>
      </c>
    </row>
    <row r="737">
      <c r="A737" s="50" t="n"/>
      <c r="B737" s="51" t="inlineStr">
        <is>
          <t>11195</t>
        </is>
      </c>
      <c r="C737" s="156" t="inlineStr">
        <is>
          <t>Wrangler</t>
        </is>
      </c>
      <c r="D737" s="156" t="inlineStr">
        <is>
          <t>WG133-8120SBR</t>
        </is>
      </c>
      <c r="E737" s="156" t="inlineStr">
        <is>
          <t>WG133-8120SBR</t>
        </is>
      </c>
      <c r="F737" s="156" t="inlineStr">
        <is>
          <t>Talla única</t>
        </is>
      </c>
      <c r="G737" s="156" t="inlineStr">
        <is>
          <t>One Size</t>
        </is>
      </c>
      <c r="H737" s="156" t="inlineStr">
        <is>
          <t>Wrangler</t>
        </is>
      </c>
      <c r="I737" s="156" t="inlineStr">
        <is>
          <t>Bolsa Tote Cruzada Wrangler Estampado De Vaca Con Compartimento Oculto</t>
        </is>
      </c>
      <c r="J737" s="156" t="inlineStr">
        <is>
          <t>Accesorios</t>
        </is>
      </c>
      <c r="K737" s="156" t="inlineStr">
        <is>
          <t>Bolsos</t>
        </is>
      </c>
      <c r="L737" s="156" t="inlineStr">
        <is>
          <t>Unisex</t>
        </is>
      </c>
      <c r="M737" s="156" t="inlineStr">
        <is>
          <t>Wrangler</t>
        </is>
      </c>
      <c r="N737" s="156" t="n"/>
      <c r="O737" s="156" t="n"/>
      <c r="P737" s="156" t="inlineStr">
        <is>
          <t>Cafe</t>
        </is>
      </c>
      <c r="Q737" s="156" t="n"/>
      <c r="R737" s="156" t="n"/>
      <c r="S737" s="156" t="n"/>
      <c r="T737" s="156" t="n"/>
      <c r="U737" s="156" t="inlineStr">
        <is>
          <t>México</t>
        </is>
      </c>
      <c r="V737" s="156" t="inlineStr">
        <is>
          <t>PZS</t>
        </is>
      </c>
      <c r="W737" s="51" t="inlineStr">
        <is>
          <t>53121601</t>
        </is>
      </c>
      <c r="X737" s="156" t="inlineStr">
        <is>
          <t>https://cdn.shopify.com/s/files/1/0005/9015/1741/files/WG133-8120SBR.webp?v=1787711315</t>
        </is>
      </c>
      <c r="Y737" s="54" t="n">
        <v>483</v>
      </c>
      <c r="Z737" s="54" t="n">
        <v>28</v>
      </c>
      <c r="AA737" s="55">
        <f>IF(AND(A737="", B737="", E737=""), "", IF(AB737="", "Válido", IF((LEN(AB737)-LEN(SUBSTITUTE(AB737,"; ","")))/2+1&gt;(LEN(AB737)-LEN(SUBSTITUTE(AB737,"[Aviso]","")))/7, "Con Incidencias", "Válido")))</f>
        <v/>
      </c>
      <c r="AB737" s="56">
        <f>IF(AND(A737="", B737="", E737=""), "", TEXTJOIN("; ", TRUE, IF(OR(TRIM(A737&amp;"")="", ISNUMBER(SEARCH("FALTA", A737))), "UPC faltante/inválido", ""), IF(AND(A737&lt;&gt;"", IFERROR(_xlfn.XMATCH(A737,$A$2:$A$1063,0,1)&lt;&gt;_xlfn.XMATCH(A737,$A$2:$A$1063,0,-1),FALSE)), "Código de barras duplicado", ""), IF(AND(E737&lt;&gt;"", COUNTIF($E$2:$E$1063, E737)&gt;1), "SKU duplicado", ""), IF(OR(J737="", J737=""), "[Aviso] División no capturada ()", IF(ISNA(MATCH(J737, Criterios!$A$123:$A$126, 0)), "División no válida", "")), IF(OR(K737="", K737=""), "[Aviso] Categoría no capturada ()", IF(ISNA(MATCH(K737, Criterios!$A$81:$A$120, 0)), "Categoría no válida", IF(AND(J737&lt;&gt;"", J737&lt;&gt;"", J737&lt;&gt;VLOOKUP(K737, Criterios!$A$81:$B$120, 2, FALSE)), "División no coincide con Categoría", ""))), IF(OR(L737="", L737=""), "[Aviso] Género no capturado ()", IF(ISNA(MATCH(L737, Criterios!$B$123:$B$127, 0)), "Género no válido", "")), IF(OR(N737="", N737=""), "[Aviso] Temporada no capturada ()", IF(ISNA(MATCH(N737, Criterios!$C$123:$C$128, 0)), "Temporada no válida", "")), IF(OR(O737="", O737=""), "[Aviso] Ciclo de vida no capturado ()", IF(ISNA(MATCH(O737, Criterios!$D$123:$D$124, 0)), "Ciclo de vida no válido", ""))))</f>
        <v/>
      </c>
      <c r="AC737" s="56" t="n"/>
      <c r="AD737" s="51" t="n"/>
      <c r="AE737" s="156" t="n"/>
      <c r="AF737" s="51" t="n"/>
      <c r="AG737" s="156" t="inlineStr">
        <is>
          <t>Nuevo – Carga Hoja2 01/10/2026</t>
        </is>
      </c>
      <c r="AH737" s="156" t="inlineStr">
        <is>
          <t>Alta 01/10/2026 desde Hoja2 (fila 753) | Homologación G1522 06/10/2026: WB País de origen: «Mexico» → «México» (Corrección aplicada) · Enlace de imagen: «» → «https://cdn.shopify.com/s/files/1/0005/9015/1741/files/WG133-8120SBR.webp?v=1787711315» (Completado por investigación en línea)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737" s="156" t="n"/>
      <c r="AJ737" s="156" t="n"/>
      <c r="AK737" s="155" t="inlineStr">
        <is>
          <t>Hoja2: fila 753 | Investigación en línea 06/10/2026: https://montanawestworld.com/products/wrangler-cow-print-concealed-carry-crossbody-bag</t>
        </is>
      </c>
      <c r="AL737" s="58" t="n"/>
      <c r="AM737" s="58" t="n"/>
      <c r="AN737" s="155" t="n"/>
      <c r="AO737" s="59" t="n"/>
      <c r="AP737" s="59" t="n"/>
      <c r="AQ737" s="59" t="n"/>
      <c r="AR737" s="155" t="n"/>
    </row>
    <row r="738">
      <c r="A738" s="50" t="inlineStr">
        <is>
          <t>717205895781</t>
        </is>
      </c>
      <c r="B738" s="51" t="inlineStr">
        <is>
          <t>11239</t>
        </is>
      </c>
      <c r="C738" s="156" t="inlineStr">
        <is>
          <t>Wrangler</t>
        </is>
      </c>
      <c r="D738" s="156" t="inlineStr">
        <is>
          <t>WG133-8120SPK</t>
        </is>
      </c>
      <c r="E738" s="156" t="inlineStr">
        <is>
          <t>WG133-8120SPK</t>
        </is>
      </c>
      <c r="F738" s="156" t="inlineStr">
        <is>
          <t>Talla única</t>
        </is>
      </c>
      <c r="G738" s="156" t="inlineStr">
        <is>
          <t>One Size</t>
        </is>
      </c>
      <c r="H738" s="156" t="inlineStr">
        <is>
          <t>Wrangler</t>
        </is>
      </c>
      <c r="I738" s="156" t="inlineStr">
        <is>
          <t>Bolsa Tote Cruzada Wrangler Estampado De Vaca Con Compartimento Oculto Rosa</t>
        </is>
      </c>
      <c r="J738" s="156" t="inlineStr">
        <is>
          <t>Accesorios</t>
        </is>
      </c>
      <c r="K738" s="156" t="inlineStr">
        <is>
          <t>Bolsos</t>
        </is>
      </c>
      <c r="L738" s="156" t="inlineStr">
        <is>
          <t>Unisex</t>
        </is>
      </c>
      <c r="M738" s="156" t="inlineStr">
        <is>
          <t>Wrangler</t>
        </is>
      </c>
      <c r="N738" s="156" t="n"/>
      <c r="O738" s="156" t="inlineStr">
        <is>
          <t>Core</t>
        </is>
      </c>
      <c r="P738" s="156" t="inlineStr">
        <is>
          <t>Rosa</t>
        </is>
      </c>
      <c r="Q738" s="156" t="n"/>
      <c r="R738" s="156" t="n"/>
      <c r="S738" s="156" t="n"/>
      <c r="T738" s="156" t="inlineStr">
        <is>
          <t>Bolsa Tote Cruzada Wrangler. Modelo: Estampado De Vaca Con Compartimento Oculto. Color: Rosa. Talla única. Unisex. País de origen: México. Referencia: WG133-8120SPK.</t>
        </is>
      </c>
      <c r="U738" s="156" t="inlineStr">
        <is>
          <t>México</t>
        </is>
      </c>
      <c r="V738" s="156" t="inlineStr">
        <is>
          <t>PZS</t>
        </is>
      </c>
      <c r="W738" s="51" t="inlineStr">
        <is>
          <t>53121601</t>
        </is>
      </c>
      <c r="X738" s="156" t="inlineStr">
        <is>
          <t>https://cdn.shopify.com/s/files/1/0005/9015/1741/files/WG133-8120SPK.webp?v=1787711315</t>
        </is>
      </c>
      <c r="Y738" s="54" t="n">
        <v>483</v>
      </c>
      <c r="Z738" s="54" t="n">
        <v>779</v>
      </c>
      <c r="AA738" s="55">
        <f>IF(AND(A738="", B738="", E738=""), "", IF(AB738="", "Válido", IF((LEN(AB738)-LEN(SUBSTITUTE(AB738,"; ","")))/2+1&gt;(LEN(AB738)-LEN(SUBSTITUTE(AB738,"[Aviso]","")))/7, "Con Incidencias", "Válido")))</f>
        <v/>
      </c>
      <c r="AB738" s="56">
        <f>IF(AND(A738="", B738="", E738=""), "", TEXTJOIN("; ", TRUE, IF(OR(TRIM(A738&amp;"")="", ISNUMBER(SEARCH("FALTA", A738))), "UPC faltante/inválido", ""), IF(AND(A738&lt;&gt;"", IFERROR(_xlfn.XMATCH(A738,$A$2:$A$1063,0,1)&lt;&gt;_xlfn.XMATCH(A738,$A$2:$A$1063,0,-1),FALSE)), "Código de barras duplicado", ""), IF(AND(E738&lt;&gt;"", COUNTIF($E$2:$E$1063, E738)&gt;1), "SKU duplicado", ""), IF(OR(J738="", J738=""), "[Aviso] División no capturada ()", IF(ISNA(MATCH(J738, Criterios!$A$123:$A$126, 0)), "División no válida", "")), IF(OR(K738="", K738=""), "[Aviso] Categoría no capturada ()", IF(ISNA(MATCH(K738, Criterios!$A$81:$A$120, 0)), "Categoría no válida", IF(AND(J738&lt;&gt;"", J738&lt;&gt;"", J738&lt;&gt;VLOOKUP(K738, Criterios!$A$81:$B$120, 2, FALSE)), "División no coincide con Categoría", ""))), IF(OR(L738="", L738=""), "[Aviso] Género no capturado ()", IF(ISNA(MATCH(L738, Criterios!$B$123:$B$127, 0)), "Género no válido", "")), IF(OR(N738="", N738=""), "[Aviso] Temporada no capturada ()", IF(ISNA(MATCH(N738, Criterios!$C$123:$C$128, 0)), "Temporada no válida", "")), IF(OR(O738="", O738=""), "[Aviso] Ciclo de vida no capturado ()", IF(ISNA(MATCH(O738, Criterios!$D$123:$D$124, 0)), "Ciclo de vida no válido", ""))))</f>
        <v/>
      </c>
      <c r="AC738" s="56" t="n"/>
      <c r="AD738" s="51" t="n"/>
      <c r="AE738" s="156" t="n"/>
      <c r="AF738" s="51" t="n"/>
      <c r="AG738" s="156" t="inlineStr">
        <is>
          <t>Nuevo – Carga Hoja2 01/10/2026</t>
        </is>
      </c>
      <c r="AH738" s="156" t="inlineStr">
        <is>
          <t>Alta 01/10/2026 desde Hoja2 (fila 754) | Homologación G1522 06/10/2026: Enlace de imagen: «» → «https://cdn.shopify.com/s/files/1/0005/9015/1741/files/WG133-8120SPK.webp?v=1787711315» (Completado por investigación en línea) · Validador Shopify: WB: precio con IVA no termina en 9</t>
        </is>
      </c>
      <c r="AI738" s="156" t="n"/>
      <c r="AJ738" s="156" t="n"/>
      <c r="AK738" s="155" t="inlineStr">
        <is>
          <t>Hoja2: fila 754 | Odoo: producto 11239 / plantilla 14674 | Investigación en línea 06/10/2026: https://montanawestworld.com/products/wrangler-cow-print-concealed-carry-crossbody-bag</t>
        </is>
      </c>
      <c r="AL738" s="58" t="n"/>
      <c r="AM738" s="58" t="n"/>
      <c r="AN738" s="155" t="inlineStr">
        <is>
          <t>Odoo Universal Unique Brands</t>
        </is>
      </c>
      <c r="AO738" s="59" t="n"/>
      <c r="AP738" s="59" t="n"/>
      <c r="AQ738" s="59" t="n">
        <v>8</v>
      </c>
      <c r="AR738" s="155" t="inlineStr">
        <is>
          <t>Odoo Universal Unique Brands › Bodega 25 › Bodega 25/General: 8</t>
        </is>
      </c>
    </row>
    <row r="739">
      <c r="A739" s="50" t="inlineStr">
        <is>
          <t>717205895811</t>
        </is>
      </c>
      <c r="B739" s="51" t="inlineStr">
        <is>
          <t>14896</t>
        </is>
      </c>
      <c r="C739" s="156" t="inlineStr">
        <is>
          <t>Wrangler</t>
        </is>
      </c>
      <c r="D739" s="156" t="inlineStr">
        <is>
          <t>WG133-8120STQ</t>
        </is>
      </c>
      <c r="E739" s="156" t="inlineStr">
        <is>
          <t>WG133-8120STQ</t>
        </is>
      </c>
      <c r="F739" s="156" t="inlineStr">
        <is>
          <t>Talla única</t>
        </is>
      </c>
      <c r="G739" s="156" t="inlineStr">
        <is>
          <t>One Size</t>
        </is>
      </c>
      <c r="H739" s="156" t="inlineStr">
        <is>
          <t>Wrangler</t>
        </is>
      </c>
      <c r="I739" s="156" t="inlineStr">
        <is>
          <t>WG133-8120STQ</t>
        </is>
      </c>
      <c r="J739" s="156" t="inlineStr">
        <is>
          <t>Accesorios</t>
        </is>
      </c>
      <c r="K739" s="156" t="inlineStr">
        <is>
          <t>Bolsos</t>
        </is>
      </c>
      <c r="L739" s="156" t="inlineStr">
        <is>
          <t>Unisex</t>
        </is>
      </c>
      <c r="M739" s="156" t="inlineStr">
        <is>
          <t>Wrangler</t>
        </is>
      </c>
      <c r="N739" s="156" t="n"/>
      <c r="O739" s="156" t="n"/>
      <c r="P739" s="156" t="inlineStr">
        <is>
          <t>Azul</t>
        </is>
      </c>
      <c r="Q739" s="156" t="n"/>
      <c r="R739" s="156" t="n"/>
      <c r="S739" s="156" t="n"/>
      <c r="T739" s="156" t="n"/>
      <c r="U739" s="156" t="inlineStr">
        <is>
          <t>México</t>
        </is>
      </c>
      <c r="V739" s="156" t="inlineStr">
        <is>
          <t>PZS</t>
        </is>
      </c>
      <c r="W739" s="51" t="inlineStr">
        <is>
          <t>53121600</t>
        </is>
      </c>
      <c r="X739" s="156" t="inlineStr">
        <is>
          <t>https://m-universal-unique-brands.odoo.com/web/image/product.product/14896/image_1920</t>
        </is>
      </c>
      <c r="Y739" s="54" t="n"/>
      <c r="Z739" s="54" t="n">
        <v>779</v>
      </c>
      <c r="AA739" s="55">
        <f>IF(AND(A739="", B739="", E739=""), "", IF(AB739="", "Válido", IF((LEN(AB739)-LEN(SUBSTITUTE(AB739,"; ","")))/2+1&gt;(LEN(AB739)-LEN(SUBSTITUTE(AB739,"[Aviso]","")))/7, "Con Incidencias", "Válido")))</f>
        <v/>
      </c>
      <c r="AB739" s="56">
        <f>IF(AND(A739="", B739="", E739=""), "", TEXTJOIN("; ", TRUE, IF(OR(TRIM(A739&amp;"")="", ISNUMBER(SEARCH("FALTA", A739))), "UPC faltante/inválido", ""), IF(AND(A739&lt;&gt;"", IFERROR(_xlfn.XMATCH(A739,$A$2:$A$1063,0,1)&lt;&gt;_xlfn.XMATCH(A739,$A$2:$A$1063,0,-1),FALSE)), "Código de barras duplicado", ""), IF(AND(E739&lt;&gt;"", COUNTIF($E$2:$E$1063, E739)&gt;1), "SKU duplicado", ""), IF(OR(J739="", J739=""), "[Aviso] División no capturada ()", IF(ISNA(MATCH(J739, Criterios!$A$123:$A$126, 0)), "División no válida", "")), IF(OR(K739="", K739=""), "[Aviso] Categoría no capturada ()", IF(ISNA(MATCH(K739, Criterios!$A$81:$A$120, 0)), "Categoría no válida", IF(AND(J739&lt;&gt;"", J739&lt;&gt;"", J739&lt;&gt;VLOOKUP(K739, Criterios!$A$81:$B$120, 2, FALSE)), "División no coincide con Categoría", ""))), IF(OR(L739="", L739=""), "[Aviso] Género no capturado ()", IF(ISNA(MATCH(L739, Criterios!$B$123:$B$127, 0)), "Género no válido", "")), IF(OR(N739="", N739=""), "[Aviso] Temporada no capturada ()", IF(ISNA(MATCH(N739, Criterios!$C$123:$C$128, 0)), "Temporada no válida", "")), IF(OR(O739="", O739=""), "[Aviso] Ciclo de vida no capturado ()", IF(ISNA(MATCH(O739, Criterios!$D$123:$D$124, 0)), "Ciclo de vida no válido", ""))))</f>
        <v/>
      </c>
      <c r="AC739" s="56" t="n"/>
      <c r="AD739" s="51" t="n"/>
      <c r="AE739" s="156" t="n"/>
      <c r="AF739" s="51" t="n"/>
      <c r="AG739" s="156" t="inlineStr">
        <is>
          <t>Nuevo – Carga Hoja2 01/10/2026</t>
        </is>
      </c>
      <c r="AH739" s="156" t="inlineStr">
        <is>
          <t>Alta 01/10/2026 desde Hoja2 (fila 755); Precio de compra en 0/vacío en origen | 01/10/2026: complementado desde Odoo Universal Unique Brands (match por código de barras): WB Talla, WB Talla de EE. UU., Enlace de imagen | Homologación G1522 06/10/2026: WB País de origen: «Mexico» → «México» (Corrección aplicada) · Validador Shopify: WB: precio con IVA no termina en 9</t>
        </is>
      </c>
      <c r="AI739" s="156" t="n"/>
      <c r="AJ739" s="156" t="n"/>
      <c r="AK739" s="155" t="inlineStr">
        <is>
          <t>Hoja2: fila 755 | Odoo: producto 14896 / plantilla 19249</t>
        </is>
      </c>
      <c r="AL739" s="58" t="n"/>
      <c r="AM739" s="58" t="n"/>
      <c r="AN739" s="155" t="inlineStr">
        <is>
          <t>Odoo Universal Unique Brands</t>
        </is>
      </c>
      <c r="AO739" s="59" t="n"/>
      <c r="AP739" s="59" t="n"/>
      <c r="AQ739" s="59" t="n">
        <v>0</v>
      </c>
      <c r="AR739" s="155" t="n"/>
    </row>
    <row r="740">
      <c r="A740" s="50" t="inlineStr">
        <is>
          <t>717019709816</t>
        </is>
      </c>
      <c r="B740" s="51" t="inlineStr">
        <is>
          <t>11497</t>
        </is>
      </c>
      <c r="C740" s="156" t="inlineStr">
        <is>
          <t>Wrangler</t>
        </is>
      </c>
      <c r="D740" s="156" t="inlineStr">
        <is>
          <t>WG133-8600PK</t>
        </is>
      </c>
      <c r="E740" s="156" t="inlineStr">
        <is>
          <t>WG133-8600PK</t>
        </is>
      </c>
      <c r="F740" s="156" t="inlineStr">
        <is>
          <t>Talla única</t>
        </is>
      </c>
      <c r="G740" s="156" t="inlineStr">
        <is>
          <t>One Size</t>
        </is>
      </c>
      <c r="H740" s="156" t="inlineStr">
        <is>
          <t>Wrangler</t>
        </is>
      </c>
      <c r="I740" s="156" t="inlineStr">
        <is>
          <t>Mochila Mini Wrangler Estampado De Vaca Con Monedero Rosa</t>
        </is>
      </c>
      <c r="J740" s="156" t="inlineStr">
        <is>
          <t>Accesorios</t>
        </is>
      </c>
      <c r="K740" s="156" t="inlineStr">
        <is>
          <t>Mochilas</t>
        </is>
      </c>
      <c r="L740" s="156" t="inlineStr">
        <is>
          <t>Unisex</t>
        </is>
      </c>
      <c r="M740" s="156" t="inlineStr">
        <is>
          <t>Wrangler</t>
        </is>
      </c>
      <c r="N740" s="156" t="n"/>
      <c r="O740" s="156" t="inlineStr">
        <is>
          <t>Core</t>
        </is>
      </c>
      <c r="P740" s="156" t="inlineStr">
        <is>
          <t>Rosa</t>
        </is>
      </c>
      <c r="Q740" s="156" t="n"/>
      <c r="R740" s="156" t="n"/>
      <c r="S740" s="156" t="n"/>
      <c r="T740" s="156" t="inlineStr">
        <is>
          <t>Mochila Mini Wrangler. Modelo: Estampado De Vaca Con Monedero. Color: Rosa. Talla única. Unisex. País de origen: México. Referencia: WG133-8600PK.</t>
        </is>
      </c>
      <c r="U740" s="156" t="inlineStr">
        <is>
          <t>México</t>
        </is>
      </c>
      <c r="V740" s="156" t="inlineStr">
        <is>
          <t>PZS</t>
        </is>
      </c>
      <c r="W740" s="51" t="inlineStr">
        <is>
          <t>53121601</t>
        </is>
      </c>
      <c r="X740" s="156" t="inlineStr">
        <is>
          <t>https://cdn.shopify.com/s/files/1/0005/9015/1741/files/Wrangler_Cow_print_Mini_Backpack_Pink.webp?v=1762510610</t>
        </is>
      </c>
      <c r="Y740" s="54" t="n">
        <v>258.75</v>
      </c>
      <c r="Z740" s="54" t="n">
        <v>419</v>
      </c>
      <c r="AA740" s="55">
        <f>IF(AND(A740="", B740="", E740=""), "", IF(AB740="", "Válido", IF((LEN(AB740)-LEN(SUBSTITUTE(AB740,"; ","")))/2+1&gt;(LEN(AB740)-LEN(SUBSTITUTE(AB740,"[Aviso]","")))/7, "Con Incidencias", "Válido")))</f>
        <v/>
      </c>
      <c r="AB740" s="56">
        <f>IF(AND(A740="", B740="", E740=""), "", TEXTJOIN("; ", TRUE, IF(OR(TRIM(A740&amp;"")="", ISNUMBER(SEARCH("FALTA", A740))), "UPC faltante/inválido", ""), IF(AND(A740&lt;&gt;"", IFERROR(_xlfn.XMATCH(A740,$A$2:$A$1063,0,1)&lt;&gt;_xlfn.XMATCH(A740,$A$2:$A$1063,0,-1),FALSE)), "Código de barras duplicado", ""), IF(AND(E740&lt;&gt;"", COUNTIF($E$2:$E$1063, E740)&gt;1), "SKU duplicado", ""), IF(OR(J740="", J740=""), "[Aviso] División no capturada ()", IF(ISNA(MATCH(J740, Criterios!$A$123:$A$126, 0)), "División no válida", "")), IF(OR(K740="", K740=""), "[Aviso] Categoría no capturada ()", IF(ISNA(MATCH(K740, Criterios!$A$81:$A$120, 0)), "Categoría no válida", IF(AND(J740&lt;&gt;"", J740&lt;&gt;"", J740&lt;&gt;VLOOKUP(K740, Criterios!$A$81:$B$120, 2, FALSE)), "División no coincide con Categoría", ""))), IF(OR(L740="", L740=""), "[Aviso] Género no capturado ()", IF(ISNA(MATCH(L740, Criterios!$B$123:$B$127, 0)), "Género no válido", "")), IF(OR(N740="", N740=""), "[Aviso] Temporada no capturada ()", IF(ISNA(MATCH(N740, Criterios!$C$123:$C$128, 0)), "Temporada no válida", "")), IF(OR(O740="", O740=""), "[Aviso] Ciclo de vida no capturado ()", IF(ISNA(MATCH(O740, Criterios!$D$123:$D$124, 0)), "Ciclo de vida no válido", ""))))</f>
        <v/>
      </c>
      <c r="AC740" s="56" t="n"/>
      <c r="AD740" s="51" t="n"/>
      <c r="AE740" s="156" t="n"/>
      <c r="AF740" s="51" t="n"/>
      <c r="AG740" s="156" t="inlineStr">
        <is>
          <t>Nuevo – Carga Hoja2 01/10/2026</t>
        </is>
      </c>
      <c r="AH740" s="156" t="inlineStr">
        <is>
          <t>Alta 01/10/2026 desde Hoja2 (fila 756) | Homologación G1522 06/10/2026: Enlace de imagen: «» → «https://cdn.shopify.com/s/files/1/0005/9015/1741/files/Wrangler_Cow_print_Mini_Backpack_Pink.webp?v=1762510610» (Completado por investigación en línea) · Validador Shopify: WB: precio con IVA no termina en 9</t>
        </is>
      </c>
      <c r="AI740" s="156" t="n"/>
      <c r="AJ740" s="156" t="n"/>
      <c r="AK740" s="155" t="inlineStr">
        <is>
          <t>Hoja2: fila 756 | Odoo: producto 11497 / plantilla 14932 | Investigación en línea 06/10/2026: https://montanawestworld.com/products/wrangler-cow-print-mini-backpack</t>
        </is>
      </c>
      <c r="AL740" s="58" t="n"/>
      <c r="AM740" s="58" t="n"/>
      <c r="AN740" s="155" t="inlineStr">
        <is>
          <t>Odoo Universal Unique Brands</t>
        </is>
      </c>
      <c r="AO740" s="59" t="n"/>
      <c r="AP740" s="59" t="n"/>
      <c r="AQ740" s="59" t="n">
        <v>10</v>
      </c>
      <c r="AR740" s="155" t="inlineStr">
        <is>
          <t>Odoo Universal Unique Brands › Bodega 25 › Bodega 25/General: 10</t>
        </is>
      </c>
    </row>
    <row r="741">
      <c r="A741" s="50" t="inlineStr">
        <is>
          <t>717205894678</t>
        </is>
      </c>
      <c r="B741" s="51" t="inlineStr">
        <is>
          <t>15591</t>
        </is>
      </c>
      <c r="C741" s="156" t="inlineStr">
        <is>
          <t>Wrangler</t>
        </is>
      </c>
      <c r="D741" s="156" t="inlineStr">
        <is>
          <t>WG133-W005BK</t>
        </is>
      </c>
      <c r="E741" s="156" t="inlineStr">
        <is>
          <t>WG133-W005BK</t>
        </is>
      </c>
      <c r="F741" s="156" t="inlineStr">
        <is>
          <t>Talla única</t>
        </is>
      </c>
      <c r="G741" s="156" t="inlineStr">
        <is>
          <t>One Size</t>
        </is>
      </c>
      <c r="H741" s="156" t="inlineStr">
        <is>
          <t>Wrangler</t>
        </is>
      </c>
      <c r="I741" s="156" t="inlineStr">
        <is>
          <t>Tarjetero Mini Con Cierre Wrangler Estampado De Vaca Negro</t>
        </is>
      </c>
      <c r="J741" s="156" t="inlineStr">
        <is>
          <t>Accesorios</t>
        </is>
      </c>
      <c r="K741" s="156" t="inlineStr">
        <is>
          <t>Carteras</t>
        </is>
      </c>
      <c r="L741" s="156" t="inlineStr">
        <is>
          <t>Unisex</t>
        </is>
      </c>
      <c r="M741" s="156" t="inlineStr">
        <is>
          <t>Wrangler</t>
        </is>
      </c>
      <c r="N741" s="156" t="n"/>
      <c r="O741" s="156" t="inlineStr">
        <is>
          <t>Core</t>
        </is>
      </c>
      <c r="P741" s="156" t="inlineStr">
        <is>
          <t>Negro</t>
        </is>
      </c>
      <c r="Q741" s="156" t="n"/>
      <c r="R741" s="156" t="n"/>
      <c r="S741" s="156" t="inlineStr">
        <is>
          <t>Exterior: piel sintética (poliuretano)</t>
        </is>
      </c>
      <c r="T741" s="156" t="inlineStr">
        <is>
          <t>Tarjetero Mini Con Cierre Wrangler. Modelo: Estampado De Vaca. Color: Negro. Talla única. Unisex. Exterior: piel sintética (poliuretano). País de origen: México. Referencia: WG133-W005BK.</t>
        </is>
      </c>
      <c r="U741" s="156" t="inlineStr">
        <is>
          <t>México</t>
        </is>
      </c>
      <c r="V741" s="156" t="inlineStr">
        <is>
          <t>PZS</t>
        </is>
      </c>
      <c r="W741" s="51" t="inlineStr">
        <is>
          <t>53121700</t>
        </is>
      </c>
      <c r="X741" s="156" t="n"/>
      <c r="Y741" s="54" t="n"/>
      <c r="Z741" s="54" t="n">
        <v>199</v>
      </c>
      <c r="AA741" s="55">
        <f>IF(AND(A741="", B741="", E741=""), "", IF(AB741="", "Válido", IF((LEN(AB741)-LEN(SUBSTITUTE(AB741,"; ","")))/2+1&gt;(LEN(AB741)-LEN(SUBSTITUTE(AB741,"[Aviso]","")))/7, "Con Incidencias", "Válido")))</f>
        <v/>
      </c>
      <c r="AB741" s="56">
        <f>IF(AND(A741="", B741="", E741=""), "", TEXTJOIN("; ", TRUE, IF(OR(TRIM(A741&amp;"")="", ISNUMBER(SEARCH("FALTA", A741))), "UPC faltante/inválido", ""), IF(AND(A741&lt;&gt;"", IFERROR(_xlfn.XMATCH(A741,$A$2:$A$1063,0,1)&lt;&gt;_xlfn.XMATCH(A741,$A$2:$A$1063,0,-1),FALSE)), "Código de barras duplicado", ""), IF(AND(E741&lt;&gt;"", COUNTIF($E$2:$E$1063, E741)&gt;1), "SKU duplicado", ""), IF(OR(J741="", J741=""), "[Aviso] División no capturada ()", IF(ISNA(MATCH(J741, Criterios!$A$123:$A$126, 0)), "División no válida", "")), IF(OR(K741="", K741=""), "[Aviso] Categoría no capturada ()", IF(ISNA(MATCH(K741, Criterios!$A$81:$A$120, 0)), "Categoría no válida", IF(AND(J741&lt;&gt;"", J741&lt;&gt;"", J741&lt;&gt;VLOOKUP(K741, Criterios!$A$81:$B$120, 2, FALSE)), "División no coincide con Categoría", ""))), IF(OR(L741="", L741=""), "[Aviso] Género no capturado ()", IF(ISNA(MATCH(L741, Criterios!$B$123:$B$127, 0)), "Género no válido", "")), IF(OR(N741="", N741=""), "[Aviso] Temporada no capturada ()", IF(ISNA(MATCH(N741, Criterios!$C$123:$C$128, 0)), "Temporada no válida", "")), IF(OR(O741="", O741=""), "[Aviso] Ciclo de vida no capturado ()", IF(ISNA(MATCH(O741, Criterios!$D$123:$D$124, 0)), "Ciclo de vida no válido", ""))))</f>
        <v/>
      </c>
      <c r="AC741" s="56" t="n"/>
      <c r="AD741" s="51" t="n"/>
      <c r="AE741" s="156" t="n"/>
      <c r="AF741" s="51" t="n"/>
      <c r="AG741" s="156" t="inlineStr">
        <is>
          <t>Nuevo – Carga Hoja2 01/10/2026</t>
        </is>
      </c>
      <c r="AH741" s="156" t="inlineStr">
        <is>
          <t>Alta 01/10/2026 desde Hoja2 (fila 758); Precio de compra en 0/vacío en origen | 01/10/2026: Odoo Universal Unique Brands trae Marca «Montana West» — se conservó el valor de Productos | Homologación G1522 06/10/2026: Validador Shopify: WB: precio con IVA no termina en 9</t>
        </is>
      </c>
      <c r="AI741" s="156" t="n"/>
      <c r="AJ741" s="156" t="n"/>
      <c r="AK741" s="155" t="inlineStr">
        <is>
          <t>Hoja2: fila 758 | Odoo: producto 15591 / plantilla 19944 | Odoo: producto 27238 / plantilla 33938</t>
        </is>
      </c>
      <c r="AL741" s="58" t="n"/>
      <c r="AM741" s="58" t="n"/>
      <c r="AN741" s="155" t="inlineStr">
        <is>
          <t>Odoo Universal Unique Brands</t>
        </is>
      </c>
      <c r="AO741" s="59" t="n"/>
      <c r="AP741" s="59" t="n"/>
      <c r="AQ741" s="59" t="n">
        <v>34</v>
      </c>
      <c r="AR741" s="155" t="inlineStr">
        <is>
          <t>Odoo Universal Unique Brands › Bodega 25 › Bodega 25/General: 35</t>
        </is>
      </c>
    </row>
    <row r="742">
      <c r="A742" s="50" t="inlineStr">
        <is>
          <t>717205894647</t>
        </is>
      </c>
      <c r="B742" s="51" t="inlineStr">
        <is>
          <t>11210</t>
        </is>
      </c>
      <c r="C742" s="156" t="inlineStr">
        <is>
          <t>Wrangler</t>
        </is>
      </c>
      <c r="D742" s="156" t="inlineStr">
        <is>
          <t>WG133-W005BR</t>
        </is>
      </c>
      <c r="E742" s="156" t="inlineStr">
        <is>
          <t>WG133-W005BR</t>
        </is>
      </c>
      <c r="F742" s="156" t="inlineStr">
        <is>
          <t>Talla única</t>
        </is>
      </c>
      <c r="G742" s="156" t="inlineStr">
        <is>
          <t>One Size</t>
        </is>
      </c>
      <c r="H742" s="156" t="inlineStr">
        <is>
          <t>Wrangler</t>
        </is>
      </c>
      <c r="I742" s="156" t="inlineStr">
        <is>
          <t>Tarjetero Mini Con Cierre Wrangler Estampado De Vaca Café</t>
        </is>
      </c>
      <c r="J742" s="156" t="inlineStr">
        <is>
          <t>Accesorios</t>
        </is>
      </c>
      <c r="K742" s="156" t="inlineStr">
        <is>
          <t>Carteras</t>
        </is>
      </c>
      <c r="L742" s="156" t="inlineStr">
        <is>
          <t>Unisex</t>
        </is>
      </c>
      <c r="M742" s="156" t="inlineStr">
        <is>
          <t>Wrangler</t>
        </is>
      </c>
      <c r="N742" s="156" t="n"/>
      <c r="O742" s="156" t="inlineStr">
        <is>
          <t>Core</t>
        </is>
      </c>
      <c r="P742" s="156" t="inlineStr">
        <is>
          <t>Cafe</t>
        </is>
      </c>
      <c r="Q742" s="156" t="n"/>
      <c r="R742" s="156" t="n"/>
      <c r="S742" s="156" t="n"/>
      <c r="T742" s="156" t="inlineStr">
        <is>
          <t>Tarjetero Mini Con Cierre Wrangler. Modelo: Estampado De Vaca. Color: Café. Talla única. Unisex. País de origen: México. Referencia: WG133-W005BR.</t>
        </is>
      </c>
      <c r="U742" s="156" t="inlineStr">
        <is>
          <t>México</t>
        </is>
      </c>
      <c r="V742" s="156" t="inlineStr">
        <is>
          <t>PZS</t>
        </is>
      </c>
      <c r="W742" s="51" t="inlineStr">
        <is>
          <t>53121700</t>
        </is>
      </c>
      <c r="X742" s="156" t="n"/>
      <c r="Y742" s="54" t="n">
        <v>120.75</v>
      </c>
      <c r="Z742" s="54" t="n">
        <v>199</v>
      </c>
      <c r="AA742" s="55">
        <f>IF(AND(A742="", B742="", E742=""), "", IF(AB742="", "Válido", IF((LEN(AB742)-LEN(SUBSTITUTE(AB742,"; ","")))/2+1&gt;(LEN(AB742)-LEN(SUBSTITUTE(AB742,"[Aviso]","")))/7, "Con Incidencias", "Válido")))</f>
        <v/>
      </c>
      <c r="AB742" s="56">
        <f>IF(AND(A742="", B742="", E742=""), "", TEXTJOIN("; ", TRUE, IF(OR(TRIM(A742&amp;"")="", ISNUMBER(SEARCH("FALTA", A742))), "UPC faltante/inválido", ""), IF(AND(A742&lt;&gt;"", IFERROR(_xlfn.XMATCH(A742,$A$2:$A$1063,0,1)&lt;&gt;_xlfn.XMATCH(A742,$A$2:$A$1063,0,-1),FALSE)), "Código de barras duplicado", ""), IF(AND(E742&lt;&gt;"", COUNTIF($E$2:$E$1063, E742)&gt;1), "SKU duplicado", ""), IF(OR(J742="", J742=""), "[Aviso] División no capturada ()", IF(ISNA(MATCH(J742, Criterios!$A$123:$A$126, 0)), "División no válida", "")), IF(OR(K742="", K742=""), "[Aviso] Categoría no capturada ()", IF(ISNA(MATCH(K742, Criterios!$A$81:$A$120, 0)), "Categoría no válida", IF(AND(J742&lt;&gt;"", J742&lt;&gt;"", J742&lt;&gt;VLOOKUP(K742, Criterios!$A$81:$B$120, 2, FALSE)), "División no coincide con Categoría", ""))), IF(OR(L742="", L742=""), "[Aviso] Género no capturado ()", IF(ISNA(MATCH(L742, Criterios!$B$123:$B$127, 0)), "Género no válido", "")), IF(OR(N742="", N742=""), "[Aviso] Temporada no capturada ()", IF(ISNA(MATCH(N742, Criterios!$C$123:$C$128, 0)), "Temporada no válida", "")), IF(OR(O742="", O742=""), "[Aviso] Ciclo de vida no capturado ()", IF(ISNA(MATCH(O742, Criterios!$D$123:$D$124, 0)), "Ciclo de vida no válido", ""))))</f>
        <v/>
      </c>
      <c r="AC742" s="56" t="n"/>
      <c r="AD742" s="51" t="n"/>
      <c r="AE742" s="156" t="n"/>
      <c r="AF742" s="51" t="n"/>
      <c r="AG742" s="156" t="inlineStr">
        <is>
          <t>Nuevo – Carga Hoja2 01/10/2026</t>
        </is>
      </c>
      <c r="AH742" s="156" t="inlineStr">
        <is>
          <t>Alta 01/10/2026 desde Hoja2 (fila 759) | 01/10/2026: Odoo Universal Unique Brands trae Marca «Montana West» — se conservó el valor de Productos | Homologación G1522 06/10/2026: Validador Shopify: WB: precio con IVA no termina en 9</t>
        </is>
      </c>
      <c r="AI742" s="156" t="n"/>
      <c r="AJ742" s="156" t="n"/>
      <c r="AK742" s="155" t="inlineStr">
        <is>
          <t>Hoja2: fila 759 | Odoo: producto 11210 / plantilla 14645 | Odoo: producto 27239 / plantilla 33939</t>
        </is>
      </c>
      <c r="AL742" s="58" t="n"/>
      <c r="AM742" s="58" t="n"/>
      <c r="AN742" s="155" t="inlineStr">
        <is>
          <t>Odoo Universal Unique Brands</t>
        </is>
      </c>
      <c r="AO742" s="59" t="n"/>
      <c r="AP742" s="59" t="n"/>
      <c r="AQ742" s="59" t="n">
        <v>84</v>
      </c>
      <c r="AR742" s="155" t="inlineStr">
        <is>
          <t>Odoo Universal Unique Brands › Bodega 25 › Bodega 25/General: 87</t>
        </is>
      </c>
    </row>
    <row r="743">
      <c r="A743" s="50" t="inlineStr">
        <is>
          <t>717205894586</t>
        </is>
      </c>
      <c r="B743" s="51" t="inlineStr">
        <is>
          <t>15592</t>
        </is>
      </c>
      <c r="C743" s="156" t="inlineStr">
        <is>
          <t>Wrangler</t>
        </is>
      </c>
      <c r="D743" s="156" t="inlineStr">
        <is>
          <t>WG133-W005PK</t>
        </is>
      </c>
      <c r="E743" s="156" t="inlineStr">
        <is>
          <t>WG133-W005PK</t>
        </is>
      </c>
      <c r="F743" s="156" t="inlineStr">
        <is>
          <t>Talla única</t>
        </is>
      </c>
      <c r="G743" s="156" t="inlineStr">
        <is>
          <t>One Size</t>
        </is>
      </c>
      <c r="H743" s="156" t="inlineStr">
        <is>
          <t>Wrangler</t>
        </is>
      </c>
      <c r="I743" s="156" t="inlineStr">
        <is>
          <t>Tarjetero Mini Con Cierre Wrangler Estampado De Vaca Rosa</t>
        </is>
      </c>
      <c r="J743" s="156" t="inlineStr">
        <is>
          <t>Accesorios</t>
        </is>
      </c>
      <c r="K743" s="156" t="inlineStr">
        <is>
          <t>Carteras</t>
        </is>
      </c>
      <c r="L743" s="156" t="inlineStr">
        <is>
          <t>Unisex</t>
        </is>
      </c>
      <c r="M743" s="156" t="inlineStr">
        <is>
          <t>Wrangler</t>
        </is>
      </c>
      <c r="N743" s="156" t="n"/>
      <c r="O743" s="156" t="inlineStr">
        <is>
          <t>Core</t>
        </is>
      </c>
      <c r="P743" s="156" t="inlineStr">
        <is>
          <t>Rosa</t>
        </is>
      </c>
      <c r="Q743" s="156" t="n"/>
      <c r="R743" s="156" t="n"/>
      <c r="S743" s="156" t="n"/>
      <c r="T743" s="156" t="inlineStr">
        <is>
          <t>Tarjetero Mini Con Cierre Wrangler. Modelo: Estampado De Vaca. Color: Rosa. Talla única. Unisex. País de origen: México. Referencia: WG133-W005PK.</t>
        </is>
      </c>
      <c r="U743" s="156" t="inlineStr">
        <is>
          <t>México</t>
        </is>
      </c>
      <c r="V743" s="156" t="inlineStr">
        <is>
          <t>PZS</t>
        </is>
      </c>
      <c r="W743" s="51" t="inlineStr">
        <is>
          <t>53121700</t>
        </is>
      </c>
      <c r="X743" s="156" t="inlineStr">
        <is>
          <t>https://m-universal-unique-brands.odoo.com/web/image/product.product/15592/image_1920</t>
        </is>
      </c>
      <c r="Y743" s="54" t="n"/>
      <c r="Z743" s="54" t="n">
        <v>199</v>
      </c>
      <c r="AA743" s="55">
        <f>IF(AND(A743="", B743="", E743=""), "", IF(AB743="", "Válido", IF((LEN(AB743)-LEN(SUBSTITUTE(AB743,"; ","")))/2+1&gt;(LEN(AB743)-LEN(SUBSTITUTE(AB743,"[Aviso]","")))/7, "Con Incidencias", "Válido")))</f>
        <v/>
      </c>
      <c r="AB743" s="56">
        <f>IF(AND(A743="", B743="", E743=""), "", TEXTJOIN("; ", TRUE, IF(OR(TRIM(A743&amp;"")="", ISNUMBER(SEARCH("FALTA", A743))), "UPC faltante/inválido", ""), IF(AND(A743&lt;&gt;"", IFERROR(_xlfn.XMATCH(A743,$A$2:$A$1063,0,1)&lt;&gt;_xlfn.XMATCH(A743,$A$2:$A$1063,0,-1),FALSE)), "Código de barras duplicado", ""), IF(AND(E743&lt;&gt;"", COUNTIF($E$2:$E$1063, E743)&gt;1), "SKU duplicado", ""), IF(OR(J743="", J743=""), "[Aviso] División no capturada ()", IF(ISNA(MATCH(J743, Criterios!$A$123:$A$126, 0)), "División no válida", "")), IF(OR(K743="", K743=""), "[Aviso] Categoría no capturada ()", IF(ISNA(MATCH(K743, Criterios!$A$81:$A$120, 0)), "Categoría no válida", IF(AND(J743&lt;&gt;"", J743&lt;&gt;"", J743&lt;&gt;VLOOKUP(K743, Criterios!$A$81:$B$120, 2, FALSE)), "División no coincide con Categoría", ""))), IF(OR(L743="", L743=""), "[Aviso] Género no capturado ()", IF(ISNA(MATCH(L743, Criterios!$B$123:$B$127, 0)), "Género no válido", "")), IF(OR(N743="", N743=""), "[Aviso] Temporada no capturada ()", IF(ISNA(MATCH(N743, Criterios!$C$123:$C$128, 0)), "Temporada no válida", "")), IF(OR(O743="", O743=""), "[Aviso] Ciclo de vida no capturado ()", IF(ISNA(MATCH(O743, Criterios!$D$123:$D$124, 0)), "Ciclo de vida no válido", ""))))</f>
        <v/>
      </c>
      <c r="AC743" s="56" t="n"/>
      <c r="AD743" s="51" t="n"/>
      <c r="AE743" s="156" t="n"/>
      <c r="AF743" s="51" t="n"/>
      <c r="AG743" s="156" t="inlineStr">
        <is>
          <t>Nuevo – Carga Hoja2 01/10/2026</t>
        </is>
      </c>
      <c r="AH743" s="156" t="inlineStr">
        <is>
          <t>Alta 01/10/2026 desde Hoja2 (fila 760); Precio de compra en 0/vacío en origen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43" s="156" t="n"/>
      <c r="AJ743" s="156" t="n"/>
      <c r="AK743" s="155" t="inlineStr">
        <is>
          <t>Hoja2: fila 760 | Odoo: producto 15592 / plantilla 19945 | Odoo: producto 27240 / plantilla 33940</t>
        </is>
      </c>
      <c r="AL743" s="58" t="n"/>
      <c r="AM743" s="58" t="n"/>
      <c r="AN743" s="155" t="inlineStr">
        <is>
          <t>Odoo Universal Unique Brands</t>
        </is>
      </c>
      <c r="AO743" s="59" t="n"/>
      <c r="AP743" s="59" t="n"/>
      <c r="AQ743" s="59" t="n">
        <v>31</v>
      </c>
      <c r="AR743" s="155" t="inlineStr">
        <is>
          <t>Odoo Universal Unique Brands › Bodega 25 › Bodega 25/General: 31</t>
        </is>
      </c>
    </row>
    <row r="744">
      <c r="A744" s="50" t="inlineStr">
        <is>
          <t>717325229022</t>
        </is>
      </c>
      <c r="B744" s="51" t="inlineStr">
        <is>
          <t>11527</t>
        </is>
      </c>
      <c r="C744" s="156" t="inlineStr">
        <is>
          <t>Wrangler</t>
        </is>
      </c>
      <c r="D744" s="156" t="inlineStr">
        <is>
          <t>WG137-W0092BDY</t>
        </is>
      </c>
      <c r="E744" s="156" t="inlineStr">
        <is>
          <t>WG137-W0092BDY</t>
        </is>
      </c>
      <c r="F744" s="156" t="inlineStr">
        <is>
          <t>Talla única</t>
        </is>
      </c>
      <c r="G744" s="156" t="inlineStr">
        <is>
          <t>One Size</t>
        </is>
      </c>
      <c r="H744" s="156" t="inlineStr">
        <is>
          <t>Wrangler</t>
        </is>
      </c>
      <c r="I744" s="156" t="inlineStr">
        <is>
          <t>Cartera Tarjetero Muñequera Con Llavero Wrangler Estampado Azteca Vino</t>
        </is>
      </c>
      <c r="J744" s="156" t="inlineStr">
        <is>
          <t>Accesorios</t>
        </is>
      </c>
      <c r="K744" s="156" t="inlineStr">
        <is>
          <t>Carteras</t>
        </is>
      </c>
      <c r="L744" s="156" t="inlineStr">
        <is>
          <t>Unisex</t>
        </is>
      </c>
      <c r="M744" s="156" t="inlineStr">
        <is>
          <t>Wrangler</t>
        </is>
      </c>
      <c r="N744" s="156" t="n"/>
      <c r="O744" s="156" t="inlineStr">
        <is>
          <t>Core</t>
        </is>
      </c>
      <c r="P744" s="156" t="inlineStr">
        <is>
          <t>Rojo</t>
        </is>
      </c>
      <c r="Q744" s="156" t="n"/>
      <c r="R744" s="156" t="n"/>
      <c r="S744" s="156" t="n"/>
      <c r="T744" s="156" t="inlineStr">
        <is>
          <t>Cartera Tarjetero Muñequera Con Llavero Wrangler. Modelo: Estampado Azteca. Color: Vino. Talla única. Unisex. País de origen: México. Referencia: WG137-W0092BDY.</t>
        </is>
      </c>
      <c r="U744" s="156" t="inlineStr">
        <is>
          <t>México</t>
        </is>
      </c>
      <c r="V744" s="156" t="inlineStr">
        <is>
          <t>PZS</t>
        </is>
      </c>
      <c r="W744" s="51" t="inlineStr">
        <is>
          <t>53121700</t>
        </is>
      </c>
      <c r="X744" s="156" t="inlineStr">
        <is>
          <t>https://cdn.shopify.com/s/files/1/0005/9015/1741/files/Wrangler_Aztec_Print_Card_Case_Burgundy3.webp?v=1751278425</t>
        </is>
      </c>
      <c r="Y744" s="54" t="n">
        <v>189.75</v>
      </c>
      <c r="Z744" s="54" t="n">
        <v>309</v>
      </c>
      <c r="AA744" s="55">
        <f>IF(AND(A744="", B744="", E744=""), "", IF(AB744="", "Válido", IF((LEN(AB744)-LEN(SUBSTITUTE(AB744,"; ","")))/2+1&gt;(LEN(AB744)-LEN(SUBSTITUTE(AB744,"[Aviso]","")))/7, "Con Incidencias", "Válido")))</f>
        <v/>
      </c>
      <c r="AB744" s="56">
        <f>IF(AND(A744="", B744="", E744=""), "", TEXTJOIN("; ", TRUE, IF(OR(TRIM(A744&amp;"")="", ISNUMBER(SEARCH("FALTA", A744))), "UPC faltante/inválido", ""), IF(AND(A744&lt;&gt;"", IFERROR(_xlfn.XMATCH(A744,$A$2:$A$1063,0,1)&lt;&gt;_xlfn.XMATCH(A744,$A$2:$A$1063,0,-1),FALSE)), "Código de barras duplicado", ""), IF(AND(E744&lt;&gt;"", COUNTIF($E$2:$E$1063, E744)&gt;1), "SKU duplicado", ""), IF(OR(J744="", J744=""), "[Aviso] División no capturada ()", IF(ISNA(MATCH(J744, Criterios!$A$123:$A$126, 0)), "División no válida", "")), IF(OR(K744="", K744=""), "[Aviso] Categoría no capturada ()", IF(ISNA(MATCH(K744, Criterios!$A$81:$A$120, 0)), "Categoría no válida", IF(AND(J744&lt;&gt;"", J744&lt;&gt;"", J744&lt;&gt;VLOOKUP(K744, Criterios!$A$81:$B$120, 2, FALSE)), "División no coincide con Categoría", ""))), IF(OR(L744="", L744=""), "[Aviso] Género no capturado ()", IF(ISNA(MATCH(L744, Criterios!$B$123:$B$127, 0)), "Género no válido", "")), IF(OR(N744="", N744=""), "[Aviso] Temporada no capturada ()", IF(ISNA(MATCH(N744, Criterios!$C$123:$C$128, 0)), "Temporada no válida", "")), IF(OR(O744="", O744=""), "[Aviso] Ciclo de vida no capturado ()", IF(ISNA(MATCH(O744, Criterios!$D$123:$D$124, 0)), "Ciclo de vida no válido", ""))))</f>
        <v/>
      </c>
      <c r="AC744" s="56" t="n"/>
      <c r="AD744" s="51" t="n"/>
      <c r="AE744" s="156" t="n"/>
      <c r="AF744" s="51" t="n"/>
      <c r="AG744" s="156" t="inlineStr">
        <is>
          <t>Nuevo – Carga Hoja2 01/10/2026</t>
        </is>
      </c>
      <c r="AH744" s="156" t="inlineStr">
        <is>
          <t>Alta 01/10/2026 desde Hoja2 (fila 761) | 01/10/2026: Odoo Universal Unique Brands trae Marca «Montana West» — se conservó el valor de Productos | Homologación G1522 06/10/2026: Enlace de imagen: «» → «https://cdn.shopify.com/s/files/1/0005/9015/1741/files/Wrangler_Aztec_Print_Card_Case_Burgundy3.webp?v=1751278425» (Completado por investigación en línea) · Validador Shopify: WB: precio con IVA no termina en 9</t>
        </is>
      </c>
      <c r="AI744" s="156" t="n"/>
      <c r="AJ744" s="156" t="n"/>
      <c r="AK744" s="155" t="inlineStr">
        <is>
          <t>Hoja2: fila 761 | Odoo: producto 11527 / plantilla 14962 | Odoo: producto 27241 / plantilla 33941 | Investigación en línea 06/10/2026: https://montanawestworld.com/products/wrangler-aztec-print-card-case</t>
        </is>
      </c>
      <c r="AL744" s="58" t="n"/>
      <c r="AM744" s="58" t="n"/>
      <c r="AN744" s="155" t="inlineStr">
        <is>
          <t>Odoo Universal Unique Brands</t>
        </is>
      </c>
      <c r="AO744" s="59" t="n"/>
      <c r="AP744" s="59" t="n"/>
      <c r="AQ744" s="59" t="n">
        <v>37</v>
      </c>
      <c r="AR744" s="155" t="inlineStr">
        <is>
          <t>Odoo Universal Unique Brands › Bodega 25 › Bodega 25/General: 33 | Odoo Universal Unique Brands › Bodega 25 › Bodega 25/General: 4</t>
        </is>
      </c>
    </row>
    <row r="745">
      <c r="A745" s="50" t="inlineStr">
        <is>
          <t>717325228995</t>
        </is>
      </c>
      <c r="B745" s="51" t="inlineStr">
        <is>
          <t>11294</t>
        </is>
      </c>
      <c r="C745" s="156" t="inlineStr">
        <is>
          <t>Wrangler</t>
        </is>
      </c>
      <c r="D745" s="156" t="inlineStr">
        <is>
          <t>WG137-W0092BK</t>
        </is>
      </c>
      <c r="E745" s="156" t="inlineStr">
        <is>
          <t>WG137-W0092BK</t>
        </is>
      </c>
      <c r="F745" s="156" t="inlineStr">
        <is>
          <t>Talla única</t>
        </is>
      </c>
      <c r="G745" s="156" t="inlineStr">
        <is>
          <t>One Size</t>
        </is>
      </c>
      <c r="H745" s="156" t="inlineStr">
        <is>
          <t>Wrangler</t>
        </is>
      </c>
      <c r="I745" s="156" t="inlineStr">
        <is>
          <t>Cartera Tarjetero Muñequera Con Llavero Wrangler Estampado De Leopardo Negro</t>
        </is>
      </c>
      <c r="J745" s="156" t="inlineStr">
        <is>
          <t>Accesorios</t>
        </is>
      </c>
      <c r="K745" s="156" t="inlineStr">
        <is>
          <t>Carteras</t>
        </is>
      </c>
      <c r="L745" s="156" t="inlineStr">
        <is>
          <t>Unisex</t>
        </is>
      </c>
      <c r="M745" s="156" t="inlineStr">
        <is>
          <t>Wrangler</t>
        </is>
      </c>
      <c r="N745" s="156" t="n"/>
      <c r="O745" s="156" t="inlineStr">
        <is>
          <t>Core</t>
        </is>
      </c>
      <c r="P745" s="156" t="inlineStr">
        <is>
          <t>Negro</t>
        </is>
      </c>
      <c r="Q745" s="156" t="n"/>
      <c r="R745" s="156" t="n"/>
      <c r="S745" s="156" t="n"/>
      <c r="T745" s="156" t="inlineStr">
        <is>
          <t>Cartera Tarjetero Muñequera Con Llavero Wrangler. Modelo: Estampado De Leopardo. Color: Negro. Talla única. Unisex. País de origen: México. Referencia: WG137-W0092BK.</t>
        </is>
      </c>
      <c r="U745" s="156" t="inlineStr">
        <is>
          <t>México</t>
        </is>
      </c>
      <c r="V745" s="156" t="inlineStr">
        <is>
          <t>PZS</t>
        </is>
      </c>
      <c r="W745" s="51" t="inlineStr">
        <is>
          <t>53121700</t>
        </is>
      </c>
      <c r="X745" s="156" t="inlineStr">
        <is>
          <t>https://m-universal-unique-brands.odoo.com/web/image/product.product/11294/image_1920</t>
        </is>
      </c>
      <c r="Y745" s="54" t="n">
        <v>189.75</v>
      </c>
      <c r="Z745" s="54" t="n">
        <v>309</v>
      </c>
      <c r="AA745" s="55">
        <f>IF(AND(A745="", B745="", E745=""), "", IF(AB745="", "Válido", IF((LEN(AB745)-LEN(SUBSTITUTE(AB745,"; ","")))/2+1&gt;(LEN(AB745)-LEN(SUBSTITUTE(AB745,"[Aviso]","")))/7, "Con Incidencias", "Válido")))</f>
        <v/>
      </c>
      <c r="AB745" s="56">
        <f>IF(AND(A745="", B745="", E745=""), "", TEXTJOIN("; ", TRUE, IF(OR(TRIM(A745&amp;"")="", ISNUMBER(SEARCH("FALTA", A745))), "UPC faltante/inválido", ""), IF(AND(A745&lt;&gt;"", IFERROR(_xlfn.XMATCH(A745,$A$2:$A$1063,0,1)&lt;&gt;_xlfn.XMATCH(A745,$A$2:$A$1063,0,-1),FALSE)), "Código de barras duplicado", ""), IF(AND(E745&lt;&gt;"", COUNTIF($E$2:$E$1063, E745)&gt;1), "SKU duplicado", ""), IF(OR(J745="", J745=""), "[Aviso] División no capturada ()", IF(ISNA(MATCH(J745, Criterios!$A$123:$A$126, 0)), "División no válida", "")), IF(OR(K745="", K745=""), "[Aviso] Categoría no capturada ()", IF(ISNA(MATCH(K745, Criterios!$A$81:$A$120, 0)), "Categoría no válida", IF(AND(J745&lt;&gt;"", J745&lt;&gt;"", J745&lt;&gt;VLOOKUP(K745, Criterios!$A$81:$B$120, 2, FALSE)), "División no coincide con Categoría", ""))), IF(OR(L745="", L745=""), "[Aviso] Género no capturado ()", IF(ISNA(MATCH(L745, Criterios!$B$123:$B$127, 0)), "Género no válido", "")), IF(OR(N745="", N745=""), "[Aviso] Temporada no capturada ()", IF(ISNA(MATCH(N745, Criterios!$C$123:$C$128, 0)), "Temporada no válida", "")), IF(OR(O745="", O745=""), "[Aviso] Ciclo de vida no capturado ()", IF(ISNA(MATCH(O745, Criterios!$D$123:$D$124, 0)), "Ciclo de vida no válido", ""))))</f>
        <v/>
      </c>
      <c r="AC745" s="56" t="n"/>
      <c r="AD745" s="51" t="n"/>
      <c r="AE745" s="156" t="n"/>
      <c r="AF745" s="51" t="n"/>
      <c r="AG745" s="156" t="inlineStr">
        <is>
          <t>Nuevo – Carga Hoja2 01/10/2026</t>
        </is>
      </c>
      <c r="AH745" s="156" t="inlineStr">
        <is>
          <t>Alta 01/10/2026 desde Hoja2 (fila 762)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45" s="156" t="n"/>
      <c r="AJ745" s="156" t="n"/>
      <c r="AK745" s="155" t="inlineStr">
        <is>
          <t>Hoja2: fila 762 | Odoo: producto 11294 / plantilla 14729 | Odoo: producto 27242 / plantilla 33942</t>
        </is>
      </c>
      <c r="AL745" s="58" t="n"/>
      <c r="AM745" s="58" t="n"/>
      <c r="AN745" s="155" t="inlineStr">
        <is>
          <t>Odoo Universal Unique Brands</t>
        </is>
      </c>
      <c r="AO745" s="59" t="n"/>
      <c r="AP745" s="59" t="n"/>
      <c r="AQ745" s="59" t="n">
        <v>94</v>
      </c>
      <c r="AR745" s="155" t="inlineStr">
        <is>
          <t>Odoo Universal Unique Brands › Bodega 25 › Bodega 25/General: 88 | Odoo Universal Unique Brands › Bodega 25 › Bodega 25/General: 6</t>
        </is>
      </c>
    </row>
    <row r="746">
      <c r="A746" s="50" t="inlineStr">
        <is>
          <t>717325228988</t>
        </is>
      </c>
      <c r="B746" s="51" t="inlineStr">
        <is>
          <t>11296</t>
        </is>
      </c>
      <c r="C746" s="156" t="inlineStr">
        <is>
          <t>Wrangler</t>
        </is>
      </c>
      <c r="D746" s="156" t="inlineStr">
        <is>
          <t>WG137-W0092PK</t>
        </is>
      </c>
      <c r="E746" s="156" t="inlineStr">
        <is>
          <t>WG137-W0092PK</t>
        </is>
      </c>
      <c r="F746" s="156" t="inlineStr">
        <is>
          <t>Talla única</t>
        </is>
      </c>
      <c r="G746" s="156" t="inlineStr">
        <is>
          <t>One Size</t>
        </is>
      </c>
      <c r="H746" s="156" t="inlineStr">
        <is>
          <t>Wrangler</t>
        </is>
      </c>
      <c r="I746" s="156" t="inlineStr">
        <is>
          <t>Cartera Tarjetero Muñequera Con Llavero Wrangler Estampado De Leopardo Rosa</t>
        </is>
      </c>
      <c r="J746" s="156" t="inlineStr">
        <is>
          <t>Accesorios</t>
        </is>
      </c>
      <c r="K746" s="156" t="inlineStr">
        <is>
          <t>Carteras</t>
        </is>
      </c>
      <c r="L746" s="156" t="inlineStr">
        <is>
          <t>Unisex</t>
        </is>
      </c>
      <c r="M746" s="156" t="inlineStr">
        <is>
          <t>Wrangler</t>
        </is>
      </c>
      <c r="N746" s="156" t="n"/>
      <c r="O746" s="156" t="inlineStr">
        <is>
          <t>Core</t>
        </is>
      </c>
      <c r="P746" s="156" t="inlineStr">
        <is>
          <t>Rosa</t>
        </is>
      </c>
      <c r="Q746" s="156" t="n"/>
      <c r="R746" s="156" t="n"/>
      <c r="S746" s="156" t="n"/>
      <c r="T746" s="156" t="inlineStr">
        <is>
          <t>Cartera Tarjetero Muñequera Con Llavero Wrangler. Modelo: Estampado De Leopardo. Color: Rosa. Talla única. Unisex. País de origen: México. Referencia: WG137-W0092PK.</t>
        </is>
      </c>
      <c r="U746" s="156" t="inlineStr">
        <is>
          <t>México</t>
        </is>
      </c>
      <c r="V746" s="156" t="inlineStr">
        <is>
          <t>PZS</t>
        </is>
      </c>
      <c r="W746" s="51" t="inlineStr">
        <is>
          <t>53121700</t>
        </is>
      </c>
      <c r="X746" s="156" t="inlineStr">
        <is>
          <t>https://m-universal-unique-brands.odoo.com/web/image/product.product/11296/image_1920</t>
        </is>
      </c>
      <c r="Y746" s="54" t="n">
        <v>189.75</v>
      </c>
      <c r="Z746" s="54" t="n">
        <v>309</v>
      </c>
      <c r="AA746" s="55">
        <f>IF(AND(A746="", B746="", E746=""), "", IF(AB746="", "Válido", IF((LEN(AB746)-LEN(SUBSTITUTE(AB746,"; ","")))/2+1&gt;(LEN(AB746)-LEN(SUBSTITUTE(AB746,"[Aviso]","")))/7, "Con Incidencias", "Válido")))</f>
        <v/>
      </c>
      <c r="AB746" s="56">
        <f>IF(AND(A746="", B746="", E746=""), "", TEXTJOIN("; ", TRUE, IF(OR(TRIM(A746&amp;"")="", ISNUMBER(SEARCH("FALTA", A746))), "UPC faltante/inválido", ""), IF(AND(A746&lt;&gt;"", IFERROR(_xlfn.XMATCH(A746,$A$2:$A$1063,0,1)&lt;&gt;_xlfn.XMATCH(A746,$A$2:$A$1063,0,-1),FALSE)), "Código de barras duplicado", ""), IF(AND(E746&lt;&gt;"", COUNTIF($E$2:$E$1063, E746)&gt;1), "SKU duplicado", ""), IF(OR(J746="", J746=""), "[Aviso] División no capturada ()", IF(ISNA(MATCH(J746, Criterios!$A$123:$A$126, 0)), "División no válida", "")), IF(OR(K746="", K746=""), "[Aviso] Categoría no capturada ()", IF(ISNA(MATCH(K746, Criterios!$A$81:$A$120, 0)), "Categoría no válida", IF(AND(J746&lt;&gt;"", J746&lt;&gt;"", J746&lt;&gt;VLOOKUP(K746, Criterios!$A$81:$B$120, 2, FALSE)), "División no coincide con Categoría", ""))), IF(OR(L746="", L746=""), "[Aviso] Género no capturado ()", IF(ISNA(MATCH(L746, Criterios!$B$123:$B$127, 0)), "Género no válido", "")), IF(OR(N746="", N746=""), "[Aviso] Temporada no capturada ()", IF(ISNA(MATCH(N746, Criterios!$C$123:$C$128, 0)), "Temporada no válida", "")), IF(OR(O746="", O746=""), "[Aviso] Ciclo de vida no capturado ()", IF(ISNA(MATCH(O746, Criterios!$D$123:$D$124, 0)), "Ciclo de vida no válido", ""))))</f>
        <v/>
      </c>
      <c r="AC746" s="56" t="n"/>
      <c r="AD746" s="51" t="n"/>
      <c r="AE746" s="156" t="n"/>
      <c r="AF746" s="51" t="n"/>
      <c r="AG746" s="156" t="inlineStr">
        <is>
          <t>Nuevo – Carga Hoja2 01/10/2026</t>
        </is>
      </c>
      <c r="AH746" s="156" t="inlineStr">
        <is>
          <t>Alta 01/10/2026 desde Hoja2 (fila 763)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46" s="156" t="n"/>
      <c r="AJ746" s="156" t="n"/>
      <c r="AK746" s="155" t="inlineStr">
        <is>
          <t>Hoja2: fila 763 | Odoo: producto 11296 / plantilla 14731 | Odoo: producto 27245 / plantilla 33945</t>
        </is>
      </c>
      <c r="AL746" s="58" t="n"/>
      <c r="AM746" s="58" t="n"/>
      <c r="AN746" s="155" t="inlineStr">
        <is>
          <t>Odoo Universal Unique Brands</t>
        </is>
      </c>
      <c r="AO746" s="59" t="n"/>
      <c r="AP746" s="59" t="n"/>
      <c r="AQ746" s="59" t="n">
        <v>18</v>
      </c>
      <c r="AR746" s="155" t="inlineStr">
        <is>
          <t>Odoo Universal Unique Brands › Bodega 25 › Bodega 25/General: 12 | Odoo Universal Unique Brands › Bodega 25 › Bodega 25/General: 6</t>
        </is>
      </c>
    </row>
    <row r="747">
      <c r="A747" s="50" t="inlineStr">
        <is>
          <t>717325229015</t>
        </is>
      </c>
      <c r="B747" s="51" t="inlineStr">
        <is>
          <t>11240</t>
        </is>
      </c>
      <c r="C747" s="156" t="inlineStr">
        <is>
          <t>Wrangler</t>
        </is>
      </c>
      <c r="D747" s="156" t="inlineStr">
        <is>
          <t>WG137-W0092TQ</t>
        </is>
      </c>
      <c r="E747" s="156" t="inlineStr">
        <is>
          <t>WG137-W0092TQ</t>
        </is>
      </c>
      <c r="F747" s="156" t="inlineStr">
        <is>
          <t>Talla única</t>
        </is>
      </c>
      <c r="G747" s="156" t="inlineStr">
        <is>
          <t>One Size</t>
        </is>
      </c>
      <c r="H747" s="156" t="inlineStr">
        <is>
          <t>Wrangler</t>
        </is>
      </c>
      <c r="I747" s="156" t="inlineStr">
        <is>
          <t>Cartera Tarjetero Muñequera Con Llavero Wrangler Estampado Azteca</t>
        </is>
      </c>
      <c r="J747" s="156" t="inlineStr">
        <is>
          <t>Accesorios</t>
        </is>
      </c>
      <c r="K747" s="156" t="inlineStr">
        <is>
          <t>Carteras</t>
        </is>
      </c>
      <c r="L747" s="156" t="inlineStr">
        <is>
          <t>Unisex</t>
        </is>
      </c>
      <c r="M747" s="156" t="inlineStr">
        <is>
          <t>Wrangler</t>
        </is>
      </c>
      <c r="N747" s="156" t="n"/>
      <c r="O747" s="156" t="n"/>
      <c r="P747" s="156" t="inlineStr">
        <is>
          <t>Azul</t>
        </is>
      </c>
      <c r="Q747" s="156" t="n"/>
      <c r="R747" s="156" t="n"/>
      <c r="S747" s="156" t="n"/>
      <c r="T747" s="156" t="inlineStr">
        <is>
          <t>Cartera Tarjetero Muñequera Con Llavero</t>
        </is>
      </c>
      <c r="U747" s="156" t="inlineStr">
        <is>
          <t>México</t>
        </is>
      </c>
      <c r="V747" s="156" t="inlineStr">
        <is>
          <t>PZS</t>
        </is>
      </c>
      <c r="W747" s="51" t="inlineStr">
        <is>
          <t>53121601</t>
        </is>
      </c>
      <c r="X747" s="156" t="inlineStr">
        <is>
          <t>https://m-universal-unique-brands.odoo.com/web/image/product.product/11240/image_1920</t>
        </is>
      </c>
      <c r="Y747" s="54" t="n">
        <v>189.75</v>
      </c>
      <c r="Z747" s="54" t="n">
        <v>309</v>
      </c>
      <c r="AA747" s="55">
        <f>IF(AND(A747="", B747="", E747=""), "", IF(AB747="", "Válido", IF((LEN(AB747)-LEN(SUBSTITUTE(AB747,"; ","")))/2+1&gt;(LEN(AB747)-LEN(SUBSTITUTE(AB747,"[Aviso]","")))/7, "Con Incidencias", "Válido")))</f>
        <v/>
      </c>
      <c r="AB747" s="56">
        <f>IF(AND(A747="", B747="", E747=""), "", TEXTJOIN("; ", TRUE, IF(OR(TRIM(A747&amp;"")="", ISNUMBER(SEARCH("FALTA", A747))), "UPC faltante/inválido", ""), IF(AND(A747&lt;&gt;"", IFERROR(_xlfn.XMATCH(A747,$A$2:$A$1063,0,1)&lt;&gt;_xlfn.XMATCH(A747,$A$2:$A$1063,0,-1),FALSE)), "Código de barras duplicado", ""), IF(AND(E747&lt;&gt;"", COUNTIF($E$2:$E$1063, E747)&gt;1), "SKU duplicado", ""), IF(OR(J747="", J747=""), "[Aviso] División no capturada ()", IF(ISNA(MATCH(J747, Criterios!$A$123:$A$126, 0)), "División no válida", "")), IF(OR(K747="", K747=""), "[Aviso] Categoría no capturada ()", IF(ISNA(MATCH(K747, Criterios!$A$81:$A$120, 0)), "Categoría no válida", IF(AND(J747&lt;&gt;"", J747&lt;&gt;"", J747&lt;&gt;VLOOKUP(K747, Criterios!$A$81:$B$120, 2, FALSE)), "División no coincide con Categoría", ""))), IF(OR(L747="", L747=""), "[Aviso] Género no capturado ()", IF(ISNA(MATCH(L747, Criterios!$B$123:$B$127, 0)), "Género no válido", "")), IF(OR(N747="", N747=""), "[Aviso] Temporada no capturada ()", IF(ISNA(MATCH(N747, Criterios!$C$123:$C$128, 0)), "Temporada no válida", "")), IF(OR(O747="", O747=""), "[Aviso] Ciclo de vida no capturado ()", IF(ISNA(MATCH(O747, Criterios!$D$123:$D$124, 0)), "Ciclo de vida no válido", ""))))</f>
        <v/>
      </c>
      <c r="AC747" s="56" t="n"/>
      <c r="AD747" s="51" t="n"/>
      <c r="AE747" s="156" t="n"/>
      <c r="AF747" s="51" t="n"/>
      <c r="AG747" s="156" t="inlineStr">
        <is>
          <t>Nuevo – Carga Hoja2 01/10/2026</t>
        </is>
      </c>
      <c r="AH747" s="156" t="inlineStr">
        <is>
          <t>Alta 01/10/2026 desde Hoja2 (fila 764)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747" s="156" t="n"/>
      <c r="AJ747" s="156" t="n"/>
      <c r="AK747" s="155" t="inlineStr">
        <is>
          <t>Hoja2: fila 764 | Odoo: producto 11240 / plantilla 14675</t>
        </is>
      </c>
      <c r="AL747" s="58" t="n"/>
      <c r="AM747" s="58" t="n"/>
      <c r="AN747" s="155" t="inlineStr">
        <is>
          <t>Odoo Universal Unique Brands</t>
        </is>
      </c>
      <c r="AO747" s="59" t="n"/>
      <c r="AP747" s="59" t="n"/>
      <c r="AQ747" s="59" t="n">
        <v>50</v>
      </c>
      <c r="AR747" s="155" t="inlineStr">
        <is>
          <t>Odoo Universal Unique Brands › Bodega 25 › Bodega 25/General: 50</t>
        </is>
      </c>
    </row>
    <row r="748">
      <c r="A748" s="50" t="inlineStr">
        <is>
          <t>717019694570</t>
        </is>
      </c>
      <c r="B748" s="51" t="inlineStr">
        <is>
          <t>11495</t>
        </is>
      </c>
      <c r="C748" s="156" t="inlineStr">
        <is>
          <t>Wrangler</t>
        </is>
      </c>
      <c r="D748" s="156" t="inlineStr">
        <is>
          <t>WG142-W006BR</t>
        </is>
      </c>
      <c r="E748" s="156" t="inlineStr">
        <is>
          <t>WG142-W006BR</t>
        </is>
      </c>
      <c r="F748" s="156" t="inlineStr">
        <is>
          <t>Talla única</t>
        </is>
      </c>
      <c r="G748" s="156" t="inlineStr">
        <is>
          <t>One Size</t>
        </is>
      </c>
      <c r="H748" s="156" t="inlineStr">
        <is>
          <t>Wrangler</t>
        </is>
      </c>
      <c r="I748" s="156" t="inlineStr">
        <is>
          <t>Cartera Muñequera Wrangler Con Logo Café</t>
        </is>
      </c>
      <c r="J748" s="156" t="inlineStr">
        <is>
          <t>Accesorios</t>
        </is>
      </c>
      <c r="K748" s="156" t="inlineStr">
        <is>
          <t>Carteras</t>
        </is>
      </c>
      <c r="L748" s="156" t="inlineStr">
        <is>
          <t>Unisex</t>
        </is>
      </c>
      <c r="M748" s="156" t="inlineStr">
        <is>
          <t>Wrangler</t>
        </is>
      </c>
      <c r="N748" s="156" t="n"/>
      <c r="O748" s="156" t="inlineStr">
        <is>
          <t>Core</t>
        </is>
      </c>
      <c r="P748" s="156" t="inlineStr">
        <is>
          <t>Cafe</t>
        </is>
      </c>
      <c r="Q748" s="156" t="n"/>
      <c r="R748" s="156" t="n"/>
      <c r="S748" s="156" t="n"/>
      <c r="T748" s="156" t="inlineStr">
        <is>
          <t>Cartera Muñequera Wrangler. Modelo: Con Logo. Color: Café. Talla única. Unisex. País de origen: México. Referencia: WG142-W006BR.</t>
        </is>
      </c>
      <c r="U748" s="156" t="inlineStr">
        <is>
          <t>México</t>
        </is>
      </c>
      <c r="V748" s="156" t="inlineStr">
        <is>
          <t>PZS</t>
        </is>
      </c>
      <c r="W748" s="51" t="inlineStr">
        <is>
          <t>53121700</t>
        </is>
      </c>
      <c r="X748" s="156" t="inlineStr">
        <is>
          <t>https://m-universal-unique-brands.odoo.com/web/image/product.product/11495/image_1920</t>
        </is>
      </c>
      <c r="Y748" s="54" t="n">
        <v>276</v>
      </c>
      <c r="Z748" s="54" t="n">
        <v>449</v>
      </c>
      <c r="AA748" s="55">
        <f>IF(AND(A748="", B748="", E748=""), "", IF(AB748="", "Válido", IF((LEN(AB748)-LEN(SUBSTITUTE(AB748,"; ","")))/2+1&gt;(LEN(AB748)-LEN(SUBSTITUTE(AB748,"[Aviso]","")))/7, "Con Incidencias", "Válido")))</f>
        <v/>
      </c>
      <c r="AB748" s="56">
        <f>IF(AND(A748="", B748="", E748=""), "", TEXTJOIN("; ", TRUE, IF(OR(TRIM(A748&amp;"")="", ISNUMBER(SEARCH("FALTA", A748))), "UPC faltante/inválido", ""), IF(AND(A748&lt;&gt;"", IFERROR(_xlfn.XMATCH(A748,$A$2:$A$1063,0,1)&lt;&gt;_xlfn.XMATCH(A748,$A$2:$A$1063,0,-1),FALSE)), "Código de barras duplicado", ""), IF(AND(E748&lt;&gt;"", COUNTIF($E$2:$E$1063, E748)&gt;1), "SKU duplicado", ""), IF(OR(J748="", J748=""), "[Aviso] División no capturada ()", IF(ISNA(MATCH(J748, Criterios!$A$123:$A$126, 0)), "División no válida", "")), IF(OR(K748="", K748=""), "[Aviso] Categoría no capturada ()", IF(ISNA(MATCH(K748, Criterios!$A$81:$A$120, 0)), "Categoría no válida", IF(AND(J748&lt;&gt;"", J748&lt;&gt;"", J748&lt;&gt;VLOOKUP(K748, Criterios!$A$81:$B$120, 2, FALSE)), "División no coincide con Categoría", ""))), IF(OR(L748="", L748=""), "[Aviso] Género no capturado ()", IF(ISNA(MATCH(L748, Criterios!$B$123:$B$127, 0)), "Género no válido", "")), IF(OR(N748="", N748=""), "[Aviso] Temporada no capturada ()", IF(ISNA(MATCH(N748, Criterios!$C$123:$C$128, 0)), "Temporada no válida", "")), IF(OR(O748="", O748=""), "[Aviso] Ciclo de vida no capturado ()", IF(ISNA(MATCH(O748, Criterios!$D$123:$D$124, 0)), "Ciclo de vida no válido", ""))))</f>
        <v/>
      </c>
      <c r="AC748" s="56" t="n"/>
      <c r="AD748" s="51" t="n"/>
      <c r="AE748" s="156" t="n"/>
      <c r="AF748" s="51" t="n"/>
      <c r="AG748" s="156" t="inlineStr">
        <is>
          <t>Nuevo – Carga Hoja2 01/10/2026</t>
        </is>
      </c>
      <c r="AH748" s="156" t="inlineStr">
        <is>
          <t>Alta 01/10/2026 desde Hoja2 (fila 765)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48" s="156" t="n"/>
      <c r="AJ748" s="156" t="n"/>
      <c r="AK748" s="155" t="inlineStr">
        <is>
          <t>Hoja2: fila 765 | Odoo: producto 11495 / plantilla 14930 | Odoo: producto 27248 / plantilla 33948</t>
        </is>
      </c>
      <c r="AL748" s="58" t="n"/>
      <c r="AM748" s="58" t="n"/>
      <c r="AN748" s="155" t="inlineStr">
        <is>
          <t>Odoo Universal Unique Brands</t>
        </is>
      </c>
      <c r="AO748" s="59" t="n"/>
      <c r="AP748" s="59" t="n"/>
      <c r="AQ748" s="59" t="n">
        <v>8</v>
      </c>
      <c r="AR748" s="155" t="inlineStr">
        <is>
          <t>Odoo Universal Unique Brands › Bodega 25 › Bodega 25/General: 2 | Odoo Universal Unique Brands › Bodega 25 › Bodega 25/General: 6</t>
        </is>
      </c>
    </row>
    <row r="749">
      <c r="A749" s="50" t="inlineStr">
        <is>
          <t>717019692293</t>
        </is>
      </c>
      <c r="B749" s="51" t="inlineStr">
        <is>
          <t>11309</t>
        </is>
      </c>
      <c r="C749" s="156" t="inlineStr">
        <is>
          <t>Wrangler</t>
        </is>
      </c>
      <c r="D749" s="156" t="inlineStr">
        <is>
          <t>WG145-212BR</t>
        </is>
      </c>
      <c r="E749" s="156" t="inlineStr">
        <is>
          <t>WG145-212BR</t>
        </is>
      </c>
      <c r="F749" s="156" t="inlineStr">
        <is>
          <t>Talla única</t>
        </is>
      </c>
      <c r="G749" s="156" t="inlineStr">
        <is>
          <t>One Size</t>
        </is>
      </c>
      <c r="H749" s="156" t="inlineStr">
        <is>
          <t>Wrangler</t>
        </is>
      </c>
      <c r="I749" s="156" t="inlineStr">
        <is>
          <t>Cartera Bifold Wrangler Bordada Café</t>
        </is>
      </c>
      <c r="J749" s="156" t="inlineStr">
        <is>
          <t>Accesorios</t>
        </is>
      </c>
      <c r="K749" s="156" t="inlineStr">
        <is>
          <t>Carteras</t>
        </is>
      </c>
      <c r="L749" s="156" t="inlineStr">
        <is>
          <t>Unisex</t>
        </is>
      </c>
      <c r="M749" s="156" t="inlineStr">
        <is>
          <t>Wrangler</t>
        </is>
      </c>
      <c r="N749" s="156" t="n"/>
      <c r="O749" s="156" t="inlineStr">
        <is>
          <t>Core</t>
        </is>
      </c>
      <c r="P749" s="156" t="inlineStr">
        <is>
          <t>Cafe</t>
        </is>
      </c>
      <c r="Q749" s="156" t="n"/>
      <c r="R749" s="156" t="n"/>
      <c r="S749" s="156" t="n"/>
      <c r="T749" s="156" t="inlineStr">
        <is>
          <t>Cartera Bifold Wrangler. Modelo: Bordada. Color: Café. Talla única. Unisex. País de origen: México. Referencia: WG145-212BR.</t>
        </is>
      </c>
      <c r="U749" s="156" t="inlineStr">
        <is>
          <t>México</t>
        </is>
      </c>
      <c r="V749" s="156" t="inlineStr">
        <is>
          <t>PZS</t>
        </is>
      </c>
      <c r="W749" s="51" t="inlineStr">
        <is>
          <t>53121700</t>
        </is>
      </c>
      <c r="X749" s="156" t="inlineStr">
        <is>
          <t>https://cdn.shopify.com/s/files/1/0005/9015/1741/files/Wrangler_Embroidered_Boot_Scroll_Wallet_Brown.webp?v=1751958582</t>
        </is>
      </c>
      <c r="Y749" s="54" t="n">
        <v>276</v>
      </c>
      <c r="Z749" s="54" t="n">
        <v>449</v>
      </c>
      <c r="AA749" s="55">
        <f>IF(AND(A749="", B749="", E749=""), "", IF(AB749="", "Válido", IF((LEN(AB749)-LEN(SUBSTITUTE(AB749,"; ","")))/2+1&gt;(LEN(AB749)-LEN(SUBSTITUTE(AB749,"[Aviso]","")))/7, "Con Incidencias", "Válido")))</f>
        <v/>
      </c>
      <c r="AB749" s="56">
        <f>IF(AND(A749="", B749="", E749=""), "", TEXTJOIN("; ", TRUE, IF(OR(TRIM(A749&amp;"")="", ISNUMBER(SEARCH("FALTA", A749))), "UPC faltante/inválido", ""), IF(AND(A749&lt;&gt;"", IFERROR(_xlfn.XMATCH(A749,$A$2:$A$1063,0,1)&lt;&gt;_xlfn.XMATCH(A749,$A$2:$A$1063,0,-1),FALSE)), "Código de barras duplicado", ""), IF(AND(E749&lt;&gt;"", COUNTIF($E$2:$E$1063, E749)&gt;1), "SKU duplicado", ""), IF(OR(J749="", J749=""), "[Aviso] División no capturada ()", IF(ISNA(MATCH(J749, Criterios!$A$123:$A$126, 0)), "División no válida", "")), IF(OR(K749="", K749=""), "[Aviso] Categoría no capturada ()", IF(ISNA(MATCH(K749, Criterios!$A$81:$A$120, 0)), "Categoría no válida", IF(AND(J749&lt;&gt;"", J749&lt;&gt;"", J749&lt;&gt;VLOOKUP(K749, Criterios!$A$81:$B$120, 2, FALSE)), "División no coincide con Categoría", ""))), IF(OR(L749="", L749=""), "[Aviso] Género no capturado ()", IF(ISNA(MATCH(L749, Criterios!$B$123:$B$127, 0)), "Género no válido", "")), IF(OR(N749="", N749=""), "[Aviso] Temporada no capturada ()", IF(ISNA(MATCH(N749, Criterios!$C$123:$C$128, 0)), "Temporada no válida", "")), IF(OR(O749="", O749=""), "[Aviso] Ciclo de vida no capturado ()", IF(ISNA(MATCH(O749, Criterios!$D$123:$D$124, 0)), "Ciclo de vida no válido", ""))))</f>
        <v/>
      </c>
      <c r="AC749" s="56" t="n"/>
      <c r="AD749" s="51" t="n"/>
      <c r="AE749" s="156" t="n"/>
      <c r="AF749" s="51" t="n"/>
      <c r="AG749" s="156" t="inlineStr">
        <is>
          <t>Nuevo – Carga Hoja2 01/10/2026</t>
        </is>
      </c>
      <c r="AH749" s="156" t="inlineStr">
        <is>
          <t>Alta 01/10/2026 desde Hoja2 (fila 766) | 01/10/2026: Odoo Universal Unique Brands trae Marca «Montana West» — se conservó el valor de Productos | Homologación G1522 06/10/2026: Enlace de imagen: «» → «https://cdn.shopify.com/s/files/1/0005/9015/1741/files/Wrangler_Embroidered_Boot_Scroll_Wallet_Brown.webp?v=1751958582» (Completado por investigación en línea) · Validador Shopify: WB: precio con IVA no termina en 9</t>
        </is>
      </c>
      <c r="AI749" s="156" t="n"/>
      <c r="AJ749" s="156" t="n"/>
      <c r="AK749" s="155" t="inlineStr">
        <is>
          <t>Hoja2: fila 766 | Odoo: producto 11309 / plantilla 14744 | Odoo: producto 27251 / plantilla 33951 | Investigación en línea 06/10/2026: https://montanawestworld.com/products/wrangler-embroidered-boot-scroll-tote-bag-collection</t>
        </is>
      </c>
      <c r="AL749" s="58" t="n"/>
      <c r="AM749" s="58" t="n"/>
      <c r="AN749" s="155" t="inlineStr">
        <is>
          <t>Odoo Universal Unique Brands</t>
        </is>
      </c>
      <c r="AO749" s="59" t="n"/>
      <c r="AP749" s="59" t="n"/>
      <c r="AQ749" s="59" t="n">
        <v>299</v>
      </c>
      <c r="AR749" s="155" t="inlineStr">
        <is>
          <t>Odoo Universal Unique Brands › Bodega 25 › Bodega 25/General: 301</t>
        </is>
      </c>
    </row>
    <row r="750">
      <c r="A750" s="50" t="n"/>
      <c r="B750" s="51" t="inlineStr">
        <is>
          <t>11510</t>
        </is>
      </c>
      <c r="C750" s="156" t="inlineStr">
        <is>
          <t>Wrangler</t>
        </is>
      </c>
      <c r="D750" s="156" t="inlineStr">
        <is>
          <t>WG145-8300KH</t>
        </is>
      </c>
      <c r="E750" s="156" t="inlineStr">
        <is>
          <t>WG145-8300KH</t>
        </is>
      </c>
      <c r="F750" s="156" t="inlineStr">
        <is>
          <t>Talla única</t>
        </is>
      </c>
      <c r="G750" s="156" t="inlineStr">
        <is>
          <t>One Size</t>
        </is>
      </c>
      <c r="H750" s="156" t="inlineStr">
        <is>
          <t>Wrangler</t>
        </is>
      </c>
      <c r="I750" s="156" t="inlineStr">
        <is>
          <t>Bolsa Tote Cruzada Wrangler Bordada Trapezoidal Con Compartimento Oculto</t>
        </is>
      </c>
      <c r="J750" s="156" t="inlineStr">
        <is>
          <t>Accesorios</t>
        </is>
      </c>
      <c r="K750" s="156" t="inlineStr">
        <is>
          <t>Bolsos</t>
        </is>
      </c>
      <c r="L750" s="156" t="inlineStr">
        <is>
          <t>Unisex</t>
        </is>
      </c>
      <c r="M750" s="156" t="inlineStr">
        <is>
          <t>Wrangler</t>
        </is>
      </c>
      <c r="N750" s="156" t="n"/>
      <c r="O750" s="156" t="n"/>
      <c r="P750" s="156" t="inlineStr">
        <is>
          <t>Beige</t>
        </is>
      </c>
      <c r="Q750" s="156" t="n"/>
      <c r="R750" s="156" t="n"/>
      <c r="S750" s="156" t="n"/>
      <c r="T750" s="156" t="n"/>
      <c r="U750" s="156" t="inlineStr">
        <is>
          <t>México</t>
        </is>
      </c>
      <c r="V750" s="156" t="inlineStr">
        <is>
          <t>PZS</t>
        </is>
      </c>
      <c r="W750" s="51" t="inlineStr">
        <is>
          <t>53121601</t>
        </is>
      </c>
      <c r="X750" s="156" t="n"/>
      <c r="Y750" s="54" t="n">
        <v>517.5</v>
      </c>
      <c r="Z750" s="54" t="n">
        <v>30</v>
      </c>
      <c r="AA750" s="55">
        <f>IF(AND(A750="", B750="", E750=""), "", IF(AB750="", "Válido", IF((LEN(AB750)-LEN(SUBSTITUTE(AB750,"; ","")))/2+1&gt;(LEN(AB750)-LEN(SUBSTITUTE(AB750,"[Aviso]","")))/7, "Con Incidencias", "Válido")))</f>
        <v/>
      </c>
      <c r="AB750" s="56">
        <f>IF(AND(A750="", B750="", E750=""), "", TEXTJOIN("; ", TRUE, IF(OR(TRIM(A750&amp;"")="", ISNUMBER(SEARCH("FALTA", A750))), "UPC faltante/inválido", ""), IF(AND(A750&lt;&gt;"", IFERROR(_xlfn.XMATCH(A750,$A$2:$A$1063,0,1)&lt;&gt;_xlfn.XMATCH(A750,$A$2:$A$1063,0,-1),FALSE)), "Código de barras duplicado", ""), IF(AND(E750&lt;&gt;"", COUNTIF($E$2:$E$1063, E750)&gt;1), "SKU duplicado", ""), IF(OR(J750="", J750=""), "[Aviso] División no capturada ()", IF(ISNA(MATCH(J750, Criterios!$A$123:$A$126, 0)), "División no válida", "")), IF(OR(K750="", K750=""), "[Aviso] Categoría no capturada ()", IF(ISNA(MATCH(K750, Criterios!$A$81:$A$120, 0)), "Categoría no válida", IF(AND(J750&lt;&gt;"", J750&lt;&gt;"", J750&lt;&gt;VLOOKUP(K750, Criterios!$A$81:$B$120, 2, FALSE)), "División no coincide con Categoría", ""))), IF(OR(L750="", L750=""), "[Aviso] Género no capturado ()", IF(ISNA(MATCH(L750, Criterios!$B$123:$B$127, 0)), "Género no válido", "")), IF(OR(N750="", N750=""), "[Aviso] Temporada no capturada ()", IF(ISNA(MATCH(N750, Criterios!$C$123:$C$128, 0)), "Temporada no válida", "")), IF(OR(O750="", O750=""), "[Aviso] Ciclo de vida no capturado ()", IF(ISNA(MATCH(O750, Criterios!$D$123:$D$124, 0)), "Ciclo de vida no válido", ""))))</f>
        <v/>
      </c>
      <c r="AC750" s="56" t="n"/>
      <c r="AD750" s="51" t="n"/>
      <c r="AE750" s="156" t="n"/>
      <c r="AF750" s="51" t="n"/>
      <c r="AG750" s="156" t="inlineStr">
        <is>
          <t>Nuevo – Carga Hoja2 01/10/2026</t>
        </is>
      </c>
      <c r="AH750" s="156" t="inlineStr">
        <is>
          <t>Alta 01/10/2026 desde Hoja2 (fila 767) | Homologación G1522 06/10/2026: WB País de origen: «Mexico» → «México» (Corrección aplicada)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750" s="156" t="n"/>
      <c r="AJ750" s="156" t="n"/>
      <c r="AK750" s="155" t="inlineStr">
        <is>
          <t>Hoja2: fila 767</t>
        </is>
      </c>
      <c r="AL750" s="58" t="n"/>
      <c r="AM750" s="58" t="n"/>
      <c r="AN750" s="155" t="n"/>
      <c r="AO750" s="59" t="n"/>
      <c r="AP750" s="59" t="n"/>
      <c r="AQ750" s="59" t="n"/>
      <c r="AR750" s="155" t="n"/>
    </row>
    <row r="751">
      <c r="A751" s="50" t="inlineStr">
        <is>
          <t>717690427658</t>
        </is>
      </c>
      <c r="B751" s="51" t="inlineStr">
        <is>
          <t>11306</t>
        </is>
      </c>
      <c r="C751" s="156" t="inlineStr">
        <is>
          <t>Wrangler</t>
        </is>
      </c>
      <c r="D751" s="156" t="inlineStr">
        <is>
          <t>WG145G-8300BK</t>
        </is>
      </c>
      <c r="E751" s="156" t="inlineStr">
        <is>
          <t>WG145G-8300BK</t>
        </is>
      </c>
      <c r="F751" s="156" t="inlineStr">
        <is>
          <t>Talla única</t>
        </is>
      </c>
      <c r="G751" s="156" t="inlineStr">
        <is>
          <t>One Size</t>
        </is>
      </c>
      <c r="H751" s="156" t="inlineStr">
        <is>
          <t>Wrangler</t>
        </is>
      </c>
      <c r="I751" s="156" t="inlineStr">
        <is>
          <t>Bolsa Tote Cruzada Wrangler Bordada Trapezoidal Con Compartimento Oculto Negro</t>
        </is>
      </c>
      <c r="J751" s="156" t="inlineStr">
        <is>
          <t>Accesorios</t>
        </is>
      </c>
      <c r="K751" s="156" t="inlineStr">
        <is>
          <t>Bolsos</t>
        </is>
      </c>
      <c r="L751" s="156" t="inlineStr">
        <is>
          <t>Unisex</t>
        </is>
      </c>
      <c r="M751" s="156" t="inlineStr">
        <is>
          <t>Wrangler</t>
        </is>
      </c>
      <c r="N751" s="156" t="n"/>
      <c r="O751" s="156" t="inlineStr">
        <is>
          <t>Core</t>
        </is>
      </c>
      <c r="P751" s="156" t="inlineStr">
        <is>
          <t>Negro</t>
        </is>
      </c>
      <c r="Q751" s="156" t="n"/>
      <c r="R751" s="156" t="n"/>
      <c r="S751" s="156" t="n"/>
      <c r="T751" s="156" t="inlineStr">
        <is>
          <t>Bolsa Tote Cruzada Wrangler. Modelo: Bordada Trapezoidal Con Compartimento Oculto. Color: Negro. Talla única. Unisex. País de origen: México. Referencia: WG145G-8300BK.</t>
        </is>
      </c>
      <c r="U751" s="156" t="inlineStr">
        <is>
          <t>México</t>
        </is>
      </c>
      <c r="V751" s="156" t="inlineStr">
        <is>
          <t>PZS</t>
        </is>
      </c>
      <c r="W751" s="51" t="inlineStr">
        <is>
          <t>53121601</t>
        </is>
      </c>
      <c r="X751" s="156" t="inlineStr">
        <is>
          <t>https://m-universal-unique-brands.odoo.com/web/image/product.product/11306/image_1920</t>
        </is>
      </c>
      <c r="Y751" s="54" t="n">
        <v>517.5</v>
      </c>
      <c r="Z751" s="54" t="n">
        <v>829</v>
      </c>
      <c r="AA751" s="55">
        <f>IF(AND(A751="", B751="", E751=""), "", IF(AB751="", "Válido", IF((LEN(AB751)-LEN(SUBSTITUTE(AB751,"; ","")))/2+1&gt;(LEN(AB751)-LEN(SUBSTITUTE(AB751,"[Aviso]","")))/7, "Con Incidencias", "Válido")))</f>
        <v/>
      </c>
      <c r="AB751" s="56">
        <f>IF(AND(A751="", B751="", E751=""), "", TEXTJOIN("; ", TRUE, IF(OR(TRIM(A751&amp;"")="", ISNUMBER(SEARCH("FALTA", A751))), "UPC faltante/inválido", ""), IF(AND(A751&lt;&gt;"", IFERROR(_xlfn.XMATCH(A751,$A$2:$A$1063,0,1)&lt;&gt;_xlfn.XMATCH(A751,$A$2:$A$1063,0,-1),FALSE)), "Código de barras duplicado", ""), IF(AND(E751&lt;&gt;"", COUNTIF($E$2:$E$1063, E751)&gt;1), "SKU duplicado", ""), IF(OR(J751="", J751=""), "[Aviso] División no capturada ()", IF(ISNA(MATCH(J751, Criterios!$A$123:$A$126, 0)), "División no válida", "")), IF(OR(K751="", K751=""), "[Aviso] Categoría no capturada ()", IF(ISNA(MATCH(K751, Criterios!$A$81:$A$120, 0)), "Categoría no válida", IF(AND(J751&lt;&gt;"", J751&lt;&gt;"", J751&lt;&gt;VLOOKUP(K751, Criterios!$A$81:$B$120, 2, FALSE)), "División no coincide con Categoría", ""))), IF(OR(L751="", L751=""), "[Aviso] Género no capturado ()", IF(ISNA(MATCH(L751, Criterios!$B$123:$B$127, 0)), "Género no válido", "")), IF(OR(N751="", N751=""), "[Aviso] Temporada no capturada ()", IF(ISNA(MATCH(N751, Criterios!$C$123:$C$128, 0)), "Temporada no válida", "")), IF(OR(O751="", O751=""), "[Aviso] Ciclo de vida no capturado ()", IF(ISNA(MATCH(O751, Criterios!$D$123:$D$124, 0)), "Ciclo de vida no válido", ""))))</f>
        <v/>
      </c>
      <c r="AC751" s="56" t="n"/>
      <c r="AD751" s="51" t="n"/>
      <c r="AE751" s="156" t="n"/>
      <c r="AF751" s="51" t="n"/>
      <c r="AG751" s="156" t="inlineStr">
        <is>
          <t>Nuevo – Carga Hoja2 01/10/2026</t>
        </is>
      </c>
      <c r="AH751" s="156" t="inlineStr">
        <is>
          <t>Alta 01/10/2026 desde Hoja2 (fila 768) | 01/10/2026: complementado desde Odoo Universal Unique Brands (match por código de barras): Enlace de imagen | Homologación G1522 06/10/2026: Validador Shopify: WB: precio con IVA no termina en 9</t>
        </is>
      </c>
      <c r="AI751" s="156" t="n"/>
      <c r="AJ751" s="156" t="n"/>
      <c r="AK751" s="155" t="inlineStr">
        <is>
          <t>Hoja2: fila 768 | Odoo: producto 11306 / plantilla 14741</t>
        </is>
      </c>
      <c r="AL751" s="58" t="n"/>
      <c r="AM751" s="58" t="n"/>
      <c r="AN751" s="155" t="inlineStr">
        <is>
          <t>Odoo Universal Unique Brands</t>
        </is>
      </c>
      <c r="AO751" s="59" t="n"/>
      <c r="AP751" s="59" t="n"/>
      <c r="AQ751" s="59" t="n">
        <v>35</v>
      </c>
      <c r="AR751" s="155" t="inlineStr">
        <is>
          <t>Odoo Universal Unique Brands › Bodega 25 › Bodega 25/General: 35</t>
        </is>
      </c>
    </row>
    <row r="752">
      <c r="A752" s="50" t="inlineStr">
        <is>
          <t>717690427665</t>
        </is>
      </c>
      <c r="B752" s="51" t="inlineStr">
        <is>
          <t>11307</t>
        </is>
      </c>
      <c r="C752" s="156" t="inlineStr">
        <is>
          <t>Wrangler</t>
        </is>
      </c>
      <c r="D752" s="156" t="inlineStr">
        <is>
          <t>WG145G-8300BR</t>
        </is>
      </c>
      <c r="E752" s="156" t="inlineStr">
        <is>
          <t>WG145G-8300BR</t>
        </is>
      </c>
      <c r="F752" s="156" t="inlineStr">
        <is>
          <t>Talla única</t>
        </is>
      </c>
      <c r="G752" s="156" t="inlineStr">
        <is>
          <t>One Size</t>
        </is>
      </c>
      <c r="H752" s="156" t="inlineStr">
        <is>
          <t>Wrangler</t>
        </is>
      </c>
      <c r="I752" s="156" t="inlineStr">
        <is>
          <t>Bolsa Tote Cruzada Wrangler Bordada Trapezoidal Con Compartimento Oculto Café</t>
        </is>
      </c>
      <c r="J752" s="156" t="inlineStr">
        <is>
          <t>Accesorios</t>
        </is>
      </c>
      <c r="K752" s="156" t="inlineStr">
        <is>
          <t>Bolsos</t>
        </is>
      </c>
      <c r="L752" s="156" t="inlineStr">
        <is>
          <t>Unisex</t>
        </is>
      </c>
      <c r="M752" s="156" t="inlineStr">
        <is>
          <t>Wrangler</t>
        </is>
      </c>
      <c r="N752" s="156" t="n"/>
      <c r="O752" s="156" t="inlineStr">
        <is>
          <t>Core</t>
        </is>
      </c>
      <c r="P752" s="156" t="inlineStr">
        <is>
          <t>Cafe</t>
        </is>
      </c>
      <c r="Q752" s="156" t="n"/>
      <c r="R752" s="156" t="n"/>
      <c r="S752" s="156" t="n"/>
      <c r="T752" s="156" t="inlineStr">
        <is>
          <t>Bolsa Tote Cruzada Wrangler. Modelo: Bordada Trapezoidal Con Compartimento Oculto. Color: Café. Talla única. Unisex. País de origen: México. Referencia: WG145G-8300BR.</t>
        </is>
      </c>
      <c r="U752" s="156" t="inlineStr">
        <is>
          <t>México</t>
        </is>
      </c>
      <c r="V752" s="156" t="inlineStr">
        <is>
          <t>PZS</t>
        </is>
      </c>
      <c r="W752" s="51" t="inlineStr">
        <is>
          <t>53121601</t>
        </is>
      </c>
      <c r="X752" s="156" t="n"/>
      <c r="Y752" s="54" t="n">
        <v>517.5</v>
      </c>
      <c r="Z752" s="54" t="n">
        <v>829</v>
      </c>
      <c r="AA752" s="55">
        <f>IF(AND(A752="", B752="", E752=""), "", IF(AB752="", "Válido", IF((LEN(AB752)-LEN(SUBSTITUTE(AB752,"; ","")))/2+1&gt;(LEN(AB752)-LEN(SUBSTITUTE(AB752,"[Aviso]","")))/7, "Con Incidencias", "Válido")))</f>
        <v/>
      </c>
      <c r="AB752" s="56">
        <f>IF(AND(A752="", B752="", E752=""), "", TEXTJOIN("; ", TRUE, IF(OR(TRIM(A752&amp;"")="", ISNUMBER(SEARCH("FALTA", A752))), "UPC faltante/inválido", ""), IF(AND(A752&lt;&gt;"", IFERROR(_xlfn.XMATCH(A752,$A$2:$A$1063,0,1)&lt;&gt;_xlfn.XMATCH(A752,$A$2:$A$1063,0,-1),FALSE)), "Código de barras duplicado", ""), IF(AND(E752&lt;&gt;"", COUNTIF($E$2:$E$1063, E752)&gt;1), "SKU duplicado", ""), IF(OR(J752="", J752=""), "[Aviso] División no capturada ()", IF(ISNA(MATCH(J752, Criterios!$A$123:$A$126, 0)), "División no válida", "")), IF(OR(K752="", K752=""), "[Aviso] Categoría no capturada ()", IF(ISNA(MATCH(K752, Criterios!$A$81:$A$120, 0)), "Categoría no válida", IF(AND(J752&lt;&gt;"", J752&lt;&gt;"", J752&lt;&gt;VLOOKUP(K752, Criterios!$A$81:$B$120, 2, FALSE)), "División no coincide con Categoría", ""))), IF(OR(L752="", L752=""), "[Aviso] Género no capturado ()", IF(ISNA(MATCH(L752, Criterios!$B$123:$B$127, 0)), "Género no válido", "")), IF(OR(N752="", N752=""), "[Aviso] Temporada no capturada ()", IF(ISNA(MATCH(N752, Criterios!$C$123:$C$128, 0)), "Temporada no válida", "")), IF(OR(O752="", O752=""), "[Aviso] Ciclo de vida no capturado ()", IF(ISNA(MATCH(O752, Criterios!$D$123:$D$124, 0)), "Ciclo de vida no válido", ""))))</f>
        <v/>
      </c>
      <c r="AC752" s="56" t="n"/>
      <c r="AD752" s="51" t="n"/>
      <c r="AE752" s="156" t="n"/>
      <c r="AF752" s="51" t="n"/>
      <c r="AG752" s="156" t="inlineStr">
        <is>
          <t>Nuevo – Carga Hoja2 01/10/2026</t>
        </is>
      </c>
      <c r="AH752" s="156" t="inlineStr">
        <is>
          <t>Alta 01/10/2026 desde Hoja2 (fila 769) | Homologación G1522 06/10/2026: Validador Shopify: WB: precio con IVA no termina en 9</t>
        </is>
      </c>
      <c r="AI752" s="156" t="n"/>
      <c r="AJ752" s="156" t="n"/>
      <c r="AK752" s="155" t="inlineStr">
        <is>
          <t>Hoja2: fila 769 | Odoo: producto 11307 / plantilla 14742</t>
        </is>
      </c>
      <c r="AL752" s="58" t="n"/>
      <c r="AM752" s="58" t="n"/>
      <c r="AN752" s="155" t="inlineStr">
        <is>
          <t>Odoo Universal Unique Brands</t>
        </is>
      </c>
      <c r="AO752" s="59" t="n"/>
      <c r="AP752" s="59" t="n"/>
      <c r="AQ752" s="59" t="n">
        <v>84</v>
      </c>
      <c r="AR752" s="155" t="inlineStr">
        <is>
          <t>Odoo Universal Unique Brands › Bodega 25 › Bodega 25/General: 84</t>
        </is>
      </c>
    </row>
    <row r="753">
      <c r="A753" s="50" t="inlineStr">
        <is>
          <t>717690427702</t>
        </is>
      </c>
      <c r="B753" s="51" t="inlineStr">
        <is>
          <t>11469</t>
        </is>
      </c>
      <c r="C753" s="156" t="inlineStr">
        <is>
          <t>Wrangler</t>
        </is>
      </c>
      <c r="D753" s="156" t="inlineStr">
        <is>
          <t>WG145G-8300KH</t>
        </is>
      </c>
      <c r="E753" s="156" t="inlineStr">
        <is>
          <t>WG145G-8300KH</t>
        </is>
      </c>
      <c r="F753" s="156" t="inlineStr">
        <is>
          <t>Talla única</t>
        </is>
      </c>
      <c r="G753" s="156" t="inlineStr">
        <is>
          <t>One Size</t>
        </is>
      </c>
      <c r="H753" s="156" t="inlineStr">
        <is>
          <t>Wrangler</t>
        </is>
      </c>
      <c r="I753" s="156" t="inlineStr">
        <is>
          <t>Bolsa Tote Cruzada Wrangler Bordada Trapezoidal Con Compartimento Oculto Caqui</t>
        </is>
      </c>
      <c r="J753" s="156" t="inlineStr">
        <is>
          <t>Accesorios</t>
        </is>
      </c>
      <c r="K753" s="156" t="inlineStr">
        <is>
          <t>Bolsos</t>
        </is>
      </c>
      <c r="L753" s="156" t="inlineStr">
        <is>
          <t>Unisex</t>
        </is>
      </c>
      <c r="M753" s="156" t="inlineStr">
        <is>
          <t>Wrangler</t>
        </is>
      </c>
      <c r="N753" s="156" t="n"/>
      <c r="O753" s="156" t="inlineStr">
        <is>
          <t>Core</t>
        </is>
      </c>
      <c r="P753" s="156" t="inlineStr">
        <is>
          <t>Beige</t>
        </is>
      </c>
      <c r="Q753" s="156" t="n"/>
      <c r="R753" s="156" t="n"/>
      <c r="S753" s="156" t="n"/>
      <c r="T753" s="156" t="inlineStr">
        <is>
          <t>Bolsa Tote Cruzada Wrangler. Modelo: Bordada Trapezoidal Con Compartimento Oculto. Color: Caqui. Talla única. Unisex. País de origen: México. Referencia: WG145G-8300KH.</t>
        </is>
      </c>
      <c r="U753" s="156" t="inlineStr">
        <is>
          <t>México</t>
        </is>
      </c>
      <c r="V753" s="156" t="inlineStr">
        <is>
          <t>PZS</t>
        </is>
      </c>
      <c r="W753" s="51" t="inlineStr">
        <is>
          <t>53121601</t>
        </is>
      </c>
      <c r="X753" s="156" t="inlineStr">
        <is>
          <t>https://m-universal-unique-brands.odoo.com/web/image/product.product/11469/image_1920</t>
        </is>
      </c>
      <c r="Y753" s="54" t="n">
        <v>517.5</v>
      </c>
      <c r="Z753" s="54" t="n">
        <v>829</v>
      </c>
      <c r="AA753" s="55">
        <f>IF(AND(A753="", B753="", E753=""), "", IF(AB753="", "Válido", IF((LEN(AB753)-LEN(SUBSTITUTE(AB753,"; ","")))/2+1&gt;(LEN(AB753)-LEN(SUBSTITUTE(AB753,"[Aviso]","")))/7, "Con Incidencias", "Válido")))</f>
        <v/>
      </c>
      <c r="AB753" s="56">
        <f>IF(AND(A753="", B753="", E753=""), "", TEXTJOIN("; ", TRUE, IF(OR(TRIM(A753&amp;"")="", ISNUMBER(SEARCH("FALTA", A753))), "UPC faltante/inválido", ""), IF(AND(A753&lt;&gt;"", IFERROR(_xlfn.XMATCH(A753,$A$2:$A$1063,0,1)&lt;&gt;_xlfn.XMATCH(A753,$A$2:$A$1063,0,-1),FALSE)), "Código de barras duplicado", ""), IF(AND(E753&lt;&gt;"", COUNTIF($E$2:$E$1063, E753)&gt;1), "SKU duplicado", ""), IF(OR(J753="", J753=""), "[Aviso] División no capturada ()", IF(ISNA(MATCH(J753, Criterios!$A$123:$A$126, 0)), "División no válida", "")), IF(OR(K753="", K753=""), "[Aviso] Categoría no capturada ()", IF(ISNA(MATCH(K753, Criterios!$A$81:$A$120, 0)), "Categoría no válida", IF(AND(J753&lt;&gt;"", J753&lt;&gt;"", J753&lt;&gt;VLOOKUP(K753, Criterios!$A$81:$B$120, 2, FALSE)), "División no coincide con Categoría", ""))), IF(OR(L753="", L753=""), "[Aviso] Género no capturado ()", IF(ISNA(MATCH(L753, Criterios!$B$123:$B$127, 0)), "Género no válido", "")), IF(OR(N753="", N753=""), "[Aviso] Temporada no capturada ()", IF(ISNA(MATCH(N753, Criterios!$C$123:$C$128, 0)), "Temporada no válida", "")), IF(OR(O753="", O753=""), "[Aviso] Ciclo de vida no capturado ()", IF(ISNA(MATCH(O753, Criterios!$D$123:$D$124, 0)), "Ciclo de vida no válido", ""))))</f>
        <v/>
      </c>
      <c r="AC753" s="56" t="n"/>
      <c r="AD753" s="51" t="n"/>
      <c r="AE753" s="156" t="n"/>
      <c r="AF753" s="51" t="n"/>
      <c r="AG753" s="156" t="inlineStr">
        <is>
          <t>Nuevo – Carga Hoja2 01/10/2026</t>
        </is>
      </c>
      <c r="AH753" s="156" t="inlineStr">
        <is>
          <t>Alta 01/10/2026 desde Hoja2 (fila 770) | 01/10/2026: complementado desde Odoo Universal Unique Brands (match por código de barras): Enlace de imagen | Homologación G1522 06/10/2026: Validador Shopify: WB: precio con IVA no termina en 9</t>
        </is>
      </c>
      <c r="AI753" s="156" t="n"/>
      <c r="AJ753" s="156" t="n"/>
      <c r="AK753" s="155" t="inlineStr">
        <is>
          <t>Hoja2: fila 770 | Odoo: producto 11469 / plantilla 14904</t>
        </is>
      </c>
      <c r="AL753" s="58" t="n"/>
      <c r="AM753" s="58" t="n"/>
      <c r="AN753" s="155" t="inlineStr">
        <is>
          <t>Odoo Universal Unique Brands</t>
        </is>
      </c>
      <c r="AO753" s="59" t="n"/>
      <c r="AP753" s="59" t="n"/>
      <c r="AQ753" s="59" t="n">
        <v>17</v>
      </c>
      <c r="AR753" s="155" t="inlineStr">
        <is>
          <t>Odoo Universal Unique Brands › Bodega 25 › Bodega 25/General: 17</t>
        </is>
      </c>
    </row>
    <row r="754">
      <c r="A754" s="50" t="inlineStr">
        <is>
          <t>717019691845</t>
        </is>
      </c>
      <c r="B754" s="51" t="inlineStr">
        <is>
          <t>11444</t>
        </is>
      </c>
      <c r="C754" s="156" t="inlineStr">
        <is>
          <t>Wrangler</t>
        </is>
      </c>
      <c r="D754" s="156" t="inlineStr">
        <is>
          <t>WG145G-9250GN</t>
        </is>
      </c>
      <c r="E754" s="156" t="inlineStr">
        <is>
          <t>WG145G-9250GN</t>
        </is>
      </c>
      <c r="F754" s="156" t="inlineStr">
        <is>
          <t>Talla única</t>
        </is>
      </c>
      <c r="G754" s="156" t="inlineStr">
        <is>
          <t>One Size</t>
        </is>
      </c>
      <c r="H754" s="156" t="inlineStr">
        <is>
          <t>Wrangler</t>
        </is>
      </c>
      <c r="I754" s="156" t="inlineStr">
        <is>
          <t>Bolsa Tote Cruzada Wrangler Bordada Verde</t>
        </is>
      </c>
      <c r="J754" s="156" t="inlineStr">
        <is>
          <t>Accesorios</t>
        </is>
      </c>
      <c r="K754" s="156" t="inlineStr">
        <is>
          <t>Bolsos</t>
        </is>
      </c>
      <c r="L754" s="156" t="inlineStr">
        <is>
          <t>Unisex</t>
        </is>
      </c>
      <c r="M754" s="156" t="inlineStr">
        <is>
          <t>Wrangler</t>
        </is>
      </c>
      <c r="N754" s="156" t="n"/>
      <c r="O754" s="156" t="inlineStr">
        <is>
          <t>Core</t>
        </is>
      </c>
      <c r="P754" s="156" t="inlineStr">
        <is>
          <t>Verde</t>
        </is>
      </c>
      <c r="Q754" s="156" t="n"/>
      <c r="R754" s="156" t="n"/>
      <c r="S754" s="156" t="n"/>
      <c r="T754" s="156" t="inlineStr">
        <is>
          <t>Bolsa Tote Cruzada Wrangler. Modelo: Bordada. Color: Verde. Talla única. Unisex. País de origen: México. Referencia: WG145G-9250GN.</t>
        </is>
      </c>
      <c r="U754" s="156" t="inlineStr">
        <is>
          <t>México</t>
        </is>
      </c>
      <c r="V754" s="156" t="inlineStr">
        <is>
          <t>PZS</t>
        </is>
      </c>
      <c r="W754" s="51" t="inlineStr">
        <is>
          <t>53121601</t>
        </is>
      </c>
      <c r="X754" s="156" t="inlineStr">
        <is>
          <t>https://m-universal-unique-brands.odoo.com/web/image/product.product/11444/image_1920</t>
        </is>
      </c>
      <c r="Y754" s="54" t="n">
        <v>500.25</v>
      </c>
      <c r="Z754" s="54" t="n">
        <v>809</v>
      </c>
      <c r="AA754" s="55">
        <f>IF(AND(A754="", B754="", E754=""), "", IF(AB754="", "Válido", IF((LEN(AB754)-LEN(SUBSTITUTE(AB754,"; ","")))/2+1&gt;(LEN(AB754)-LEN(SUBSTITUTE(AB754,"[Aviso]","")))/7, "Con Incidencias", "Válido")))</f>
        <v/>
      </c>
      <c r="AB754" s="56">
        <f>IF(AND(A754="", B754="", E754=""), "", TEXTJOIN("; ", TRUE, IF(OR(TRIM(A754&amp;"")="", ISNUMBER(SEARCH("FALTA", A754))), "UPC faltante/inválido", ""), IF(AND(A754&lt;&gt;"", IFERROR(_xlfn.XMATCH(A754,$A$2:$A$1063,0,1)&lt;&gt;_xlfn.XMATCH(A754,$A$2:$A$1063,0,-1),FALSE)), "Código de barras duplicado", ""), IF(AND(E754&lt;&gt;"", COUNTIF($E$2:$E$1063, E754)&gt;1), "SKU duplicado", ""), IF(OR(J754="", J754=""), "[Aviso] División no capturada ()", IF(ISNA(MATCH(J754, Criterios!$A$123:$A$126, 0)), "División no válida", "")), IF(OR(K754="", K754=""), "[Aviso] Categoría no capturada ()", IF(ISNA(MATCH(K754, Criterios!$A$81:$A$120, 0)), "Categoría no válida", IF(AND(J754&lt;&gt;"", J754&lt;&gt;"", J754&lt;&gt;VLOOKUP(K754, Criterios!$A$81:$B$120, 2, FALSE)), "División no coincide con Categoría", ""))), IF(OR(L754="", L754=""), "[Aviso] Género no capturado ()", IF(ISNA(MATCH(L754, Criterios!$B$123:$B$127, 0)), "Género no válido", "")), IF(OR(N754="", N754=""), "[Aviso] Temporada no capturada ()", IF(ISNA(MATCH(N754, Criterios!$C$123:$C$128, 0)), "Temporada no válida", "")), IF(OR(O754="", O754=""), "[Aviso] Ciclo de vida no capturado ()", IF(ISNA(MATCH(O754, Criterios!$D$123:$D$124, 0)), "Ciclo de vida no válido", ""))))</f>
        <v/>
      </c>
      <c r="AC754" s="56" t="n"/>
      <c r="AD754" s="51" t="n"/>
      <c r="AE754" s="156" t="n"/>
      <c r="AF754" s="51" t="n"/>
      <c r="AG754" s="156" t="inlineStr">
        <is>
          <t>Nuevo – Carga Hoja2 01/10/2026</t>
        </is>
      </c>
      <c r="AH754" s="156" t="inlineStr">
        <is>
          <t>Alta 01/10/2026 desde Hoja2 (fila 771) | 01/10/2026: complementado desde Odoo Universal Unique Brands (match por código de barras): Enlace de imagen | Homologación G1522 06/10/2026: Validador Shopify: WB: precio con IVA no termina en 9</t>
        </is>
      </c>
      <c r="AI754" s="156" t="n"/>
      <c r="AJ754" s="156" t="n"/>
      <c r="AK754" s="155" t="inlineStr">
        <is>
          <t>Hoja2: fila 771 | Odoo: producto 11444 / plantilla 14879</t>
        </is>
      </c>
      <c r="AL754" s="58" t="n"/>
      <c r="AM754" s="58" t="n"/>
      <c r="AN754" s="155" t="inlineStr">
        <is>
          <t>Odoo Universal Unique Brands</t>
        </is>
      </c>
      <c r="AO754" s="59" t="n"/>
      <c r="AP754" s="59" t="n"/>
      <c r="AQ754" s="59" t="n">
        <v>5</v>
      </c>
      <c r="AR754" s="155" t="inlineStr">
        <is>
          <t>Odoo Universal Unique Brands › Bodega 25 › Bodega 25/General: 5</t>
        </is>
      </c>
    </row>
    <row r="755">
      <c r="A755" s="50" t="inlineStr">
        <is>
          <t>717019691784</t>
        </is>
      </c>
      <c r="B755" s="51" t="inlineStr">
        <is>
          <t>11442</t>
        </is>
      </c>
      <c r="C755" s="156" t="inlineStr">
        <is>
          <t>Wrangler</t>
        </is>
      </c>
      <c r="D755" s="156" t="inlineStr">
        <is>
          <t>WG145G-9250KH</t>
        </is>
      </c>
      <c r="E755" s="156" t="inlineStr">
        <is>
          <t>WG145G-9250KH</t>
        </is>
      </c>
      <c r="F755" s="156" t="inlineStr">
        <is>
          <t>Talla única</t>
        </is>
      </c>
      <c r="G755" s="156" t="inlineStr">
        <is>
          <t>One Size</t>
        </is>
      </c>
      <c r="H755" s="156" t="inlineStr">
        <is>
          <t>Wrangler</t>
        </is>
      </c>
      <c r="I755" s="156" t="inlineStr">
        <is>
          <t>Bolsa Tote Cruzada Wrangler Bordada Caqui</t>
        </is>
      </c>
      <c r="J755" s="156" t="inlineStr">
        <is>
          <t>Accesorios</t>
        </is>
      </c>
      <c r="K755" s="156" t="inlineStr">
        <is>
          <t>Bolsos</t>
        </is>
      </c>
      <c r="L755" s="156" t="inlineStr">
        <is>
          <t>Unisex</t>
        </is>
      </c>
      <c r="M755" s="156" t="inlineStr">
        <is>
          <t>Wrangler</t>
        </is>
      </c>
      <c r="N755" s="156" t="n"/>
      <c r="O755" s="156" t="inlineStr">
        <is>
          <t>Core</t>
        </is>
      </c>
      <c r="P755" s="156" t="inlineStr">
        <is>
          <t>Beige</t>
        </is>
      </c>
      <c r="Q755" s="156" t="n"/>
      <c r="R755" s="156" t="n"/>
      <c r="S755" s="156" t="n"/>
      <c r="T755" s="156" t="inlineStr">
        <is>
          <t>Bolsa Tote Cruzada Wrangler. Modelo: Bordada. Color: Caqui. Talla única. Unisex. País de origen: México. Referencia: WG145G-9250KH.</t>
        </is>
      </c>
      <c r="U755" s="156" t="inlineStr">
        <is>
          <t>México</t>
        </is>
      </c>
      <c r="V755" s="156" t="inlineStr">
        <is>
          <t>PZS</t>
        </is>
      </c>
      <c r="W755" s="51" t="inlineStr">
        <is>
          <t>53121601</t>
        </is>
      </c>
      <c r="X755" s="156" t="inlineStr">
        <is>
          <t>https://m-universal-unique-brands.odoo.com/web/image/product.product/11442/image_1920</t>
        </is>
      </c>
      <c r="Y755" s="54" t="n">
        <v>500.25</v>
      </c>
      <c r="Z755" s="54" t="n">
        <v>809</v>
      </c>
      <c r="AA755" s="55">
        <f>IF(AND(A755="", B755="", E755=""), "", IF(AB755="", "Válido", IF((LEN(AB755)-LEN(SUBSTITUTE(AB755,"; ","")))/2+1&gt;(LEN(AB755)-LEN(SUBSTITUTE(AB755,"[Aviso]","")))/7, "Con Incidencias", "Válido")))</f>
        <v/>
      </c>
      <c r="AB755" s="56">
        <f>IF(AND(A755="", B755="", E755=""), "", TEXTJOIN("; ", TRUE, IF(OR(TRIM(A755&amp;"")="", ISNUMBER(SEARCH("FALTA", A755))), "UPC faltante/inválido", ""), IF(AND(A755&lt;&gt;"", IFERROR(_xlfn.XMATCH(A755,$A$2:$A$1063,0,1)&lt;&gt;_xlfn.XMATCH(A755,$A$2:$A$1063,0,-1),FALSE)), "Código de barras duplicado", ""), IF(AND(E755&lt;&gt;"", COUNTIF($E$2:$E$1063, E755)&gt;1), "SKU duplicado", ""), IF(OR(J755="", J755=""), "[Aviso] División no capturada ()", IF(ISNA(MATCH(J755, Criterios!$A$123:$A$126, 0)), "División no válida", "")), IF(OR(K755="", K755=""), "[Aviso] Categoría no capturada ()", IF(ISNA(MATCH(K755, Criterios!$A$81:$A$120, 0)), "Categoría no válida", IF(AND(J755&lt;&gt;"", J755&lt;&gt;"", J755&lt;&gt;VLOOKUP(K755, Criterios!$A$81:$B$120, 2, FALSE)), "División no coincide con Categoría", ""))), IF(OR(L755="", L755=""), "[Aviso] Género no capturado ()", IF(ISNA(MATCH(L755, Criterios!$B$123:$B$127, 0)), "Género no válido", "")), IF(OR(N755="", N755=""), "[Aviso] Temporada no capturada ()", IF(ISNA(MATCH(N755, Criterios!$C$123:$C$128, 0)), "Temporada no válida", "")), IF(OR(O755="", O755=""), "[Aviso] Ciclo de vida no capturado ()", IF(ISNA(MATCH(O755, Criterios!$D$123:$D$124, 0)), "Ciclo de vida no válido", ""))))</f>
        <v/>
      </c>
      <c r="AC755" s="56" t="n"/>
      <c r="AD755" s="51" t="n"/>
      <c r="AE755" s="156" t="n"/>
      <c r="AF755" s="51" t="n"/>
      <c r="AG755" s="156" t="inlineStr">
        <is>
          <t>Nuevo – Carga Hoja2 01/10/2026</t>
        </is>
      </c>
      <c r="AH755" s="156" t="inlineStr">
        <is>
          <t>Alta 01/10/2026 desde Hoja2 (fila 772) | 01/10/2026: complementado desde Odoo Universal Unique Brands (match por código de barras): Enlace de imagen | Homologación G1522 06/10/2026: Validador Shopify: WB: precio con IVA no termina en 9</t>
        </is>
      </c>
      <c r="AI755" s="156" t="n"/>
      <c r="AJ755" s="156" t="n"/>
      <c r="AK755" s="155" t="inlineStr">
        <is>
          <t>Hoja2: fila 772 | Odoo: producto 11442 / plantilla 14877</t>
        </is>
      </c>
      <c r="AL755" s="58" t="n"/>
      <c r="AM755" s="58" t="n"/>
      <c r="AN755" s="155" t="inlineStr">
        <is>
          <t>Odoo Universal Unique Brands</t>
        </is>
      </c>
      <c r="AO755" s="59" t="n"/>
      <c r="AP755" s="59" t="n"/>
      <c r="AQ755" s="59" t="n">
        <v>16</v>
      </c>
      <c r="AR755" s="155" t="inlineStr">
        <is>
          <t>Odoo Universal Unique Brands › Bodega 25 › Bodega 25/General: 16</t>
        </is>
      </c>
    </row>
    <row r="756">
      <c r="A756" s="50" t="inlineStr">
        <is>
          <t>717019691814</t>
        </is>
      </c>
      <c r="B756" s="51" t="inlineStr">
        <is>
          <t>11443</t>
        </is>
      </c>
      <c r="C756" s="156" t="inlineStr">
        <is>
          <t>Wrangler</t>
        </is>
      </c>
      <c r="D756" s="156" t="inlineStr">
        <is>
          <t>WG145G-9250RD</t>
        </is>
      </c>
      <c r="E756" s="156" t="inlineStr">
        <is>
          <t>WG145G-9250RD</t>
        </is>
      </c>
      <c r="F756" s="156" t="inlineStr">
        <is>
          <t>Talla única</t>
        </is>
      </c>
      <c r="G756" s="156" t="inlineStr">
        <is>
          <t>One Size</t>
        </is>
      </c>
      <c r="H756" s="156" t="inlineStr">
        <is>
          <t>Wrangler</t>
        </is>
      </c>
      <c r="I756" s="156" t="inlineStr">
        <is>
          <t>Bolsa Tote Cruzada Wrangler Bordada Rojo</t>
        </is>
      </c>
      <c r="J756" s="156" t="inlineStr">
        <is>
          <t>Accesorios</t>
        </is>
      </c>
      <c r="K756" s="156" t="inlineStr">
        <is>
          <t>Bolsos</t>
        </is>
      </c>
      <c r="L756" s="156" t="inlineStr">
        <is>
          <t>Unisex</t>
        </is>
      </c>
      <c r="M756" s="156" t="inlineStr">
        <is>
          <t>Wrangler</t>
        </is>
      </c>
      <c r="N756" s="156" t="n"/>
      <c r="O756" s="156" t="inlineStr">
        <is>
          <t>Core</t>
        </is>
      </c>
      <c r="P756" s="156" t="inlineStr">
        <is>
          <t>Rojo</t>
        </is>
      </c>
      <c r="Q756" s="156" t="n"/>
      <c r="R756" s="156" t="n"/>
      <c r="S756" s="156" t="n"/>
      <c r="T756" s="156" t="inlineStr">
        <is>
          <t>Bolsa Tote Cruzada Wrangler. Modelo: Bordada. Color: Rojo. Talla única. Unisex. País de origen: México. Referencia: WG145G-9250RD.</t>
        </is>
      </c>
      <c r="U756" s="156" t="inlineStr">
        <is>
          <t>México</t>
        </is>
      </c>
      <c r="V756" s="156" t="inlineStr">
        <is>
          <t>PZS</t>
        </is>
      </c>
      <c r="W756" s="51" t="inlineStr">
        <is>
          <t>53121601</t>
        </is>
      </c>
      <c r="X756" s="156" t="inlineStr">
        <is>
          <t>https://m-universal-unique-brands.odoo.com/web/image/product.product/11443/image_1920</t>
        </is>
      </c>
      <c r="Y756" s="54" t="n">
        <v>500.25</v>
      </c>
      <c r="Z756" s="54" t="n">
        <v>809</v>
      </c>
      <c r="AA756" s="55">
        <f>IF(AND(A756="", B756="", E756=""), "", IF(AB756="", "Válido", IF((LEN(AB756)-LEN(SUBSTITUTE(AB756,"; ","")))/2+1&gt;(LEN(AB756)-LEN(SUBSTITUTE(AB756,"[Aviso]","")))/7, "Con Incidencias", "Válido")))</f>
        <v/>
      </c>
      <c r="AB756" s="56">
        <f>IF(AND(A756="", B756="", E756=""), "", TEXTJOIN("; ", TRUE, IF(OR(TRIM(A756&amp;"")="", ISNUMBER(SEARCH("FALTA", A756))), "UPC faltante/inválido", ""), IF(AND(A756&lt;&gt;"", IFERROR(_xlfn.XMATCH(A756,$A$2:$A$1063,0,1)&lt;&gt;_xlfn.XMATCH(A756,$A$2:$A$1063,0,-1),FALSE)), "Código de barras duplicado", ""), IF(AND(E756&lt;&gt;"", COUNTIF($E$2:$E$1063, E756)&gt;1), "SKU duplicado", ""), IF(OR(J756="", J756=""), "[Aviso] División no capturada ()", IF(ISNA(MATCH(J756, Criterios!$A$123:$A$126, 0)), "División no válida", "")), IF(OR(K756="", K756=""), "[Aviso] Categoría no capturada ()", IF(ISNA(MATCH(K756, Criterios!$A$81:$A$120, 0)), "Categoría no válida", IF(AND(J756&lt;&gt;"", J756&lt;&gt;"", J756&lt;&gt;VLOOKUP(K756, Criterios!$A$81:$B$120, 2, FALSE)), "División no coincide con Categoría", ""))), IF(OR(L756="", L756=""), "[Aviso] Género no capturado ()", IF(ISNA(MATCH(L756, Criterios!$B$123:$B$127, 0)), "Género no válido", "")), IF(OR(N756="", N756=""), "[Aviso] Temporada no capturada ()", IF(ISNA(MATCH(N756, Criterios!$C$123:$C$128, 0)), "Temporada no válida", "")), IF(OR(O756="", O756=""), "[Aviso] Ciclo de vida no capturado ()", IF(ISNA(MATCH(O756, Criterios!$D$123:$D$124, 0)), "Ciclo de vida no válido", ""))))</f>
        <v/>
      </c>
      <c r="AC756" s="56" t="n"/>
      <c r="AD756" s="51" t="n"/>
      <c r="AE756" s="156" t="n"/>
      <c r="AF756" s="51" t="n"/>
      <c r="AG756" s="156" t="inlineStr">
        <is>
          <t>Nuevo – Carga Hoja2 01/10/2026</t>
        </is>
      </c>
      <c r="AH756" s="156" t="inlineStr">
        <is>
          <t>Alta 01/10/2026 desde Hoja2 (fila 773) | 01/10/2026: complementado desde Odoo Universal Unique Brands (match por código de barras): Enlace de imagen | Homologación G1522 06/10/2026: Validador Shopify: WB: precio con IVA no termina en 9</t>
        </is>
      </c>
      <c r="AI756" s="156" t="n"/>
      <c r="AJ756" s="156" t="n"/>
      <c r="AK756" s="155" t="inlineStr">
        <is>
          <t>Hoja2: fila 773 | Odoo: producto 11443 / plantilla 14878</t>
        </is>
      </c>
      <c r="AL756" s="58" t="n"/>
      <c r="AM756" s="58" t="n"/>
      <c r="AN756" s="155" t="inlineStr">
        <is>
          <t>Odoo Universal Unique Brands</t>
        </is>
      </c>
      <c r="AO756" s="59" t="n"/>
      <c r="AP756" s="59" t="n"/>
      <c r="AQ756" s="59" t="n">
        <v>49</v>
      </c>
      <c r="AR756" s="155" t="inlineStr">
        <is>
          <t>Odoo Universal Unique Brands › Bodega 25 › Bodega 25/General: 49</t>
        </is>
      </c>
    </row>
    <row r="757">
      <c r="A757" s="50" t="inlineStr">
        <is>
          <t>717325211553</t>
        </is>
      </c>
      <c r="B757" s="51" t="inlineStr">
        <is>
          <t>11828</t>
        </is>
      </c>
      <c r="C757" s="156" t="inlineStr">
        <is>
          <t>Wrangler</t>
        </is>
      </c>
      <c r="D757" s="156" t="inlineStr">
        <is>
          <t>WG160-6011BR</t>
        </is>
      </c>
      <c r="E757" s="156" t="inlineStr">
        <is>
          <t>WG160-6011BR</t>
        </is>
      </c>
      <c r="F757" s="156" t="inlineStr">
        <is>
          <t>Talla única</t>
        </is>
      </c>
      <c r="G757" s="156" t="inlineStr">
        <is>
          <t>One Size</t>
        </is>
      </c>
      <c r="H757" s="156" t="inlineStr">
        <is>
          <t>Wrangler</t>
        </is>
      </c>
      <c r="I757" s="156" t="inlineStr">
        <is>
          <t>Bolsa Tote Cruzada Wrangler Sherpa Café</t>
        </is>
      </c>
      <c r="J757" s="156" t="inlineStr">
        <is>
          <t>Accesorios</t>
        </is>
      </c>
      <c r="K757" s="156" t="inlineStr">
        <is>
          <t>Bolsos</t>
        </is>
      </c>
      <c r="L757" s="156" t="inlineStr">
        <is>
          <t>Unisex</t>
        </is>
      </c>
      <c r="M757" s="156" t="inlineStr">
        <is>
          <t>Wrangler</t>
        </is>
      </c>
      <c r="N757" s="156" t="n"/>
      <c r="O757" s="156" t="inlineStr">
        <is>
          <t>Core</t>
        </is>
      </c>
      <c r="P757" s="156" t="inlineStr">
        <is>
          <t>Cafe</t>
        </is>
      </c>
      <c r="Q757" s="156" t="n"/>
      <c r="R757" s="156" t="n"/>
      <c r="S757" s="156" t="n"/>
      <c r="T757" s="156" t="inlineStr">
        <is>
          <t>Bolsa Tote Cruzada Wrangler. Modelo: Sherpa. Color: Café. Talla única. Unisex. País de origen: México. Referencia: WG160-6011BR.</t>
        </is>
      </c>
      <c r="U757" s="156" t="inlineStr">
        <is>
          <t>México</t>
        </is>
      </c>
      <c r="V757" s="156" t="inlineStr">
        <is>
          <t>PZS</t>
        </is>
      </c>
      <c r="W757" s="51" t="inlineStr">
        <is>
          <t>53121601</t>
        </is>
      </c>
      <c r="X757" s="156" t="n"/>
      <c r="Y757" s="54" t="n">
        <v>327.75</v>
      </c>
      <c r="Z757" s="54" t="n">
        <v>529</v>
      </c>
      <c r="AA757" s="55">
        <f>IF(AND(A757="", B757="", E757=""), "", IF(AB757="", "Válido", IF((LEN(AB757)-LEN(SUBSTITUTE(AB757,"; ","")))/2+1&gt;(LEN(AB757)-LEN(SUBSTITUTE(AB757,"[Aviso]","")))/7, "Con Incidencias", "Válido")))</f>
        <v/>
      </c>
      <c r="AB757" s="56">
        <f>IF(AND(A757="", B757="", E757=""), "", TEXTJOIN("; ", TRUE, IF(OR(TRIM(A757&amp;"")="", ISNUMBER(SEARCH("FALTA", A757))), "UPC faltante/inválido", ""), IF(AND(A757&lt;&gt;"", IFERROR(_xlfn.XMATCH(A757,$A$2:$A$1063,0,1)&lt;&gt;_xlfn.XMATCH(A757,$A$2:$A$1063,0,-1),FALSE)), "Código de barras duplicado", ""), IF(AND(E757&lt;&gt;"", COUNTIF($E$2:$E$1063, E757)&gt;1), "SKU duplicado", ""), IF(OR(J757="", J757=""), "[Aviso] División no capturada ()", IF(ISNA(MATCH(J757, Criterios!$A$123:$A$126, 0)), "División no válida", "")), IF(OR(K757="", K757=""), "[Aviso] Categoría no capturada ()", IF(ISNA(MATCH(K757, Criterios!$A$81:$A$120, 0)), "Categoría no válida", IF(AND(J757&lt;&gt;"", J757&lt;&gt;"", J757&lt;&gt;VLOOKUP(K757, Criterios!$A$81:$B$120, 2, FALSE)), "División no coincide con Categoría", ""))), IF(OR(L757="", L757=""), "[Aviso] Género no capturado ()", IF(ISNA(MATCH(L757, Criterios!$B$123:$B$127, 0)), "Género no válido", "")), IF(OR(N757="", N757=""), "[Aviso] Temporada no capturada ()", IF(ISNA(MATCH(N757, Criterios!$C$123:$C$128, 0)), "Temporada no válida", "")), IF(OR(O757="", O757=""), "[Aviso] Ciclo de vida no capturado ()", IF(ISNA(MATCH(O757, Criterios!$D$123:$D$124, 0)), "Ciclo de vida no válido", ""))))</f>
        <v/>
      </c>
      <c r="AC757" s="56" t="n"/>
      <c r="AD757" s="51" t="n"/>
      <c r="AE757" s="156" t="n"/>
      <c r="AF757" s="51" t="n"/>
      <c r="AG757" s="156" t="inlineStr">
        <is>
          <t>Nuevo – Carga Hoja2 01/10/2026</t>
        </is>
      </c>
      <c r="AH757" s="156" t="inlineStr">
        <is>
          <t>Alta 01/10/2026 desde Hoja2 (fila 776) | 01/10/2026: Odoo Universal Unique Brands trae Marca «Montana West» — se conservó el valor de Productos | Homologación G1522 06/10/2026: Validador Shopify: WB: precio con IVA no termina en 9</t>
        </is>
      </c>
      <c r="AI757" s="156" t="n"/>
      <c r="AJ757" s="156" t="n"/>
      <c r="AK757" s="155" t="inlineStr">
        <is>
          <t>Hoja2: fila 776 | Odoo: producto 11828 / plantilla 15263 | Odoo: producto 27259 / plantilla 33959</t>
        </is>
      </c>
      <c r="AL757" s="58" t="n"/>
      <c r="AM757" s="58" t="n"/>
      <c r="AN757" s="155" t="inlineStr">
        <is>
          <t>Odoo Universal Unique Brands</t>
        </is>
      </c>
      <c r="AO757" s="59" t="n"/>
      <c r="AP757" s="59" t="n"/>
      <c r="AQ757" s="59" t="n">
        <v>10</v>
      </c>
      <c r="AR757" s="155" t="inlineStr">
        <is>
          <t>Odoo Universal Unique Brands › Bodega 25 › Bodega 25/General: 9 | Odoo Universal Unique Brands › Bodega 25 › Bodega 25/General: 1</t>
        </is>
      </c>
    </row>
    <row r="758">
      <c r="A758" s="50" t="inlineStr">
        <is>
          <t>717325211881</t>
        </is>
      </c>
      <c r="B758" s="51" t="inlineStr">
        <is>
          <t>11885</t>
        </is>
      </c>
      <c r="C758" s="156" t="inlineStr">
        <is>
          <t>Wrangler</t>
        </is>
      </c>
      <c r="D758" s="156" t="inlineStr">
        <is>
          <t>WG160-W0142CF</t>
        </is>
      </c>
      <c r="E758" s="156" t="inlineStr">
        <is>
          <t>WG160-W0142CF</t>
        </is>
      </c>
      <c r="F758" s="156" t="inlineStr">
        <is>
          <t>Talla única</t>
        </is>
      </c>
      <c r="G758" s="156" t="inlineStr">
        <is>
          <t>One Size</t>
        </is>
      </c>
      <c r="H758" s="156" t="inlineStr">
        <is>
          <t>Wrangler</t>
        </is>
      </c>
      <c r="I758" s="156" t="inlineStr">
        <is>
          <t>Cartera Bifold Wrangler Grabada Western Café Oscuro</t>
        </is>
      </c>
      <c r="J758" s="156" t="inlineStr">
        <is>
          <t>Accesorios</t>
        </is>
      </c>
      <c r="K758" s="156" t="inlineStr">
        <is>
          <t>Carteras</t>
        </is>
      </c>
      <c r="L758" s="156" t="inlineStr">
        <is>
          <t>Unisex</t>
        </is>
      </c>
      <c r="M758" s="156" t="inlineStr">
        <is>
          <t>Wrangler</t>
        </is>
      </c>
      <c r="N758" s="156" t="n"/>
      <c r="O758" s="156" t="inlineStr">
        <is>
          <t>Core</t>
        </is>
      </c>
      <c r="P758" s="156" t="inlineStr">
        <is>
          <t>Cafe</t>
        </is>
      </c>
      <c r="Q758" s="156" t="n"/>
      <c r="R758" s="156" t="n"/>
      <c r="S758" s="156" t="n"/>
      <c r="T758" s="156" t="inlineStr">
        <is>
          <t>Cartera Bifold Wrangler. Modelo: Grabada Western. Color: Café Oscuro. Talla única. Unisex. País de origen: México. Referencia: WG160-W0142CF.</t>
        </is>
      </c>
      <c r="U758" s="156" t="inlineStr">
        <is>
          <t>México</t>
        </is>
      </c>
      <c r="V758" s="156" t="inlineStr">
        <is>
          <t>PZS</t>
        </is>
      </c>
      <c r="W758" s="51" t="inlineStr">
        <is>
          <t>53121700</t>
        </is>
      </c>
      <c r="X758" s="156" t="n"/>
      <c r="Y758" s="54" t="n">
        <v>207</v>
      </c>
      <c r="Z758" s="54" t="n">
        <v>339</v>
      </c>
      <c r="AA758" s="55">
        <f>IF(AND(A758="", B758="", E758=""), "", IF(AB758="", "Válido", IF((LEN(AB758)-LEN(SUBSTITUTE(AB758,"; ","")))/2+1&gt;(LEN(AB758)-LEN(SUBSTITUTE(AB758,"[Aviso]","")))/7, "Con Incidencias", "Válido")))</f>
        <v/>
      </c>
      <c r="AB758" s="56">
        <f>IF(AND(A758="", B758="", E758=""), "", TEXTJOIN("; ", TRUE, IF(OR(TRIM(A758&amp;"")="", ISNUMBER(SEARCH("FALTA", A758))), "UPC faltante/inválido", ""), IF(AND(A758&lt;&gt;"", IFERROR(_xlfn.XMATCH(A758,$A$2:$A$1063,0,1)&lt;&gt;_xlfn.XMATCH(A758,$A$2:$A$1063,0,-1),FALSE)), "Código de barras duplicado", ""), IF(AND(E758&lt;&gt;"", COUNTIF($E$2:$E$1063, E758)&gt;1), "SKU duplicado", ""), IF(OR(J758="", J758=""), "[Aviso] División no capturada ()", IF(ISNA(MATCH(J758, Criterios!$A$123:$A$126, 0)), "División no válida", "")), IF(OR(K758="", K758=""), "[Aviso] Categoría no capturada ()", IF(ISNA(MATCH(K758, Criterios!$A$81:$A$120, 0)), "Categoría no válida", IF(AND(J758&lt;&gt;"", J758&lt;&gt;"", J758&lt;&gt;VLOOKUP(K758, Criterios!$A$81:$B$120, 2, FALSE)), "División no coincide con Categoría", ""))), IF(OR(L758="", L758=""), "[Aviso] Género no capturado ()", IF(ISNA(MATCH(L758, Criterios!$B$123:$B$127, 0)), "Género no válido", "")), IF(OR(N758="", N758=""), "[Aviso] Temporada no capturada ()", IF(ISNA(MATCH(N758, Criterios!$C$123:$C$128, 0)), "Temporada no válida", "")), IF(OR(O758="", O758=""), "[Aviso] Ciclo de vida no capturado ()", IF(ISNA(MATCH(O758, Criterios!$D$123:$D$124, 0)), "Ciclo de vida no válido", ""))))</f>
        <v/>
      </c>
      <c r="AC758" s="56" t="n"/>
      <c r="AD758" s="51" t="n"/>
      <c r="AE758" s="156" t="n"/>
      <c r="AF758" s="51" t="n"/>
      <c r="AG758" s="156" t="inlineStr">
        <is>
          <t>Nuevo – Carga Hoja2 01/10/2026</t>
        </is>
      </c>
      <c r="AH758" s="156" t="inlineStr">
        <is>
          <t>Alta 01/10/2026 desde Hoja2 (fila 777) | 01/10/2026: Odoo Universal Unique Brands trae Marca «Montana West» — se conservó el valor de Productos | Homologación G1522 06/10/2026: Validador Shopify: WB: precio con IVA no termina en 9</t>
        </is>
      </c>
      <c r="AI758" s="156" t="n"/>
      <c r="AJ758" s="156" t="n"/>
      <c r="AK758" s="155" t="inlineStr">
        <is>
          <t>Hoja2: fila 777 | Odoo: producto 11885 / plantilla 15320 | Odoo: producto 27262 / plantilla 33962</t>
        </is>
      </c>
      <c r="AL758" s="58" t="n"/>
      <c r="AM758" s="58" t="n"/>
      <c r="AN758" s="155" t="inlineStr">
        <is>
          <t>Odoo Universal Unique Brands</t>
        </is>
      </c>
      <c r="AO758" s="59" t="n"/>
      <c r="AP758" s="59" t="n"/>
      <c r="AQ758" s="59" t="n">
        <v>15</v>
      </c>
      <c r="AR758" s="155" t="inlineStr">
        <is>
          <t>Odoo Universal Unique Brands › Bodega 25 › Bodega 25/General: 12 | Odoo Universal Unique Brands › Bodega 25 › Bodega 25/General: 3</t>
        </is>
      </c>
    </row>
    <row r="759">
      <c r="A759" s="50" t="inlineStr">
        <is>
          <t>717019709335</t>
        </is>
      </c>
      <c r="B759" s="51" t="inlineStr">
        <is>
          <t>11346</t>
        </is>
      </c>
      <c r="C759" s="156" t="inlineStr">
        <is>
          <t>Wrangler</t>
        </is>
      </c>
      <c r="D759" s="156" t="inlineStr">
        <is>
          <t>WG162-8136CF</t>
        </is>
      </c>
      <c r="E759" s="156" t="inlineStr">
        <is>
          <t>WG162-8136CF</t>
        </is>
      </c>
      <c r="F759" s="156" t="inlineStr">
        <is>
          <t>Talla única</t>
        </is>
      </c>
      <c r="G759" s="156" t="inlineStr">
        <is>
          <t>One Size</t>
        </is>
      </c>
      <c r="H759" s="156" t="inlineStr">
        <is>
          <t>Wrangler</t>
        </is>
      </c>
      <c r="I759" s="156" t="inlineStr">
        <is>
          <t>Bolsa Tote Cruzada Wrangler Bicolor Con Flecos Y Costura "W"</t>
        </is>
      </c>
      <c r="J759" s="156" t="inlineStr">
        <is>
          <t>Accesorios</t>
        </is>
      </c>
      <c r="K759" s="156" t="inlineStr">
        <is>
          <t>Bolsos</t>
        </is>
      </c>
      <c r="L759" s="156" t="inlineStr">
        <is>
          <t>Unisex</t>
        </is>
      </c>
      <c r="M759" s="156" t="inlineStr">
        <is>
          <t>Wrangler</t>
        </is>
      </c>
      <c r="N759" s="156" t="n"/>
      <c r="O759" s="156" t="n"/>
      <c r="P759" s="156" t="inlineStr">
        <is>
          <t>Cafe</t>
        </is>
      </c>
      <c r="Q759" s="156" t="n"/>
      <c r="R759" s="156" t="n"/>
      <c r="S759" s="156" t="n"/>
      <c r="T759" s="156" t="inlineStr">
        <is>
          <t>Bolsa Tote Cruzada</t>
        </is>
      </c>
      <c r="U759" s="156" t="inlineStr">
        <is>
          <t>México</t>
        </is>
      </c>
      <c r="V759" s="156" t="inlineStr">
        <is>
          <t>PZS</t>
        </is>
      </c>
      <c r="W759" s="51" t="inlineStr">
        <is>
          <t>53121601</t>
        </is>
      </c>
      <c r="X759" s="156" t="inlineStr">
        <is>
          <t>https://m-universal-unique-brands.odoo.com/web/image/product.product/11346/image_1920</t>
        </is>
      </c>
      <c r="Y759" s="54" t="n">
        <v>431.25</v>
      </c>
      <c r="Z759" s="54" t="n">
        <v>689</v>
      </c>
      <c r="AA759" s="55">
        <f>IF(AND(A759="", B759="", E759=""), "", IF(AB759="", "Válido", IF((LEN(AB759)-LEN(SUBSTITUTE(AB759,"; ","")))/2+1&gt;(LEN(AB759)-LEN(SUBSTITUTE(AB759,"[Aviso]","")))/7, "Con Incidencias", "Válido")))</f>
        <v/>
      </c>
      <c r="AB759" s="56">
        <f>IF(AND(A759="", B759="", E759=""), "", TEXTJOIN("; ", TRUE, IF(OR(TRIM(A759&amp;"")="", ISNUMBER(SEARCH("FALTA", A759))), "UPC faltante/inválido", ""), IF(AND(A759&lt;&gt;"", IFERROR(_xlfn.XMATCH(A759,$A$2:$A$1063,0,1)&lt;&gt;_xlfn.XMATCH(A759,$A$2:$A$1063,0,-1),FALSE)), "Código de barras duplicado", ""), IF(AND(E759&lt;&gt;"", COUNTIF($E$2:$E$1063, E759)&gt;1), "SKU duplicado", ""), IF(OR(J759="", J759=""), "[Aviso] División no capturada ()", IF(ISNA(MATCH(J759, Criterios!$A$123:$A$126, 0)), "División no válida", "")), IF(OR(K759="", K759=""), "[Aviso] Categoría no capturada ()", IF(ISNA(MATCH(K759, Criterios!$A$81:$A$120, 0)), "Categoría no válida", IF(AND(J759&lt;&gt;"", J759&lt;&gt;"", J759&lt;&gt;VLOOKUP(K759, Criterios!$A$81:$B$120, 2, FALSE)), "División no coincide con Categoría", ""))), IF(OR(L759="", L759=""), "[Aviso] Género no capturado ()", IF(ISNA(MATCH(L759, Criterios!$B$123:$B$127, 0)), "Género no válido", "")), IF(OR(N759="", N759=""), "[Aviso] Temporada no capturada ()", IF(ISNA(MATCH(N759, Criterios!$C$123:$C$128, 0)), "Temporada no válida", "")), IF(OR(O759="", O759=""), "[Aviso] Ciclo de vida no capturado ()", IF(ISNA(MATCH(O759, Criterios!$D$123:$D$124, 0)), "Ciclo de vida no válido", ""))))</f>
        <v/>
      </c>
      <c r="AC759" s="56" t="n"/>
      <c r="AD759" s="51" t="n"/>
      <c r="AE759" s="156" t="n"/>
      <c r="AF759" s="51" t="n"/>
      <c r="AG759" s="156" t="inlineStr">
        <is>
          <t>Nuevo – Carga Hoja2 01/10/2026</t>
        </is>
      </c>
      <c r="AH759" s="156" t="inlineStr">
        <is>
          <t>Alta 01/10/2026 desde Hoja2 (fila 778)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Validación G1522: WB SKU duplicado · Validador NetSuite / Odoo: V4: SKU repetido · Validador Shopify: V4: SKU repetido</t>
        </is>
      </c>
      <c r="AI759" s="156" t="n"/>
      <c r="AJ759" s="156" t="n"/>
      <c r="AK759" s="155" t="inlineStr">
        <is>
          <t>Hoja2: fila 778 | Odoo: producto 11346 / plantilla 14781</t>
        </is>
      </c>
      <c r="AL759" s="58" t="n"/>
      <c r="AM759" s="58" t="n"/>
      <c r="AN759" s="155" t="inlineStr">
        <is>
          <t>Odoo Universal Unique Brands</t>
        </is>
      </c>
      <c r="AO759" s="59" t="n"/>
      <c r="AP759" s="59" t="n"/>
      <c r="AQ759" s="59" t="n">
        <v>70</v>
      </c>
      <c r="AR759" s="155" t="inlineStr">
        <is>
          <t>Odoo Universal Unique Brands › Bodega 25 › Bodega 25/General: 70</t>
        </is>
      </c>
    </row>
    <row r="760">
      <c r="A760" s="50" t="inlineStr">
        <is>
          <t>717019709366</t>
        </is>
      </c>
      <c r="B760" s="51" t="inlineStr">
        <is>
          <t>15595</t>
        </is>
      </c>
      <c r="C760" s="156" t="inlineStr">
        <is>
          <t>Wrangler</t>
        </is>
      </c>
      <c r="D760" s="156" t="inlineStr">
        <is>
          <t>WG162-8136NY</t>
        </is>
      </c>
      <c r="E760" s="156" t="inlineStr">
        <is>
          <t>WG162-8136NY</t>
        </is>
      </c>
      <c r="F760" s="156" t="inlineStr">
        <is>
          <t>Talla única</t>
        </is>
      </c>
      <c r="G760" s="156" t="inlineStr">
        <is>
          <t>One Size</t>
        </is>
      </c>
      <c r="H760" s="156" t="inlineStr">
        <is>
          <t>Wrangler</t>
        </is>
      </c>
      <c r="I760" s="156" t="inlineStr">
        <is>
          <t>Bolsa Tote Cruzada Wrangler Bicolor Con Flecos Y Costura "W" Azul Marino</t>
        </is>
      </c>
      <c r="J760" s="156" t="inlineStr">
        <is>
          <t>Accesorios</t>
        </is>
      </c>
      <c r="K760" s="156" t="inlineStr">
        <is>
          <t>Bolsos</t>
        </is>
      </c>
      <c r="L760" s="156" t="inlineStr">
        <is>
          <t>Unisex</t>
        </is>
      </c>
      <c r="M760" s="156" t="inlineStr">
        <is>
          <t>Wrangler</t>
        </is>
      </c>
      <c r="N760" s="156" t="n"/>
      <c r="O760" s="156" t="inlineStr">
        <is>
          <t>Core</t>
        </is>
      </c>
      <c r="P760" s="156" t="inlineStr">
        <is>
          <t>Azul</t>
        </is>
      </c>
      <c r="Q760" s="156" t="n"/>
      <c r="R760" s="156" t="n"/>
      <c r="S760" s="156" t="n"/>
      <c r="T760" s="156" t="inlineStr">
        <is>
          <t>Bolsa Tote Cruzada Wrangler. Modelo: Bicolor Con Flecos Y Costura "W". Color: Azul Marino. Talla única. Unisex. País de origen: México. Referencia: WG162-8136NY.</t>
        </is>
      </c>
      <c r="U760" s="156" t="inlineStr">
        <is>
          <t>México</t>
        </is>
      </c>
      <c r="V760" s="156" t="inlineStr">
        <is>
          <t>PZS</t>
        </is>
      </c>
      <c r="W760" s="51" t="inlineStr">
        <is>
          <t>53121601</t>
        </is>
      </c>
      <c r="X760" s="156" t="inlineStr">
        <is>
          <t>https://m-universal-unique-brands.odoo.com/web/image/product.product/15595/image_1920</t>
        </is>
      </c>
      <c r="Y760" s="54" t="n"/>
      <c r="Z760" s="54" t="n">
        <v>689</v>
      </c>
      <c r="AA760" s="55">
        <f>IF(AND(A760="", B760="", E760=""), "", IF(AB760="", "Válido", IF((LEN(AB760)-LEN(SUBSTITUTE(AB760,"; ","")))/2+1&gt;(LEN(AB760)-LEN(SUBSTITUTE(AB760,"[Aviso]","")))/7, "Con Incidencias", "Válido")))</f>
        <v/>
      </c>
      <c r="AB760" s="56">
        <f>IF(AND(A760="", B760="", E760=""), "", TEXTJOIN("; ", TRUE, IF(OR(TRIM(A760&amp;"")="", ISNUMBER(SEARCH("FALTA", A760))), "UPC faltante/inválido", ""), IF(AND(A760&lt;&gt;"", IFERROR(_xlfn.XMATCH(A760,$A$2:$A$1063,0,1)&lt;&gt;_xlfn.XMATCH(A760,$A$2:$A$1063,0,-1),FALSE)), "Código de barras duplicado", ""), IF(AND(E760&lt;&gt;"", COUNTIF($E$2:$E$1063, E760)&gt;1), "SKU duplicado", ""), IF(OR(J760="", J760=""), "[Aviso] División no capturada ()", IF(ISNA(MATCH(J760, Criterios!$A$123:$A$126, 0)), "División no válida", "")), IF(OR(K760="", K760=""), "[Aviso] Categoría no capturada ()", IF(ISNA(MATCH(K760, Criterios!$A$81:$A$120, 0)), "Categoría no válida", IF(AND(J760&lt;&gt;"", J760&lt;&gt;"", J760&lt;&gt;VLOOKUP(K760, Criterios!$A$81:$B$120, 2, FALSE)), "División no coincide con Categoría", ""))), IF(OR(L760="", L760=""), "[Aviso] Género no capturado ()", IF(ISNA(MATCH(L760, Criterios!$B$123:$B$127, 0)), "Género no válido", "")), IF(OR(N760="", N760=""), "[Aviso] Temporada no capturada ()", IF(ISNA(MATCH(N760, Criterios!$C$123:$C$128, 0)), "Temporada no válida", "")), IF(OR(O760="", O760=""), "[Aviso] Ciclo de vida no capturado ()", IF(ISNA(MATCH(O760, Criterios!$D$123:$D$124, 0)), "Ciclo de vida no válido", ""))))</f>
        <v/>
      </c>
      <c r="AC760" s="56" t="n"/>
      <c r="AD760" s="51" t="n"/>
      <c r="AE760" s="156" t="n"/>
      <c r="AF760" s="51" t="n"/>
      <c r="AG760" s="156" t="inlineStr">
        <is>
          <t>Nuevo – Carga Hoja2 01/10/2026</t>
        </is>
      </c>
      <c r="AH760" s="156" t="inlineStr">
        <is>
          <t>Alta 01/10/2026 desde Hoja2 (fila 779); Precio de compra en 0/vacío en origen | 01/10/2026: complementado desde Odoo Universal Unique Brands (match por código de barras): Enlace de imagen | 01/10/2026: Odoo Universal Unique Brands trae Marca «Montana West» — se conservó el valor de Productos</t>
        </is>
      </c>
      <c r="AI760" s="156" t="n"/>
      <c r="AJ760" s="156" t="n"/>
      <c r="AK760" s="155" t="inlineStr">
        <is>
          <t>Hoja2: fila 779 | Odoo: producto 15595 / plantilla 19948 | Odoo: producto 27266 / plantilla 33966</t>
        </is>
      </c>
      <c r="AL760" s="58" t="n"/>
      <c r="AM760" s="58" t="n"/>
      <c r="AN760" s="155" t="inlineStr">
        <is>
          <t>Odoo Universal Unique Brands</t>
        </is>
      </c>
      <c r="AO760" s="59" t="n"/>
      <c r="AP760" s="59" t="n"/>
      <c r="AQ760" s="59" t="n">
        <v>34</v>
      </c>
      <c r="AR760" s="155" t="inlineStr">
        <is>
          <t>Odoo Universal Unique Brands › Bodega 25 › Bodega 25/General: 33 | Odoo Universal Unique Brands › Bodega 25 › Bodega 25/General: 1</t>
        </is>
      </c>
    </row>
    <row r="761">
      <c r="A761" s="50" t="inlineStr">
        <is>
          <t>717019709304</t>
        </is>
      </c>
      <c r="B761" s="51" t="inlineStr">
        <is>
          <t>11479</t>
        </is>
      </c>
      <c r="C761" s="156" t="inlineStr">
        <is>
          <t>Wrangler</t>
        </is>
      </c>
      <c r="D761" s="156" t="inlineStr">
        <is>
          <t>WG162-8136TN</t>
        </is>
      </c>
      <c r="E761" s="156" t="inlineStr">
        <is>
          <t>WG162-8136TN</t>
        </is>
      </c>
      <c r="F761" s="156" t="inlineStr">
        <is>
          <t>Talla única</t>
        </is>
      </c>
      <c r="G761" s="156" t="inlineStr">
        <is>
          <t>One Size</t>
        </is>
      </c>
      <c r="H761" s="156" t="inlineStr">
        <is>
          <t>Wrangler</t>
        </is>
      </c>
      <c r="I761" s="156" t="inlineStr">
        <is>
          <t>Bolsa Tote Cruzada Wrangler Bicolor Con Flecos Y Costura "W" Camel</t>
        </is>
      </c>
      <c r="J761" s="156" t="inlineStr">
        <is>
          <t>Accesorios</t>
        </is>
      </c>
      <c r="K761" s="156" t="inlineStr">
        <is>
          <t>Bolsos</t>
        </is>
      </c>
      <c r="L761" s="156" t="inlineStr">
        <is>
          <t>Unisex</t>
        </is>
      </c>
      <c r="M761" s="156" t="inlineStr">
        <is>
          <t>Wrangler</t>
        </is>
      </c>
      <c r="N761" s="156" t="n"/>
      <c r="O761" s="156" t="inlineStr">
        <is>
          <t>Core</t>
        </is>
      </c>
      <c r="P761" s="156" t="inlineStr">
        <is>
          <t>Beige</t>
        </is>
      </c>
      <c r="Q761" s="156" t="n"/>
      <c r="R761" s="156" t="n"/>
      <c r="S761" s="156" t="n"/>
      <c r="T761" s="156" t="inlineStr">
        <is>
          <t>Bolsa Tote Cruzada Wrangler. Modelo: Bicolor Con Flecos Y Costura "W". Color: Camel. Talla única. Unisex. País de origen: México. Referencia: WG162-8136TN.</t>
        </is>
      </c>
      <c r="U761" s="156" t="inlineStr">
        <is>
          <t>México</t>
        </is>
      </c>
      <c r="V761" s="156" t="inlineStr">
        <is>
          <t>PZS</t>
        </is>
      </c>
      <c r="W761" s="51" t="inlineStr">
        <is>
          <t>53121601</t>
        </is>
      </c>
      <c r="X761" s="156" t="inlineStr">
        <is>
          <t>https://m-universal-unique-brands.odoo.com/web/image/product.product/11479/image_1920</t>
        </is>
      </c>
      <c r="Y761" s="54" t="n">
        <v>431.25</v>
      </c>
      <c r="Z761" s="54" t="n">
        <v>689</v>
      </c>
      <c r="AA761" s="55">
        <f>IF(AND(A761="", B761="", E761=""), "", IF(AB761="", "Válido", IF((LEN(AB761)-LEN(SUBSTITUTE(AB761,"; ","")))/2+1&gt;(LEN(AB761)-LEN(SUBSTITUTE(AB761,"[Aviso]","")))/7, "Con Incidencias", "Válido")))</f>
        <v/>
      </c>
      <c r="AB761" s="56">
        <f>IF(AND(A761="", B761="", E761=""), "", TEXTJOIN("; ", TRUE, IF(OR(TRIM(A761&amp;"")="", ISNUMBER(SEARCH("FALTA", A761))), "UPC faltante/inválido", ""), IF(AND(A761&lt;&gt;"", IFERROR(_xlfn.XMATCH(A761,$A$2:$A$1063,0,1)&lt;&gt;_xlfn.XMATCH(A761,$A$2:$A$1063,0,-1),FALSE)), "Código de barras duplicado", ""), IF(AND(E761&lt;&gt;"", COUNTIF($E$2:$E$1063, E761)&gt;1), "SKU duplicado", ""), IF(OR(J761="", J761=""), "[Aviso] División no capturada ()", IF(ISNA(MATCH(J761, Criterios!$A$123:$A$126, 0)), "División no válida", "")), IF(OR(K761="", K761=""), "[Aviso] Categoría no capturada ()", IF(ISNA(MATCH(K761, Criterios!$A$81:$A$120, 0)), "Categoría no válida", IF(AND(J761&lt;&gt;"", J761&lt;&gt;"", J761&lt;&gt;VLOOKUP(K761, Criterios!$A$81:$B$120, 2, FALSE)), "División no coincide con Categoría", ""))), IF(OR(L761="", L761=""), "[Aviso] Género no capturado ()", IF(ISNA(MATCH(L761, Criterios!$B$123:$B$127, 0)), "Género no válido", "")), IF(OR(N761="", N761=""), "[Aviso] Temporada no capturada ()", IF(ISNA(MATCH(N761, Criterios!$C$123:$C$128, 0)), "Temporada no válida", "")), IF(OR(O761="", O761=""), "[Aviso] Ciclo de vida no capturado ()", IF(ISNA(MATCH(O761, Criterios!$D$123:$D$124, 0)), "Ciclo de vida no válido", ""))))</f>
        <v/>
      </c>
      <c r="AC761" s="56" t="n"/>
      <c r="AD761" s="51" t="n"/>
      <c r="AE761" s="156" t="n"/>
      <c r="AF761" s="51" t="n"/>
      <c r="AG761" s="156" t="inlineStr">
        <is>
          <t>Nuevo – Carga Hoja2 01/10/2026</t>
        </is>
      </c>
      <c r="AH761" s="156" t="inlineStr">
        <is>
          <t>Alta 01/10/2026 desde Hoja2 (fila 780) | 01/10/2026: complementado desde Odoo Universal Unique Brands (match por código de barras): Enlace de imagen | 01/10/2026: Odoo Universal Unique Brands trae Marca «Montana West» — se conservó el valor de Productos</t>
        </is>
      </c>
      <c r="AI761" s="156" t="n"/>
      <c r="AJ761" s="156" t="n"/>
      <c r="AK761" s="155" t="inlineStr">
        <is>
          <t>Hoja2: fila 780 | Odoo: producto 11479 / plantilla 14914 | Odoo: producto 27267 / plantilla 33967</t>
        </is>
      </c>
      <c r="AL761" s="58" t="n"/>
      <c r="AM761" s="58" t="n"/>
      <c r="AN761" s="155" t="inlineStr">
        <is>
          <t>Odoo Universal Unique Brands</t>
        </is>
      </c>
      <c r="AO761" s="59" t="n"/>
      <c r="AP761" s="59" t="n"/>
      <c r="AQ761" s="59" t="n">
        <v>43</v>
      </c>
      <c r="AR761" s="155" t="inlineStr">
        <is>
          <t>Odoo Universal Unique Brands › Bodega 25 › Bodega 25/General: 31 | Odoo Universal Unique Brands › Bodega 25 › Bodega 25/General: 12</t>
        </is>
      </c>
    </row>
    <row r="762">
      <c r="A762" s="50" t="inlineStr">
        <is>
          <t>717325204890</t>
        </is>
      </c>
      <c r="B762" s="51" t="inlineStr">
        <is>
          <t>11459</t>
        </is>
      </c>
      <c r="C762" s="156" t="inlineStr">
        <is>
          <t>Wrangler</t>
        </is>
      </c>
      <c r="D762" s="156" t="inlineStr">
        <is>
          <t>WG162-W0331BG</t>
        </is>
      </c>
      <c r="E762" s="156" t="inlineStr">
        <is>
          <t>WG162-W0331BG</t>
        </is>
      </c>
      <c r="F762" s="156" t="inlineStr">
        <is>
          <t>Talla única</t>
        </is>
      </c>
      <c r="G762" s="156" t="inlineStr">
        <is>
          <t>One Size</t>
        </is>
      </c>
      <c r="H762" s="156" t="inlineStr">
        <is>
          <t>Wrangler</t>
        </is>
      </c>
      <c r="I762" s="156" t="inlineStr">
        <is>
          <t>Cartera Bifold Tarjetero Wrangler Floral Grabada Beige</t>
        </is>
      </c>
      <c r="J762" s="156" t="inlineStr">
        <is>
          <t>Accesorios</t>
        </is>
      </c>
      <c r="K762" s="156" t="inlineStr">
        <is>
          <t>Carteras</t>
        </is>
      </c>
      <c r="L762" s="156" t="inlineStr">
        <is>
          <t>Unisex</t>
        </is>
      </c>
      <c r="M762" s="156" t="inlineStr">
        <is>
          <t>Wrangler</t>
        </is>
      </c>
      <c r="N762" s="156" t="n"/>
      <c r="O762" s="156" t="inlineStr">
        <is>
          <t>Core</t>
        </is>
      </c>
      <c r="P762" s="156" t="inlineStr">
        <is>
          <t>Beige</t>
        </is>
      </c>
      <c r="Q762" s="156" t="n"/>
      <c r="R762" s="156" t="n"/>
      <c r="S762" s="156" t="n"/>
      <c r="T762" s="156" t="inlineStr">
        <is>
          <t>Cartera Bifold Tarjetero Wrangler. Modelo: Floral Grabada. Color: Beige. Talla única. Unisex. País de origen: México. Referencia: WG162-W0331BG.</t>
        </is>
      </c>
      <c r="U762" s="156" t="inlineStr">
        <is>
          <t>México</t>
        </is>
      </c>
      <c r="V762" s="156" t="inlineStr">
        <is>
          <t>PZS</t>
        </is>
      </c>
      <c r="W762" s="51" t="inlineStr">
        <is>
          <t>53121700</t>
        </is>
      </c>
      <c r="X762" s="156" t="inlineStr">
        <is>
          <t>https://m-universal-unique-brands.odoo.com/web/image/product.product/11459/image_1920</t>
        </is>
      </c>
      <c r="Y762" s="54" t="n">
        <v>250.13</v>
      </c>
      <c r="Z762" s="54" t="n">
        <v>409</v>
      </c>
      <c r="AA762" s="55">
        <f>IF(AND(A762="", B762="", E762=""), "", IF(AB762="", "Válido", IF((LEN(AB762)-LEN(SUBSTITUTE(AB762,"; ","")))/2+1&gt;(LEN(AB762)-LEN(SUBSTITUTE(AB762,"[Aviso]","")))/7, "Con Incidencias", "Válido")))</f>
        <v/>
      </c>
      <c r="AB762" s="56">
        <f>IF(AND(A762="", B762="", E762=""), "", TEXTJOIN("; ", TRUE, IF(OR(TRIM(A762&amp;"")="", ISNUMBER(SEARCH("FALTA", A762))), "UPC faltante/inválido", ""), IF(AND(A762&lt;&gt;"", IFERROR(_xlfn.XMATCH(A762,$A$2:$A$1063,0,1)&lt;&gt;_xlfn.XMATCH(A762,$A$2:$A$1063,0,-1),FALSE)), "Código de barras duplicado", ""), IF(AND(E762&lt;&gt;"", COUNTIF($E$2:$E$1063, E762)&gt;1), "SKU duplicado", ""), IF(OR(J762="", J762=""), "[Aviso] División no capturada ()", IF(ISNA(MATCH(J762, Criterios!$A$123:$A$126, 0)), "División no válida", "")), IF(OR(K762="", K762=""), "[Aviso] Categoría no capturada ()", IF(ISNA(MATCH(K762, Criterios!$A$81:$A$120, 0)), "Categoría no válida", IF(AND(J762&lt;&gt;"", J762&lt;&gt;"", J762&lt;&gt;VLOOKUP(K762, Criterios!$A$81:$B$120, 2, FALSE)), "División no coincide con Categoría", ""))), IF(OR(L762="", L762=""), "[Aviso] Género no capturado ()", IF(ISNA(MATCH(L762, Criterios!$B$123:$B$127, 0)), "Género no válido", "")), IF(OR(N762="", N762=""), "[Aviso] Temporada no capturada ()", IF(ISNA(MATCH(N762, Criterios!$C$123:$C$128, 0)), "Temporada no válida", "")), IF(OR(O762="", O762=""), "[Aviso] Ciclo de vida no capturado ()", IF(ISNA(MATCH(O762, Criterios!$D$123:$D$124, 0)), "Ciclo de vida no válido", ""))))</f>
        <v/>
      </c>
      <c r="AC762" s="56" t="n"/>
      <c r="AD762" s="51" t="n"/>
      <c r="AE762" s="156" t="n"/>
      <c r="AF762" s="51" t="n"/>
      <c r="AG762" s="156" t="inlineStr">
        <is>
          <t>Nuevo – Carga Hoja2 01/10/2026</t>
        </is>
      </c>
      <c r="AH762" s="156" t="inlineStr">
        <is>
          <t>Alta 01/10/2026 desde Hoja2 (fila 781)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62" s="156" t="n"/>
      <c r="AJ762" s="156" t="n"/>
      <c r="AK762" s="155" t="inlineStr">
        <is>
          <t>Hoja2: fila 781 | Odoo: producto 11459 / plantilla 14894 | Odoo: producto 27268 / plantilla 33968</t>
        </is>
      </c>
      <c r="AL762" s="58" t="n"/>
      <c r="AM762" s="58" t="n"/>
      <c r="AN762" s="155" t="inlineStr">
        <is>
          <t>Odoo Universal Unique Brands</t>
        </is>
      </c>
      <c r="AO762" s="59" t="n"/>
      <c r="AP762" s="59" t="n"/>
      <c r="AQ762" s="59" t="n">
        <v>26</v>
      </c>
      <c r="AR762" s="155" t="inlineStr">
        <is>
          <t>Odoo Universal Unique Brands › Bodega 25 › Bodega 25/General: 20 | Odoo Universal Unique Brands › Bodega 25 › Bodega 25/General: 6</t>
        </is>
      </c>
    </row>
    <row r="763">
      <c r="A763" s="50" t="inlineStr">
        <is>
          <t>717325204913</t>
        </is>
      </c>
      <c r="B763" s="51" t="inlineStr">
        <is>
          <t>11457</t>
        </is>
      </c>
      <c r="C763" s="156" t="inlineStr">
        <is>
          <t>Wrangler</t>
        </is>
      </c>
      <c r="D763" s="156" t="inlineStr">
        <is>
          <t>WG162-W0331CF</t>
        </is>
      </c>
      <c r="E763" s="156" t="inlineStr">
        <is>
          <t>WG162-W0331CF</t>
        </is>
      </c>
      <c r="F763" s="156" t="inlineStr">
        <is>
          <t>Talla única</t>
        </is>
      </c>
      <c r="G763" s="156" t="inlineStr">
        <is>
          <t>One Size</t>
        </is>
      </c>
      <c r="H763" s="156" t="inlineStr">
        <is>
          <t>Wrangler</t>
        </is>
      </c>
      <c r="I763" s="156" t="inlineStr">
        <is>
          <t>Cartera Bifold Tarjetero Wrangler Floral Grabada</t>
        </is>
      </c>
      <c r="J763" s="156" t="inlineStr">
        <is>
          <t>Accesorios</t>
        </is>
      </c>
      <c r="K763" s="156" t="inlineStr">
        <is>
          <t>Carteras</t>
        </is>
      </c>
      <c r="L763" s="156" t="inlineStr">
        <is>
          <t>Unisex</t>
        </is>
      </c>
      <c r="M763" s="156" t="inlineStr">
        <is>
          <t>Wrangler</t>
        </is>
      </c>
      <c r="N763" s="156" t="n"/>
      <c r="O763" s="156" t="n"/>
      <c r="P763" s="156" t="inlineStr">
        <is>
          <t>Cafe</t>
        </is>
      </c>
      <c r="Q763" s="156" t="n"/>
      <c r="R763" s="156" t="n"/>
      <c r="S763" s="156" t="n"/>
      <c r="T763" s="156" t="inlineStr">
        <is>
          <t>Cartera Bifold Tarjetero</t>
        </is>
      </c>
      <c r="U763" s="156" t="inlineStr">
        <is>
          <t>México</t>
        </is>
      </c>
      <c r="V763" s="156" t="inlineStr">
        <is>
          <t>PZS</t>
        </is>
      </c>
      <c r="W763" s="51" t="inlineStr">
        <is>
          <t>53121700</t>
        </is>
      </c>
      <c r="X763" s="156" t="inlineStr">
        <is>
          <t>https://m-universal-unique-brands.odoo.com/web/image/product.product/11457/image_1920</t>
        </is>
      </c>
      <c r="Y763" s="54" t="n">
        <v>250.13</v>
      </c>
      <c r="Z763" s="54" t="n">
        <v>409</v>
      </c>
      <c r="AA763" s="55">
        <f>IF(AND(A763="", B763="", E763=""), "", IF(AB763="", "Válido", IF((LEN(AB763)-LEN(SUBSTITUTE(AB763,"; ","")))/2+1&gt;(LEN(AB763)-LEN(SUBSTITUTE(AB763,"[Aviso]","")))/7, "Con Incidencias", "Válido")))</f>
        <v/>
      </c>
      <c r="AB763" s="56">
        <f>IF(AND(A763="", B763="", E763=""), "", TEXTJOIN("; ", TRUE, IF(OR(TRIM(A763&amp;"")="", ISNUMBER(SEARCH("FALTA", A763))), "UPC faltante/inválido", ""), IF(AND(A763&lt;&gt;"", IFERROR(_xlfn.XMATCH(A763,$A$2:$A$1063,0,1)&lt;&gt;_xlfn.XMATCH(A763,$A$2:$A$1063,0,-1),FALSE)), "Código de barras duplicado", ""), IF(AND(E763&lt;&gt;"", COUNTIF($E$2:$E$1063, E763)&gt;1), "SKU duplicado", ""), IF(OR(J763="", J763=""), "[Aviso] División no capturada ()", IF(ISNA(MATCH(J763, Criterios!$A$123:$A$126, 0)), "División no válida", "")), IF(OR(K763="", K763=""), "[Aviso] Categoría no capturada ()", IF(ISNA(MATCH(K763, Criterios!$A$81:$A$120, 0)), "Categoría no válida", IF(AND(J763&lt;&gt;"", J763&lt;&gt;"", J763&lt;&gt;VLOOKUP(K763, Criterios!$A$81:$B$120, 2, FALSE)), "División no coincide con Categoría", ""))), IF(OR(L763="", L763=""), "[Aviso] Género no capturado ()", IF(ISNA(MATCH(L763, Criterios!$B$123:$B$127, 0)), "Género no válido", "")), IF(OR(N763="", N763=""), "[Aviso] Temporada no capturada ()", IF(ISNA(MATCH(N763, Criterios!$C$123:$C$128, 0)), "Temporada no válida", "")), IF(OR(O763="", O763=""), "[Aviso] Ciclo de vida no capturado ()", IF(ISNA(MATCH(O763, Criterios!$D$123:$D$124, 0)), "Ciclo de vida no válido", ""))))</f>
        <v/>
      </c>
      <c r="AC763" s="56" t="n"/>
      <c r="AD763" s="51" t="n"/>
      <c r="AE763" s="156" t="n"/>
      <c r="AF763" s="51" t="n"/>
      <c r="AG763" s="156" t="inlineStr">
        <is>
          <t>Nuevo – Carga Hoja2 01/10/2026</t>
        </is>
      </c>
      <c r="AH763" s="156" t="inlineStr">
        <is>
          <t>Alta 01/10/2026 desde Hoja2 (fila 782)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763" s="156" t="n"/>
      <c r="AJ763" s="156" t="n"/>
      <c r="AK763" s="155" t="inlineStr">
        <is>
          <t>Hoja2: fila 782 | Odoo: producto 11457 / plantilla 14892</t>
        </is>
      </c>
      <c r="AL763" s="58" t="n"/>
      <c r="AM763" s="58" t="n"/>
      <c r="AN763" s="155" t="inlineStr">
        <is>
          <t>Odoo Universal Unique Brands</t>
        </is>
      </c>
      <c r="AO763" s="59" t="n"/>
      <c r="AP763" s="59" t="n"/>
      <c r="AQ763" s="59" t="n">
        <v>26</v>
      </c>
      <c r="AR763" s="155" t="inlineStr">
        <is>
          <t>Odoo Universal Unique Brands › Bodega 25 › Bodega 25/General: 26</t>
        </is>
      </c>
    </row>
    <row r="764">
      <c r="A764" s="50" t="inlineStr">
        <is>
          <t>717325204838</t>
        </is>
      </c>
      <c r="B764" s="51" t="inlineStr">
        <is>
          <t>11525</t>
        </is>
      </c>
      <c r="C764" s="156" t="inlineStr">
        <is>
          <t>Wrangler</t>
        </is>
      </c>
      <c r="D764" s="156" t="inlineStr">
        <is>
          <t>WG162-W0332BG</t>
        </is>
      </c>
      <c r="E764" s="156" t="inlineStr">
        <is>
          <t>WG162-W0332BG</t>
        </is>
      </c>
      <c r="F764" s="156" t="inlineStr">
        <is>
          <t>Talla única</t>
        </is>
      </c>
      <c r="G764" s="156" t="inlineStr">
        <is>
          <t>One Size</t>
        </is>
      </c>
      <c r="H764" s="156" t="inlineStr">
        <is>
          <t>Wrangler</t>
        </is>
      </c>
      <c r="I764" s="156" t="inlineStr">
        <is>
          <t>Cartera Bifold Tarjetero Wrangler Piel De Vaca Genuina Con Pelo Beige</t>
        </is>
      </c>
      <c r="J764" s="156" t="inlineStr">
        <is>
          <t>Accesorios</t>
        </is>
      </c>
      <c r="K764" s="156" t="inlineStr">
        <is>
          <t>Carteras</t>
        </is>
      </c>
      <c r="L764" s="156" t="inlineStr">
        <is>
          <t>Unisex</t>
        </is>
      </c>
      <c r="M764" s="156" t="inlineStr">
        <is>
          <t>Wrangler</t>
        </is>
      </c>
      <c r="N764" s="156" t="n"/>
      <c r="O764" s="156" t="inlineStr">
        <is>
          <t>Core</t>
        </is>
      </c>
      <c r="P764" s="156" t="inlineStr">
        <is>
          <t>Beige</t>
        </is>
      </c>
      <c r="Q764" s="156" t="n"/>
      <c r="R764" s="156" t="n"/>
      <c r="S764" s="156" t="n"/>
      <c r="T764" s="156" t="inlineStr">
        <is>
          <t>Cartera Bifold Tarjetero Wrangler. Modelo: Piel De Vaca Genuina Con Pelo. Color: Beige. Talla única. Unisex. País de origen: México. Referencia: WG162-W0332BG.</t>
        </is>
      </c>
      <c r="U764" s="156" t="inlineStr">
        <is>
          <t>México</t>
        </is>
      </c>
      <c r="V764" s="156" t="inlineStr">
        <is>
          <t>PZS</t>
        </is>
      </c>
      <c r="W764" s="51" t="inlineStr">
        <is>
          <t>53121700</t>
        </is>
      </c>
      <c r="X764" s="156" t="n"/>
      <c r="Y764" s="54" t="n">
        <v>250.13</v>
      </c>
      <c r="Z764" s="54" t="n">
        <v>409</v>
      </c>
      <c r="AA764" s="55">
        <f>IF(AND(A764="", B764="", E764=""), "", IF(AB764="", "Válido", IF((LEN(AB764)-LEN(SUBSTITUTE(AB764,"; ","")))/2+1&gt;(LEN(AB764)-LEN(SUBSTITUTE(AB764,"[Aviso]","")))/7, "Con Incidencias", "Válido")))</f>
        <v/>
      </c>
      <c r="AB764" s="56">
        <f>IF(AND(A764="", B764="", E764=""), "", TEXTJOIN("; ", TRUE, IF(OR(TRIM(A764&amp;"")="", ISNUMBER(SEARCH("FALTA", A764))), "UPC faltante/inválido", ""), IF(AND(A764&lt;&gt;"", IFERROR(_xlfn.XMATCH(A764,$A$2:$A$1063,0,1)&lt;&gt;_xlfn.XMATCH(A764,$A$2:$A$1063,0,-1),FALSE)), "Código de barras duplicado", ""), IF(AND(E764&lt;&gt;"", COUNTIF($E$2:$E$1063, E764)&gt;1), "SKU duplicado", ""), IF(OR(J764="", J764=""), "[Aviso] División no capturada ()", IF(ISNA(MATCH(J764, Criterios!$A$123:$A$126, 0)), "División no válida", "")), IF(OR(K764="", K764=""), "[Aviso] Categoría no capturada ()", IF(ISNA(MATCH(K764, Criterios!$A$81:$A$120, 0)), "Categoría no válida", IF(AND(J764&lt;&gt;"", J764&lt;&gt;"", J764&lt;&gt;VLOOKUP(K764, Criterios!$A$81:$B$120, 2, FALSE)), "División no coincide con Categoría", ""))), IF(OR(L764="", L764=""), "[Aviso] Género no capturado ()", IF(ISNA(MATCH(L764, Criterios!$B$123:$B$127, 0)), "Género no válido", "")), IF(OR(N764="", N764=""), "[Aviso] Temporada no capturada ()", IF(ISNA(MATCH(N764, Criterios!$C$123:$C$128, 0)), "Temporada no válida", "")), IF(OR(O764="", O764=""), "[Aviso] Ciclo de vida no capturado ()", IF(ISNA(MATCH(O764, Criterios!$D$123:$D$124, 0)), "Ciclo de vida no válido", ""))))</f>
        <v/>
      </c>
      <c r="AC764" s="56" t="n"/>
      <c r="AD764" s="51" t="n"/>
      <c r="AE764" s="156" t="n"/>
      <c r="AF764" s="51" t="n"/>
      <c r="AG764" s="156" t="inlineStr">
        <is>
          <t>Nuevo – Carga Hoja2 01/10/2026</t>
        </is>
      </c>
      <c r="AH764" s="156" t="inlineStr">
        <is>
          <t>Alta 01/10/2026 desde Hoja2 (fila 783) | 01/10/2026: Odoo Universal Unique Brands trae Marca «Montana West» — se conservó el valor de Productos | Homologación G1522 06/10/2026: Validador Shopify: WB: precio con IVA no termina en 9</t>
        </is>
      </c>
      <c r="AI764" s="156" t="n"/>
      <c r="AJ764" s="156" t="n"/>
      <c r="AK764" s="155" t="inlineStr">
        <is>
          <t>Hoja2: fila 783 | Odoo: producto 11525 / plantilla 14960 | Odoo: producto 27270 / plantilla 33970</t>
        </is>
      </c>
      <c r="AL764" s="58" t="n"/>
      <c r="AM764" s="58" t="n"/>
      <c r="AN764" s="155" t="inlineStr">
        <is>
          <t>Odoo Universal Unique Brands</t>
        </is>
      </c>
      <c r="AO764" s="59" t="n"/>
      <c r="AP764" s="59" t="n"/>
      <c r="AQ764" s="59" t="n">
        <v>15</v>
      </c>
      <c r="AR764" s="155" t="inlineStr">
        <is>
          <t>Odoo Universal Unique Brands › Bodega 25 › Bodega 25/General: 17</t>
        </is>
      </c>
    </row>
    <row r="765">
      <c r="A765" s="50" t="inlineStr">
        <is>
          <t>717019713264</t>
        </is>
      </c>
      <c r="B765" s="51" t="inlineStr">
        <is>
          <t>11241</t>
        </is>
      </c>
      <c r="C765" s="156" t="inlineStr">
        <is>
          <t>Wrangler</t>
        </is>
      </c>
      <c r="D765" s="156" t="inlineStr">
        <is>
          <t>WG164-1830BK</t>
        </is>
      </c>
      <c r="E765" s="156" t="inlineStr">
        <is>
          <t>WG164-1830BK</t>
        </is>
      </c>
      <c r="F765" s="156" t="inlineStr">
        <is>
          <t>Talla única</t>
        </is>
      </c>
      <c r="G765" s="156" t="inlineStr">
        <is>
          <t>One Size</t>
        </is>
      </c>
      <c r="H765" s="156" t="inlineStr">
        <is>
          <t>Wrangler</t>
        </is>
      </c>
      <c r="I765" s="156" t="inlineStr">
        <is>
          <t>Bolsa Tote Cruzada Wrangler Patchwork De Mezclilla Negro</t>
        </is>
      </c>
      <c r="J765" s="156" t="inlineStr">
        <is>
          <t>Accesorios</t>
        </is>
      </c>
      <c r="K765" s="156" t="inlineStr">
        <is>
          <t>Bolsos</t>
        </is>
      </c>
      <c r="L765" s="156" t="inlineStr">
        <is>
          <t>Unisex</t>
        </is>
      </c>
      <c r="M765" s="156" t="inlineStr">
        <is>
          <t>Wrangler</t>
        </is>
      </c>
      <c r="N765" s="156" t="n"/>
      <c r="O765" s="156" t="inlineStr">
        <is>
          <t>Core</t>
        </is>
      </c>
      <c r="P765" s="156" t="inlineStr">
        <is>
          <t>Negro</t>
        </is>
      </c>
      <c r="Q765" s="156" t="n"/>
      <c r="R765" s="156" t="n"/>
      <c r="S765" s="156" t="n"/>
      <c r="T765" s="156" t="inlineStr">
        <is>
          <t>Bolsa Tote Cruzada Wrangler. Modelo: Patchwork De Mezclilla. Color: Negro. Talla única. Unisex. País de origen: México. Referencia: WG164-1830BK.</t>
        </is>
      </c>
      <c r="U765" s="156" t="inlineStr">
        <is>
          <t>México</t>
        </is>
      </c>
      <c r="V765" s="156" t="inlineStr">
        <is>
          <t>PZS</t>
        </is>
      </c>
      <c r="W765" s="51" t="inlineStr">
        <is>
          <t>53121601</t>
        </is>
      </c>
      <c r="X765" s="156" t="inlineStr">
        <is>
          <t>https://m-universal-unique-brands.odoo.com/web/image/product.product/11241/image_1920</t>
        </is>
      </c>
      <c r="Y765" s="54" t="n">
        <v>448.5</v>
      </c>
      <c r="Z765" s="54" t="n">
        <v>719</v>
      </c>
      <c r="AA765" s="55">
        <f>IF(AND(A765="", B765="", E765=""), "", IF(AB765="", "Válido", IF((LEN(AB765)-LEN(SUBSTITUTE(AB765,"; ","")))/2+1&gt;(LEN(AB765)-LEN(SUBSTITUTE(AB765,"[Aviso]","")))/7, "Con Incidencias", "Válido")))</f>
        <v/>
      </c>
      <c r="AB765" s="56">
        <f>IF(AND(A765="", B765="", E765=""), "", TEXTJOIN("; ", TRUE, IF(OR(TRIM(A765&amp;"")="", ISNUMBER(SEARCH("FALTA", A765))), "UPC faltante/inválido", ""), IF(AND(A765&lt;&gt;"", IFERROR(_xlfn.XMATCH(A765,$A$2:$A$1063,0,1)&lt;&gt;_xlfn.XMATCH(A765,$A$2:$A$1063,0,-1),FALSE)), "Código de barras duplicado", ""), IF(AND(E765&lt;&gt;"", COUNTIF($E$2:$E$1063, E765)&gt;1), "SKU duplicado", ""), IF(OR(J765="", J765=""), "[Aviso] División no capturada ()", IF(ISNA(MATCH(J765, Criterios!$A$123:$A$126, 0)), "División no válida", "")), IF(OR(K765="", K765=""), "[Aviso] Categoría no capturada ()", IF(ISNA(MATCH(K765, Criterios!$A$81:$A$120, 0)), "Categoría no válida", IF(AND(J765&lt;&gt;"", J765&lt;&gt;"", J765&lt;&gt;VLOOKUP(K765, Criterios!$A$81:$B$120, 2, FALSE)), "División no coincide con Categoría", ""))), IF(OR(L765="", L765=""), "[Aviso] Género no capturado ()", IF(ISNA(MATCH(L765, Criterios!$B$123:$B$127, 0)), "Género no válido", "")), IF(OR(N765="", N765=""), "[Aviso] Temporada no capturada ()", IF(ISNA(MATCH(N765, Criterios!$C$123:$C$128, 0)), "Temporada no válida", "")), IF(OR(O765="", O765=""), "[Aviso] Ciclo de vida no capturado ()", IF(ISNA(MATCH(O765, Criterios!$D$123:$D$124, 0)), "Ciclo de vida no válido", ""))))</f>
        <v/>
      </c>
      <c r="AC765" s="56" t="n"/>
      <c r="AD765" s="51" t="n"/>
      <c r="AE765" s="156" t="n"/>
      <c r="AF765" s="51" t="n"/>
      <c r="AG765" s="156" t="inlineStr">
        <is>
          <t>Nuevo – Carga Hoja2 01/10/2026</t>
        </is>
      </c>
      <c r="AH765" s="156" t="inlineStr">
        <is>
          <t>Alta 01/10/2026 desde Hoja2 (fila 784) | 01/10/2026: complementado desde Odoo Universal Unique Brands (match por código de barras): Enlace de imagen | Homologación G1522 06/10/2026: Validador Shopify: WB: precio con IVA no termina en 9</t>
        </is>
      </c>
      <c r="AI765" s="156" t="n"/>
      <c r="AJ765" s="156" t="n"/>
      <c r="AK765" s="155" t="inlineStr">
        <is>
          <t>Hoja2: fila 784 | Odoo: producto 11241 / plantilla 14676</t>
        </is>
      </c>
      <c r="AL765" s="58" t="n"/>
      <c r="AM765" s="58" t="n"/>
      <c r="AN765" s="155" t="inlineStr">
        <is>
          <t>Odoo Universal Unique Brands</t>
        </is>
      </c>
      <c r="AO765" s="59" t="n"/>
      <c r="AP765" s="59" t="n"/>
      <c r="AQ765" s="59" t="n">
        <v>9</v>
      </c>
      <c r="AR765" s="155" t="inlineStr">
        <is>
          <t>Odoo Universal Unique Brands › Bodega 25 › Bodega 25/General: 9</t>
        </is>
      </c>
    </row>
    <row r="766">
      <c r="A766" s="50" t="inlineStr">
        <is>
          <t>717019713387</t>
        </is>
      </c>
      <c r="B766" s="51" t="inlineStr">
        <is>
          <t>11465</t>
        </is>
      </c>
      <c r="C766" s="156" t="inlineStr">
        <is>
          <t>Wrangler</t>
        </is>
      </c>
      <c r="D766" s="156" t="inlineStr">
        <is>
          <t>WG164-1831BR</t>
        </is>
      </c>
      <c r="E766" s="156" t="inlineStr">
        <is>
          <t>WG164-1831BR</t>
        </is>
      </c>
      <c r="F766" s="156" t="inlineStr">
        <is>
          <t>Talla única</t>
        </is>
      </c>
      <c r="G766" s="156" t="inlineStr">
        <is>
          <t>One Size</t>
        </is>
      </c>
      <c r="H766" s="156" t="inlineStr">
        <is>
          <t>Wrangler</t>
        </is>
      </c>
      <c r="I766" s="156" t="inlineStr">
        <is>
          <t>Bolsa Cruzada Wrangler Patchwork De Mezclilla Vertical Mini Café</t>
        </is>
      </c>
      <c r="J766" s="156" t="inlineStr">
        <is>
          <t>Accesorios</t>
        </is>
      </c>
      <c r="K766" s="156" t="inlineStr">
        <is>
          <t>Bolsos</t>
        </is>
      </c>
      <c r="L766" s="156" t="inlineStr">
        <is>
          <t>Unisex</t>
        </is>
      </c>
      <c r="M766" s="156" t="inlineStr">
        <is>
          <t>Wrangler</t>
        </is>
      </c>
      <c r="N766" s="156" t="n"/>
      <c r="O766" s="156" t="inlineStr">
        <is>
          <t>Core</t>
        </is>
      </c>
      <c r="P766" s="156" t="inlineStr">
        <is>
          <t>Cafe</t>
        </is>
      </c>
      <c r="Q766" s="156" t="n"/>
      <c r="R766" s="156" t="n"/>
      <c r="S766" s="156" t="n"/>
      <c r="T766" s="156" t="inlineStr">
        <is>
          <t>Bolsa Cruzada Wrangler. Modelo: Patchwork De Mezclilla Vertical Mini. Color: Café. Talla única. Unisex. País de origen: México. Referencia: WG164-1831BR.</t>
        </is>
      </c>
      <c r="U766" s="156" t="inlineStr">
        <is>
          <t>México</t>
        </is>
      </c>
      <c r="V766" s="156" t="inlineStr">
        <is>
          <t>PZS</t>
        </is>
      </c>
      <c r="W766" s="51" t="inlineStr">
        <is>
          <t>53121601</t>
        </is>
      </c>
      <c r="X766" s="156" t="inlineStr">
        <is>
          <t>https://m-universal-unique-brands.odoo.com/web/image/product.product/11465/image_1920</t>
        </is>
      </c>
      <c r="Y766" s="54" t="n">
        <v>241.5</v>
      </c>
      <c r="Z766" s="54" t="n">
        <v>389</v>
      </c>
      <c r="AA766" s="55">
        <f>IF(AND(A766="", B766="", E766=""), "", IF(AB766="", "Válido", IF((LEN(AB766)-LEN(SUBSTITUTE(AB766,"; ","")))/2+1&gt;(LEN(AB766)-LEN(SUBSTITUTE(AB766,"[Aviso]","")))/7, "Con Incidencias", "Válido")))</f>
        <v/>
      </c>
      <c r="AB766" s="56">
        <f>IF(AND(A766="", B766="", E766=""), "", TEXTJOIN("; ", TRUE, IF(OR(TRIM(A766&amp;"")="", ISNUMBER(SEARCH("FALTA", A766))), "UPC faltante/inválido", ""), IF(AND(A766&lt;&gt;"", IFERROR(_xlfn.XMATCH(A766,$A$2:$A$1063,0,1)&lt;&gt;_xlfn.XMATCH(A766,$A$2:$A$1063,0,-1),FALSE)), "Código de barras duplicado", ""), IF(AND(E766&lt;&gt;"", COUNTIF($E$2:$E$1063, E766)&gt;1), "SKU duplicado", ""), IF(OR(J766="", J766=""), "[Aviso] División no capturada ()", IF(ISNA(MATCH(J766, Criterios!$A$123:$A$126, 0)), "División no válida", "")), IF(OR(K766="", K766=""), "[Aviso] Categoría no capturada ()", IF(ISNA(MATCH(K766, Criterios!$A$81:$A$120, 0)), "Categoría no válida", IF(AND(J766&lt;&gt;"", J766&lt;&gt;"", J766&lt;&gt;VLOOKUP(K766, Criterios!$A$81:$B$120, 2, FALSE)), "División no coincide con Categoría", ""))), IF(OR(L766="", L766=""), "[Aviso] Género no capturado ()", IF(ISNA(MATCH(L766, Criterios!$B$123:$B$127, 0)), "Género no válido", "")), IF(OR(N766="", N766=""), "[Aviso] Temporada no capturada ()", IF(ISNA(MATCH(N766, Criterios!$C$123:$C$128, 0)), "Temporada no válida", "")), IF(OR(O766="", O766=""), "[Aviso] Ciclo de vida no capturado ()", IF(ISNA(MATCH(O766, Criterios!$D$123:$D$124, 0)), "Ciclo de vida no válido", ""))))</f>
        <v/>
      </c>
      <c r="AC766" s="56" t="n"/>
      <c r="AD766" s="51" t="n"/>
      <c r="AE766" s="156" t="n"/>
      <c r="AF766" s="51" t="n"/>
      <c r="AG766" s="156" t="inlineStr">
        <is>
          <t>Nuevo – Carga Hoja2 01/10/2026</t>
        </is>
      </c>
      <c r="AH766" s="156" t="inlineStr">
        <is>
          <t>Alta 01/10/2026 desde Hoja2 (fila 785) | 01/10/2026: complementado desde Odoo Universal Unique Brands (match por código de barras): Enlace de imagen | Homologación G1522 06/10/2026: Validador Shopify: WB: precio con IVA no termina en 9</t>
        </is>
      </c>
      <c r="AI766" s="156" t="n"/>
      <c r="AJ766" s="156" t="n"/>
      <c r="AK766" s="155" t="inlineStr">
        <is>
          <t>Hoja2: fila 785 | Odoo: producto 11465 / plantilla 14900</t>
        </is>
      </c>
      <c r="AL766" s="58" t="n"/>
      <c r="AM766" s="58" t="n"/>
      <c r="AN766" s="155" t="inlineStr">
        <is>
          <t>Odoo Universal Unique Brands</t>
        </is>
      </c>
      <c r="AO766" s="59" t="n"/>
      <c r="AP766" s="59" t="n"/>
      <c r="AQ766" s="59" t="n">
        <v>49</v>
      </c>
      <c r="AR766" s="155" t="inlineStr">
        <is>
          <t>Odoo Universal Unique Brands › Bodega 25 › Bodega 25/General: 49</t>
        </is>
      </c>
    </row>
    <row r="767">
      <c r="A767" s="50" t="inlineStr">
        <is>
          <t>717019713448</t>
        </is>
      </c>
      <c r="B767" s="51" t="inlineStr">
        <is>
          <t>11230</t>
        </is>
      </c>
      <c r="C767" s="156" t="inlineStr">
        <is>
          <t>Wrangler</t>
        </is>
      </c>
      <c r="D767" s="156" t="inlineStr">
        <is>
          <t>WG164-210BK</t>
        </is>
      </c>
      <c r="E767" s="156" t="inlineStr">
        <is>
          <t>WG164-210BK</t>
        </is>
      </c>
      <c r="F767" s="156" t="inlineStr">
        <is>
          <t>Talla única</t>
        </is>
      </c>
      <c r="G767" s="156" t="inlineStr">
        <is>
          <t>One Size</t>
        </is>
      </c>
      <c r="H767" s="156" t="inlineStr">
        <is>
          <t>Wrangler</t>
        </is>
      </c>
      <c r="I767" s="156" t="inlineStr">
        <is>
          <t>Mochila Mini Wrangler Patchwork De Mezclilla Con Monedero Desmontable Negro</t>
        </is>
      </c>
      <c r="J767" s="156" t="inlineStr">
        <is>
          <t>Accesorios</t>
        </is>
      </c>
      <c r="K767" s="156" t="inlineStr">
        <is>
          <t>Mochilas</t>
        </is>
      </c>
      <c r="L767" s="156" t="inlineStr">
        <is>
          <t>Unisex</t>
        </is>
      </c>
      <c r="M767" s="156" t="inlineStr">
        <is>
          <t>Wrangler</t>
        </is>
      </c>
      <c r="N767" s="156" t="n"/>
      <c r="O767" s="156" t="inlineStr">
        <is>
          <t>Core</t>
        </is>
      </c>
      <c r="P767" s="156" t="inlineStr">
        <is>
          <t>Negro</t>
        </is>
      </c>
      <c r="Q767" s="156" t="n"/>
      <c r="R767" s="156" t="n"/>
      <c r="S767" s="156" t="n"/>
      <c r="T767" s="156" t="inlineStr">
        <is>
          <t>Mochila Mini Wrangler. Modelo: Patchwork De Mezclilla Con Monedero Desmontable. Color: Negro. Talla única. Unisex. País de origen: México. Referencia: WG164-210BK.</t>
        </is>
      </c>
      <c r="U767" s="156" t="inlineStr">
        <is>
          <t>México</t>
        </is>
      </c>
      <c r="V767" s="156" t="inlineStr">
        <is>
          <t>PZS</t>
        </is>
      </c>
      <c r="W767" s="51" t="inlineStr">
        <is>
          <t>53121601</t>
        </is>
      </c>
      <c r="X767" s="156" t="inlineStr">
        <is>
          <t>https://m-universal-unique-brands.odoo.com/web/image/product.product/11230/image_1920</t>
        </is>
      </c>
      <c r="Y767" s="54" t="n">
        <v>276</v>
      </c>
      <c r="Z767" s="54" t="n">
        <v>449</v>
      </c>
      <c r="AA767" s="55">
        <f>IF(AND(A767="", B767="", E767=""), "", IF(AB767="", "Válido", IF((LEN(AB767)-LEN(SUBSTITUTE(AB767,"; ","")))/2+1&gt;(LEN(AB767)-LEN(SUBSTITUTE(AB767,"[Aviso]","")))/7, "Con Incidencias", "Válido")))</f>
        <v/>
      </c>
      <c r="AB767" s="56">
        <f>IF(AND(A767="", B767="", E767=""), "", TEXTJOIN("; ", TRUE, IF(OR(TRIM(A767&amp;"")="", ISNUMBER(SEARCH("FALTA", A767))), "UPC faltante/inválido", ""), IF(AND(A767&lt;&gt;"", IFERROR(_xlfn.XMATCH(A767,$A$2:$A$1063,0,1)&lt;&gt;_xlfn.XMATCH(A767,$A$2:$A$1063,0,-1),FALSE)), "Código de barras duplicado", ""), IF(AND(E767&lt;&gt;"", COUNTIF($E$2:$E$1063, E767)&gt;1), "SKU duplicado", ""), IF(OR(J767="", J767=""), "[Aviso] División no capturada ()", IF(ISNA(MATCH(J767, Criterios!$A$123:$A$126, 0)), "División no válida", "")), IF(OR(K767="", K767=""), "[Aviso] Categoría no capturada ()", IF(ISNA(MATCH(K767, Criterios!$A$81:$A$120, 0)), "Categoría no válida", IF(AND(J767&lt;&gt;"", J767&lt;&gt;"", J767&lt;&gt;VLOOKUP(K767, Criterios!$A$81:$B$120, 2, FALSE)), "División no coincide con Categoría", ""))), IF(OR(L767="", L767=""), "[Aviso] Género no capturado ()", IF(ISNA(MATCH(L767, Criterios!$B$123:$B$127, 0)), "Género no válido", "")), IF(OR(N767="", N767=""), "[Aviso] Temporada no capturada ()", IF(ISNA(MATCH(N767, Criterios!$C$123:$C$128, 0)), "Temporada no válida", "")), IF(OR(O767="", O767=""), "[Aviso] Ciclo de vida no capturado ()", IF(ISNA(MATCH(O767, Criterios!$D$123:$D$124, 0)), "Ciclo de vida no válido", ""))))</f>
        <v/>
      </c>
      <c r="AC767" s="56" t="n"/>
      <c r="AD767" s="51" t="n"/>
      <c r="AE767" s="156" t="n"/>
      <c r="AF767" s="51" t="n"/>
      <c r="AG767" s="156" t="inlineStr">
        <is>
          <t>Nuevo – Carga Hoja2 01/10/2026</t>
        </is>
      </c>
      <c r="AH767" s="156" t="inlineStr">
        <is>
          <t>Alta 01/10/2026 desde Hoja2 (fila 786) | 01/10/2026: complementado desde Odoo Universal Unique Brands (match por código de barras): Enlace de imagen | Homologación G1522 06/10/2026: Validador Shopify: WB: precio con IVA no termina en 9</t>
        </is>
      </c>
      <c r="AI767" s="156" t="n"/>
      <c r="AJ767" s="156" t="n"/>
      <c r="AK767" s="155" t="inlineStr">
        <is>
          <t>Hoja2: fila 786 | Odoo: producto 11230 / plantilla 14665</t>
        </is>
      </c>
      <c r="AL767" s="58" t="n"/>
      <c r="AM767" s="58" t="n"/>
      <c r="AN767" s="155" t="inlineStr">
        <is>
          <t>Odoo Universal Unique Brands</t>
        </is>
      </c>
      <c r="AO767" s="59" t="n"/>
      <c r="AP767" s="59" t="n"/>
      <c r="AQ767" s="59" t="n">
        <v>11</v>
      </c>
      <c r="AR767" s="155" t="inlineStr">
        <is>
          <t>Odoo Universal Unique Brands › Bodega 25 › Bodega 25/General: 11</t>
        </is>
      </c>
    </row>
    <row r="768">
      <c r="A768" s="50" t="inlineStr">
        <is>
          <t>717019713417</t>
        </is>
      </c>
      <c r="B768" s="51" t="inlineStr">
        <is>
          <t>11486</t>
        </is>
      </c>
      <c r="C768" s="156" t="inlineStr">
        <is>
          <t>Wrangler</t>
        </is>
      </c>
      <c r="D768" s="156" t="inlineStr">
        <is>
          <t>WG164-210JN</t>
        </is>
      </c>
      <c r="E768" s="156" t="inlineStr">
        <is>
          <t>WG164-210JN</t>
        </is>
      </c>
      <c r="F768" s="156" t="inlineStr">
        <is>
          <t>Talla única</t>
        </is>
      </c>
      <c r="G768" s="156" t="inlineStr">
        <is>
          <t>One Size</t>
        </is>
      </c>
      <c r="H768" s="156" t="inlineStr">
        <is>
          <t>Wrangler</t>
        </is>
      </c>
      <c r="I768" s="156" t="inlineStr">
        <is>
          <t>Mochila Mini Wrangler Patchwork De Mezclilla Con Monedero Desmontable Mezclilla</t>
        </is>
      </c>
      <c r="J768" s="156" t="inlineStr">
        <is>
          <t>Accesorios</t>
        </is>
      </c>
      <c r="K768" s="156" t="inlineStr">
        <is>
          <t>Mochilas</t>
        </is>
      </c>
      <c r="L768" s="156" t="inlineStr">
        <is>
          <t>Unisex</t>
        </is>
      </c>
      <c r="M768" s="156" t="inlineStr">
        <is>
          <t>Wrangler</t>
        </is>
      </c>
      <c r="N768" s="156" t="n"/>
      <c r="O768" s="156" t="inlineStr">
        <is>
          <t>Core</t>
        </is>
      </c>
      <c r="P768" s="156" t="inlineStr">
        <is>
          <t>Varios</t>
        </is>
      </c>
      <c r="Q768" s="156" t="n"/>
      <c r="R768" s="156" t="n"/>
      <c r="S768" s="156" t="n"/>
      <c r="T768" s="156" t="inlineStr">
        <is>
          <t>Mochila Mini Wrangler. Modelo: Patchwork De Mezclilla Con Monedero Desmontable. Color: Mezclilla. Talla única. Unisex. País de origen: México. Referencia: WG164-210JN.</t>
        </is>
      </c>
      <c r="U768" s="156" t="inlineStr">
        <is>
          <t>México</t>
        </is>
      </c>
      <c r="V768" s="156" t="inlineStr">
        <is>
          <t>PZS</t>
        </is>
      </c>
      <c r="W768" s="51" t="inlineStr">
        <is>
          <t>53121601</t>
        </is>
      </c>
      <c r="X768" s="156" t="inlineStr">
        <is>
          <t>https://m-universal-unique-brands.odoo.com/web/image/product.product/11486/image_1920</t>
        </is>
      </c>
      <c r="Y768" s="54" t="n">
        <v>276</v>
      </c>
      <c r="Z768" s="54" t="n">
        <v>449</v>
      </c>
      <c r="AA768" s="55">
        <f>IF(AND(A768="", B768="", E768=""), "", IF(AB768="", "Válido", IF((LEN(AB768)-LEN(SUBSTITUTE(AB768,"; ","")))/2+1&gt;(LEN(AB768)-LEN(SUBSTITUTE(AB768,"[Aviso]","")))/7, "Con Incidencias", "Válido")))</f>
        <v/>
      </c>
      <c r="AB768" s="56">
        <f>IF(AND(A768="", B768="", E768=""), "", TEXTJOIN("; ", TRUE, IF(OR(TRIM(A768&amp;"")="", ISNUMBER(SEARCH("FALTA", A768))), "UPC faltante/inválido", ""), IF(AND(A768&lt;&gt;"", IFERROR(_xlfn.XMATCH(A768,$A$2:$A$1063,0,1)&lt;&gt;_xlfn.XMATCH(A768,$A$2:$A$1063,0,-1),FALSE)), "Código de barras duplicado", ""), IF(AND(E768&lt;&gt;"", COUNTIF($E$2:$E$1063, E768)&gt;1), "SKU duplicado", ""), IF(OR(J768="", J768=""), "[Aviso] División no capturada ()", IF(ISNA(MATCH(J768, Criterios!$A$123:$A$126, 0)), "División no válida", "")), IF(OR(K768="", K768=""), "[Aviso] Categoría no capturada ()", IF(ISNA(MATCH(K768, Criterios!$A$81:$A$120, 0)), "Categoría no válida", IF(AND(J768&lt;&gt;"", J768&lt;&gt;"", J768&lt;&gt;VLOOKUP(K768, Criterios!$A$81:$B$120, 2, FALSE)), "División no coincide con Categoría", ""))), IF(OR(L768="", L768=""), "[Aviso] Género no capturado ()", IF(ISNA(MATCH(L768, Criterios!$B$123:$B$127, 0)), "Género no válido", "")), IF(OR(N768="", N768=""), "[Aviso] Temporada no capturada ()", IF(ISNA(MATCH(N768, Criterios!$C$123:$C$128, 0)), "Temporada no válida", "")), IF(OR(O768="", O768=""), "[Aviso] Ciclo de vida no capturado ()", IF(ISNA(MATCH(O768, Criterios!$D$123:$D$124, 0)), "Ciclo de vida no válido", ""))))</f>
        <v/>
      </c>
      <c r="AC768" s="56" t="n"/>
      <c r="AD768" s="51" t="n"/>
      <c r="AE768" s="156" t="n"/>
      <c r="AF768" s="51" t="n"/>
      <c r="AG768" s="156" t="inlineStr">
        <is>
          <t>Nuevo – Carga Hoja2 01/10/2026</t>
        </is>
      </c>
      <c r="AH768" s="156" t="inlineStr">
        <is>
          <t>Alta 01/10/2026 desde Hoja2 (fila 787) | 01/10/2026: complementado desde Odoo Universal Unique Brands (match por código de barras): Enlace de imagen | Homologación G1522 06/10/2026: Validador Shopify: WB: precio con IVA no termina en 9</t>
        </is>
      </c>
      <c r="AI768" s="156" t="n"/>
      <c r="AJ768" s="156" t="n"/>
      <c r="AK768" s="155" t="inlineStr">
        <is>
          <t>Hoja2: fila 787 | Odoo: producto 11486 / plantilla 14921</t>
        </is>
      </c>
      <c r="AL768" s="58" t="n"/>
      <c r="AM768" s="58" t="n"/>
      <c r="AN768" s="155" t="inlineStr">
        <is>
          <t>Odoo Universal Unique Brands</t>
        </is>
      </c>
      <c r="AO768" s="59" t="n"/>
      <c r="AP768" s="59" t="n"/>
      <c r="AQ768" s="59" t="n">
        <v>14</v>
      </c>
      <c r="AR768" s="155" t="inlineStr">
        <is>
          <t>Odoo Universal Unique Brands › Bodega 25 › Bodega 25/General: 14</t>
        </is>
      </c>
    </row>
    <row r="769">
      <c r="A769" s="50" t="n"/>
      <c r="B769" s="51" t="inlineStr">
        <is>
          <t>11242</t>
        </is>
      </c>
      <c r="C769" s="156" t="inlineStr">
        <is>
          <t>Wrangler</t>
        </is>
      </c>
      <c r="D769" s="156" t="inlineStr">
        <is>
          <t>WG164-W006JN</t>
        </is>
      </c>
      <c r="E769" s="156" t="inlineStr">
        <is>
          <t>WG164-W006JN</t>
        </is>
      </c>
      <c r="F769" s="156" t="inlineStr">
        <is>
          <t>Talla única</t>
        </is>
      </c>
      <c r="G769" s="156" t="inlineStr">
        <is>
          <t>One Size</t>
        </is>
      </c>
      <c r="H769" s="156" t="inlineStr">
        <is>
          <t>Wrangler</t>
        </is>
      </c>
      <c r="I769" s="156" t="inlineStr">
        <is>
          <t>Cartera Wrangler Patchwork De Mezclilla</t>
        </is>
      </c>
      <c r="J769" s="156" t="inlineStr">
        <is>
          <t>Accesorios</t>
        </is>
      </c>
      <c r="K769" s="156" t="inlineStr">
        <is>
          <t>Carteras</t>
        </is>
      </c>
      <c r="L769" s="156" t="inlineStr">
        <is>
          <t>Unisex</t>
        </is>
      </c>
      <c r="M769" s="156" t="inlineStr">
        <is>
          <t>Wrangler</t>
        </is>
      </c>
      <c r="N769" s="156" t="n"/>
      <c r="O769" s="156" t="n"/>
      <c r="P769" s="156" t="inlineStr">
        <is>
          <t>Varios</t>
        </is>
      </c>
      <c r="Q769" s="156" t="n"/>
      <c r="R769" s="156" t="n"/>
      <c r="S769" s="156" t="n"/>
      <c r="T769" s="156" t="n"/>
      <c r="U769" s="156" t="inlineStr">
        <is>
          <t>México</t>
        </is>
      </c>
      <c r="V769" s="156" t="inlineStr">
        <is>
          <t>PZS</t>
        </is>
      </c>
      <c r="W769" s="51" t="inlineStr">
        <is>
          <t>53121700</t>
        </is>
      </c>
      <c r="X769" s="156" t="n"/>
      <c r="Y769" s="54" t="n">
        <v>276</v>
      </c>
      <c r="Z769" s="54" t="n">
        <v>16</v>
      </c>
      <c r="AA769" s="55">
        <f>IF(AND(A769="", B769="", E769=""), "", IF(AB769="", "Válido", IF((LEN(AB769)-LEN(SUBSTITUTE(AB769,"; ","")))/2+1&gt;(LEN(AB769)-LEN(SUBSTITUTE(AB769,"[Aviso]","")))/7, "Con Incidencias", "Válido")))</f>
        <v/>
      </c>
      <c r="AB769" s="56">
        <f>IF(AND(A769="", B769="", E769=""), "", TEXTJOIN("; ", TRUE, IF(OR(TRIM(A769&amp;"")="", ISNUMBER(SEARCH("FALTA", A769))), "UPC faltante/inválido", ""), IF(AND(A769&lt;&gt;"", IFERROR(_xlfn.XMATCH(A769,$A$2:$A$1063,0,1)&lt;&gt;_xlfn.XMATCH(A769,$A$2:$A$1063,0,-1),FALSE)), "Código de barras duplicado", ""), IF(AND(E769&lt;&gt;"", COUNTIF($E$2:$E$1063, E769)&gt;1), "SKU duplicado", ""), IF(OR(J769="", J769=""), "[Aviso] División no capturada ()", IF(ISNA(MATCH(J769, Criterios!$A$123:$A$126, 0)), "División no válida", "")), IF(OR(K769="", K769=""), "[Aviso] Categoría no capturada ()", IF(ISNA(MATCH(K769, Criterios!$A$81:$A$120, 0)), "Categoría no válida", IF(AND(J769&lt;&gt;"", J769&lt;&gt;"", J769&lt;&gt;VLOOKUP(K769, Criterios!$A$81:$B$120, 2, FALSE)), "División no coincide con Categoría", ""))), IF(OR(L769="", L769=""), "[Aviso] Género no capturado ()", IF(ISNA(MATCH(L769, Criterios!$B$123:$B$127, 0)), "Género no válido", "")), IF(OR(N769="", N769=""), "[Aviso] Temporada no capturada ()", IF(ISNA(MATCH(N769, Criterios!$C$123:$C$128, 0)), "Temporada no válida", "")), IF(OR(O769="", O769=""), "[Aviso] Ciclo de vida no capturado ()", IF(ISNA(MATCH(O769, Criterios!$D$123:$D$124, 0)), "Ciclo de vida no válido", ""))))</f>
        <v/>
      </c>
      <c r="AC769" s="56" t="n"/>
      <c r="AD769" s="51" t="n"/>
      <c r="AE769" s="156" t="n"/>
      <c r="AF769" s="51" t="n"/>
      <c r="AG769" s="156" t="inlineStr">
        <is>
          <t>Nuevo – Carga Hoja2 01/10/2026</t>
        </is>
      </c>
      <c r="AH769" s="156" t="inlineStr">
        <is>
          <t>Alta 01/10/2026 desde Hoja2 (fila 788) | Homologación G1522 06/10/2026: WB País de origen: «Mexico» → «México» (Corrección aplicada)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769" s="156" t="n"/>
      <c r="AJ769" s="156" t="n"/>
      <c r="AK769" s="155" t="inlineStr">
        <is>
          <t>Hoja2: fila 788</t>
        </is>
      </c>
      <c r="AL769" s="58" t="n"/>
      <c r="AM769" s="58" t="n"/>
      <c r="AN769" s="155" t="n"/>
      <c r="AO769" s="59" t="n"/>
      <c r="AP769" s="59" t="n"/>
      <c r="AQ769" s="59" t="n"/>
      <c r="AR769" s="155" t="n"/>
    </row>
    <row r="770">
      <c r="A770" s="50" t="inlineStr">
        <is>
          <t>717019702466</t>
        </is>
      </c>
      <c r="B770" s="51" t="inlineStr">
        <is>
          <t>11243</t>
        </is>
      </c>
      <c r="C770" s="156" t="inlineStr">
        <is>
          <t>Wrangler</t>
        </is>
      </c>
      <c r="D770" s="156" t="inlineStr">
        <is>
          <t>WG166-8120SBK</t>
        </is>
      </c>
      <c r="E770" s="156" t="inlineStr">
        <is>
          <t>WG166-8120SBK</t>
        </is>
      </c>
      <c r="F770" s="156" t="inlineStr">
        <is>
          <t>Talla única</t>
        </is>
      </c>
      <c r="G770" s="156" t="inlineStr">
        <is>
          <t>One Size</t>
        </is>
      </c>
      <c r="H770" s="156" t="inlineStr">
        <is>
          <t>Wrangler</t>
        </is>
      </c>
      <c r="I770" s="156" t="inlineStr">
        <is>
          <t>Bolsa Tote Cruzada Wrangler Sherpa Estampado Suroeste De Lona Chica</t>
        </is>
      </c>
      <c r="J770" s="156" t="inlineStr">
        <is>
          <t>Accesorios</t>
        </is>
      </c>
      <c r="K770" s="156" t="inlineStr">
        <is>
          <t>Bolsos</t>
        </is>
      </c>
      <c r="L770" s="156" t="inlineStr">
        <is>
          <t>Unisex</t>
        </is>
      </c>
      <c r="M770" s="156" t="inlineStr">
        <is>
          <t>Wrangler</t>
        </is>
      </c>
      <c r="N770" s="156" t="n"/>
      <c r="O770" s="156" t="n"/>
      <c r="P770" s="156" t="inlineStr">
        <is>
          <t>Negro</t>
        </is>
      </c>
      <c r="Q770" s="156" t="n"/>
      <c r="R770" s="156" t="n"/>
      <c r="S770" s="156" t="n"/>
      <c r="T770" s="156" t="inlineStr">
        <is>
          <t>Bolsa Tote Cruzada</t>
        </is>
      </c>
      <c r="U770" s="156" t="inlineStr">
        <is>
          <t>México</t>
        </is>
      </c>
      <c r="V770" s="156" t="inlineStr">
        <is>
          <t>PZS</t>
        </is>
      </c>
      <c r="W770" s="51" t="inlineStr">
        <is>
          <t>53121601</t>
        </is>
      </c>
      <c r="X770" s="156" t="inlineStr">
        <is>
          <t>https://m-universal-unique-brands.odoo.com/web/image/product.product/11243/image_1920</t>
        </is>
      </c>
      <c r="Y770" s="54" t="n">
        <v>457.13</v>
      </c>
      <c r="Z770" s="54" t="n">
        <v>739</v>
      </c>
      <c r="AA770" s="55">
        <f>IF(AND(A770="", B770="", E770=""), "", IF(AB770="", "Válido", IF((LEN(AB770)-LEN(SUBSTITUTE(AB770,"; ","")))/2+1&gt;(LEN(AB770)-LEN(SUBSTITUTE(AB770,"[Aviso]","")))/7, "Con Incidencias", "Válido")))</f>
        <v/>
      </c>
      <c r="AB770" s="56">
        <f>IF(AND(A770="", B770="", E770=""), "", TEXTJOIN("; ", TRUE, IF(OR(TRIM(A770&amp;"")="", ISNUMBER(SEARCH("FALTA", A770))), "UPC faltante/inválido", ""), IF(AND(A770&lt;&gt;"", IFERROR(_xlfn.XMATCH(A770,$A$2:$A$1063,0,1)&lt;&gt;_xlfn.XMATCH(A770,$A$2:$A$1063,0,-1),FALSE)), "Código de barras duplicado", ""), IF(AND(E770&lt;&gt;"", COUNTIF($E$2:$E$1063, E770)&gt;1), "SKU duplicado", ""), IF(OR(J770="", J770=""), "[Aviso] División no capturada ()", IF(ISNA(MATCH(J770, Criterios!$A$123:$A$126, 0)), "División no válida", "")), IF(OR(K770="", K770=""), "[Aviso] Categoría no capturada ()", IF(ISNA(MATCH(K770, Criterios!$A$81:$A$120, 0)), "Categoría no válida", IF(AND(J770&lt;&gt;"", J770&lt;&gt;"", J770&lt;&gt;VLOOKUP(K770, Criterios!$A$81:$B$120, 2, FALSE)), "División no coincide con Categoría", ""))), IF(OR(L770="", L770=""), "[Aviso] Género no capturado ()", IF(ISNA(MATCH(L770, Criterios!$B$123:$B$127, 0)), "Género no válido", "")), IF(OR(N770="", N770=""), "[Aviso] Temporada no capturada ()", IF(ISNA(MATCH(N770, Criterios!$C$123:$C$128, 0)), "Temporada no válida", "")), IF(OR(O770="", O770=""), "[Aviso] Ciclo de vida no capturado ()", IF(ISNA(MATCH(O770, Criterios!$D$123:$D$124, 0)), "Ciclo de vida no válido", ""))))</f>
        <v/>
      </c>
      <c r="AC770" s="56" t="n"/>
      <c r="AD770" s="51" t="n"/>
      <c r="AE770" s="156" t="n"/>
      <c r="AF770" s="51" t="n"/>
      <c r="AG770" s="156" t="inlineStr">
        <is>
          <t>Nuevo – Carga Hoja2 01/10/2026</t>
        </is>
      </c>
      <c r="AH770" s="156" t="inlineStr">
        <is>
          <t>Alta 01/10/2026 desde Hoja2 (fila 789)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770" s="156" t="n"/>
      <c r="AJ770" s="156" t="n"/>
      <c r="AK770" s="155" t="inlineStr">
        <is>
          <t>Hoja2: fila 789 | Odoo: producto 11243 / plantilla 14678</t>
        </is>
      </c>
      <c r="AL770" s="58" t="n"/>
      <c r="AM770" s="58" t="n"/>
      <c r="AN770" s="155" t="inlineStr">
        <is>
          <t>Odoo Universal Unique Brands</t>
        </is>
      </c>
      <c r="AO770" s="59" t="n"/>
      <c r="AP770" s="59" t="n"/>
      <c r="AQ770" s="59" t="n">
        <v>32</v>
      </c>
      <c r="AR770" s="155" t="inlineStr">
        <is>
          <t>Odoo Universal Unique Brands › Bodega 25 › Bodega 25/General: 32</t>
        </is>
      </c>
    </row>
    <row r="771">
      <c r="A771" s="50" t="inlineStr">
        <is>
          <t>717019702435</t>
        </is>
      </c>
      <c r="B771" s="51" t="inlineStr">
        <is>
          <t>11388</t>
        </is>
      </c>
      <c r="C771" s="156" t="inlineStr">
        <is>
          <t>Wrangler</t>
        </is>
      </c>
      <c r="D771" s="156" t="inlineStr">
        <is>
          <t>WG166-8120SBR</t>
        </is>
      </c>
      <c r="E771" s="156" t="inlineStr">
        <is>
          <t>WG166-8120SBR</t>
        </is>
      </c>
      <c r="F771" s="156" t="inlineStr">
        <is>
          <t>Talla única</t>
        </is>
      </c>
      <c r="G771" s="156" t="inlineStr">
        <is>
          <t>One Size</t>
        </is>
      </c>
      <c r="H771" s="156" t="inlineStr">
        <is>
          <t>Wrangler</t>
        </is>
      </c>
      <c r="I771" s="156" t="inlineStr">
        <is>
          <t>Bolsa Tote Cruzada Wrangler Sherpa Estampado Suroeste De Lona Chica Café</t>
        </is>
      </c>
      <c r="J771" s="156" t="inlineStr">
        <is>
          <t>Accesorios</t>
        </is>
      </c>
      <c r="K771" s="156" t="inlineStr">
        <is>
          <t>Bolsos</t>
        </is>
      </c>
      <c r="L771" s="156" t="inlineStr">
        <is>
          <t>Unisex</t>
        </is>
      </c>
      <c r="M771" s="156" t="inlineStr">
        <is>
          <t>Wrangler</t>
        </is>
      </c>
      <c r="N771" s="156" t="n"/>
      <c r="O771" s="156" t="inlineStr">
        <is>
          <t>Core</t>
        </is>
      </c>
      <c r="P771" s="156" t="inlineStr">
        <is>
          <t>Cafe</t>
        </is>
      </c>
      <c r="Q771" s="156" t="n"/>
      <c r="R771" s="156" t="n"/>
      <c r="S771" s="156" t="n"/>
      <c r="T771" s="156" t="inlineStr">
        <is>
          <t>Bolsa Tote Cruzada Wrangler. Modelo: Sherpa Estampado Suroeste De Lona Chica. Color: Café. Talla única. Unisex. País de origen: México. Referencia: WG166-8120SBR.</t>
        </is>
      </c>
      <c r="U771" s="156" t="inlineStr">
        <is>
          <t>México</t>
        </is>
      </c>
      <c r="V771" s="156" t="inlineStr">
        <is>
          <t>PZS</t>
        </is>
      </c>
      <c r="W771" s="51" t="inlineStr">
        <is>
          <t>53121601</t>
        </is>
      </c>
      <c r="X771" s="156" t="inlineStr">
        <is>
          <t>https://m-universal-unique-brands.odoo.com/web/image/product.product/11388/image_1920</t>
        </is>
      </c>
      <c r="Y771" s="54" t="n">
        <v>457.13</v>
      </c>
      <c r="Z771" s="54" t="n">
        <v>739</v>
      </c>
      <c r="AA771" s="55">
        <f>IF(AND(A771="", B771="", E771=""), "", IF(AB771="", "Válido", IF((LEN(AB771)-LEN(SUBSTITUTE(AB771,"; ","")))/2+1&gt;(LEN(AB771)-LEN(SUBSTITUTE(AB771,"[Aviso]","")))/7, "Con Incidencias", "Válido")))</f>
        <v/>
      </c>
      <c r="AB771" s="56">
        <f>IF(AND(A771="", B771="", E771=""), "", TEXTJOIN("; ", TRUE, IF(OR(TRIM(A771&amp;"")="", ISNUMBER(SEARCH("FALTA", A771))), "UPC faltante/inválido", ""), IF(AND(A771&lt;&gt;"", IFERROR(_xlfn.XMATCH(A771,$A$2:$A$1063,0,1)&lt;&gt;_xlfn.XMATCH(A771,$A$2:$A$1063,0,-1),FALSE)), "Código de barras duplicado", ""), IF(AND(E771&lt;&gt;"", COUNTIF($E$2:$E$1063, E771)&gt;1), "SKU duplicado", ""), IF(OR(J771="", J771=""), "[Aviso] División no capturada ()", IF(ISNA(MATCH(J771, Criterios!$A$123:$A$126, 0)), "División no válida", "")), IF(OR(K771="", K771=""), "[Aviso] Categoría no capturada ()", IF(ISNA(MATCH(K771, Criterios!$A$81:$A$120, 0)), "Categoría no válida", IF(AND(J771&lt;&gt;"", J771&lt;&gt;"", J771&lt;&gt;VLOOKUP(K771, Criterios!$A$81:$B$120, 2, FALSE)), "División no coincide con Categoría", ""))), IF(OR(L771="", L771=""), "[Aviso] Género no capturado ()", IF(ISNA(MATCH(L771, Criterios!$B$123:$B$127, 0)), "Género no válido", "")), IF(OR(N771="", N771=""), "[Aviso] Temporada no capturada ()", IF(ISNA(MATCH(N771, Criterios!$C$123:$C$128, 0)), "Temporada no válida", "")), IF(OR(O771="", O771=""), "[Aviso] Ciclo de vida no capturado ()", IF(ISNA(MATCH(O771, Criterios!$D$123:$D$124, 0)), "Ciclo de vida no válido", ""))))</f>
        <v/>
      </c>
      <c r="AC771" s="56" t="n"/>
      <c r="AD771" s="51" t="n"/>
      <c r="AE771" s="156" t="n"/>
      <c r="AF771" s="51" t="n"/>
      <c r="AG771" s="156" t="inlineStr">
        <is>
          <t>Nuevo – Carga Hoja2 01/10/2026</t>
        </is>
      </c>
      <c r="AH771" s="156" t="inlineStr">
        <is>
          <t>Alta 01/10/2026 desde Hoja2 (fila 790)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71" s="156" t="n"/>
      <c r="AJ771" s="156" t="n"/>
      <c r="AK771" s="155" t="inlineStr">
        <is>
          <t>Hoja2: fila 790 | Odoo: producto 11388 / plantilla 14823 | Odoo: producto 27275 / plantilla 33975</t>
        </is>
      </c>
      <c r="AL771" s="58" t="n"/>
      <c r="AM771" s="58" t="n"/>
      <c r="AN771" s="155" t="inlineStr">
        <is>
          <t>Odoo Universal Unique Brands</t>
        </is>
      </c>
      <c r="AO771" s="59" t="n"/>
      <c r="AP771" s="59" t="n"/>
      <c r="AQ771" s="59" t="n">
        <v>127</v>
      </c>
      <c r="AR771" s="155" t="inlineStr">
        <is>
          <t>Odoo Universal Unique Brands › Bodega 25 › Bodega 25/General: 121 | Odoo Universal Unique Brands › Bodega 25 › Bodega 25/General: 6</t>
        </is>
      </c>
    </row>
    <row r="772">
      <c r="A772" s="50" t="inlineStr">
        <is>
          <t>717019702527</t>
        </is>
      </c>
      <c r="B772" s="51" t="inlineStr">
        <is>
          <t>11386</t>
        </is>
      </c>
      <c r="C772" s="156" t="inlineStr">
        <is>
          <t>Wrangler</t>
        </is>
      </c>
      <c r="D772" s="156" t="inlineStr">
        <is>
          <t>WG166-W0051BR</t>
        </is>
      </c>
      <c r="E772" s="156" t="inlineStr">
        <is>
          <t>WG166-W0051BR</t>
        </is>
      </c>
      <c r="F772" s="156" t="inlineStr">
        <is>
          <t>Talla única</t>
        </is>
      </c>
      <c r="G772" s="156" t="inlineStr">
        <is>
          <t>One Size</t>
        </is>
      </c>
      <c r="H772" s="156" t="inlineStr">
        <is>
          <t>Wrangler</t>
        </is>
      </c>
      <c r="I772" s="156" t="inlineStr">
        <is>
          <t>Muñequera De Doble Compartimento Wrangler Sherpa Estampado Artístico Suroeste Café</t>
        </is>
      </c>
      <c r="J772" s="156" t="inlineStr">
        <is>
          <t>Accesorios</t>
        </is>
      </c>
      <c r="K772" s="156" t="inlineStr">
        <is>
          <t>Carteras</t>
        </is>
      </c>
      <c r="L772" s="156" t="inlineStr">
        <is>
          <t>Unisex</t>
        </is>
      </c>
      <c r="M772" s="156" t="inlineStr">
        <is>
          <t>Wrangler</t>
        </is>
      </c>
      <c r="N772" s="156" t="n"/>
      <c r="O772" s="156" t="inlineStr">
        <is>
          <t>Core</t>
        </is>
      </c>
      <c r="P772" s="156" t="inlineStr">
        <is>
          <t>Cafe</t>
        </is>
      </c>
      <c r="Q772" s="156" t="n"/>
      <c r="R772" s="156" t="n"/>
      <c r="S772" s="156" t="n"/>
      <c r="T772" s="156" t="inlineStr">
        <is>
          <t>Muñequera De Doble Compartimento Wrangler. Modelo: Sherpa Estampado Artístico Suroeste. Color: Café. Talla única. Unisex. País de origen: México. Referencia: WG166-W0051BR.</t>
        </is>
      </c>
      <c r="U772" s="156" t="inlineStr">
        <is>
          <t>México</t>
        </is>
      </c>
      <c r="V772" s="156" t="inlineStr">
        <is>
          <t>PZS</t>
        </is>
      </c>
      <c r="W772" s="51" t="inlineStr">
        <is>
          <t>53121700</t>
        </is>
      </c>
      <c r="X772" s="156" t="inlineStr">
        <is>
          <t>https://m-universal-unique-brands.odoo.com/web/image/product.product/11386/image_1920</t>
        </is>
      </c>
      <c r="Y772" s="54" t="n">
        <v>232.88</v>
      </c>
      <c r="Z772" s="54" t="n">
        <v>379</v>
      </c>
      <c r="AA772" s="55">
        <f>IF(AND(A772="", B772="", E772=""), "", IF(AB772="", "Válido", IF((LEN(AB772)-LEN(SUBSTITUTE(AB772,"; ","")))/2+1&gt;(LEN(AB772)-LEN(SUBSTITUTE(AB772,"[Aviso]","")))/7, "Con Incidencias", "Válido")))</f>
        <v/>
      </c>
      <c r="AB772" s="56">
        <f>IF(AND(A772="", B772="", E772=""), "", TEXTJOIN("; ", TRUE, IF(OR(TRIM(A772&amp;"")="", ISNUMBER(SEARCH("FALTA", A772))), "UPC faltante/inválido", ""), IF(AND(A772&lt;&gt;"", IFERROR(_xlfn.XMATCH(A772,$A$2:$A$1063,0,1)&lt;&gt;_xlfn.XMATCH(A772,$A$2:$A$1063,0,-1),FALSE)), "Código de barras duplicado", ""), IF(AND(E772&lt;&gt;"", COUNTIF($E$2:$E$1063, E772)&gt;1), "SKU duplicado", ""), IF(OR(J772="", J772=""), "[Aviso] División no capturada ()", IF(ISNA(MATCH(J772, Criterios!$A$123:$A$126, 0)), "División no válida", "")), IF(OR(K772="", K772=""), "[Aviso] Categoría no capturada ()", IF(ISNA(MATCH(K772, Criterios!$A$81:$A$120, 0)), "Categoría no válida", IF(AND(J772&lt;&gt;"", J772&lt;&gt;"", J772&lt;&gt;VLOOKUP(K772, Criterios!$A$81:$B$120, 2, FALSE)), "División no coincide con Categoría", ""))), IF(OR(L772="", L772=""), "[Aviso] Género no capturado ()", IF(ISNA(MATCH(L772, Criterios!$B$123:$B$127, 0)), "Género no válido", "")), IF(OR(N772="", N772=""), "[Aviso] Temporada no capturada ()", IF(ISNA(MATCH(N772, Criterios!$C$123:$C$128, 0)), "Temporada no válida", "")), IF(OR(O772="", O772=""), "[Aviso] Ciclo de vida no capturado ()", IF(ISNA(MATCH(O772, Criterios!$D$123:$D$124, 0)), "Ciclo de vida no válido", ""))))</f>
        <v/>
      </c>
      <c r="AC772" s="56" t="n"/>
      <c r="AD772" s="51" t="n"/>
      <c r="AE772" s="156" t="n"/>
      <c r="AF772" s="51" t="n"/>
      <c r="AG772" s="156" t="inlineStr">
        <is>
          <t>Nuevo – Carga Hoja2 01/10/2026</t>
        </is>
      </c>
      <c r="AH772" s="156" t="inlineStr">
        <is>
          <t>Alta 01/10/2026 desde Hoja2 (fila 792) | 01/10/2026: complementado desde Odoo Universal Unique Brands (match por código de barras): Enlace de imagen | 01/10/2026: Odoo Universal Unique Brands trae Marca «Montana West» — se conservó el valor de Productos</t>
        </is>
      </c>
      <c r="AI772" s="156" t="n"/>
      <c r="AJ772" s="156" t="n"/>
      <c r="AK772" s="155" t="inlineStr">
        <is>
          <t>Hoja2: fila 792 | Odoo: producto 11386 / plantilla 14821 | Odoo: producto 19115 / plantilla 23468 | Odoo: producto 27277 / plantilla 33977</t>
        </is>
      </c>
      <c r="AL772" s="58" t="n"/>
      <c r="AM772" s="58" t="n"/>
      <c r="AN772" s="155" t="inlineStr">
        <is>
          <t>Odoo Universal Unique Brands</t>
        </is>
      </c>
      <c r="AO772" s="59" t="n"/>
      <c r="AP772" s="59" t="n"/>
      <c r="AQ772" s="59" t="n">
        <v>158</v>
      </c>
      <c r="AR772" s="155" t="inlineStr">
        <is>
          <t>Odoo Universal Unique Brands › Bodega 25 › Bodega 25/General: 146 | Odoo Universal Unique Brands › Bodega 25 › Bodega 25/General: 6 | Odoo Universal Unique Brands › Bodega 25 › Bodega 25/General: 6</t>
        </is>
      </c>
    </row>
    <row r="773">
      <c r="A773" s="50" t="inlineStr">
        <is>
          <t>717019702497</t>
        </is>
      </c>
      <c r="B773" s="51" t="inlineStr">
        <is>
          <t>11387</t>
        </is>
      </c>
      <c r="C773" s="156" t="inlineStr">
        <is>
          <t>Wrangler</t>
        </is>
      </c>
      <c r="D773" s="156" t="inlineStr">
        <is>
          <t>WG166-W0051CF</t>
        </is>
      </c>
      <c r="E773" s="156" t="inlineStr">
        <is>
          <t>WG166-W0051CF</t>
        </is>
      </c>
      <c r="F773" s="156" t="inlineStr">
        <is>
          <t>Talla única</t>
        </is>
      </c>
      <c r="G773" s="156" t="inlineStr">
        <is>
          <t>One Size</t>
        </is>
      </c>
      <c r="H773" s="156" t="inlineStr">
        <is>
          <t>Wrangler</t>
        </is>
      </c>
      <c r="I773" s="156" t="inlineStr">
        <is>
          <t>Muñequera De Doble Compartimento Wrangler Sherpa Estampado Artístico Suroeste Café Oscuro</t>
        </is>
      </c>
      <c r="J773" s="156" t="inlineStr">
        <is>
          <t>Accesorios</t>
        </is>
      </c>
      <c r="K773" s="156" t="inlineStr">
        <is>
          <t>Carteras</t>
        </is>
      </c>
      <c r="L773" s="156" t="inlineStr">
        <is>
          <t>Unisex</t>
        </is>
      </c>
      <c r="M773" s="156" t="inlineStr">
        <is>
          <t>Wrangler</t>
        </is>
      </c>
      <c r="N773" s="156" t="n"/>
      <c r="O773" s="156" t="inlineStr">
        <is>
          <t>Core</t>
        </is>
      </c>
      <c r="P773" s="156" t="inlineStr">
        <is>
          <t>Cafe</t>
        </is>
      </c>
      <c r="Q773" s="156" t="n"/>
      <c r="R773" s="156" t="n"/>
      <c r="S773" s="156" t="n"/>
      <c r="T773" s="156" t="inlineStr">
        <is>
          <t>Muñequera De Doble Compartimento Wrangler. Modelo: Sherpa Estampado Artístico Suroeste. Color: Café Oscuro. Talla única. Unisex. País de origen: México. Referencia: WG166-W0051CF.</t>
        </is>
      </c>
      <c r="U773" s="156" t="inlineStr">
        <is>
          <t>México</t>
        </is>
      </c>
      <c r="V773" s="156" t="inlineStr">
        <is>
          <t>PZS</t>
        </is>
      </c>
      <c r="W773" s="51" t="inlineStr">
        <is>
          <t>53121700</t>
        </is>
      </c>
      <c r="X773" s="156" t="inlineStr">
        <is>
          <t>https://m-universal-unique-brands.odoo.com/web/image/product.product/11387/image_1920</t>
        </is>
      </c>
      <c r="Y773" s="54" t="n">
        <v>232.88</v>
      </c>
      <c r="Z773" s="54" t="n">
        <v>379</v>
      </c>
      <c r="AA773" s="55">
        <f>IF(AND(A773="", B773="", E773=""), "", IF(AB773="", "Válido", IF((LEN(AB773)-LEN(SUBSTITUTE(AB773,"; ","")))/2+1&gt;(LEN(AB773)-LEN(SUBSTITUTE(AB773,"[Aviso]","")))/7, "Con Incidencias", "Válido")))</f>
        <v/>
      </c>
      <c r="AB773" s="56">
        <f>IF(AND(A773="", B773="", E773=""), "", TEXTJOIN("; ", TRUE, IF(OR(TRIM(A773&amp;"")="", ISNUMBER(SEARCH("FALTA", A773))), "UPC faltante/inválido", ""), IF(AND(A773&lt;&gt;"", IFERROR(_xlfn.XMATCH(A773,$A$2:$A$1063,0,1)&lt;&gt;_xlfn.XMATCH(A773,$A$2:$A$1063,0,-1),FALSE)), "Código de barras duplicado", ""), IF(AND(E773&lt;&gt;"", COUNTIF($E$2:$E$1063, E773)&gt;1), "SKU duplicado", ""), IF(OR(J773="", J773=""), "[Aviso] División no capturada ()", IF(ISNA(MATCH(J773, Criterios!$A$123:$A$126, 0)), "División no válida", "")), IF(OR(K773="", K773=""), "[Aviso] Categoría no capturada ()", IF(ISNA(MATCH(K773, Criterios!$A$81:$A$120, 0)), "Categoría no válida", IF(AND(J773&lt;&gt;"", J773&lt;&gt;"", J773&lt;&gt;VLOOKUP(K773, Criterios!$A$81:$B$120, 2, FALSE)), "División no coincide con Categoría", ""))), IF(OR(L773="", L773=""), "[Aviso] Género no capturado ()", IF(ISNA(MATCH(L773, Criterios!$B$123:$B$127, 0)), "Género no válido", "")), IF(OR(N773="", N773=""), "[Aviso] Temporada no capturada ()", IF(ISNA(MATCH(N773, Criterios!$C$123:$C$128, 0)), "Temporada no válida", "")), IF(OR(O773="", O773=""), "[Aviso] Ciclo de vida no capturado ()", IF(ISNA(MATCH(O773, Criterios!$D$123:$D$124, 0)), "Ciclo de vida no válido", ""))))</f>
        <v/>
      </c>
      <c r="AC773" s="56" t="n"/>
      <c r="AD773" s="51" t="n"/>
      <c r="AE773" s="156" t="n"/>
      <c r="AF773" s="51" t="n"/>
      <c r="AG773" s="156" t="inlineStr">
        <is>
          <t>Nuevo – Carga Hoja2 01/10/2026</t>
        </is>
      </c>
      <c r="AH773" s="156" t="inlineStr">
        <is>
          <t>Alta 01/10/2026 desde Hoja2 (fila 793) | 01/10/2026: complementado desde Odoo Universal Unique Brands (match por código de barras): Enlace de imagen | 01/10/2026: Odoo Universal Unique Brands trae Marca «Montana West» — se conservó el valor de Productos</t>
        </is>
      </c>
      <c r="AI773" s="156" t="n"/>
      <c r="AJ773" s="156" t="n"/>
      <c r="AK773" s="155" t="inlineStr">
        <is>
          <t>Hoja2: fila 793 | Odoo: producto 11387 / plantilla 14822 | Odoo: producto 27278 / plantilla 33978</t>
        </is>
      </c>
      <c r="AL773" s="58" t="n"/>
      <c r="AM773" s="58" t="n"/>
      <c r="AN773" s="155" t="inlineStr">
        <is>
          <t>Odoo Universal Unique Brands</t>
        </is>
      </c>
      <c r="AO773" s="59" t="n"/>
      <c r="AP773" s="59" t="n"/>
      <c r="AQ773" s="59" t="n">
        <v>41</v>
      </c>
      <c r="AR773" s="155" t="inlineStr">
        <is>
          <t>Odoo Universal Unique Brands › Bodega 25 › Bodega 25/General: 35 | Odoo Universal Unique Brands › Bodega 25 › Bodega 25/General: 6</t>
        </is>
      </c>
    </row>
    <row r="774">
      <c r="A774" s="50" t="n"/>
      <c r="B774" s="51" t="inlineStr">
        <is>
          <t>11496</t>
        </is>
      </c>
      <c r="C774" s="156" t="inlineStr">
        <is>
          <t>Wrangler</t>
        </is>
      </c>
      <c r="D774" s="156" t="inlineStr">
        <is>
          <t>WG166G-8120CF</t>
        </is>
      </c>
      <c r="E774" s="156" t="inlineStr">
        <is>
          <t>WG166G-8120CF</t>
        </is>
      </c>
      <c r="F774" s="156" t="inlineStr">
        <is>
          <t>Talla única</t>
        </is>
      </c>
      <c r="G774" s="156" t="inlineStr">
        <is>
          <t>One Size</t>
        </is>
      </c>
      <c r="H774" s="156" t="inlineStr">
        <is>
          <t>Wrangler</t>
        </is>
      </c>
      <c r="I774" s="156" t="inlineStr">
        <is>
          <t>Bolsa Tote Cruzada Wrangler Estampado Suroeste De Lona</t>
        </is>
      </c>
      <c r="J774" s="156" t="inlineStr">
        <is>
          <t>Accesorios</t>
        </is>
      </c>
      <c r="K774" s="156" t="inlineStr">
        <is>
          <t>Bolsos</t>
        </is>
      </c>
      <c r="L774" s="156" t="inlineStr">
        <is>
          <t>Unisex</t>
        </is>
      </c>
      <c r="M774" s="156" t="inlineStr">
        <is>
          <t>Wrangler</t>
        </is>
      </c>
      <c r="N774" s="156" t="n"/>
      <c r="O774" s="156" t="n"/>
      <c r="P774" s="156" t="inlineStr">
        <is>
          <t>Cafe</t>
        </is>
      </c>
      <c r="Q774" s="156" t="n"/>
      <c r="R774" s="156" t="n"/>
      <c r="S774" s="156" t="n"/>
      <c r="T774" s="156" t="inlineStr">
        <is>
          <t>Bolsa Tote Cruzada</t>
        </is>
      </c>
      <c r="U774" s="156" t="inlineStr">
        <is>
          <t>México</t>
        </is>
      </c>
      <c r="V774" s="156" t="inlineStr">
        <is>
          <t>PZS</t>
        </is>
      </c>
      <c r="W774" s="51" t="inlineStr">
        <is>
          <t>53121601</t>
        </is>
      </c>
      <c r="X774" s="156" t="n"/>
      <c r="Y774" s="54" t="n">
        <v>457.13</v>
      </c>
      <c r="Z774" s="54" t="n">
        <v>739</v>
      </c>
      <c r="AA774" s="55">
        <f>IF(AND(A774="", B774="", E774=""), "", IF(AB774="", "Válido", IF((LEN(AB774)-LEN(SUBSTITUTE(AB774,"; ","")))/2+1&gt;(LEN(AB774)-LEN(SUBSTITUTE(AB774,"[Aviso]","")))/7, "Con Incidencias", "Válido")))</f>
        <v/>
      </c>
      <c r="AB774" s="56">
        <f>IF(AND(A774="", B774="", E774=""), "", TEXTJOIN("; ", TRUE, IF(OR(TRIM(A774&amp;"")="", ISNUMBER(SEARCH("FALTA", A774))), "UPC faltante/inválido", ""), IF(AND(A774&lt;&gt;"", IFERROR(_xlfn.XMATCH(A774,$A$2:$A$1063,0,1)&lt;&gt;_xlfn.XMATCH(A774,$A$2:$A$1063,0,-1),FALSE)), "Código de barras duplicado", ""), IF(AND(E774&lt;&gt;"", COUNTIF($E$2:$E$1063, E774)&gt;1), "SKU duplicado", ""), IF(OR(J774="", J774=""), "[Aviso] División no capturada ()", IF(ISNA(MATCH(J774, Criterios!$A$123:$A$126, 0)), "División no válida", "")), IF(OR(K774="", K774=""), "[Aviso] Categoría no capturada ()", IF(ISNA(MATCH(K774, Criterios!$A$81:$A$120, 0)), "Categoría no válida", IF(AND(J774&lt;&gt;"", J774&lt;&gt;"", J774&lt;&gt;VLOOKUP(K774, Criterios!$A$81:$B$120, 2, FALSE)), "División no coincide con Categoría", ""))), IF(OR(L774="", L774=""), "[Aviso] Género no capturado ()", IF(ISNA(MATCH(L774, Criterios!$B$123:$B$127, 0)), "Género no válido", "")), IF(OR(N774="", N774=""), "[Aviso] Temporada no capturada ()", IF(ISNA(MATCH(N774, Criterios!$C$123:$C$128, 0)), "Temporada no válida", "")), IF(OR(O774="", O774=""), "[Aviso] Ciclo de vida no capturado ()", IF(ISNA(MATCH(O774, Criterios!$D$123:$D$124, 0)), "Ciclo de vida no válido", ""))))</f>
        <v/>
      </c>
      <c r="AC774" s="56" t="n"/>
      <c r="AD774" s="51" t="n"/>
      <c r="AE774" s="156" t="n"/>
      <c r="AF774" s="51" t="n"/>
      <c r="AG774" s="156" t="inlineStr">
        <is>
          <t>Nuevo – Carga Hoja2 01/10/2026</t>
        </is>
      </c>
      <c r="AH774" s="156" t="inlineStr">
        <is>
          <t>Alta 01/10/2026 desde Hoja2 (fila 794) | 01/10/2026: complementado desde Odoo Universal Unique Brands (match por SKU): WB Talla, WB Talla de EE. UU., WB Descripción larga | Homologación G1522 06/10/2026: WB País de origen: «Mexico» → «México» (Corrección aplicada) · Validación G1522: Código de barras faltante · Validador NetSuite / Odoo: V1: falta código de barras · Validador Shopify: V1: falta código de barras; WB: precio con IVA no termina en 9</t>
        </is>
      </c>
      <c r="AI774" s="156" t="n"/>
      <c r="AJ774" s="156" t="n"/>
      <c r="AK774" s="155" t="inlineStr">
        <is>
          <t>Hoja2: fila 794 | Odoo: producto 11496 / plantilla 14931</t>
        </is>
      </c>
      <c r="AL774" s="58" t="n"/>
      <c r="AM774" s="58" t="n"/>
      <c r="AN774" s="155" t="inlineStr">
        <is>
          <t>Odoo Universal Unique Brands</t>
        </is>
      </c>
      <c r="AO774" s="59" t="n"/>
      <c r="AP774" s="59" t="n"/>
      <c r="AQ774" s="59" t="n">
        <v>42</v>
      </c>
      <c r="AR774" s="155" t="inlineStr">
        <is>
          <t>Odoo Universal Unique Brands › Bodega 25 › Bodega 25/General: 42</t>
        </is>
      </c>
    </row>
    <row r="775">
      <c r="A775" s="50" t="inlineStr">
        <is>
          <t>717019710560</t>
        </is>
      </c>
      <c r="B775" s="51" t="inlineStr">
        <is>
          <t>11232</t>
        </is>
      </c>
      <c r="C775" s="156" t="inlineStr">
        <is>
          <t>Wrangler</t>
        </is>
      </c>
      <c r="D775" s="156" t="inlineStr">
        <is>
          <t>WG168-W012BK</t>
        </is>
      </c>
      <c r="E775" s="156" t="inlineStr">
        <is>
          <t>WG168-W012BK</t>
        </is>
      </c>
      <c r="F775" s="156" t="inlineStr">
        <is>
          <t>Talla única</t>
        </is>
      </c>
      <c r="G775" s="156" t="inlineStr">
        <is>
          <t>One Size</t>
        </is>
      </c>
      <c r="H775" s="156" t="inlineStr">
        <is>
          <t>Wrangler</t>
        </is>
      </c>
      <c r="I775" s="156" t="inlineStr">
        <is>
          <t>Cartera Bolsa De Hombro Cruzada Wrangler Con Hebilla Negro</t>
        </is>
      </c>
      <c r="J775" s="156" t="inlineStr">
        <is>
          <t>Accesorios</t>
        </is>
      </c>
      <c r="K775" s="156" t="inlineStr">
        <is>
          <t>Carteras</t>
        </is>
      </c>
      <c r="L775" s="156" t="inlineStr">
        <is>
          <t>Unisex</t>
        </is>
      </c>
      <c r="M775" s="156" t="inlineStr">
        <is>
          <t>Wrangler</t>
        </is>
      </c>
      <c r="N775" s="156" t="n"/>
      <c r="O775" s="156" t="inlineStr">
        <is>
          <t>Core</t>
        </is>
      </c>
      <c r="P775" s="156" t="inlineStr">
        <is>
          <t>Negro</t>
        </is>
      </c>
      <c r="Q775" s="156" t="n"/>
      <c r="R775" s="156" t="n"/>
      <c r="S775" s="156" t="n"/>
      <c r="T775" s="156" t="inlineStr">
        <is>
          <t>Cartera Bolsa De Hombro Cruzada Wrangler. Modelo: Con Hebilla. Color: Negro. Talla única. Unisex. País de origen: México. Referencia: WG168-W012BK.</t>
        </is>
      </c>
      <c r="U775" s="156" t="inlineStr">
        <is>
          <t>México</t>
        </is>
      </c>
      <c r="V775" s="156" t="inlineStr">
        <is>
          <t>PZS</t>
        </is>
      </c>
      <c r="W775" s="51" t="inlineStr">
        <is>
          <t>53121700</t>
        </is>
      </c>
      <c r="X775" s="156" t="n"/>
      <c r="Y775" s="54" t="n">
        <v>276</v>
      </c>
      <c r="Z775" s="54" t="n">
        <v>449</v>
      </c>
      <c r="AA775" s="55">
        <f>IF(AND(A775="", B775="", E775=""), "", IF(AB775="", "Válido", IF((LEN(AB775)-LEN(SUBSTITUTE(AB775,"; ","")))/2+1&gt;(LEN(AB775)-LEN(SUBSTITUTE(AB775,"[Aviso]","")))/7, "Con Incidencias", "Válido")))</f>
        <v/>
      </c>
      <c r="AB775" s="56">
        <f>IF(AND(A775="", B775="", E775=""), "", TEXTJOIN("; ", TRUE, IF(OR(TRIM(A775&amp;"")="", ISNUMBER(SEARCH("FALTA", A775))), "UPC faltante/inválido", ""), IF(AND(A775&lt;&gt;"", IFERROR(_xlfn.XMATCH(A775,$A$2:$A$1063,0,1)&lt;&gt;_xlfn.XMATCH(A775,$A$2:$A$1063,0,-1),FALSE)), "Código de barras duplicado", ""), IF(AND(E775&lt;&gt;"", COUNTIF($E$2:$E$1063, E775)&gt;1), "SKU duplicado", ""), IF(OR(J775="", J775=""), "[Aviso] División no capturada ()", IF(ISNA(MATCH(J775, Criterios!$A$123:$A$126, 0)), "División no válida", "")), IF(OR(K775="", K775=""), "[Aviso] Categoría no capturada ()", IF(ISNA(MATCH(K775, Criterios!$A$81:$A$120, 0)), "Categoría no válida", IF(AND(J775&lt;&gt;"", J775&lt;&gt;"", J775&lt;&gt;VLOOKUP(K775, Criterios!$A$81:$B$120, 2, FALSE)), "División no coincide con Categoría", ""))), IF(OR(L775="", L775=""), "[Aviso] Género no capturado ()", IF(ISNA(MATCH(L775, Criterios!$B$123:$B$127, 0)), "Género no válido", "")), IF(OR(N775="", N775=""), "[Aviso] Temporada no capturada ()", IF(ISNA(MATCH(N775, Criterios!$C$123:$C$128, 0)), "Temporada no válida", "")), IF(OR(O775="", O775=""), "[Aviso] Ciclo de vida no capturado ()", IF(ISNA(MATCH(O775, Criterios!$D$123:$D$124, 0)), "Ciclo de vida no válido", ""))))</f>
        <v/>
      </c>
      <c r="AC775" s="56" t="n"/>
      <c r="AD775" s="51" t="n"/>
      <c r="AE775" s="156" t="n"/>
      <c r="AF775" s="51" t="n"/>
      <c r="AG775" s="156" t="inlineStr">
        <is>
          <t>Nuevo – Carga Hoja2 01/10/2026</t>
        </is>
      </c>
      <c r="AH775" s="156" t="inlineStr">
        <is>
          <t>Alta 01/10/2026 desde Hoja2 (fila 795) | Homologación G1522 06/10/2026: Validador Shopify: WB: precio con IVA no termina en 9</t>
        </is>
      </c>
      <c r="AI775" s="156" t="n"/>
      <c r="AJ775" s="156" t="n"/>
      <c r="AK775" s="155" t="inlineStr">
        <is>
          <t>Hoja2: fila 795 | Odoo: producto 11232 / plantilla 14667</t>
        </is>
      </c>
      <c r="AL775" s="58" t="n"/>
      <c r="AM775" s="58" t="n"/>
      <c r="AN775" s="155" t="inlineStr">
        <is>
          <t>Odoo Universal Unique Brands</t>
        </is>
      </c>
      <c r="AO775" s="59" t="n"/>
      <c r="AP775" s="59" t="n"/>
      <c r="AQ775" s="59" t="n">
        <v>2</v>
      </c>
      <c r="AR775" s="155" t="inlineStr">
        <is>
          <t>Odoo Universal Unique Brands › Bodega 25 › Bodega 25/General: 2</t>
        </is>
      </c>
    </row>
    <row r="776">
      <c r="A776" s="50" t="inlineStr">
        <is>
          <t>717019710539</t>
        </is>
      </c>
      <c r="B776" s="51" t="inlineStr">
        <is>
          <t>11233</t>
        </is>
      </c>
      <c r="C776" s="156" t="inlineStr">
        <is>
          <t>Wrangler</t>
        </is>
      </c>
      <c r="D776" s="156" t="inlineStr">
        <is>
          <t>WG168-W012BR</t>
        </is>
      </c>
      <c r="E776" s="156" t="inlineStr">
        <is>
          <t>WG168-W012BR</t>
        </is>
      </c>
      <c r="F776" s="156" t="inlineStr">
        <is>
          <t>Talla única</t>
        </is>
      </c>
      <c r="G776" s="156" t="inlineStr">
        <is>
          <t>One Size</t>
        </is>
      </c>
      <c r="H776" s="156" t="inlineStr">
        <is>
          <t>Wrangler</t>
        </is>
      </c>
      <c r="I776" s="156" t="inlineStr">
        <is>
          <t>Cartera Bolsa De Hombro Cruzada Wrangler Con Hebilla Café</t>
        </is>
      </c>
      <c r="J776" s="156" t="inlineStr">
        <is>
          <t>Accesorios</t>
        </is>
      </c>
      <c r="K776" s="156" t="inlineStr">
        <is>
          <t>Carteras</t>
        </is>
      </c>
      <c r="L776" s="156" t="inlineStr">
        <is>
          <t>Unisex</t>
        </is>
      </c>
      <c r="M776" s="156" t="inlineStr">
        <is>
          <t>Wrangler</t>
        </is>
      </c>
      <c r="N776" s="156" t="n"/>
      <c r="O776" s="156" t="inlineStr">
        <is>
          <t>Core</t>
        </is>
      </c>
      <c r="P776" s="156" t="inlineStr">
        <is>
          <t>Cafe</t>
        </is>
      </c>
      <c r="Q776" s="156" t="n"/>
      <c r="R776" s="156" t="n"/>
      <c r="S776" s="156" t="n"/>
      <c r="T776" s="156" t="inlineStr">
        <is>
          <t>Cartera Bolsa De Hombro Cruzada Wrangler. Modelo: Con Hebilla. Color: Café. Talla única. Unisex. País de origen: México. Referencia: WG168-W012BR.</t>
        </is>
      </c>
      <c r="U776" s="156" t="inlineStr">
        <is>
          <t>México</t>
        </is>
      </c>
      <c r="V776" s="156" t="inlineStr">
        <is>
          <t>PZS</t>
        </is>
      </c>
      <c r="W776" s="51" t="inlineStr">
        <is>
          <t>53121700</t>
        </is>
      </c>
      <c r="X776" s="156" t="inlineStr">
        <is>
          <t>https://m-universal-unique-brands.odoo.com/web/image/product.product/11233/image_1920</t>
        </is>
      </c>
      <c r="Y776" s="54" t="n">
        <v>276</v>
      </c>
      <c r="Z776" s="54" t="n">
        <v>449</v>
      </c>
      <c r="AA776" s="55">
        <f>IF(AND(A776="", B776="", E776=""), "", IF(AB776="", "Válido", IF((LEN(AB776)-LEN(SUBSTITUTE(AB776,"; ","")))/2+1&gt;(LEN(AB776)-LEN(SUBSTITUTE(AB776,"[Aviso]","")))/7, "Con Incidencias", "Válido")))</f>
        <v/>
      </c>
      <c r="AB776" s="56">
        <f>IF(AND(A776="", B776="", E776=""), "", TEXTJOIN("; ", TRUE, IF(OR(TRIM(A776&amp;"")="", ISNUMBER(SEARCH("FALTA", A776))), "UPC faltante/inválido", ""), IF(AND(A776&lt;&gt;"", IFERROR(_xlfn.XMATCH(A776,$A$2:$A$1063,0,1)&lt;&gt;_xlfn.XMATCH(A776,$A$2:$A$1063,0,-1),FALSE)), "Código de barras duplicado", ""), IF(AND(E776&lt;&gt;"", COUNTIF($E$2:$E$1063, E776)&gt;1), "SKU duplicado", ""), IF(OR(J776="", J776=""), "[Aviso] División no capturada ()", IF(ISNA(MATCH(J776, Criterios!$A$123:$A$126, 0)), "División no válida", "")), IF(OR(K776="", K776=""), "[Aviso] Categoría no capturada ()", IF(ISNA(MATCH(K776, Criterios!$A$81:$A$120, 0)), "Categoría no válida", IF(AND(J776&lt;&gt;"", J776&lt;&gt;"", J776&lt;&gt;VLOOKUP(K776, Criterios!$A$81:$B$120, 2, FALSE)), "División no coincide con Categoría", ""))), IF(OR(L776="", L776=""), "[Aviso] Género no capturado ()", IF(ISNA(MATCH(L776, Criterios!$B$123:$B$127, 0)), "Género no válido", "")), IF(OR(N776="", N776=""), "[Aviso] Temporada no capturada ()", IF(ISNA(MATCH(N776, Criterios!$C$123:$C$128, 0)), "Temporada no válida", "")), IF(OR(O776="", O776=""), "[Aviso] Ciclo de vida no capturado ()", IF(ISNA(MATCH(O776, Criterios!$D$123:$D$124, 0)), "Ciclo de vida no válido", ""))))</f>
        <v/>
      </c>
      <c r="AC776" s="56" t="n"/>
      <c r="AD776" s="51" t="n"/>
      <c r="AE776" s="156" t="n"/>
      <c r="AF776" s="51" t="n"/>
      <c r="AG776" s="156" t="inlineStr">
        <is>
          <t>Nuevo – Carga Hoja2 01/10/2026</t>
        </is>
      </c>
      <c r="AH776" s="156" t="inlineStr">
        <is>
          <t>Alta 01/10/2026 desde Hoja2 (fila 796)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76" s="156" t="n"/>
      <c r="AJ776" s="156" t="n"/>
      <c r="AK776" s="155" t="inlineStr">
        <is>
          <t>Hoja2: fila 796 | Odoo: producto 11233 / plantilla 14668 | Odoo: producto 27279 / plantilla 33979</t>
        </is>
      </c>
      <c r="AL776" s="58" t="n"/>
      <c r="AM776" s="58" t="n"/>
      <c r="AN776" s="155" t="inlineStr">
        <is>
          <t>Odoo Universal Unique Brands</t>
        </is>
      </c>
      <c r="AO776" s="59" t="n"/>
      <c r="AP776" s="59" t="n"/>
      <c r="AQ776" s="59" t="n">
        <v>26</v>
      </c>
      <c r="AR776" s="155" t="inlineStr">
        <is>
          <t>Odoo Universal Unique Brands › Bodega 25 › Bodega 25/General: 20 | Odoo Universal Unique Brands › Bodega 25 › Bodega 25/General: 6</t>
        </is>
      </c>
    </row>
    <row r="777">
      <c r="A777" s="50" t="inlineStr">
        <is>
          <t>717019743742</t>
        </is>
      </c>
      <c r="B777" s="51" t="inlineStr">
        <is>
          <t>14904</t>
        </is>
      </c>
      <c r="C777" s="156" t="inlineStr">
        <is>
          <t>Wrangler</t>
        </is>
      </c>
      <c r="D777" s="156" t="inlineStr">
        <is>
          <t>WG169-1812BR</t>
        </is>
      </c>
      <c r="E777" s="156" t="inlineStr">
        <is>
          <t>WG169-1812BR</t>
        </is>
      </c>
      <c r="F777" s="156" t="inlineStr">
        <is>
          <t>Talla única</t>
        </is>
      </c>
      <c r="G777" s="156" t="inlineStr">
        <is>
          <t>One Size</t>
        </is>
      </c>
      <c r="H777" s="156" t="inlineStr">
        <is>
          <t>Wrangler</t>
        </is>
      </c>
      <c r="I777" s="156" t="inlineStr">
        <is>
          <t>Bolsa Cruzada Wrangler Piel De Vaca Genuina Con Pelo Café</t>
        </is>
      </c>
      <c r="J777" s="156" t="inlineStr">
        <is>
          <t>Accesorios</t>
        </is>
      </c>
      <c r="K777" s="156" t="inlineStr">
        <is>
          <t>Bolsos</t>
        </is>
      </c>
      <c r="L777" s="156" t="inlineStr">
        <is>
          <t>Unisex</t>
        </is>
      </c>
      <c r="M777" s="156" t="inlineStr">
        <is>
          <t>Wrangler</t>
        </is>
      </c>
      <c r="N777" s="156" t="n"/>
      <c r="O777" s="156" t="inlineStr">
        <is>
          <t>Core</t>
        </is>
      </c>
      <c r="P777" s="156" t="inlineStr">
        <is>
          <t>Cafe</t>
        </is>
      </c>
      <c r="Q777" s="156" t="n"/>
      <c r="R777" s="156" t="n"/>
      <c r="S777" s="156" t="n"/>
      <c r="T777" s="156" t="inlineStr">
        <is>
          <t>Bolsa Cruzada Wrangler. Modelo: Piel De Vaca Genuina Con Pelo. Color: Café. Talla única. Unisex. País de origen: México. Referencia: WG169-1812BR.</t>
        </is>
      </c>
      <c r="U777" s="156" t="inlineStr">
        <is>
          <t>México</t>
        </is>
      </c>
      <c r="V777" s="156" t="inlineStr">
        <is>
          <t>PZS</t>
        </is>
      </c>
      <c r="W777" s="51" t="inlineStr">
        <is>
          <t>53121601</t>
        </is>
      </c>
      <c r="X777" s="156" t="n"/>
      <c r="Y777" s="54" t="n"/>
      <c r="Z777" s="54" t="n">
        <v>609</v>
      </c>
      <c r="AA777" s="55">
        <f>IF(AND(A777="", B777="", E777=""), "", IF(AB777="", "Válido", IF((LEN(AB777)-LEN(SUBSTITUTE(AB777,"; ","")))/2+1&gt;(LEN(AB777)-LEN(SUBSTITUTE(AB777,"[Aviso]","")))/7, "Con Incidencias", "Válido")))</f>
        <v/>
      </c>
      <c r="AB777" s="56">
        <f>IF(AND(A777="", B777="", E777=""), "", TEXTJOIN("; ", TRUE, IF(OR(TRIM(A777&amp;"")="", ISNUMBER(SEARCH("FALTA", A777))), "UPC faltante/inválido", ""), IF(AND(A777&lt;&gt;"", IFERROR(_xlfn.XMATCH(A777,$A$2:$A$1063,0,1)&lt;&gt;_xlfn.XMATCH(A777,$A$2:$A$1063,0,-1),FALSE)), "Código de barras duplicado", ""), IF(AND(E777&lt;&gt;"", COUNTIF($E$2:$E$1063, E777)&gt;1), "SKU duplicado", ""), IF(OR(J777="", J777=""), "[Aviso] División no capturada ()", IF(ISNA(MATCH(J777, Criterios!$A$123:$A$126, 0)), "División no válida", "")), IF(OR(K777="", K777=""), "[Aviso] Categoría no capturada ()", IF(ISNA(MATCH(K777, Criterios!$A$81:$A$120, 0)), "Categoría no válida", IF(AND(J777&lt;&gt;"", J777&lt;&gt;"", J777&lt;&gt;VLOOKUP(K777, Criterios!$A$81:$B$120, 2, FALSE)), "División no coincide con Categoría", ""))), IF(OR(L777="", L777=""), "[Aviso] Género no capturado ()", IF(ISNA(MATCH(L777, Criterios!$B$123:$B$127, 0)), "Género no válido", "")), IF(OR(N777="", N777=""), "[Aviso] Temporada no capturada ()", IF(ISNA(MATCH(N777, Criterios!$C$123:$C$128, 0)), "Temporada no válida", "")), IF(OR(O777="", O777=""), "[Aviso] Ciclo de vida no capturado ()", IF(ISNA(MATCH(O777, Criterios!$D$123:$D$124, 0)), "Ciclo de vida no válido", ""))))</f>
        <v/>
      </c>
      <c r="AC777" s="56" t="n"/>
      <c r="AD777" s="51" t="n"/>
      <c r="AE777" s="156" t="n"/>
      <c r="AF777" s="51" t="n"/>
      <c r="AG777" s="156" t="inlineStr">
        <is>
          <t>Nuevo – Carga Hoja2 01/10/2026</t>
        </is>
      </c>
      <c r="AH777" s="156" t="inlineStr">
        <is>
          <t>Alta 01/10/2026 desde Hoja2 (fila 797); Precio de compra en 0/vacío en origen | 01/10/2026: Odoo Universal Unique Brands trae Marca «Montana West» — se conservó el valor de Productos | Homologación G1522 06/10/2026: Validador Shopify: WB: precio con IVA no termina en 9</t>
        </is>
      </c>
      <c r="AI777" s="156" t="n"/>
      <c r="AJ777" s="156" t="n"/>
      <c r="AK777" s="155" t="inlineStr">
        <is>
          <t>Hoja2: fila 797 | Odoo: producto 14904 / plantilla 19257 | Odoo: producto 27282 / plantilla 33982</t>
        </is>
      </c>
      <c r="AL777" s="58" t="n"/>
      <c r="AM777" s="58" t="n"/>
      <c r="AN777" s="155" t="inlineStr">
        <is>
          <t>Odoo Universal Unique Brands</t>
        </is>
      </c>
      <c r="AO777" s="59" t="n"/>
      <c r="AP777" s="59" t="n"/>
      <c r="AQ777" s="59" t="n">
        <v>0</v>
      </c>
      <c r="AR777" s="155" t="n"/>
    </row>
    <row r="778">
      <c r="A778" s="50" t="inlineStr">
        <is>
          <t>717019743773</t>
        </is>
      </c>
      <c r="B778" s="51" t="inlineStr">
        <is>
          <t>11875</t>
        </is>
      </c>
      <c r="C778" s="156" t="inlineStr">
        <is>
          <t>Wrangler</t>
        </is>
      </c>
      <c r="D778" s="156" t="inlineStr">
        <is>
          <t>WG169-1812CF</t>
        </is>
      </c>
      <c r="E778" s="156" t="inlineStr">
        <is>
          <t>WG169-1812CF</t>
        </is>
      </c>
      <c r="F778" s="156" t="inlineStr">
        <is>
          <t>Talla única</t>
        </is>
      </c>
      <c r="G778" s="156" t="inlineStr">
        <is>
          <t>One Size</t>
        </is>
      </c>
      <c r="H778" s="156" t="inlineStr">
        <is>
          <t>Wrangler</t>
        </is>
      </c>
      <c r="I778" s="156" t="inlineStr">
        <is>
          <t>Bolsa Cruzada Wrangler Piel De Vaca Genuina Con Pelo Café Oscuro</t>
        </is>
      </c>
      <c r="J778" s="156" t="inlineStr">
        <is>
          <t>Accesorios</t>
        </is>
      </c>
      <c r="K778" s="156" t="inlineStr">
        <is>
          <t>Bolsos</t>
        </is>
      </c>
      <c r="L778" s="156" t="inlineStr">
        <is>
          <t>Unisex</t>
        </is>
      </c>
      <c r="M778" s="156" t="inlineStr">
        <is>
          <t>Wrangler</t>
        </is>
      </c>
      <c r="N778" s="156" t="n"/>
      <c r="O778" s="156" t="inlineStr">
        <is>
          <t>Core</t>
        </is>
      </c>
      <c r="P778" s="156" t="inlineStr">
        <is>
          <t>Cafe</t>
        </is>
      </c>
      <c r="Q778" s="156" t="n"/>
      <c r="R778" s="156" t="n"/>
      <c r="S778" s="156" t="n"/>
      <c r="T778" s="156" t="inlineStr">
        <is>
          <t>Bolsa Cruzada Wrangler. Modelo: Piel De Vaca Genuina Con Pelo. Color: Café Oscuro. Talla única. Unisex. País de origen: México. Referencia: WG169-1812CF.</t>
        </is>
      </c>
      <c r="U778" s="156" t="inlineStr">
        <is>
          <t>México</t>
        </is>
      </c>
      <c r="V778" s="156" t="inlineStr">
        <is>
          <t>PZS</t>
        </is>
      </c>
      <c r="W778" s="51" t="inlineStr">
        <is>
          <t>53121601</t>
        </is>
      </c>
      <c r="X778" s="156" t="n"/>
      <c r="Y778" s="54" t="n">
        <v>379.5</v>
      </c>
      <c r="Z778" s="54" t="n">
        <v>609</v>
      </c>
      <c r="AA778" s="55">
        <f>IF(AND(A778="", B778="", E778=""), "", IF(AB778="", "Válido", IF((LEN(AB778)-LEN(SUBSTITUTE(AB778,"; ","")))/2+1&gt;(LEN(AB778)-LEN(SUBSTITUTE(AB778,"[Aviso]","")))/7, "Con Incidencias", "Válido")))</f>
        <v/>
      </c>
      <c r="AB778" s="56">
        <f>IF(AND(A778="", B778="", E778=""), "", TEXTJOIN("; ", TRUE, IF(OR(TRIM(A778&amp;"")="", ISNUMBER(SEARCH("FALTA", A778))), "UPC faltante/inválido", ""), IF(AND(A778&lt;&gt;"", IFERROR(_xlfn.XMATCH(A778,$A$2:$A$1063,0,1)&lt;&gt;_xlfn.XMATCH(A778,$A$2:$A$1063,0,-1),FALSE)), "Código de barras duplicado", ""), IF(AND(E778&lt;&gt;"", COUNTIF($E$2:$E$1063, E778)&gt;1), "SKU duplicado", ""), IF(OR(J778="", J778=""), "[Aviso] División no capturada ()", IF(ISNA(MATCH(J778, Criterios!$A$123:$A$126, 0)), "División no válida", "")), IF(OR(K778="", K778=""), "[Aviso] Categoría no capturada ()", IF(ISNA(MATCH(K778, Criterios!$A$81:$A$120, 0)), "Categoría no válida", IF(AND(J778&lt;&gt;"", J778&lt;&gt;"", J778&lt;&gt;VLOOKUP(K778, Criterios!$A$81:$B$120, 2, FALSE)), "División no coincide con Categoría", ""))), IF(OR(L778="", L778=""), "[Aviso] Género no capturado ()", IF(ISNA(MATCH(L778, Criterios!$B$123:$B$127, 0)), "Género no válido", "")), IF(OR(N778="", N778=""), "[Aviso] Temporada no capturada ()", IF(ISNA(MATCH(N778, Criterios!$C$123:$C$128, 0)), "Temporada no válida", "")), IF(OR(O778="", O778=""), "[Aviso] Ciclo de vida no capturado ()", IF(ISNA(MATCH(O778, Criterios!$D$123:$D$124, 0)), "Ciclo de vida no válido", ""))))</f>
        <v/>
      </c>
      <c r="AC778" s="56" t="n"/>
      <c r="AD778" s="51" t="n"/>
      <c r="AE778" s="156" t="n"/>
      <c r="AF778" s="51" t="n"/>
      <c r="AG778" s="156" t="inlineStr">
        <is>
          <t>Nuevo – Carga Hoja2 01/10/2026</t>
        </is>
      </c>
      <c r="AH778" s="156" t="inlineStr">
        <is>
          <t>Alta 01/10/2026 desde Hoja2 (fila 798) | Homologación G1522 06/10/2026: Validador Shopify: WB: precio con IVA no termina en 9</t>
        </is>
      </c>
      <c r="AI778" s="156" t="n"/>
      <c r="AJ778" s="156" t="n"/>
      <c r="AK778" s="155" t="inlineStr">
        <is>
          <t>Hoja2: fila 798 | Odoo: producto 11875 / plantilla 15310</t>
        </is>
      </c>
      <c r="AL778" s="58" t="n"/>
      <c r="AM778" s="58" t="n"/>
      <c r="AN778" s="155" t="inlineStr">
        <is>
          <t>Odoo Universal Unique Brands</t>
        </is>
      </c>
      <c r="AO778" s="59" t="n"/>
      <c r="AP778" s="59" t="n"/>
      <c r="AQ778" s="59" t="n">
        <v>22</v>
      </c>
      <c r="AR778" s="155" t="inlineStr">
        <is>
          <t>Odoo Universal Unique Brands › Bodega 25 › Bodega 25/General: 22</t>
        </is>
      </c>
    </row>
    <row r="779">
      <c r="A779" s="50" t="inlineStr">
        <is>
          <t>717019743650</t>
        </is>
      </c>
      <c r="B779" s="51" t="inlineStr">
        <is>
          <t>11376</t>
        </is>
      </c>
      <c r="C779" s="156" t="inlineStr">
        <is>
          <t>Wrangler</t>
        </is>
      </c>
      <c r="D779" s="156" t="inlineStr">
        <is>
          <t>WG169-2022BR</t>
        </is>
      </c>
      <c r="E779" s="156" t="inlineStr">
        <is>
          <t>WG169-2022BR</t>
        </is>
      </c>
      <c r="F779" s="156" t="inlineStr">
        <is>
          <t>Talla única</t>
        </is>
      </c>
      <c r="G779" s="156" t="inlineStr">
        <is>
          <t>One Size</t>
        </is>
      </c>
      <c r="H779" s="156" t="inlineStr">
        <is>
          <t>Wrangler</t>
        </is>
      </c>
      <c r="I779" s="156" t="inlineStr">
        <is>
          <t>Bolsa Tote Cruzada Wrangler Piel De Vaca Genuina Con Pelo Café</t>
        </is>
      </c>
      <c r="J779" s="156" t="inlineStr">
        <is>
          <t>Accesorios</t>
        </is>
      </c>
      <c r="K779" s="156" t="inlineStr">
        <is>
          <t>Bolsos</t>
        </is>
      </c>
      <c r="L779" s="156" t="inlineStr">
        <is>
          <t>Unisex</t>
        </is>
      </c>
      <c r="M779" s="156" t="inlineStr">
        <is>
          <t>Wrangler</t>
        </is>
      </c>
      <c r="N779" s="156" t="n"/>
      <c r="O779" s="156" t="inlineStr">
        <is>
          <t>Core</t>
        </is>
      </c>
      <c r="P779" s="156" t="inlineStr">
        <is>
          <t>Cafe</t>
        </is>
      </c>
      <c r="Q779" s="156" t="n"/>
      <c r="R779" s="156" t="n"/>
      <c r="S779" s="156" t="n"/>
      <c r="T779" s="156" t="inlineStr">
        <is>
          <t>Bolsa Tote Cruzada Wrangler. Modelo: Piel De Vaca Genuina Con Pelo. Color: Café. Talla única. Unisex. País de origen: México. Referencia: WG169-2022BR.</t>
        </is>
      </c>
      <c r="U779" s="156" t="inlineStr">
        <is>
          <t>México</t>
        </is>
      </c>
      <c r="V779" s="156" t="inlineStr">
        <is>
          <t>PZS</t>
        </is>
      </c>
      <c r="W779" s="51" t="inlineStr">
        <is>
          <t>53121601</t>
        </is>
      </c>
      <c r="X779" s="156" t="inlineStr">
        <is>
          <t>https://m-universal-unique-brands.odoo.com/web/image/product.product/11376/image_1920</t>
        </is>
      </c>
      <c r="Y779" s="54" t="n">
        <v>30</v>
      </c>
      <c r="Z779" s="54" t="n">
        <v>829</v>
      </c>
      <c r="AA779" s="55">
        <f>IF(AND(A779="", B779="", E779=""), "", IF(AB779="", "Válido", IF((LEN(AB779)-LEN(SUBSTITUTE(AB779,"; ","")))/2+1&gt;(LEN(AB779)-LEN(SUBSTITUTE(AB779,"[Aviso]","")))/7, "Con Incidencias", "Válido")))</f>
        <v/>
      </c>
      <c r="AB779" s="56">
        <f>IF(AND(A779="", B779="", E779=""), "", TEXTJOIN("; ", TRUE, IF(OR(TRIM(A779&amp;"")="", ISNUMBER(SEARCH("FALTA", A779))), "UPC faltante/inválido", ""), IF(AND(A779&lt;&gt;"", IFERROR(_xlfn.XMATCH(A779,$A$2:$A$1063,0,1)&lt;&gt;_xlfn.XMATCH(A779,$A$2:$A$1063,0,-1),FALSE)), "Código de barras duplicado", ""), IF(AND(E779&lt;&gt;"", COUNTIF($E$2:$E$1063, E779)&gt;1), "SKU duplicado", ""), IF(OR(J779="", J779=""), "[Aviso] División no capturada ()", IF(ISNA(MATCH(J779, Criterios!$A$123:$A$126, 0)), "División no válida", "")), IF(OR(K779="", K779=""), "[Aviso] Categoría no capturada ()", IF(ISNA(MATCH(K779, Criterios!$A$81:$A$120, 0)), "Categoría no válida", IF(AND(J779&lt;&gt;"", J779&lt;&gt;"", J779&lt;&gt;VLOOKUP(K779, Criterios!$A$81:$B$120, 2, FALSE)), "División no coincide con Categoría", ""))), IF(OR(L779="", L779=""), "[Aviso] Género no capturado ()", IF(ISNA(MATCH(L779, Criterios!$B$123:$B$127, 0)), "Género no válido", "")), IF(OR(N779="", N779=""), "[Aviso] Temporada no capturada ()", IF(ISNA(MATCH(N779, Criterios!$C$123:$C$128, 0)), "Temporada no válida", "")), IF(OR(O779="", O779=""), "[Aviso] Ciclo de vida no capturado ()", IF(ISNA(MATCH(O779, Criterios!$D$123:$D$124, 0)), "Ciclo de vida no válido", ""))))</f>
        <v/>
      </c>
      <c r="AC779" s="56" t="n"/>
      <c r="AD779" s="51" t="n"/>
      <c r="AE779" s="156" t="n"/>
      <c r="AF779" s="51" t="n"/>
      <c r="AG779" s="156" t="inlineStr">
        <is>
          <t>Nuevo – Carga Hoja2 01/10/2026</t>
        </is>
      </c>
      <c r="AH779" s="156" t="inlineStr">
        <is>
          <t>Alta 01/10/2026 desde Hoja2 (fila 799) | 01/10/2026: complementado desde Odoo Universal Unique Brands (match por código de barras): Enlace de imagen | Homologación G1522 06/10/2026: Validador Shopify: WB: precio con IVA no termina en 9</t>
        </is>
      </c>
      <c r="AI779" s="156" t="n"/>
      <c r="AJ779" s="156" t="n"/>
      <c r="AK779" s="155" t="inlineStr">
        <is>
          <t>Hoja2: fila 799 | Odoo: producto 11376 / plantilla 14811</t>
        </is>
      </c>
      <c r="AL779" s="58" t="n"/>
      <c r="AM779" s="58" t="n"/>
      <c r="AN779" s="155" t="inlineStr">
        <is>
          <t>Odoo Universal Unique Brands</t>
        </is>
      </c>
      <c r="AO779" s="59" t="n"/>
      <c r="AP779" s="59" t="n"/>
      <c r="AQ779" s="59" t="n">
        <v>49</v>
      </c>
      <c r="AR779" s="155" t="inlineStr">
        <is>
          <t>Odoo Universal Unique Brands › Bodega 25 › Bodega 25/General: 49</t>
        </is>
      </c>
    </row>
    <row r="780">
      <c r="A780" s="50" t="inlineStr">
        <is>
          <t>717019743681</t>
        </is>
      </c>
      <c r="B780" s="51" t="inlineStr">
        <is>
          <t>11199</t>
        </is>
      </c>
      <c r="C780" s="156" t="inlineStr">
        <is>
          <t>Wrangler</t>
        </is>
      </c>
      <c r="D780" s="156" t="inlineStr">
        <is>
          <t>WG169-2022CF</t>
        </is>
      </c>
      <c r="E780" s="156" t="inlineStr">
        <is>
          <t>WG169-2022CF</t>
        </is>
      </c>
      <c r="F780" s="156" t="inlineStr">
        <is>
          <t>Talla única</t>
        </is>
      </c>
      <c r="G780" s="156" t="inlineStr">
        <is>
          <t>One Size</t>
        </is>
      </c>
      <c r="H780" s="156" t="inlineStr">
        <is>
          <t>Wrangler</t>
        </is>
      </c>
      <c r="I780" s="156" t="inlineStr">
        <is>
          <t>Bolsa Tote Cruzada Wrangler Piel De Vaca Genuina Con Pelo Café Oscuro</t>
        </is>
      </c>
      <c r="J780" s="156" t="inlineStr">
        <is>
          <t>Accesorios</t>
        </is>
      </c>
      <c r="K780" s="156" t="inlineStr">
        <is>
          <t>Bolsos</t>
        </is>
      </c>
      <c r="L780" s="156" t="inlineStr">
        <is>
          <t>Unisex</t>
        </is>
      </c>
      <c r="M780" s="156" t="inlineStr">
        <is>
          <t>Wrangler</t>
        </is>
      </c>
      <c r="N780" s="156" t="n"/>
      <c r="O780" s="156" t="inlineStr">
        <is>
          <t>Core</t>
        </is>
      </c>
      <c r="P780" s="156" t="inlineStr">
        <is>
          <t>Cafe</t>
        </is>
      </c>
      <c r="Q780" s="156" t="n"/>
      <c r="R780" s="156" t="n"/>
      <c r="S780" s="156" t="n"/>
      <c r="T780" s="156" t="inlineStr">
        <is>
          <t>Bolsa Tote Cruzada Wrangler. Modelo: Piel De Vaca Genuina Con Pelo. Color: Café Oscuro. Talla única. Unisex. País de origen: México. Referencia: WG169-2022CF.</t>
        </is>
      </c>
      <c r="U780" s="156" t="inlineStr">
        <is>
          <t>México</t>
        </is>
      </c>
      <c r="V780" s="156" t="inlineStr">
        <is>
          <t>PZS</t>
        </is>
      </c>
      <c r="W780" s="51" t="inlineStr">
        <is>
          <t>53121601</t>
        </is>
      </c>
      <c r="X780" s="156" t="inlineStr">
        <is>
          <t>https://m-universal-unique-brands.odoo.com/web/image/product.product/11199/image_1920</t>
        </is>
      </c>
      <c r="Y780" s="54" t="n">
        <v>517.5</v>
      </c>
      <c r="Z780" s="54" t="n">
        <v>829</v>
      </c>
      <c r="AA780" s="55">
        <f>IF(AND(A780="", B780="", E780=""), "", IF(AB780="", "Válido", IF((LEN(AB780)-LEN(SUBSTITUTE(AB780,"; ","")))/2+1&gt;(LEN(AB780)-LEN(SUBSTITUTE(AB780,"[Aviso]","")))/7, "Con Incidencias", "Válido")))</f>
        <v/>
      </c>
      <c r="AB780" s="56">
        <f>IF(AND(A780="", B780="", E780=""), "", TEXTJOIN("; ", TRUE, IF(OR(TRIM(A780&amp;"")="", ISNUMBER(SEARCH("FALTA", A780))), "UPC faltante/inválido", ""), IF(AND(A780&lt;&gt;"", IFERROR(_xlfn.XMATCH(A780,$A$2:$A$1063,0,1)&lt;&gt;_xlfn.XMATCH(A780,$A$2:$A$1063,0,-1),FALSE)), "Código de barras duplicado", ""), IF(AND(E780&lt;&gt;"", COUNTIF($E$2:$E$1063, E780)&gt;1), "SKU duplicado", ""), IF(OR(J780="", J780=""), "[Aviso] División no capturada ()", IF(ISNA(MATCH(J780, Criterios!$A$123:$A$126, 0)), "División no válida", "")), IF(OR(K780="", K780=""), "[Aviso] Categoría no capturada ()", IF(ISNA(MATCH(K780, Criterios!$A$81:$A$120, 0)), "Categoría no válida", IF(AND(J780&lt;&gt;"", J780&lt;&gt;"", J780&lt;&gt;VLOOKUP(K780, Criterios!$A$81:$B$120, 2, FALSE)), "División no coincide con Categoría", ""))), IF(OR(L780="", L780=""), "[Aviso] Género no capturado ()", IF(ISNA(MATCH(L780, Criterios!$B$123:$B$127, 0)), "Género no válido", "")), IF(OR(N780="", N780=""), "[Aviso] Temporada no capturada ()", IF(ISNA(MATCH(N780, Criterios!$C$123:$C$128, 0)), "Temporada no válida", "")), IF(OR(O780="", O780=""), "[Aviso] Ciclo de vida no capturado ()", IF(ISNA(MATCH(O780, Criterios!$D$123:$D$124, 0)), "Ciclo de vida no válido", ""))))</f>
        <v/>
      </c>
      <c r="AC780" s="56" t="n"/>
      <c r="AD780" s="51" t="n"/>
      <c r="AE780" s="156" t="n"/>
      <c r="AF780" s="51" t="n"/>
      <c r="AG780" s="156" t="inlineStr">
        <is>
          <t>Nuevo – Carga Hoja2 01/10/2026</t>
        </is>
      </c>
      <c r="AH780" s="156" t="inlineStr">
        <is>
          <t>Alta 01/10/2026 desde Hoja2 (fila 800) | 01/10/2026: complementado desde Odoo Universal Unique Brands (match por código de barras): Enlace de imagen | Homologación G1522 06/10/2026: Validador Shopify: WB: precio con IVA no termina en 9</t>
        </is>
      </c>
      <c r="AI780" s="156" t="n"/>
      <c r="AJ780" s="156" t="n"/>
      <c r="AK780" s="155" t="inlineStr">
        <is>
          <t>Hoja2: fila 800 | Odoo: producto 11199 / plantilla 14634</t>
        </is>
      </c>
      <c r="AL780" s="58" t="n"/>
      <c r="AM780" s="58" t="n"/>
      <c r="AN780" s="155" t="inlineStr">
        <is>
          <t>Odoo Universal Unique Brands</t>
        </is>
      </c>
      <c r="AO780" s="59" t="n"/>
      <c r="AP780" s="59" t="n"/>
      <c r="AQ780" s="59" t="n">
        <v>112</v>
      </c>
      <c r="AR780" s="155" t="inlineStr">
        <is>
          <t>Odoo Universal Unique Brands › Bodega 25 › Bodega 25/General: 112</t>
        </is>
      </c>
    </row>
    <row r="781">
      <c r="A781" s="50" t="inlineStr">
        <is>
          <t>717019743476</t>
        </is>
      </c>
      <c r="B781" s="51" t="inlineStr">
        <is>
          <t>15706</t>
        </is>
      </c>
      <c r="C781" s="156" t="inlineStr">
        <is>
          <t>Wrangler</t>
        </is>
      </c>
      <c r="D781" s="156" t="inlineStr">
        <is>
          <t>WG169-9112BR</t>
        </is>
      </c>
      <c r="E781" s="156" t="inlineStr">
        <is>
          <t>WG169-9112BR</t>
        </is>
      </c>
      <c r="F781" s="156" t="inlineStr">
        <is>
          <t>Talla única</t>
        </is>
      </c>
      <c r="G781" s="156" t="inlineStr">
        <is>
          <t>One Size</t>
        </is>
      </c>
      <c r="H781" s="156" t="inlineStr">
        <is>
          <t>Wrangler</t>
        </is>
      </c>
      <c r="I781" s="156" t="inlineStr">
        <is>
          <t>Mochila Convertible Cruzada Wrangler Piel De Vaca Genuina Con Pelo Floral Grabada Café</t>
        </is>
      </c>
      <c r="J781" s="156" t="inlineStr">
        <is>
          <t>Accesorios</t>
        </is>
      </c>
      <c r="K781" s="156" t="inlineStr">
        <is>
          <t>Mochilas</t>
        </is>
      </c>
      <c r="L781" s="156" t="inlineStr">
        <is>
          <t>Unisex</t>
        </is>
      </c>
      <c r="M781" s="156" t="inlineStr">
        <is>
          <t>Wrangler</t>
        </is>
      </c>
      <c r="N781" s="156" t="n"/>
      <c r="O781" s="156" t="inlineStr">
        <is>
          <t>Core</t>
        </is>
      </c>
      <c r="P781" s="156" t="inlineStr">
        <is>
          <t>Cafe</t>
        </is>
      </c>
      <c r="Q781" s="156" t="n"/>
      <c r="R781" s="156" t="n"/>
      <c r="S781" s="156" t="n"/>
      <c r="T781" s="156" t="inlineStr">
        <is>
          <t>Mochila Convertible Cruzada Wrangler. Modelo: Piel De Vaca Genuina Con Pelo Floral Grabada. Color: Café. Talla única. Unisex. País de origen: México. Referencia: WG169-9112BR.</t>
        </is>
      </c>
      <c r="U781" s="156" t="inlineStr">
        <is>
          <t>México</t>
        </is>
      </c>
      <c r="V781" s="156" t="inlineStr">
        <is>
          <t>PZS</t>
        </is>
      </c>
      <c r="W781" s="51" t="inlineStr">
        <is>
          <t>53121600</t>
        </is>
      </c>
      <c r="X781" s="156" t="n"/>
      <c r="Y781" s="54" t="n"/>
      <c r="Z781" s="54" t="n">
        <v>904.3099999999999</v>
      </c>
      <c r="AA781" s="55">
        <f>IF(AND(A781="", B781="", E781=""), "", IF(AB781="", "Válido", IF((LEN(AB781)-LEN(SUBSTITUTE(AB781,"; ","")))/2+1&gt;(LEN(AB781)-LEN(SUBSTITUTE(AB781,"[Aviso]","")))/7, "Con Incidencias", "Válido")))</f>
        <v/>
      </c>
      <c r="AB781" s="56">
        <f>IF(AND(A781="", B781="", E781=""), "", TEXTJOIN("; ", TRUE, IF(OR(TRIM(A781&amp;"")="", ISNUMBER(SEARCH("FALTA", A781))), "UPC faltante/inválido", ""), IF(AND(A781&lt;&gt;"", IFERROR(_xlfn.XMATCH(A781,$A$2:$A$1063,0,1)&lt;&gt;_xlfn.XMATCH(A781,$A$2:$A$1063,0,-1),FALSE)), "Código de barras duplicado", ""), IF(AND(E781&lt;&gt;"", COUNTIF($E$2:$E$1063, E781)&gt;1), "SKU duplicado", ""), IF(OR(J781="", J781=""), "[Aviso] División no capturada ()", IF(ISNA(MATCH(J781, Criterios!$A$123:$A$126, 0)), "División no válida", "")), IF(OR(K781="", K781=""), "[Aviso] Categoría no capturada ()", IF(ISNA(MATCH(K781, Criterios!$A$81:$A$120, 0)), "Categoría no válida", IF(AND(J781&lt;&gt;"", J781&lt;&gt;"", J781&lt;&gt;VLOOKUP(K781, Criterios!$A$81:$B$120, 2, FALSE)), "División no coincide con Categoría", ""))), IF(OR(L781="", L781=""), "[Aviso] Género no capturado ()", IF(ISNA(MATCH(L781, Criterios!$B$123:$B$127, 0)), "Género no válido", "")), IF(OR(N781="", N781=""), "[Aviso] Temporada no capturada ()", IF(ISNA(MATCH(N781, Criterios!$C$123:$C$128, 0)), "Temporada no válida", "")), IF(OR(O781="", O781=""), "[Aviso] Ciclo de vida no capturado ()", IF(ISNA(MATCH(O781, Criterios!$D$123:$D$124, 0)), "Ciclo de vida no válido", ""))))</f>
        <v/>
      </c>
      <c r="AC781" s="56" t="n"/>
      <c r="AD781" s="51" t="n"/>
      <c r="AE781" s="156" t="n"/>
      <c r="AF781" s="51" t="n"/>
      <c r="AG781" s="156" t="inlineStr">
        <is>
          <t>Nuevo – Carga Hoja2 01/10/2026</t>
        </is>
      </c>
      <c r="AH781" s="156" t="inlineStr">
        <is>
          <t>Alta 01/10/2026 desde Hoja2 (fila 801); Precio de compra en 0/vacío en origen</t>
        </is>
      </c>
      <c r="AI781" s="156" t="n"/>
      <c r="AJ781" s="156" t="n"/>
      <c r="AK781" s="155" t="inlineStr">
        <is>
          <t>Hoja2: fila 801 | Odoo: producto 15706 / plantilla 20059</t>
        </is>
      </c>
      <c r="AL781" s="58" t="n"/>
      <c r="AM781" s="58" t="n"/>
      <c r="AN781" s="155" t="inlineStr">
        <is>
          <t>Odoo Universal Unique Brands</t>
        </is>
      </c>
      <c r="AO781" s="59" t="n"/>
      <c r="AP781" s="59" t="n"/>
      <c r="AQ781" s="59" t="n">
        <v>2</v>
      </c>
      <c r="AR781" s="155" t="inlineStr">
        <is>
          <t>Odoo Universal Unique Brands › Bodega 25 › Bodega 25/General: 2</t>
        </is>
      </c>
    </row>
    <row r="782">
      <c r="A782" s="50" t="inlineStr">
        <is>
          <t>717019743896</t>
        </is>
      </c>
      <c r="B782" s="51" t="inlineStr">
        <is>
          <t>11375</t>
        </is>
      </c>
      <c r="C782" s="156" t="inlineStr">
        <is>
          <t>Wrangler</t>
        </is>
      </c>
      <c r="D782" s="156" t="inlineStr">
        <is>
          <t>WG169-W030BK</t>
        </is>
      </c>
      <c r="E782" s="156" t="inlineStr">
        <is>
          <t>WG169-W030BK</t>
        </is>
      </c>
      <c r="F782" s="156" t="inlineStr">
        <is>
          <t>Talla única</t>
        </is>
      </c>
      <c r="G782" s="156" t="inlineStr">
        <is>
          <t>One Size</t>
        </is>
      </c>
      <c r="H782" s="156" t="inlineStr">
        <is>
          <t>Wrangler</t>
        </is>
      </c>
      <c r="I782" s="156" t="inlineStr">
        <is>
          <t>Cartera Cruzada Wrangler Piel De Vaca Genuina Con Pelo Negro</t>
        </is>
      </c>
      <c r="J782" s="156" t="inlineStr">
        <is>
          <t>Accesorios</t>
        </is>
      </c>
      <c r="K782" s="156" t="inlineStr">
        <is>
          <t>Carteras</t>
        </is>
      </c>
      <c r="L782" s="156" t="inlineStr">
        <is>
          <t>Unisex</t>
        </is>
      </c>
      <c r="M782" s="156" t="inlineStr">
        <is>
          <t>Wrangler</t>
        </is>
      </c>
      <c r="N782" s="156" t="n"/>
      <c r="O782" s="156" t="inlineStr">
        <is>
          <t>Core</t>
        </is>
      </c>
      <c r="P782" s="156" t="inlineStr">
        <is>
          <t>Negro</t>
        </is>
      </c>
      <c r="Q782" s="156" t="n"/>
      <c r="R782" s="156" t="n"/>
      <c r="S782" s="156" t="n"/>
      <c r="T782" s="156" t="inlineStr">
        <is>
          <t>Cartera Cruzada Wrangler. Modelo: Piel De Vaca Genuina Con Pelo. Color: Negro. Talla única. Unisex. País de origen: México. Referencia: WG169-W030BK.</t>
        </is>
      </c>
      <c r="U782" s="156" t="inlineStr">
        <is>
          <t>México</t>
        </is>
      </c>
      <c r="V782" s="156" t="inlineStr">
        <is>
          <t>PZS</t>
        </is>
      </c>
      <c r="W782" s="51" t="inlineStr">
        <is>
          <t>53121700</t>
        </is>
      </c>
      <c r="X782" s="156" t="inlineStr">
        <is>
          <t>https://m-universal-unique-brands.odoo.com/web/image/product.product/11375/image_1920</t>
        </is>
      </c>
      <c r="Y782" s="54" t="n">
        <v>310.5</v>
      </c>
      <c r="Z782" s="54" t="n">
        <v>499</v>
      </c>
      <c r="AA782" s="55">
        <f>IF(AND(A782="", B782="", E782=""), "", IF(AB782="", "Válido", IF((LEN(AB782)-LEN(SUBSTITUTE(AB782,"; ","")))/2+1&gt;(LEN(AB782)-LEN(SUBSTITUTE(AB782,"[Aviso]","")))/7, "Con Incidencias", "Válido")))</f>
        <v/>
      </c>
      <c r="AB782" s="56">
        <f>IF(AND(A782="", B782="", E782=""), "", TEXTJOIN("; ", TRUE, IF(OR(TRIM(A782&amp;"")="", ISNUMBER(SEARCH("FALTA", A782))), "UPC faltante/inválido", ""), IF(AND(A782&lt;&gt;"", IFERROR(_xlfn.XMATCH(A782,$A$2:$A$1063,0,1)&lt;&gt;_xlfn.XMATCH(A782,$A$2:$A$1063,0,-1),FALSE)), "Código de barras duplicado", ""), IF(AND(E782&lt;&gt;"", COUNTIF($E$2:$E$1063, E782)&gt;1), "SKU duplicado", ""), IF(OR(J782="", J782=""), "[Aviso] División no capturada ()", IF(ISNA(MATCH(J782, Criterios!$A$123:$A$126, 0)), "División no válida", "")), IF(OR(K782="", K782=""), "[Aviso] Categoría no capturada ()", IF(ISNA(MATCH(K782, Criterios!$A$81:$A$120, 0)), "Categoría no válida", IF(AND(J782&lt;&gt;"", J782&lt;&gt;"", J782&lt;&gt;VLOOKUP(K782, Criterios!$A$81:$B$120, 2, FALSE)), "División no coincide con Categoría", ""))), IF(OR(L782="", L782=""), "[Aviso] Género no capturado ()", IF(ISNA(MATCH(L782, Criterios!$B$123:$B$127, 0)), "Género no válido", "")), IF(OR(N782="", N782=""), "[Aviso] Temporada no capturada ()", IF(ISNA(MATCH(N782, Criterios!$C$123:$C$128, 0)), "Temporada no válida", "")), IF(OR(O782="", O782=""), "[Aviso] Ciclo de vida no capturado ()", IF(ISNA(MATCH(O782, Criterios!$D$123:$D$124, 0)), "Ciclo de vida no válido", ""))))</f>
        <v/>
      </c>
      <c r="AC782" s="56" t="n"/>
      <c r="AD782" s="51" t="n"/>
      <c r="AE782" s="156" t="n"/>
      <c r="AF782" s="51" t="n"/>
      <c r="AG782" s="156" t="inlineStr">
        <is>
          <t>Nuevo – Carga Hoja2 01/10/2026</t>
        </is>
      </c>
      <c r="AH782" s="156" t="inlineStr">
        <is>
          <t>Alta 01/10/2026 desde Hoja2 (fila 802) | 01/10/2026: complementado desde Odoo Universal Unique Brands (match por código de barras): Enlace de imagen | Homologación G1522 06/10/2026: Validador Shopify: WB: precio con IVA no termina en 9</t>
        </is>
      </c>
      <c r="AI782" s="156" t="n"/>
      <c r="AJ782" s="156" t="n"/>
      <c r="AK782" s="155" t="inlineStr">
        <is>
          <t>Hoja2: fila 802 | Odoo: producto 11375 / plantilla 14810</t>
        </is>
      </c>
      <c r="AL782" s="58" t="n"/>
      <c r="AM782" s="58" t="n"/>
      <c r="AN782" s="155" t="inlineStr">
        <is>
          <t>Odoo Universal Unique Brands</t>
        </is>
      </c>
      <c r="AO782" s="59" t="n"/>
      <c r="AP782" s="59" t="n"/>
      <c r="AQ782" s="59" t="n">
        <v>33</v>
      </c>
      <c r="AR782" s="155" t="inlineStr">
        <is>
          <t>Odoo Universal Unique Brands › Bodega 25 › Bodega 25/General: 33</t>
        </is>
      </c>
    </row>
    <row r="783">
      <c r="A783" s="50" t="inlineStr">
        <is>
          <t>717019743834</t>
        </is>
      </c>
      <c r="B783" s="51" t="inlineStr">
        <is>
          <t>11467</t>
        </is>
      </c>
      <c r="C783" s="156" t="inlineStr">
        <is>
          <t>Wrangler</t>
        </is>
      </c>
      <c r="D783" s="156" t="inlineStr">
        <is>
          <t>WG169-W030BR</t>
        </is>
      </c>
      <c r="E783" s="156" t="inlineStr">
        <is>
          <t>WG169-W030BR</t>
        </is>
      </c>
      <c r="F783" s="156" t="inlineStr">
        <is>
          <t>Talla única</t>
        </is>
      </c>
      <c r="G783" s="156" t="inlineStr">
        <is>
          <t>One Size</t>
        </is>
      </c>
      <c r="H783" s="156" t="inlineStr">
        <is>
          <t>Wrangler</t>
        </is>
      </c>
      <c r="I783" s="156" t="inlineStr">
        <is>
          <t>Cartera Cruzada Wrangler Piel De Vaca Genuina Con Pelo Café</t>
        </is>
      </c>
      <c r="J783" s="156" t="inlineStr">
        <is>
          <t>Accesorios</t>
        </is>
      </c>
      <c r="K783" s="156" t="inlineStr">
        <is>
          <t>Carteras</t>
        </is>
      </c>
      <c r="L783" s="156" t="inlineStr">
        <is>
          <t>Unisex</t>
        </is>
      </c>
      <c r="M783" s="156" t="inlineStr">
        <is>
          <t>Wrangler</t>
        </is>
      </c>
      <c r="N783" s="156" t="n"/>
      <c r="O783" s="156" t="inlineStr">
        <is>
          <t>Core</t>
        </is>
      </c>
      <c r="P783" s="156" t="inlineStr">
        <is>
          <t>Cafe</t>
        </is>
      </c>
      <c r="Q783" s="156" t="n"/>
      <c r="R783" s="156" t="n"/>
      <c r="S783" s="156" t="n"/>
      <c r="T783" s="156" t="inlineStr">
        <is>
          <t>Cartera Cruzada Wrangler. Modelo: Piel De Vaca Genuina Con Pelo. Color: Café. Talla única. Unisex. País de origen: México. Referencia: WG169-W030BR.</t>
        </is>
      </c>
      <c r="U783" s="156" t="inlineStr">
        <is>
          <t>México</t>
        </is>
      </c>
      <c r="V783" s="156" t="inlineStr">
        <is>
          <t>PZS</t>
        </is>
      </c>
      <c r="W783" s="51" t="inlineStr">
        <is>
          <t>53121700</t>
        </is>
      </c>
      <c r="X783" s="156" t="inlineStr">
        <is>
          <t>https://m-universal-unique-brands.odoo.com/web/image/product.product/11467/image_1920</t>
        </is>
      </c>
      <c r="Y783" s="54" t="n">
        <v>310.5</v>
      </c>
      <c r="Z783" s="54" t="n">
        <v>499</v>
      </c>
      <c r="AA783" s="55">
        <f>IF(AND(A783="", B783="", E783=""), "", IF(AB783="", "Válido", IF((LEN(AB783)-LEN(SUBSTITUTE(AB783,"; ","")))/2+1&gt;(LEN(AB783)-LEN(SUBSTITUTE(AB783,"[Aviso]","")))/7, "Con Incidencias", "Válido")))</f>
        <v/>
      </c>
      <c r="AB783" s="56">
        <f>IF(AND(A783="", B783="", E783=""), "", TEXTJOIN("; ", TRUE, IF(OR(TRIM(A783&amp;"")="", ISNUMBER(SEARCH("FALTA", A783))), "UPC faltante/inválido", ""), IF(AND(A783&lt;&gt;"", IFERROR(_xlfn.XMATCH(A783,$A$2:$A$1063,0,1)&lt;&gt;_xlfn.XMATCH(A783,$A$2:$A$1063,0,-1),FALSE)), "Código de barras duplicado", ""), IF(AND(E783&lt;&gt;"", COUNTIF($E$2:$E$1063, E783)&gt;1), "SKU duplicado", ""), IF(OR(J783="", J783=""), "[Aviso] División no capturada ()", IF(ISNA(MATCH(J783, Criterios!$A$123:$A$126, 0)), "División no válida", "")), IF(OR(K783="", K783=""), "[Aviso] Categoría no capturada ()", IF(ISNA(MATCH(K783, Criterios!$A$81:$A$120, 0)), "Categoría no válida", IF(AND(J783&lt;&gt;"", J783&lt;&gt;"", J783&lt;&gt;VLOOKUP(K783, Criterios!$A$81:$B$120, 2, FALSE)), "División no coincide con Categoría", ""))), IF(OR(L783="", L783=""), "[Aviso] Género no capturado ()", IF(ISNA(MATCH(L783, Criterios!$B$123:$B$127, 0)), "Género no válido", "")), IF(OR(N783="", N783=""), "[Aviso] Temporada no capturada ()", IF(ISNA(MATCH(N783, Criterios!$C$123:$C$128, 0)), "Temporada no válida", "")), IF(OR(O783="", O783=""), "[Aviso] Ciclo de vida no capturado ()", IF(ISNA(MATCH(O783, Criterios!$D$123:$D$124, 0)), "Ciclo de vida no válido", ""))))</f>
        <v/>
      </c>
      <c r="AC783" s="56" t="n"/>
      <c r="AD783" s="51" t="n"/>
      <c r="AE783" s="156" t="n"/>
      <c r="AF783" s="51" t="n"/>
      <c r="AG783" s="156" t="inlineStr">
        <is>
          <t>Nuevo – Carga Hoja2 01/10/2026</t>
        </is>
      </c>
      <c r="AH783" s="156" t="inlineStr">
        <is>
          <t>Alta 01/10/2026 desde Hoja2 (fila 803)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83" s="156" t="n"/>
      <c r="AJ783" s="156" t="n"/>
      <c r="AK783" s="155" t="inlineStr">
        <is>
          <t>Hoja2: fila 803 | Odoo: producto 11467 / plantilla 14902 | Odoo: producto 27285 / plantilla 33985</t>
        </is>
      </c>
      <c r="AL783" s="58" t="n"/>
      <c r="AM783" s="58" t="n"/>
      <c r="AN783" s="155" t="inlineStr">
        <is>
          <t>Odoo Universal Unique Brands</t>
        </is>
      </c>
      <c r="AO783" s="59" t="n"/>
      <c r="AP783" s="59" t="n"/>
      <c r="AQ783" s="59" t="n">
        <v>78</v>
      </c>
      <c r="AR783" s="155" t="inlineStr">
        <is>
          <t>Odoo Universal Unique Brands › Bodega 25 › Bodega 25/General: 54 | Odoo Universal Unique Brands › Bodega 25 › Bodega 25/General: 24</t>
        </is>
      </c>
    </row>
    <row r="784">
      <c r="A784" s="50" t="inlineStr">
        <is>
          <t>717325212451</t>
        </is>
      </c>
      <c r="B784" s="51" t="inlineStr">
        <is>
          <t>11480</t>
        </is>
      </c>
      <c r="C784" s="156" t="inlineStr">
        <is>
          <t>Wrangler</t>
        </is>
      </c>
      <c r="D784" s="156" t="inlineStr">
        <is>
          <t>WG171-2811JN</t>
        </is>
      </c>
      <c r="E784" s="156" t="inlineStr">
        <is>
          <t>WG171-2811JN</t>
        </is>
      </c>
      <c r="F784" s="156" t="inlineStr">
        <is>
          <t>Talla única</t>
        </is>
      </c>
      <c r="G784" s="156" t="inlineStr">
        <is>
          <t>One Size</t>
        </is>
      </c>
      <c r="H784" s="156" t="inlineStr">
        <is>
          <t>Wrangler</t>
        </is>
      </c>
      <c r="I784" s="156" t="inlineStr">
        <is>
          <t>Bolsa Tote Mini Cruzada Wrangler Con Logo Mezclilla</t>
        </is>
      </c>
      <c r="J784" s="156" t="inlineStr">
        <is>
          <t>Accesorios</t>
        </is>
      </c>
      <c r="K784" s="156" t="inlineStr">
        <is>
          <t>Bolsos</t>
        </is>
      </c>
      <c r="L784" s="156" t="inlineStr">
        <is>
          <t>Unisex</t>
        </is>
      </c>
      <c r="M784" s="156" t="inlineStr">
        <is>
          <t>Wrangler</t>
        </is>
      </c>
      <c r="N784" s="156" t="n"/>
      <c r="O784" s="156" t="inlineStr">
        <is>
          <t>Core</t>
        </is>
      </c>
      <c r="P784" s="156" t="inlineStr">
        <is>
          <t>Varios</t>
        </is>
      </c>
      <c r="Q784" s="156" t="n"/>
      <c r="R784" s="156" t="n"/>
      <c r="S784" s="156" t="n"/>
      <c r="T784" s="156" t="inlineStr">
        <is>
          <t>Bolsa Tote Mini Cruzada Wrangler. Modelo: Con Logo. Color: Mezclilla. Talla única. Unisex. País de origen: México. Referencia: WG171-2811JN.</t>
        </is>
      </c>
      <c r="U784" s="156" t="inlineStr">
        <is>
          <t>México</t>
        </is>
      </c>
      <c r="V784" s="156" t="inlineStr">
        <is>
          <t>PZS</t>
        </is>
      </c>
      <c r="W784" s="51" t="inlineStr">
        <is>
          <t>53121601</t>
        </is>
      </c>
      <c r="X784" s="156" t="inlineStr">
        <is>
          <t>https://m-universal-unique-brands.odoo.com/web/image/product.product/11480/image_1920</t>
        </is>
      </c>
      <c r="Y784" s="54" t="n">
        <v>310.5</v>
      </c>
      <c r="Z784" s="54" t="n">
        <v>499</v>
      </c>
      <c r="AA784" s="55">
        <f>IF(AND(A784="", B784="", E784=""), "", IF(AB784="", "Válido", IF((LEN(AB784)-LEN(SUBSTITUTE(AB784,"; ","")))/2+1&gt;(LEN(AB784)-LEN(SUBSTITUTE(AB784,"[Aviso]","")))/7, "Con Incidencias", "Válido")))</f>
        <v/>
      </c>
      <c r="AB784" s="56">
        <f>IF(AND(A784="", B784="", E784=""), "", TEXTJOIN("; ", TRUE, IF(OR(TRIM(A784&amp;"")="", ISNUMBER(SEARCH("FALTA", A784))), "UPC faltante/inválido", ""), IF(AND(A784&lt;&gt;"", IFERROR(_xlfn.XMATCH(A784,$A$2:$A$1063,0,1)&lt;&gt;_xlfn.XMATCH(A784,$A$2:$A$1063,0,-1),FALSE)), "Código de barras duplicado", ""), IF(AND(E784&lt;&gt;"", COUNTIF($E$2:$E$1063, E784)&gt;1), "SKU duplicado", ""), IF(OR(J784="", J784=""), "[Aviso] División no capturada ()", IF(ISNA(MATCH(J784, Criterios!$A$123:$A$126, 0)), "División no válida", "")), IF(OR(K784="", K784=""), "[Aviso] Categoría no capturada ()", IF(ISNA(MATCH(K784, Criterios!$A$81:$A$120, 0)), "Categoría no válida", IF(AND(J784&lt;&gt;"", J784&lt;&gt;"", J784&lt;&gt;VLOOKUP(K784, Criterios!$A$81:$B$120, 2, FALSE)), "División no coincide con Categoría", ""))), IF(OR(L784="", L784=""), "[Aviso] Género no capturado ()", IF(ISNA(MATCH(L784, Criterios!$B$123:$B$127, 0)), "Género no válido", "")), IF(OR(N784="", N784=""), "[Aviso] Temporada no capturada ()", IF(ISNA(MATCH(N784, Criterios!$C$123:$C$128, 0)), "Temporada no válida", "")), IF(OR(O784="", O784=""), "[Aviso] Ciclo de vida no capturado ()", IF(ISNA(MATCH(O784, Criterios!$D$123:$D$124, 0)), "Ciclo de vida no válido", ""))))</f>
        <v/>
      </c>
      <c r="AC784" s="56" t="n"/>
      <c r="AD784" s="51" t="n"/>
      <c r="AE784" s="156" t="n"/>
      <c r="AF784" s="51" t="n"/>
      <c r="AG784" s="156" t="inlineStr">
        <is>
          <t>Nuevo – Carga Hoja2 01/10/2026</t>
        </is>
      </c>
      <c r="AH784" s="156" t="inlineStr">
        <is>
          <t>Alta 01/10/2026 desde Hoja2 (fila 804) | 01/10/2026: complementado desde Odoo Universal Unique Brands (match por código de barras): Enlace de imagen | Homologación G1522 06/10/2026: Validador Shopify: WB: precio con IVA no termina en 9</t>
        </is>
      </c>
      <c r="AI784" s="156" t="n"/>
      <c r="AJ784" s="156" t="n"/>
      <c r="AK784" s="155" t="inlineStr">
        <is>
          <t>Hoja2: fila 804 | Odoo: producto 11480 / plantilla 14915</t>
        </is>
      </c>
      <c r="AL784" s="58" t="n"/>
      <c r="AM784" s="58" t="n"/>
      <c r="AN784" s="155" t="inlineStr">
        <is>
          <t>Odoo Universal Unique Brands</t>
        </is>
      </c>
      <c r="AO784" s="59" t="n"/>
      <c r="AP784" s="59" t="n"/>
      <c r="AQ784" s="59" t="n">
        <v>17</v>
      </c>
      <c r="AR784" s="155" t="inlineStr">
        <is>
          <t>Odoo Universal Unique Brands › Bodega 25 › Bodega 25/General: 17</t>
        </is>
      </c>
    </row>
    <row r="785">
      <c r="A785" s="50" t="inlineStr">
        <is>
          <t>717019743025</t>
        </is>
      </c>
      <c r="B785" s="51" t="inlineStr">
        <is>
          <t>11462</t>
        </is>
      </c>
      <c r="C785" s="156" t="inlineStr">
        <is>
          <t>Wrangler</t>
        </is>
      </c>
      <c r="D785" s="156" t="inlineStr">
        <is>
          <t>WG174-2029BK</t>
        </is>
      </c>
      <c r="E785" s="156" t="inlineStr">
        <is>
          <t>WG174-2029BK</t>
        </is>
      </c>
      <c r="F785" s="156" t="inlineStr">
        <is>
          <t>Talla única</t>
        </is>
      </c>
      <c r="G785" s="156" t="inlineStr">
        <is>
          <t>One Size</t>
        </is>
      </c>
      <c r="H785" s="156" t="inlineStr">
        <is>
          <t>Wrangler</t>
        </is>
      </c>
      <c r="I785" s="156" t="inlineStr">
        <is>
          <t>Bolsa Cruzada Wrangler Tejida Suroeste Con Cordón</t>
        </is>
      </c>
      <c r="J785" s="156" t="inlineStr">
        <is>
          <t>Accesorios</t>
        </is>
      </c>
      <c r="K785" s="156" t="inlineStr">
        <is>
          <t>Bolsos</t>
        </is>
      </c>
      <c r="L785" s="156" t="inlineStr">
        <is>
          <t>Unisex</t>
        </is>
      </c>
      <c r="M785" s="156" t="inlineStr">
        <is>
          <t>Wrangler</t>
        </is>
      </c>
      <c r="N785" s="156" t="n"/>
      <c r="O785" s="156" t="n"/>
      <c r="P785" s="156" t="inlineStr">
        <is>
          <t>Negro</t>
        </is>
      </c>
      <c r="Q785" s="156" t="n"/>
      <c r="R785" s="156" t="n"/>
      <c r="S785" s="156" t="n"/>
      <c r="T785" s="156" t="inlineStr">
        <is>
          <t>Bolsa Cruzada</t>
        </is>
      </c>
      <c r="U785" s="156" t="inlineStr">
        <is>
          <t>México</t>
        </is>
      </c>
      <c r="V785" s="156" t="inlineStr">
        <is>
          <t>PZS</t>
        </is>
      </c>
      <c r="W785" s="51" t="inlineStr">
        <is>
          <t>53121601</t>
        </is>
      </c>
      <c r="X785" s="156" t="inlineStr">
        <is>
          <t>https://m-universal-unique-brands.odoo.com/web/image/product.product/11462/image_1920</t>
        </is>
      </c>
      <c r="Y785" s="54" t="n">
        <v>500.25</v>
      </c>
      <c r="Z785" s="54" t="n">
        <v>809</v>
      </c>
      <c r="AA785" s="55">
        <f>IF(AND(A785="", B785="", E785=""), "", IF(AB785="", "Válido", IF((LEN(AB785)-LEN(SUBSTITUTE(AB785,"; ","")))/2+1&gt;(LEN(AB785)-LEN(SUBSTITUTE(AB785,"[Aviso]","")))/7, "Con Incidencias", "Válido")))</f>
        <v/>
      </c>
      <c r="AB785" s="56">
        <f>IF(AND(A785="", B785="", E785=""), "", TEXTJOIN("; ", TRUE, IF(OR(TRIM(A785&amp;"")="", ISNUMBER(SEARCH("FALTA", A785))), "UPC faltante/inválido", ""), IF(AND(A785&lt;&gt;"", IFERROR(_xlfn.XMATCH(A785,$A$2:$A$1063,0,1)&lt;&gt;_xlfn.XMATCH(A785,$A$2:$A$1063,0,-1),FALSE)), "Código de barras duplicado", ""), IF(AND(E785&lt;&gt;"", COUNTIF($E$2:$E$1063, E785)&gt;1), "SKU duplicado", ""), IF(OR(J785="", J785=""), "[Aviso] División no capturada ()", IF(ISNA(MATCH(J785, Criterios!$A$123:$A$126, 0)), "División no válida", "")), IF(OR(K785="", K785=""), "[Aviso] Categoría no capturada ()", IF(ISNA(MATCH(K785, Criterios!$A$81:$A$120, 0)), "Categoría no válida", IF(AND(J785&lt;&gt;"", J785&lt;&gt;"", J785&lt;&gt;VLOOKUP(K785, Criterios!$A$81:$B$120, 2, FALSE)), "División no coincide con Categoría", ""))), IF(OR(L785="", L785=""), "[Aviso] Género no capturado ()", IF(ISNA(MATCH(L785, Criterios!$B$123:$B$127, 0)), "Género no válido", "")), IF(OR(N785="", N785=""), "[Aviso] Temporada no capturada ()", IF(ISNA(MATCH(N785, Criterios!$C$123:$C$128, 0)), "Temporada no válida", "")), IF(OR(O785="", O785=""), "[Aviso] Ciclo de vida no capturado ()", IF(ISNA(MATCH(O785, Criterios!$D$123:$D$124, 0)), "Ciclo de vida no válido", ""))))</f>
        <v/>
      </c>
      <c r="AC785" s="56" t="n"/>
      <c r="AD785" s="51" t="n"/>
      <c r="AE785" s="156" t="n"/>
      <c r="AF785" s="51" t="n"/>
      <c r="AG785" s="156" t="inlineStr">
        <is>
          <t>Nuevo – Carga Hoja2 01/10/2026</t>
        </is>
      </c>
      <c r="AH785" s="156" t="inlineStr">
        <is>
          <t>Alta 01/10/2026 desde Hoja2 (fila 805)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785" s="156" t="n"/>
      <c r="AJ785" s="156" t="n"/>
      <c r="AK785" s="155" t="inlineStr">
        <is>
          <t>Hoja2: fila 805 | Odoo: producto 11462 / plantilla 14897</t>
        </is>
      </c>
      <c r="AL785" s="58" t="n"/>
      <c r="AM785" s="58" t="n"/>
      <c r="AN785" s="155" t="inlineStr">
        <is>
          <t>Odoo Universal Unique Brands</t>
        </is>
      </c>
      <c r="AO785" s="59" t="n"/>
      <c r="AP785" s="59" t="n"/>
      <c r="AQ785" s="59" t="n">
        <v>5</v>
      </c>
      <c r="AR785" s="155" t="inlineStr">
        <is>
          <t>Odoo Universal Unique Brands › Bodega 25 › Bodega 25/General: 5</t>
        </is>
      </c>
    </row>
    <row r="786">
      <c r="A786" s="50" t="inlineStr">
        <is>
          <t>717019743117</t>
        </is>
      </c>
      <c r="B786" s="51" t="inlineStr">
        <is>
          <t>15593</t>
        </is>
      </c>
      <c r="C786" s="156" t="inlineStr">
        <is>
          <t>Wrangler</t>
        </is>
      </c>
      <c r="D786" s="156" t="inlineStr">
        <is>
          <t>WG174-210BR</t>
        </is>
      </c>
      <c r="E786" s="156" t="inlineStr">
        <is>
          <t>WG174-210BR</t>
        </is>
      </c>
      <c r="F786" s="156" t="inlineStr">
        <is>
          <t>Talla única</t>
        </is>
      </c>
      <c r="G786" s="156" t="inlineStr">
        <is>
          <t>One Size</t>
        </is>
      </c>
      <c r="H786" s="156" t="inlineStr">
        <is>
          <t>Wrangler</t>
        </is>
      </c>
      <c r="I786" s="156" t="inlineStr">
        <is>
          <t>Bolsa De Mano Wrangler Café</t>
        </is>
      </c>
      <c r="J786" s="156" t="inlineStr">
        <is>
          <t>Accesorios</t>
        </is>
      </c>
      <c r="K786" s="156" t="inlineStr">
        <is>
          <t>Bolsos</t>
        </is>
      </c>
      <c r="L786" s="156" t="inlineStr">
        <is>
          <t>Unisex</t>
        </is>
      </c>
      <c r="M786" s="156" t="inlineStr">
        <is>
          <t>Wrangler</t>
        </is>
      </c>
      <c r="N786" s="156" t="n"/>
      <c r="O786" s="156" t="inlineStr">
        <is>
          <t>Core</t>
        </is>
      </c>
      <c r="P786" s="156" t="inlineStr">
        <is>
          <t>Cafe</t>
        </is>
      </c>
      <c r="Q786" s="156" t="n"/>
      <c r="R786" s="156" t="n"/>
      <c r="S786" s="156" t="n"/>
      <c r="T786" s="156" t="inlineStr">
        <is>
          <t>Bolsa De Mano Wrangler. Color: Café. Talla única. Unisex. País de origen: México. Referencia: WG174-210BR.</t>
        </is>
      </c>
      <c r="U786" s="156" t="inlineStr">
        <is>
          <t>México</t>
        </is>
      </c>
      <c r="V786" s="156" t="inlineStr">
        <is>
          <t>PZS</t>
        </is>
      </c>
      <c r="W786" s="51" t="inlineStr">
        <is>
          <t>53121601</t>
        </is>
      </c>
      <c r="X786" s="156" t="inlineStr">
        <is>
          <t>https://m-universal-unique-brands.odoo.com/web/image/product.product/15593/image_1920</t>
        </is>
      </c>
      <c r="Y786" s="54" t="n"/>
      <c r="Z786" s="54" t="n">
        <v>499</v>
      </c>
      <c r="AA786" s="55">
        <f>IF(AND(A786="", B786="", E786=""), "", IF(AB786="", "Válido", IF((LEN(AB786)-LEN(SUBSTITUTE(AB786,"; ","")))/2+1&gt;(LEN(AB786)-LEN(SUBSTITUTE(AB786,"[Aviso]","")))/7, "Con Incidencias", "Válido")))</f>
        <v/>
      </c>
      <c r="AB786" s="56">
        <f>IF(AND(A786="", B786="", E786=""), "", TEXTJOIN("; ", TRUE, IF(OR(TRIM(A786&amp;"")="", ISNUMBER(SEARCH("FALTA", A786))), "UPC faltante/inválido", ""), IF(AND(A786&lt;&gt;"", IFERROR(_xlfn.XMATCH(A786,$A$2:$A$1063,0,1)&lt;&gt;_xlfn.XMATCH(A786,$A$2:$A$1063,0,-1),FALSE)), "Código de barras duplicado", ""), IF(AND(E786&lt;&gt;"", COUNTIF($E$2:$E$1063, E786)&gt;1), "SKU duplicado", ""), IF(OR(J786="", J786=""), "[Aviso] División no capturada ()", IF(ISNA(MATCH(J786, Criterios!$A$123:$A$126, 0)), "División no válida", "")), IF(OR(K786="", K786=""), "[Aviso] Categoría no capturada ()", IF(ISNA(MATCH(K786, Criterios!$A$81:$A$120, 0)), "Categoría no válida", IF(AND(J786&lt;&gt;"", J786&lt;&gt;"", J786&lt;&gt;VLOOKUP(K786, Criterios!$A$81:$B$120, 2, FALSE)), "División no coincide con Categoría", ""))), IF(OR(L786="", L786=""), "[Aviso] Género no capturado ()", IF(ISNA(MATCH(L786, Criterios!$B$123:$B$127, 0)), "Género no válido", "")), IF(OR(N786="", N786=""), "[Aviso] Temporada no capturada ()", IF(ISNA(MATCH(N786, Criterios!$C$123:$C$128, 0)), "Temporada no válida", "")), IF(OR(O786="", O786=""), "[Aviso] Ciclo de vida no capturado ()", IF(ISNA(MATCH(O786, Criterios!$D$123:$D$124, 0)), "Ciclo de vida no válido", ""))))</f>
        <v/>
      </c>
      <c r="AC786" s="56" t="n"/>
      <c r="AD786" s="51" t="n"/>
      <c r="AE786" s="156" t="n"/>
      <c r="AF786" s="51" t="n"/>
      <c r="AG786" s="156" t="inlineStr">
        <is>
          <t>Nuevo – Carga Hoja2 01/10/2026</t>
        </is>
      </c>
      <c r="AH786" s="156" t="inlineStr">
        <is>
          <t>Alta 01/10/2026 desde Hoja2 (fila 806); Precio de compra en 0/vacío en origen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786" s="156" t="n"/>
      <c r="AJ786" s="156" t="n"/>
      <c r="AK786" s="155" t="inlineStr">
        <is>
          <t>Hoja2: fila 806 | Odoo: producto 15593 / plantilla 19946 | Odoo: producto 27299 / plantilla 33999</t>
        </is>
      </c>
      <c r="AL786" s="58" t="n"/>
      <c r="AM786" s="58" t="n"/>
      <c r="AN786" s="155" t="inlineStr">
        <is>
          <t>Odoo Universal Unique Brands</t>
        </is>
      </c>
      <c r="AO786" s="59" t="n"/>
      <c r="AP786" s="59" t="n"/>
      <c r="AQ786" s="59" t="n">
        <v>34</v>
      </c>
      <c r="AR786" s="155" t="inlineStr">
        <is>
          <t>Odoo Universal Unique Brands › Bodega 25 › Bodega 25/General: 33 | Odoo Universal Unique Brands › Bodega 25 › Bodega 25/General: 1</t>
        </is>
      </c>
    </row>
    <row r="787">
      <c r="A787" s="50" t="inlineStr">
        <is>
          <t>717019742752</t>
        </is>
      </c>
      <c r="B787" s="51" t="inlineStr">
        <is>
          <t>11380</t>
        </is>
      </c>
      <c r="C787" s="156" t="inlineStr">
        <is>
          <t>Wrangler</t>
        </is>
      </c>
      <c r="D787" s="156" t="inlineStr">
        <is>
          <t>WG174-5110BR</t>
        </is>
      </c>
      <c r="E787" s="156" t="inlineStr">
        <is>
          <t>WG174-5110BR</t>
        </is>
      </c>
      <c r="F787" s="156" t="inlineStr">
        <is>
          <t>Talla única</t>
        </is>
      </c>
      <c r="G787" s="156" t="inlineStr">
        <is>
          <t>One Size</t>
        </is>
      </c>
      <c r="H787" s="156" t="inlineStr">
        <is>
          <t>Wrangler</t>
        </is>
      </c>
      <c r="I787" s="156" t="inlineStr">
        <is>
          <t>Maleta Duffle Wrangler Estampado Suroeste Café</t>
        </is>
      </c>
      <c r="J787" s="156" t="inlineStr">
        <is>
          <t>Accesorios</t>
        </is>
      </c>
      <c r="K787" s="156" t="inlineStr">
        <is>
          <t>Equipaje</t>
        </is>
      </c>
      <c r="L787" s="156" t="inlineStr">
        <is>
          <t>Unisex</t>
        </is>
      </c>
      <c r="M787" s="156" t="inlineStr">
        <is>
          <t>Wrangler</t>
        </is>
      </c>
      <c r="N787" s="156" t="n"/>
      <c r="O787" s="156" t="inlineStr">
        <is>
          <t>Core</t>
        </is>
      </c>
      <c r="P787" s="156" t="inlineStr">
        <is>
          <t>Cafe</t>
        </is>
      </c>
      <c r="Q787" s="156" t="n"/>
      <c r="R787" s="156" t="n"/>
      <c r="S787" s="156" t="n"/>
      <c r="T787" s="156" t="inlineStr">
        <is>
          <t>Maleta Duffle Wrangler. Modelo: Estampado Suroeste. Color: Café. Talla única. Unisex. País de origen: México. Referencia: WG174-5110BR.</t>
        </is>
      </c>
      <c r="U787" s="156" t="inlineStr">
        <is>
          <t>México</t>
        </is>
      </c>
      <c r="V787" s="156" t="inlineStr">
        <is>
          <t>PZS</t>
        </is>
      </c>
      <c r="W787" s="51" t="inlineStr">
        <is>
          <t>53121601</t>
        </is>
      </c>
      <c r="X787" s="156" t="inlineStr">
        <is>
          <t>https://m-universal-unique-brands.odoo.com/web/image/product.product/11380/image_1920</t>
        </is>
      </c>
      <c r="Y787" s="54" t="n">
        <v>586.5</v>
      </c>
      <c r="Z787" s="54" t="n">
        <v>939</v>
      </c>
      <c r="AA787" s="55">
        <f>IF(AND(A787="", B787="", E787=""), "", IF(AB787="", "Válido", IF((LEN(AB787)-LEN(SUBSTITUTE(AB787,"; ","")))/2+1&gt;(LEN(AB787)-LEN(SUBSTITUTE(AB787,"[Aviso]","")))/7, "Con Incidencias", "Válido")))</f>
        <v/>
      </c>
      <c r="AB787" s="56">
        <f>IF(AND(A787="", B787="", E787=""), "", TEXTJOIN("; ", TRUE, IF(OR(TRIM(A787&amp;"")="", ISNUMBER(SEARCH("FALTA", A787))), "UPC faltante/inválido", ""), IF(AND(A787&lt;&gt;"", IFERROR(_xlfn.XMATCH(A787,$A$2:$A$1063,0,1)&lt;&gt;_xlfn.XMATCH(A787,$A$2:$A$1063,0,-1),FALSE)), "Código de barras duplicado", ""), IF(AND(E787&lt;&gt;"", COUNTIF($E$2:$E$1063, E787)&gt;1), "SKU duplicado", ""), IF(OR(J787="", J787=""), "[Aviso] División no capturada ()", IF(ISNA(MATCH(J787, Criterios!$A$123:$A$126, 0)), "División no válida", "")), IF(OR(K787="", K787=""), "[Aviso] Categoría no capturada ()", IF(ISNA(MATCH(K787, Criterios!$A$81:$A$120, 0)), "Categoría no válida", IF(AND(J787&lt;&gt;"", J787&lt;&gt;"", J787&lt;&gt;VLOOKUP(K787, Criterios!$A$81:$B$120, 2, FALSE)), "División no coincide con Categoría", ""))), IF(OR(L787="", L787=""), "[Aviso] Género no capturado ()", IF(ISNA(MATCH(L787, Criterios!$B$123:$B$127, 0)), "Género no válido", "")), IF(OR(N787="", N787=""), "[Aviso] Temporada no capturada ()", IF(ISNA(MATCH(N787, Criterios!$C$123:$C$128, 0)), "Temporada no válida", "")), IF(OR(O787="", O787=""), "[Aviso] Ciclo de vida no capturado ()", IF(ISNA(MATCH(O787, Criterios!$D$123:$D$124, 0)), "Ciclo de vida no válido", ""))))</f>
        <v/>
      </c>
      <c r="AC787" s="56" t="n"/>
      <c r="AD787" s="51" t="n"/>
      <c r="AE787" s="156" t="n"/>
      <c r="AF787" s="51" t="n"/>
      <c r="AG787" s="156" t="inlineStr">
        <is>
          <t>Nuevo – Carga Hoja2 01/10/2026</t>
        </is>
      </c>
      <c r="AH787" s="156" t="inlineStr">
        <is>
          <t>Alta 01/10/2026 desde Hoja2 (fila 808) | 01/10/2026: complementado desde Odoo Universal Unique Brands (match por código de barras): Enlace de imagen</t>
        </is>
      </c>
      <c r="AI787" s="156" t="n"/>
      <c r="AJ787" s="156" t="n"/>
      <c r="AK787" s="155" t="inlineStr">
        <is>
          <t>Hoja2: fila 808 | Odoo: producto 11380 / plantilla 14815</t>
        </is>
      </c>
      <c r="AL787" s="58" t="n"/>
      <c r="AM787" s="58" t="n"/>
      <c r="AN787" s="155" t="inlineStr">
        <is>
          <t>Odoo Universal Unique Brands</t>
        </is>
      </c>
      <c r="AO787" s="59" t="n"/>
      <c r="AP787" s="59" t="n"/>
      <c r="AQ787" s="59" t="n">
        <v>36</v>
      </c>
      <c r="AR787" s="155" t="inlineStr">
        <is>
          <t>Odoo Universal Unique Brands › Bodega 25 › Bodega 25/General: 36</t>
        </is>
      </c>
    </row>
    <row r="788">
      <c r="A788" s="50" t="inlineStr">
        <is>
          <t>717325208607</t>
        </is>
      </c>
      <c r="B788" s="51" t="inlineStr">
        <is>
          <t>14899</t>
        </is>
      </c>
      <c r="C788" s="156" t="inlineStr">
        <is>
          <t>Wrangler</t>
        </is>
      </c>
      <c r="D788" s="156" t="inlineStr">
        <is>
          <t>WG174-8600OR</t>
        </is>
      </c>
      <c r="E788" s="156" t="inlineStr">
        <is>
          <t>WG174-8600OR</t>
        </is>
      </c>
      <c r="F788" s="156" t="inlineStr">
        <is>
          <t>Talla única</t>
        </is>
      </c>
      <c r="G788" s="156" t="inlineStr">
        <is>
          <t>One Size</t>
        </is>
      </c>
      <c r="H788" s="156" t="inlineStr">
        <is>
          <t>Wrangler</t>
        </is>
      </c>
      <c r="I788" s="156" t="inlineStr">
        <is>
          <t>WG174-8600OR</t>
        </is>
      </c>
      <c r="J788" s="156" t="inlineStr">
        <is>
          <t>Accesorios</t>
        </is>
      </c>
      <c r="K788" s="156" t="inlineStr">
        <is>
          <t>Mochilas</t>
        </is>
      </c>
      <c r="L788" s="156" t="inlineStr">
        <is>
          <t>Unisex</t>
        </is>
      </c>
      <c r="M788" s="156" t="inlineStr">
        <is>
          <t>Wrangler</t>
        </is>
      </c>
      <c r="N788" s="156" t="n"/>
      <c r="O788" s="156" t="n"/>
      <c r="P788" s="156" t="inlineStr">
        <is>
          <t>Naranja</t>
        </is>
      </c>
      <c r="Q788" s="156" t="n"/>
      <c r="R788" s="156" t="n"/>
      <c r="S788" s="156" t="n"/>
      <c r="T788" s="156" t="n"/>
      <c r="U788" s="156" t="inlineStr">
        <is>
          <t>México</t>
        </is>
      </c>
      <c r="V788" s="156" t="inlineStr">
        <is>
          <t>PZS</t>
        </is>
      </c>
      <c r="W788" s="51" t="inlineStr">
        <is>
          <t>53121601</t>
        </is>
      </c>
      <c r="X788" s="156" t="n"/>
      <c r="Y788" s="54" t="n"/>
      <c r="Z788" s="54" t="n">
        <v>449</v>
      </c>
      <c r="AA788" s="55">
        <f>IF(AND(A788="", B788="", E788=""), "", IF(AB788="", "Válido", IF((LEN(AB788)-LEN(SUBSTITUTE(AB788,"; ","")))/2+1&gt;(LEN(AB788)-LEN(SUBSTITUTE(AB788,"[Aviso]","")))/7, "Con Incidencias", "Válido")))</f>
        <v/>
      </c>
      <c r="AB788" s="56">
        <f>IF(AND(A788="", B788="", E788=""), "", TEXTJOIN("; ", TRUE, IF(OR(TRIM(A788&amp;"")="", ISNUMBER(SEARCH("FALTA", A788))), "UPC faltante/inválido", ""), IF(AND(A788&lt;&gt;"", IFERROR(_xlfn.XMATCH(A788,$A$2:$A$1063,0,1)&lt;&gt;_xlfn.XMATCH(A788,$A$2:$A$1063,0,-1),FALSE)), "Código de barras duplicado", ""), IF(AND(E788&lt;&gt;"", COUNTIF($E$2:$E$1063, E788)&gt;1), "SKU duplicado", ""), IF(OR(J788="", J788=""), "[Aviso] División no capturada ()", IF(ISNA(MATCH(J788, Criterios!$A$123:$A$126, 0)), "División no válida", "")), IF(OR(K788="", K788=""), "[Aviso] Categoría no capturada ()", IF(ISNA(MATCH(K788, Criterios!$A$81:$A$120, 0)), "Categoría no válida", IF(AND(J788&lt;&gt;"", J788&lt;&gt;"", J788&lt;&gt;VLOOKUP(K788, Criterios!$A$81:$B$120, 2, FALSE)), "División no coincide con Categoría", ""))), IF(OR(L788="", L788=""), "[Aviso] Género no capturado ()", IF(ISNA(MATCH(L788, Criterios!$B$123:$B$127, 0)), "Género no válido", "")), IF(OR(N788="", N788=""), "[Aviso] Temporada no capturada ()", IF(ISNA(MATCH(N788, Criterios!$C$123:$C$128, 0)), "Temporada no válida", "")), IF(OR(O788="", O788=""), "[Aviso] Ciclo de vida no capturado ()", IF(ISNA(MATCH(O788, Criterios!$D$123:$D$124, 0)), "Ciclo de vida no válido", ""))))</f>
        <v/>
      </c>
      <c r="AC788" s="56" t="n"/>
      <c r="AD788" s="51" t="n"/>
      <c r="AE788" s="156" t="n"/>
      <c r="AF788" s="51" t="n"/>
      <c r="AG788" s="156" t="inlineStr">
        <is>
          <t>Nuevo – Carga Hoja2 01/10/2026</t>
        </is>
      </c>
      <c r="AH788" s="156" t="inlineStr">
        <is>
          <t>Alta 01/10/2026 desde Hoja2 (fila 809); Precio de compra en 0/vacío en origen | 01/10/2026: complementado desde Odoo Universal Unique Brands (match por código de barras): WB Talla, WB Talla de EE. UU. | Homologación G1522 06/10/2026: WB País de origen: «Mexico» → «México» (Corrección aplicada) · Validador Shopify: WB: precio con IVA no termina en 9</t>
        </is>
      </c>
      <c r="AI788" s="156" t="n"/>
      <c r="AJ788" s="156" t="n"/>
      <c r="AK788" s="155" t="inlineStr">
        <is>
          <t>Hoja2: fila 809 | Odoo: producto 14899 / plantilla 19252</t>
        </is>
      </c>
      <c r="AL788" s="58" t="n"/>
      <c r="AM788" s="58" t="n"/>
      <c r="AN788" s="155" t="inlineStr">
        <is>
          <t>Odoo Universal Unique Brands</t>
        </is>
      </c>
      <c r="AO788" s="59" t="n"/>
      <c r="AP788" s="59" t="n"/>
      <c r="AQ788" s="59" t="n">
        <v>0</v>
      </c>
      <c r="AR788" s="155" t="n"/>
    </row>
    <row r="789">
      <c r="A789" s="50" t="inlineStr">
        <is>
          <t>717325208645</t>
        </is>
      </c>
      <c r="B789" s="51" t="inlineStr">
        <is>
          <t>11503</t>
        </is>
      </c>
      <c r="C789" s="156" t="inlineStr">
        <is>
          <t>Wrangler</t>
        </is>
      </c>
      <c r="D789" s="156" t="inlineStr">
        <is>
          <t>WG174-8601BR</t>
        </is>
      </c>
      <c r="E789" s="156" t="inlineStr">
        <is>
          <t>WG174-8601BR</t>
        </is>
      </c>
      <c r="F789" s="156" t="inlineStr">
        <is>
          <t>Talla única</t>
        </is>
      </c>
      <c r="G789" s="156" t="inlineStr">
        <is>
          <t>One Size</t>
        </is>
      </c>
      <c r="H789" s="156" t="inlineStr">
        <is>
          <t>Wrangler</t>
        </is>
      </c>
      <c r="I789" s="156" t="inlineStr">
        <is>
          <t>Mochila Mini Wrangler Tejida Suroeste Con Monedero</t>
        </is>
      </c>
      <c r="J789" s="156" t="inlineStr">
        <is>
          <t>Accesorios</t>
        </is>
      </c>
      <c r="K789" s="156" t="inlineStr">
        <is>
          <t>Bolsos</t>
        </is>
      </c>
      <c r="L789" s="156" t="inlineStr">
        <is>
          <t>Unisex</t>
        </is>
      </c>
      <c r="M789" s="156" t="inlineStr">
        <is>
          <t>Wrangler</t>
        </is>
      </c>
      <c r="N789" s="156" t="n"/>
      <c r="O789" s="156" t="n"/>
      <c r="P789" s="156" t="inlineStr">
        <is>
          <t>Cafe</t>
        </is>
      </c>
      <c r="Q789" s="156" t="n"/>
      <c r="R789" s="156" t="n"/>
      <c r="S789" s="156" t="n"/>
      <c r="T789" s="156" t="inlineStr">
        <is>
          <t>Mochila Mini</t>
        </is>
      </c>
      <c r="U789" s="156" t="inlineStr">
        <is>
          <t>México</t>
        </is>
      </c>
      <c r="V789" s="156" t="inlineStr">
        <is>
          <t>PZS</t>
        </is>
      </c>
      <c r="W789" s="51" t="inlineStr">
        <is>
          <t>53121601</t>
        </is>
      </c>
      <c r="X789" s="156" t="inlineStr">
        <is>
          <t>https://m-universal-unique-brands.odoo.com/web/image/product.product/11503/image_1920</t>
        </is>
      </c>
      <c r="Y789" s="54" t="n">
        <v>16</v>
      </c>
      <c r="Z789" s="54" t="n">
        <v>449</v>
      </c>
      <c r="AA789" s="55">
        <f>IF(AND(A789="", B789="", E789=""), "", IF(AB789="", "Válido", IF((LEN(AB789)-LEN(SUBSTITUTE(AB789,"; ","")))/2+1&gt;(LEN(AB789)-LEN(SUBSTITUTE(AB789,"[Aviso]","")))/7, "Con Incidencias", "Válido")))</f>
        <v/>
      </c>
      <c r="AB789" s="56">
        <f>IF(AND(A789="", B789="", E789=""), "", TEXTJOIN("; ", TRUE, IF(OR(TRIM(A789&amp;"")="", ISNUMBER(SEARCH("FALTA", A789))), "UPC faltante/inválido", ""), IF(AND(A789&lt;&gt;"", IFERROR(_xlfn.XMATCH(A789,$A$2:$A$1063,0,1)&lt;&gt;_xlfn.XMATCH(A789,$A$2:$A$1063,0,-1),FALSE)), "Código de barras duplicado", ""), IF(AND(E789&lt;&gt;"", COUNTIF($E$2:$E$1063, E789)&gt;1), "SKU duplicado", ""), IF(OR(J789="", J789=""), "[Aviso] División no capturada ()", IF(ISNA(MATCH(J789, Criterios!$A$123:$A$126, 0)), "División no válida", "")), IF(OR(K789="", K789=""), "[Aviso] Categoría no capturada ()", IF(ISNA(MATCH(K789, Criterios!$A$81:$A$120, 0)), "Categoría no válida", IF(AND(J789&lt;&gt;"", J789&lt;&gt;"", J789&lt;&gt;VLOOKUP(K789, Criterios!$A$81:$B$120, 2, FALSE)), "División no coincide con Categoría", ""))), IF(OR(L789="", L789=""), "[Aviso] Género no capturado ()", IF(ISNA(MATCH(L789, Criterios!$B$123:$B$127, 0)), "Género no válido", "")), IF(OR(N789="", N789=""), "[Aviso] Temporada no capturada ()", IF(ISNA(MATCH(N789, Criterios!$C$123:$C$128, 0)), "Temporada no válida", "")), IF(OR(O789="", O789=""), "[Aviso] Ciclo de vida no capturado ()", IF(ISNA(MATCH(O789, Criterios!$D$123:$D$124, 0)), "Ciclo de vida no válido", ""))))</f>
        <v/>
      </c>
      <c r="AC789" s="56" t="n"/>
      <c r="AD789" s="51" t="n"/>
      <c r="AE789" s="156" t="n"/>
      <c r="AF789" s="51" t="n"/>
      <c r="AG789" s="156" t="inlineStr">
        <is>
          <t>Nuevo – Carga Hoja2 01/10/2026</t>
        </is>
      </c>
      <c r="AH789" s="156" t="inlineStr">
        <is>
          <t>Alta 01/10/2026 desde Hoja2 (fila 810) | 01/10/2026: complementado desde Odoo Universal Unique Brands (match por código de barras): WB Talla, WB Talla de EE. UU., WB Descripción larga, Enlace de imagen | 01/10/2026: Odoo Universal Unique Brands trae Categoría «Mochilas» — se conservó el valor de Productos | Homologación G1522 06/10/2026: WB País de origen: «Mexico» → «México» (Corrección aplicada) · Validación G1522: [Aviso] Precio de compra posiblemente en USD · Validador Shopify: WB: precio con IVA no termina en 9</t>
        </is>
      </c>
      <c r="AI789" s="156" t="n"/>
      <c r="AJ789" s="156" t="n"/>
      <c r="AK789" s="155" t="inlineStr">
        <is>
          <t>Hoja2: fila 810 | Odoo: producto 11503 / plantilla 14938</t>
        </is>
      </c>
      <c r="AL789" s="58" t="n"/>
      <c r="AM789" s="58" t="n"/>
      <c r="AN789" s="155" t="inlineStr">
        <is>
          <t>Odoo Universal Unique Brands</t>
        </is>
      </c>
      <c r="AO789" s="59" t="n"/>
      <c r="AP789" s="59" t="n"/>
      <c r="AQ789" s="59" t="n">
        <v>26</v>
      </c>
      <c r="AR789" s="155" t="inlineStr">
        <is>
          <t>Odoo Universal Unique Brands › Bodega 25 › Bodega 25/General: 26</t>
        </is>
      </c>
    </row>
    <row r="790">
      <c r="A790" s="50" t="inlineStr">
        <is>
          <t>717325208423</t>
        </is>
      </c>
      <c r="B790" s="51" t="inlineStr">
        <is>
          <t>11511</t>
        </is>
      </c>
      <c r="C790" s="156" t="inlineStr">
        <is>
          <t>Wrangler</t>
        </is>
      </c>
      <c r="D790" s="156" t="inlineStr">
        <is>
          <t>WG174-91153TQ</t>
        </is>
      </c>
      <c r="E790" s="156" t="inlineStr">
        <is>
          <t>WG174-91153TQ</t>
        </is>
      </c>
      <c r="F790" s="156" t="inlineStr">
        <is>
          <t>Talla única</t>
        </is>
      </c>
      <c r="G790" s="156" t="inlineStr">
        <is>
          <t>One Size</t>
        </is>
      </c>
      <c r="H790" s="156" t="inlineStr">
        <is>
          <t>Wrangler</t>
        </is>
      </c>
      <c r="I790" s="156" t="inlineStr">
        <is>
          <t>Mochila Wrangler Tejida Suroeste Turquesa</t>
        </is>
      </c>
      <c r="J790" s="156" t="inlineStr">
        <is>
          <t>Accesorios</t>
        </is>
      </c>
      <c r="K790" s="156" t="inlineStr">
        <is>
          <t>Mochilas</t>
        </is>
      </c>
      <c r="L790" s="156" t="inlineStr">
        <is>
          <t>Unisex</t>
        </is>
      </c>
      <c r="M790" s="156" t="inlineStr">
        <is>
          <t>Wrangler</t>
        </is>
      </c>
      <c r="N790" s="156" t="n"/>
      <c r="O790" s="156" t="inlineStr">
        <is>
          <t>Core</t>
        </is>
      </c>
      <c r="P790" s="156" t="inlineStr">
        <is>
          <t>Azul</t>
        </is>
      </c>
      <c r="Q790" s="156" t="n"/>
      <c r="R790" s="156" t="n"/>
      <c r="S790" s="156" t="n"/>
      <c r="T790" s="156" t="inlineStr">
        <is>
          <t>Mochila Wrangler. Modelo: Tejida Suroeste. Color: Turquesa. Talla única. Unisex. País de origen: México. Referencia: WG174-91153TQ.</t>
        </is>
      </c>
      <c r="U790" s="156" t="inlineStr">
        <is>
          <t>México</t>
        </is>
      </c>
      <c r="V790" s="156" t="inlineStr">
        <is>
          <t>PZS</t>
        </is>
      </c>
      <c r="W790" s="51" t="inlineStr">
        <is>
          <t>53121601</t>
        </is>
      </c>
      <c r="X790" s="156" t="inlineStr">
        <is>
          <t>https://m-universal-unique-brands.odoo.com/web/image/product.product/11511/image_1920</t>
        </is>
      </c>
      <c r="Y790" s="54" t="n">
        <v>517.5</v>
      </c>
      <c r="Z790" s="54" t="n">
        <v>829</v>
      </c>
      <c r="AA790" s="55">
        <f>IF(AND(A790="", B790="", E790=""), "", IF(AB790="", "Válido", IF((LEN(AB790)-LEN(SUBSTITUTE(AB790,"; ","")))/2+1&gt;(LEN(AB790)-LEN(SUBSTITUTE(AB790,"[Aviso]","")))/7, "Con Incidencias", "Válido")))</f>
        <v/>
      </c>
      <c r="AB790" s="56">
        <f>IF(AND(A790="", B790="", E790=""), "", TEXTJOIN("; ", TRUE, IF(OR(TRIM(A790&amp;"")="", ISNUMBER(SEARCH("FALTA", A790))), "UPC faltante/inválido", ""), IF(AND(A790&lt;&gt;"", IFERROR(_xlfn.XMATCH(A790,$A$2:$A$1063,0,1)&lt;&gt;_xlfn.XMATCH(A790,$A$2:$A$1063,0,-1),FALSE)), "Código de barras duplicado", ""), IF(AND(E790&lt;&gt;"", COUNTIF($E$2:$E$1063, E790)&gt;1), "SKU duplicado", ""), IF(OR(J790="", J790=""), "[Aviso] División no capturada ()", IF(ISNA(MATCH(J790, Criterios!$A$123:$A$126, 0)), "División no válida", "")), IF(OR(K790="", K790=""), "[Aviso] Categoría no capturada ()", IF(ISNA(MATCH(K790, Criterios!$A$81:$A$120, 0)), "Categoría no válida", IF(AND(J790&lt;&gt;"", J790&lt;&gt;"", J790&lt;&gt;VLOOKUP(K790, Criterios!$A$81:$B$120, 2, FALSE)), "División no coincide con Categoría", ""))), IF(OR(L790="", L790=""), "[Aviso] Género no capturado ()", IF(ISNA(MATCH(L790, Criterios!$B$123:$B$127, 0)), "Género no válido", "")), IF(OR(N790="", N790=""), "[Aviso] Temporada no capturada ()", IF(ISNA(MATCH(N790, Criterios!$C$123:$C$128, 0)), "Temporada no válida", "")), IF(OR(O790="", O790=""), "[Aviso] Ciclo de vida no capturado ()", IF(ISNA(MATCH(O790, Criterios!$D$123:$D$124, 0)), "Ciclo de vida no válido", ""))))</f>
        <v/>
      </c>
      <c r="AC790" s="56" t="n"/>
      <c r="AD790" s="51" t="n"/>
      <c r="AE790" s="156" t="n"/>
      <c r="AF790" s="51" t="n"/>
      <c r="AG790" s="156" t="inlineStr">
        <is>
          <t>Nuevo – Carga Hoja2 01/10/2026</t>
        </is>
      </c>
      <c r="AH790" s="156" t="inlineStr">
        <is>
          <t>Alta 01/10/2026 desde Hoja2 (fila 811) | 01/10/2026: complementado desde Odoo Universal Unique Brands (match por código de barras): Enlace de imagen | Homologación G1522 06/10/2026: Validador Shopify: WB: precio con IVA no termina en 9</t>
        </is>
      </c>
      <c r="AI790" s="156" t="n"/>
      <c r="AJ790" s="156" t="n"/>
      <c r="AK790" s="155" t="inlineStr">
        <is>
          <t>Hoja2: fila 811 | Odoo: producto 11511 / plantilla 14946</t>
        </is>
      </c>
      <c r="AL790" s="58" t="n"/>
      <c r="AM790" s="58" t="n"/>
      <c r="AN790" s="155" t="inlineStr">
        <is>
          <t>Odoo Universal Unique Brands</t>
        </is>
      </c>
      <c r="AO790" s="59" t="n"/>
      <c r="AP790" s="59" t="n"/>
      <c r="AQ790" s="59" t="n">
        <v>12</v>
      </c>
      <c r="AR790" s="155" t="inlineStr">
        <is>
          <t>Odoo Universal Unique Brands › Bodega 25 › Bodega 25/General: 12</t>
        </is>
      </c>
    </row>
    <row r="791">
      <c r="A791" s="50" t="inlineStr">
        <is>
          <t>717019742875</t>
        </is>
      </c>
      <c r="B791" s="51" t="inlineStr">
        <is>
          <t>11490</t>
        </is>
      </c>
      <c r="C791" s="156" t="inlineStr">
        <is>
          <t>Wrangler</t>
        </is>
      </c>
      <c r="D791" s="156" t="inlineStr">
        <is>
          <t>WG174-9115BR</t>
        </is>
      </c>
      <c r="E791" s="156" t="inlineStr">
        <is>
          <t>WG174-9115BR</t>
        </is>
      </c>
      <c r="F791" s="156" t="inlineStr">
        <is>
          <t>Talla única</t>
        </is>
      </c>
      <c r="G791" s="156" t="inlineStr">
        <is>
          <t>One Size</t>
        </is>
      </c>
      <c r="H791" s="156" t="inlineStr">
        <is>
          <t>Wrangler</t>
        </is>
      </c>
      <c r="I791" s="156" t="inlineStr">
        <is>
          <t>Mochila Wrangler Tejida Suroeste Café</t>
        </is>
      </c>
      <c r="J791" s="156" t="inlineStr">
        <is>
          <t>Accesorios</t>
        </is>
      </c>
      <c r="K791" s="156" t="inlineStr">
        <is>
          <t>Mochilas</t>
        </is>
      </c>
      <c r="L791" s="156" t="inlineStr">
        <is>
          <t>Unisex</t>
        </is>
      </c>
      <c r="M791" s="156" t="inlineStr">
        <is>
          <t>Wrangler</t>
        </is>
      </c>
      <c r="N791" s="156" t="n"/>
      <c r="O791" s="156" t="inlineStr">
        <is>
          <t>Core</t>
        </is>
      </c>
      <c r="P791" s="156" t="inlineStr">
        <is>
          <t>Cafe</t>
        </is>
      </c>
      <c r="Q791" s="156" t="n"/>
      <c r="R791" s="156" t="n"/>
      <c r="S791" s="156" t="n"/>
      <c r="T791" s="156" t="inlineStr">
        <is>
          <t>Mochila Wrangler. Modelo: Tejida Suroeste. Color: Café. Talla única. Unisex. País de origen: México. Referencia: WG174-9115BR.</t>
        </is>
      </c>
      <c r="U791" s="156" t="inlineStr">
        <is>
          <t>México</t>
        </is>
      </c>
      <c r="V791" s="156" t="inlineStr">
        <is>
          <t>PZS</t>
        </is>
      </c>
      <c r="W791" s="51" t="inlineStr">
        <is>
          <t>53121601</t>
        </is>
      </c>
      <c r="X791" s="156" t="inlineStr">
        <is>
          <t>https://m-universal-unique-brands.odoo.com/web/image/product.product/11490/image_1920</t>
        </is>
      </c>
      <c r="Y791" s="54" t="n">
        <v>517.5</v>
      </c>
      <c r="Z791" s="54" t="n">
        <v>829</v>
      </c>
      <c r="AA791" s="55">
        <f>IF(AND(A791="", B791="", E791=""), "", IF(AB791="", "Válido", IF((LEN(AB791)-LEN(SUBSTITUTE(AB791,"; ","")))/2+1&gt;(LEN(AB791)-LEN(SUBSTITUTE(AB791,"[Aviso]","")))/7, "Con Incidencias", "Válido")))</f>
        <v/>
      </c>
      <c r="AB791" s="56">
        <f>IF(AND(A791="", B791="", E791=""), "", TEXTJOIN("; ", TRUE, IF(OR(TRIM(A791&amp;"")="", ISNUMBER(SEARCH("FALTA", A791))), "UPC faltante/inválido", ""), IF(AND(A791&lt;&gt;"", IFERROR(_xlfn.XMATCH(A791,$A$2:$A$1063,0,1)&lt;&gt;_xlfn.XMATCH(A791,$A$2:$A$1063,0,-1),FALSE)), "Código de barras duplicado", ""), IF(AND(E791&lt;&gt;"", COUNTIF($E$2:$E$1063, E791)&gt;1), "SKU duplicado", ""), IF(OR(J791="", J791=""), "[Aviso] División no capturada ()", IF(ISNA(MATCH(J791, Criterios!$A$123:$A$126, 0)), "División no válida", "")), IF(OR(K791="", K791=""), "[Aviso] Categoría no capturada ()", IF(ISNA(MATCH(K791, Criterios!$A$81:$A$120, 0)), "Categoría no válida", IF(AND(J791&lt;&gt;"", J791&lt;&gt;"", J791&lt;&gt;VLOOKUP(K791, Criterios!$A$81:$B$120, 2, FALSE)), "División no coincide con Categoría", ""))), IF(OR(L791="", L791=""), "[Aviso] Género no capturado ()", IF(ISNA(MATCH(L791, Criterios!$B$123:$B$127, 0)), "Género no válido", "")), IF(OR(N791="", N791=""), "[Aviso] Temporada no capturada ()", IF(ISNA(MATCH(N791, Criterios!$C$123:$C$128, 0)), "Temporada no válida", "")), IF(OR(O791="", O791=""), "[Aviso] Ciclo de vida no capturado ()", IF(ISNA(MATCH(O791, Criterios!$D$123:$D$124, 0)), "Ciclo de vida no válido", ""))))</f>
        <v/>
      </c>
      <c r="AC791" s="56" t="n"/>
      <c r="AD791" s="51" t="n"/>
      <c r="AE791" s="156" t="n"/>
      <c r="AF791" s="51" t="n"/>
      <c r="AG791" s="156" t="inlineStr">
        <is>
          <t>Nuevo – Carga Hoja2 01/10/2026</t>
        </is>
      </c>
      <c r="AH791" s="156" t="inlineStr">
        <is>
          <t>Alta 01/10/2026 desde Hoja2 (fila 812) | 01/10/2026: complementado desde Odoo Universal Unique Brands (match por código de barras): Enlace de imagen | Homologación G1522 06/10/2026: Validador Shopify: WB: precio con IVA no termina en 9</t>
        </is>
      </c>
      <c r="AI791" s="156" t="n"/>
      <c r="AJ791" s="156" t="n"/>
      <c r="AK791" s="155" t="inlineStr">
        <is>
          <t>Hoja2: fila 812 | Odoo: producto 11490 / plantilla 14925</t>
        </is>
      </c>
      <c r="AL791" s="58" t="n"/>
      <c r="AM791" s="58" t="n"/>
      <c r="AN791" s="155" t="inlineStr">
        <is>
          <t>Odoo Universal Unique Brands</t>
        </is>
      </c>
      <c r="AO791" s="59" t="n"/>
      <c r="AP791" s="59" t="n"/>
      <c r="AQ791" s="59" t="n">
        <v>46</v>
      </c>
      <c r="AR791" s="155" t="inlineStr">
        <is>
          <t>Odoo Universal Unique Brands › Bodega 25 › Bodega 25/General: 46</t>
        </is>
      </c>
    </row>
    <row r="792">
      <c r="A792" s="50" t="inlineStr">
        <is>
          <t>717690431709</t>
        </is>
      </c>
      <c r="B792" s="51" t="inlineStr">
        <is>
          <t>30053</t>
        </is>
      </c>
      <c r="C792" s="156" t="inlineStr">
        <is>
          <t>Wrangler</t>
        </is>
      </c>
      <c r="D792" s="156" t="inlineStr">
        <is>
          <t>WG174-W006BK</t>
        </is>
      </c>
      <c r="E792" s="156" t="inlineStr">
        <is>
          <t>WG174-W006BK</t>
        </is>
      </c>
      <c r="F792" s="156" t="inlineStr">
        <is>
          <t>Talla única</t>
        </is>
      </c>
      <c r="G792" s="156" t="inlineStr">
        <is>
          <t>One Size</t>
        </is>
      </c>
      <c r="H792" s="156" t="inlineStr">
        <is>
          <t>Wrangler</t>
        </is>
      </c>
      <c r="I792" s="156" t="inlineStr">
        <is>
          <t>Cartera Muñequera Wrangler Tejida Suroeste Negro</t>
        </is>
      </c>
      <c r="J792" s="156" t="inlineStr">
        <is>
          <t>Accesorios</t>
        </is>
      </c>
      <c r="K792" s="156" t="inlineStr">
        <is>
          <t>Carteras</t>
        </is>
      </c>
      <c r="L792" s="156" t="inlineStr">
        <is>
          <t>Unisex</t>
        </is>
      </c>
      <c r="M792" s="156" t="inlineStr">
        <is>
          <t>Wrangler</t>
        </is>
      </c>
      <c r="N792" s="156" t="inlineStr">
        <is>
          <t>FW26</t>
        </is>
      </c>
      <c r="O792" s="156" t="inlineStr">
        <is>
          <t>Seasonal</t>
        </is>
      </c>
      <c r="P792" s="156" t="inlineStr">
        <is>
          <t>Negro</t>
        </is>
      </c>
      <c r="Q792" s="156" t="n"/>
      <c r="R792" s="156" t="n"/>
      <c r="S792" s="156" t="n"/>
      <c r="T792" s="156" t="inlineStr">
        <is>
          <t>Cartera Muñequera Wrangler. Modelo: Tejida Suroeste. Color: Negro. Talla única. Unisex. País de origen: México. Referencia: WG174-W006BK.</t>
        </is>
      </c>
      <c r="U792" s="156" t="inlineStr">
        <is>
          <t>México</t>
        </is>
      </c>
      <c r="V792" s="156" t="inlineStr">
        <is>
          <t>PZS</t>
        </is>
      </c>
      <c r="W792" s="51" t="inlineStr">
        <is>
          <t>53121700</t>
        </is>
      </c>
      <c r="X792" s="156" t="inlineStr">
        <is>
          <t>https://cdn.shopify.com/s/files/1/0005/9015/1741/files/WG174-W006BK3.webp?v=1760686989</t>
        </is>
      </c>
      <c r="Y792" s="54" t="n">
        <v>168</v>
      </c>
      <c r="Z792" s="54" t="n">
        <v>349.5</v>
      </c>
      <c r="AA792" s="55">
        <f>IF(AND(A792="", B792="", E792=""), "", IF(AB792="", "Válido", IF((LEN(AB792)-LEN(SUBSTITUTE(AB792,"; ","")))/2+1&gt;(LEN(AB792)-LEN(SUBSTITUTE(AB792,"[Aviso]","")))/7, "Con Incidencias", "Válido")))</f>
        <v/>
      </c>
      <c r="AB792" s="56">
        <f>IF(AND(A792="", B792="", E792=""), "", TEXTJOIN("; ", TRUE, IF(OR(TRIM(A792&amp;"")="", ISNUMBER(SEARCH("FALTA", A792))), "UPC faltante/inválido", ""), IF(AND(A792&lt;&gt;"", IFERROR(_xlfn.XMATCH(A792,$A$2:$A$1063,0,1)&lt;&gt;_xlfn.XMATCH(A792,$A$2:$A$1063,0,-1),FALSE)), "Código de barras duplicado", ""), IF(AND(E792&lt;&gt;"", COUNTIF($E$2:$E$1063, E792)&gt;1), "SKU duplicado", ""), IF(OR(J792="", J792=""), "[Aviso] División no capturada ()", IF(ISNA(MATCH(J792, Criterios!$A$123:$A$126, 0)), "División no válida", "")), IF(OR(K792="", K792=""), "[Aviso] Categoría no capturada ()", IF(ISNA(MATCH(K792, Criterios!$A$81:$A$120, 0)), "Categoría no válida", IF(AND(J792&lt;&gt;"", J792&lt;&gt;"", J792&lt;&gt;VLOOKUP(K792, Criterios!$A$81:$B$120, 2, FALSE)), "División no coincide con Categoría", ""))), IF(OR(L792="", L792=""), "[Aviso] Género no capturado ()", IF(ISNA(MATCH(L792, Criterios!$B$123:$B$127, 0)), "Género no válido", "")), IF(OR(N792="", N792=""), "[Aviso] Temporada no capturada ()", IF(ISNA(MATCH(N792, Criterios!$C$123:$C$128, 0)), "Temporada no válida", "")), IF(OR(O792="", O792=""), "[Aviso] Ciclo de vida no capturado ()", IF(ISNA(MATCH(O792, Criterios!$D$123:$D$124, 0)), "Ciclo de vida no válido", ""))))</f>
        <v/>
      </c>
      <c r="AC792" s="56" t="n"/>
      <c r="AD792" s="51" t="n"/>
      <c r="AE792" s="156" t="n"/>
      <c r="AF792" s="51" t="n"/>
      <c r="AG792" s="156" t="inlineStr">
        <is>
          <t>Nuevo – Carga Hoja2 01/10/2026</t>
        </is>
      </c>
      <c r="AH792" s="156" t="inlineStr">
        <is>
          <t>Alta 01/10/2026 desde Hoja2 (fila 813) | Homologación G1522 06/10/2026: Enlace de imagen: «» → «https://cdn.shopify.com/s/files/1/0005/9015/1741/files/WG174-W006BK3.webp?v=1760686989» (Completado por investigación en línea) · Validador Shopify: WB: precio con IVA no termina en 9</t>
        </is>
      </c>
      <c r="AI792" s="156" t="n"/>
      <c r="AJ792" s="156" t="n"/>
      <c r="AK792" s="155" t="inlineStr">
        <is>
          <t>Hoja2: fila 813 | Odoo: producto 30053 / plantilla 38809 | Investigación en línea 06/10/2026: https://montanawestworld.com/products/wrangler-aztec-knitted-wristlet-wallet</t>
        </is>
      </c>
      <c r="AL792" s="58" t="n"/>
      <c r="AM792" s="58" t="n"/>
      <c r="AN792" s="155" t="inlineStr">
        <is>
          <t>Odoo Universal Unique Brands</t>
        </is>
      </c>
      <c r="AO792" s="59" t="n"/>
      <c r="AP792" s="59" t="n"/>
      <c r="AQ792" s="59" t="n">
        <v>8</v>
      </c>
      <c r="AR792" s="155" t="inlineStr">
        <is>
          <t>Odoo Universal Unique Brands › Bodega 25 › Bodega 25/General: 8</t>
        </is>
      </c>
    </row>
    <row r="793">
      <c r="A793" s="50" t="inlineStr">
        <is>
          <t>717690431686</t>
        </is>
      </c>
      <c r="B793" s="51" t="inlineStr">
        <is>
          <t>30054</t>
        </is>
      </c>
      <c r="C793" s="156" t="inlineStr">
        <is>
          <t>Wrangler</t>
        </is>
      </c>
      <c r="D793" s="156" t="inlineStr">
        <is>
          <t>WG174-W006BR</t>
        </is>
      </c>
      <c r="E793" s="156" t="inlineStr">
        <is>
          <t>WG174-W006BR</t>
        </is>
      </c>
      <c r="F793" s="156" t="inlineStr">
        <is>
          <t>Talla única</t>
        </is>
      </c>
      <c r="G793" s="156" t="inlineStr">
        <is>
          <t>One Size</t>
        </is>
      </c>
      <c r="H793" s="156" t="inlineStr">
        <is>
          <t>Wrangler</t>
        </is>
      </c>
      <c r="I793" s="156" t="inlineStr">
        <is>
          <t>Cartera Muñequera Wrangler Tejida Suroeste Café</t>
        </is>
      </c>
      <c r="J793" s="156" t="inlineStr">
        <is>
          <t>Accesorios</t>
        </is>
      </c>
      <c r="K793" s="156" t="inlineStr">
        <is>
          <t>Carteras</t>
        </is>
      </c>
      <c r="L793" s="156" t="inlineStr">
        <is>
          <t>Unisex</t>
        </is>
      </c>
      <c r="M793" s="156" t="inlineStr">
        <is>
          <t>Wrangler</t>
        </is>
      </c>
      <c r="N793" s="156" t="inlineStr">
        <is>
          <t>FW26</t>
        </is>
      </c>
      <c r="O793" s="156" t="inlineStr">
        <is>
          <t>Seasonal</t>
        </is>
      </c>
      <c r="P793" s="156" t="inlineStr">
        <is>
          <t>Cafe</t>
        </is>
      </c>
      <c r="Q793" s="156" t="n"/>
      <c r="R793" s="156" t="n"/>
      <c r="S793" s="156" t="n"/>
      <c r="T793" s="156" t="inlineStr">
        <is>
          <t>Cartera Muñequera Wrangler. Modelo: Tejida Suroeste. Color: Café. Talla única. Unisex. País de origen: México. Referencia: WG174-W006BR.</t>
        </is>
      </c>
      <c r="U793" s="156" t="inlineStr">
        <is>
          <t>México</t>
        </is>
      </c>
      <c r="V793" s="156" t="inlineStr">
        <is>
          <t>PZS</t>
        </is>
      </c>
      <c r="W793" s="51" t="inlineStr">
        <is>
          <t>53121700</t>
        </is>
      </c>
      <c r="X793" s="156" t="inlineStr">
        <is>
          <t>https://cdn.shopify.com/s/files/1/0005/9015/1741/files/WG174-W006BR3.webp?v=1760686989</t>
        </is>
      </c>
      <c r="Y793" s="54" t="n">
        <v>168</v>
      </c>
      <c r="Z793" s="54" t="n">
        <v>349.5</v>
      </c>
      <c r="AA793" s="55">
        <f>IF(AND(A793="", B793="", E793=""), "", IF(AB793="", "Válido", IF((LEN(AB793)-LEN(SUBSTITUTE(AB793,"; ","")))/2+1&gt;(LEN(AB793)-LEN(SUBSTITUTE(AB793,"[Aviso]","")))/7, "Con Incidencias", "Válido")))</f>
        <v/>
      </c>
      <c r="AB793" s="56">
        <f>IF(AND(A793="", B793="", E793=""), "", TEXTJOIN("; ", TRUE, IF(OR(TRIM(A793&amp;"")="", ISNUMBER(SEARCH("FALTA", A793))), "UPC faltante/inválido", ""), IF(AND(A793&lt;&gt;"", IFERROR(_xlfn.XMATCH(A793,$A$2:$A$1063,0,1)&lt;&gt;_xlfn.XMATCH(A793,$A$2:$A$1063,0,-1),FALSE)), "Código de barras duplicado", ""), IF(AND(E793&lt;&gt;"", COUNTIF($E$2:$E$1063, E793)&gt;1), "SKU duplicado", ""), IF(OR(J793="", J793=""), "[Aviso] División no capturada ()", IF(ISNA(MATCH(J793, Criterios!$A$123:$A$126, 0)), "División no válida", "")), IF(OR(K793="", K793=""), "[Aviso] Categoría no capturada ()", IF(ISNA(MATCH(K793, Criterios!$A$81:$A$120, 0)), "Categoría no válida", IF(AND(J793&lt;&gt;"", J793&lt;&gt;"", J793&lt;&gt;VLOOKUP(K793, Criterios!$A$81:$B$120, 2, FALSE)), "División no coincide con Categoría", ""))), IF(OR(L793="", L793=""), "[Aviso] Género no capturado ()", IF(ISNA(MATCH(L793, Criterios!$B$123:$B$127, 0)), "Género no válido", "")), IF(OR(N793="", N793=""), "[Aviso] Temporada no capturada ()", IF(ISNA(MATCH(N793, Criterios!$C$123:$C$128, 0)), "Temporada no válida", "")), IF(OR(O793="", O793=""), "[Aviso] Ciclo de vida no capturado ()", IF(ISNA(MATCH(O793, Criterios!$D$123:$D$124, 0)), "Ciclo de vida no válido", ""))))</f>
        <v/>
      </c>
      <c r="AC793" s="56" t="n"/>
      <c r="AD793" s="51" t="n"/>
      <c r="AE793" s="156" t="n"/>
      <c r="AF793" s="51" t="n"/>
      <c r="AG793" s="156" t="inlineStr">
        <is>
          <t>Nuevo – Carga Hoja2 01/10/2026</t>
        </is>
      </c>
      <c r="AH793" s="156" t="inlineStr">
        <is>
          <t>Alta 01/10/2026 desde Hoja2 (fila 814) | Homologación G1522 06/10/2026: Enlace de imagen: «» → «https://cdn.shopify.com/s/files/1/0005/9015/1741/files/WG174-W006BR3.webp?v=1760686989» (Completado por investigación en línea) · Validador Shopify: WB: precio con IVA no termina en 9</t>
        </is>
      </c>
      <c r="AI793" s="156" t="n"/>
      <c r="AJ793" s="156" t="n"/>
      <c r="AK793" s="155" t="inlineStr">
        <is>
          <t>Hoja2: fila 814 | Odoo: producto 30054 / plantilla 38810 | Investigación en línea 06/10/2026: https://montanawestworld.com/products/wrangler-aztec-knitted-wristlet-wallet</t>
        </is>
      </c>
      <c r="AL793" s="58" t="n"/>
      <c r="AM793" s="58" t="n"/>
      <c r="AN793" s="155" t="inlineStr">
        <is>
          <t>Odoo Universal Unique Brands</t>
        </is>
      </c>
      <c r="AO793" s="59" t="n"/>
      <c r="AP793" s="59" t="n"/>
      <c r="AQ793" s="59" t="n">
        <v>19</v>
      </c>
      <c r="AR793" s="155" t="inlineStr">
        <is>
          <t>Odoo Universal Unique Brands › Bodega 25 › Bodega 25/General: 19</t>
        </is>
      </c>
    </row>
    <row r="794">
      <c r="A794" s="50" t="inlineStr">
        <is>
          <t>717690431747</t>
        </is>
      </c>
      <c r="B794" s="51" t="inlineStr">
        <is>
          <t>30055</t>
        </is>
      </c>
      <c r="C794" s="156" t="inlineStr">
        <is>
          <t>Wrangler</t>
        </is>
      </c>
      <c r="D794" s="156" t="inlineStr">
        <is>
          <t>WG174-W006HPK</t>
        </is>
      </c>
      <c r="E794" s="156" t="inlineStr">
        <is>
          <t>WG174-W006HPK</t>
        </is>
      </c>
      <c r="F794" s="156" t="inlineStr">
        <is>
          <t>Talla única</t>
        </is>
      </c>
      <c r="G794" s="156" t="inlineStr">
        <is>
          <t>One Size</t>
        </is>
      </c>
      <c r="H794" s="156" t="inlineStr">
        <is>
          <t>Wrangler</t>
        </is>
      </c>
      <c r="I794" s="156" t="inlineStr">
        <is>
          <t>Cartera Muñequera Wrangler Tejida Suroeste Hot Pink Rosa Fuerte</t>
        </is>
      </c>
      <c r="J794" s="156" t="inlineStr">
        <is>
          <t>Accesorios</t>
        </is>
      </c>
      <c r="K794" s="156" t="inlineStr">
        <is>
          <t>Carteras</t>
        </is>
      </c>
      <c r="L794" s="156" t="inlineStr">
        <is>
          <t>Unisex</t>
        </is>
      </c>
      <c r="M794" s="156" t="inlineStr">
        <is>
          <t>Wrangler</t>
        </is>
      </c>
      <c r="N794" s="156" t="inlineStr">
        <is>
          <t>FW26</t>
        </is>
      </c>
      <c r="O794" s="156" t="inlineStr">
        <is>
          <t>Seasonal</t>
        </is>
      </c>
      <c r="P794" s="156" t="inlineStr">
        <is>
          <t>Rosa</t>
        </is>
      </c>
      <c r="Q794" s="156" t="n"/>
      <c r="R794" s="156" t="n"/>
      <c r="S794" s="156" t="n"/>
      <c r="T794" s="156" t="inlineStr">
        <is>
          <t>Cartera Muñequera Wrangler. Modelo: Tejida Suroeste Hot Pink. Color: Rosa Fuerte. Talla única. Unisex. País de origen: México. Referencia: WG174-W006HPK.</t>
        </is>
      </c>
      <c r="U794" s="156" t="inlineStr">
        <is>
          <t>México</t>
        </is>
      </c>
      <c r="V794" s="156" t="inlineStr">
        <is>
          <t>PZS</t>
        </is>
      </c>
      <c r="W794" s="51" t="inlineStr">
        <is>
          <t>53121700</t>
        </is>
      </c>
      <c r="X794" s="156" t="inlineStr">
        <is>
          <t>https://cdn.shopify.com/s/files/1/0005/9015/1741/files/WG174-W006HPK3.webp?v=1760585419</t>
        </is>
      </c>
      <c r="Y794" s="54" t="n">
        <v>168</v>
      </c>
      <c r="Z794" s="54" t="n">
        <v>349.5</v>
      </c>
      <c r="AA794" s="55">
        <f>IF(AND(A794="", B794="", E794=""), "", IF(AB794="", "Válido", IF((LEN(AB794)-LEN(SUBSTITUTE(AB794,"; ","")))/2+1&gt;(LEN(AB794)-LEN(SUBSTITUTE(AB794,"[Aviso]","")))/7, "Con Incidencias", "Válido")))</f>
        <v/>
      </c>
      <c r="AB794" s="56">
        <f>IF(AND(A794="", B794="", E794=""), "", TEXTJOIN("; ", TRUE, IF(OR(TRIM(A794&amp;"")="", ISNUMBER(SEARCH("FALTA", A794))), "UPC faltante/inválido", ""), IF(AND(A794&lt;&gt;"", IFERROR(_xlfn.XMATCH(A794,$A$2:$A$1063,0,1)&lt;&gt;_xlfn.XMATCH(A794,$A$2:$A$1063,0,-1),FALSE)), "Código de barras duplicado", ""), IF(AND(E794&lt;&gt;"", COUNTIF($E$2:$E$1063, E794)&gt;1), "SKU duplicado", ""), IF(OR(J794="", J794=""), "[Aviso] División no capturada ()", IF(ISNA(MATCH(J794, Criterios!$A$123:$A$126, 0)), "División no válida", "")), IF(OR(K794="", K794=""), "[Aviso] Categoría no capturada ()", IF(ISNA(MATCH(K794, Criterios!$A$81:$A$120, 0)), "Categoría no válida", IF(AND(J794&lt;&gt;"", J794&lt;&gt;"", J794&lt;&gt;VLOOKUP(K794, Criterios!$A$81:$B$120, 2, FALSE)), "División no coincide con Categoría", ""))), IF(OR(L794="", L794=""), "[Aviso] Género no capturado ()", IF(ISNA(MATCH(L794, Criterios!$B$123:$B$127, 0)), "Género no válido", "")), IF(OR(N794="", N794=""), "[Aviso] Temporada no capturada ()", IF(ISNA(MATCH(N794, Criterios!$C$123:$C$128, 0)), "Temporada no válida", "")), IF(OR(O794="", O794=""), "[Aviso] Ciclo de vida no capturado ()", IF(ISNA(MATCH(O794, Criterios!$D$123:$D$124, 0)), "Ciclo de vida no válido", ""))))</f>
        <v/>
      </c>
      <c r="AC794" s="56" t="n"/>
      <c r="AD794" s="51" t="n"/>
      <c r="AE794" s="156" t="n"/>
      <c r="AF794" s="51" t="n"/>
      <c r="AG794" s="156" t="inlineStr">
        <is>
          <t>Nuevo – Carga Hoja2 01/10/2026</t>
        </is>
      </c>
      <c r="AH794" s="156" t="inlineStr">
        <is>
          <t>Alta 01/10/2026 desde Hoja2 (fila 815) | Homologación G1522 06/10/2026: Enlace de imagen: «» → «https://cdn.shopify.com/s/files/1/0005/9015/1741/files/WG174-W006HPK3.webp?v=1760585419» (Completado por investigación en línea) · Validador Shopify: WB: precio con IVA no termina en 9</t>
        </is>
      </c>
      <c r="AI794" s="156" t="n"/>
      <c r="AJ794" s="156" t="n"/>
      <c r="AK794" s="155" t="inlineStr">
        <is>
          <t>Hoja2: fila 815 | Odoo: producto 30055 / plantilla 38811 | Investigación en línea 06/10/2026: https://montanawestworld.com/products/wrangler-aztec-knitted-wristlet-wallet</t>
        </is>
      </c>
      <c r="AL794" s="58" t="n"/>
      <c r="AM794" s="58" t="n"/>
      <c r="AN794" s="155" t="inlineStr">
        <is>
          <t>Odoo Universal Unique Brands</t>
        </is>
      </c>
      <c r="AO794" s="59" t="n"/>
      <c r="AP794" s="59" t="n"/>
      <c r="AQ794" s="59" t="n">
        <v>14</v>
      </c>
      <c r="AR794" s="155" t="inlineStr">
        <is>
          <t>Odoo Universal Unique Brands › Bodega 25 › Bodega 25/General: 14</t>
        </is>
      </c>
    </row>
    <row r="795">
      <c r="A795" s="50" t="n"/>
      <c r="B795" s="51" t="inlineStr">
        <is>
          <t>11859</t>
        </is>
      </c>
      <c r="C795" s="156" t="inlineStr">
        <is>
          <t>Wrangler</t>
        </is>
      </c>
      <c r="D795" s="156" t="inlineStr">
        <is>
          <t>WG181-8120SBR</t>
        </is>
      </c>
      <c r="E795" s="156" t="inlineStr">
        <is>
          <t>WG181-8120SBR</t>
        </is>
      </c>
      <c r="F795" s="156" t="inlineStr">
        <is>
          <t>Talla única</t>
        </is>
      </c>
      <c r="G795" s="156" t="inlineStr">
        <is>
          <t>One Size</t>
        </is>
      </c>
      <c r="H795" s="156" t="inlineStr">
        <is>
          <t>Wrangler</t>
        </is>
      </c>
      <c r="I795" s="156" t="inlineStr">
        <is>
          <t>Bolsa Tote Cruzada Wrangler Sherpa De Lona Chica Café</t>
        </is>
      </c>
      <c r="J795" s="156" t="inlineStr">
        <is>
          <t>Accesorios</t>
        </is>
      </c>
      <c r="K795" s="156" t="inlineStr">
        <is>
          <t>Bolsos</t>
        </is>
      </c>
      <c r="L795" s="156" t="inlineStr">
        <is>
          <t>Unisex</t>
        </is>
      </c>
      <c r="M795" s="156" t="inlineStr">
        <is>
          <t>Wrangler</t>
        </is>
      </c>
      <c r="N795" s="156" t="n"/>
      <c r="O795" s="156" t="n"/>
      <c r="P795" s="156" t="inlineStr">
        <is>
          <t>Cafe</t>
        </is>
      </c>
      <c r="Q795" s="156" t="n"/>
      <c r="R795" s="156" t="n"/>
      <c r="S795" s="156" t="n"/>
      <c r="T795" s="156" t="inlineStr">
        <is>
          <t>Bolsa Tote Cruzada</t>
        </is>
      </c>
      <c r="U795" s="156" t="inlineStr">
        <is>
          <t>México</t>
        </is>
      </c>
      <c r="V795" s="156" t="inlineStr">
        <is>
          <t>PZS</t>
        </is>
      </c>
      <c r="W795" s="51" t="inlineStr">
        <is>
          <t>53121601</t>
        </is>
      </c>
      <c r="X795" s="156" t="n"/>
      <c r="Y795" s="54" t="n">
        <v>414</v>
      </c>
      <c r="Z795" s="54" t="n">
        <v>669</v>
      </c>
      <c r="AA795" s="55">
        <f>IF(AND(A795="", B795="", E795=""), "", IF(AB795="", "Válido", IF((LEN(AB795)-LEN(SUBSTITUTE(AB795,"; ","")))/2+1&gt;(LEN(AB795)-LEN(SUBSTITUTE(AB795,"[Aviso]","")))/7, "Con Incidencias", "Válido")))</f>
        <v/>
      </c>
      <c r="AB795" s="56">
        <f>IF(AND(A795="", B795="", E795=""), "", TEXTJOIN("; ", TRUE, IF(OR(TRIM(A795&amp;"")="", ISNUMBER(SEARCH("FALTA", A795))), "UPC faltante/inválido", ""), IF(AND(A795&lt;&gt;"", IFERROR(_xlfn.XMATCH(A795,$A$2:$A$1063,0,1)&lt;&gt;_xlfn.XMATCH(A795,$A$2:$A$1063,0,-1),FALSE)), "Código de barras duplicado", ""), IF(AND(E795&lt;&gt;"", COUNTIF($E$2:$E$1063, E795)&gt;1), "SKU duplicado", ""), IF(OR(J795="", J795=""), "[Aviso] División no capturada ()", IF(ISNA(MATCH(J795, Criterios!$A$123:$A$126, 0)), "División no válida", "")), IF(OR(K795="", K795=""), "[Aviso] Categoría no capturada ()", IF(ISNA(MATCH(K795, Criterios!$A$81:$A$120, 0)), "Categoría no válida", IF(AND(J795&lt;&gt;"", J795&lt;&gt;"", J795&lt;&gt;VLOOKUP(K795, Criterios!$A$81:$B$120, 2, FALSE)), "División no coincide con Categoría", ""))), IF(OR(L795="", L795=""), "[Aviso] Género no capturado ()", IF(ISNA(MATCH(L795, Criterios!$B$123:$B$127, 0)), "Género no válido", "")), IF(OR(N795="", N795=""), "[Aviso] Temporada no capturada ()", IF(ISNA(MATCH(N795, Criterios!$C$123:$C$128, 0)), "Temporada no válida", "")), IF(OR(O795="", O795=""), "[Aviso] Ciclo de vida no capturado ()", IF(ISNA(MATCH(O795, Criterios!$D$123:$D$124, 0)), "Ciclo de vida no válido", ""))))</f>
        <v/>
      </c>
      <c r="AC795" s="56" t="n"/>
      <c r="AD795" s="51" t="n"/>
      <c r="AE795" s="156" t="n"/>
      <c r="AF795" s="51" t="n"/>
      <c r="AG795" s="156" t="inlineStr">
        <is>
          <t>Nuevo – Carga Hoja2 01/10/2026</t>
        </is>
      </c>
      <c r="AH795" s="156" t="inlineStr">
        <is>
          <t>Alta 01/10/2026 desde Hoja2 (fila 816) | 01/10/2026: complementado desde Odoo Universal Unique Brands (match por SKU): WB Talla, WB Talla de EE. UU., WB Descripción larga | Homologación G1522 06/10/2026: WB País de origen: «Mexico» → «México» (Corrección aplicada) · Validación G1522: Código de barras faltante · Validador NetSuite / Odoo: V1: falta código de barras · Validador Shopify: V1: falta código de barras; WB: precio con IVA no termina en 9</t>
        </is>
      </c>
      <c r="AI795" s="156" t="n"/>
      <c r="AJ795" s="156" t="n"/>
      <c r="AK795" s="155" t="inlineStr">
        <is>
          <t>Hoja2: fila 816 | Odoo: producto 11859 / plantilla 15294</t>
        </is>
      </c>
      <c r="AL795" s="58" t="n"/>
      <c r="AM795" s="58" t="n"/>
      <c r="AN795" s="155" t="inlineStr">
        <is>
          <t>Odoo Universal Unique Brands</t>
        </is>
      </c>
      <c r="AO795" s="59" t="n"/>
      <c r="AP795" s="59" t="n"/>
      <c r="AQ795" s="59" t="n">
        <v>25</v>
      </c>
      <c r="AR795" s="155" t="inlineStr">
        <is>
          <t>Odoo Universal Unique Brands › Bodega 25 › Bodega 25/General: 25</t>
        </is>
      </c>
    </row>
    <row r="796">
      <c r="A796" s="50" t="inlineStr">
        <is>
          <t>717325207259</t>
        </is>
      </c>
      <c r="B796" s="51" t="inlineStr">
        <is>
          <t>11838</t>
        </is>
      </c>
      <c r="C796" s="156" t="inlineStr">
        <is>
          <t>Wrangler</t>
        </is>
      </c>
      <c r="D796" s="156" t="inlineStr">
        <is>
          <t>WG183-8300TN</t>
        </is>
      </c>
      <c r="E796" s="156" t="inlineStr">
        <is>
          <t>WG183-8300TN</t>
        </is>
      </c>
      <c r="F796" s="156" t="inlineStr">
        <is>
          <t>Talla única</t>
        </is>
      </c>
      <c r="G796" s="156" t="inlineStr">
        <is>
          <t>One Size</t>
        </is>
      </c>
      <c r="H796" s="156" t="inlineStr">
        <is>
          <t>Wrangler</t>
        </is>
      </c>
      <c r="I796" s="156" t="inlineStr">
        <is>
          <t>Bolsa Tote Cruzada Wrangler Multiusos Trenzada Whipstitch Camel</t>
        </is>
      </c>
      <c r="J796" s="156" t="inlineStr">
        <is>
          <t>Accesorios</t>
        </is>
      </c>
      <c r="K796" s="156" t="inlineStr">
        <is>
          <t>Bolsos</t>
        </is>
      </c>
      <c r="L796" s="156" t="inlineStr">
        <is>
          <t>Unisex</t>
        </is>
      </c>
      <c r="M796" s="156" t="inlineStr">
        <is>
          <t>Wrangler</t>
        </is>
      </c>
      <c r="N796" s="156" t="n"/>
      <c r="O796" s="156" t="n"/>
      <c r="P796" s="156" t="inlineStr">
        <is>
          <t>Beige</t>
        </is>
      </c>
      <c r="Q796" s="156" t="n"/>
      <c r="R796" s="156" t="n"/>
      <c r="S796" s="156" t="n"/>
      <c r="T796" s="156" t="inlineStr">
        <is>
          <t>Bolsa Tote Cruzada</t>
        </is>
      </c>
      <c r="U796" s="156" t="inlineStr">
        <is>
          <t>México</t>
        </is>
      </c>
      <c r="V796" s="156" t="inlineStr">
        <is>
          <t>PZS</t>
        </is>
      </c>
      <c r="W796" s="51" t="inlineStr">
        <is>
          <t>53121601</t>
        </is>
      </c>
      <c r="X796" s="156" t="n"/>
      <c r="Y796" s="54" t="n">
        <v>379.5</v>
      </c>
      <c r="Z796" s="54" t="n">
        <v>609</v>
      </c>
      <c r="AA796" s="55">
        <f>IF(AND(A796="", B796="", E796=""), "", IF(AB796="", "Válido", IF((LEN(AB796)-LEN(SUBSTITUTE(AB796,"; ","")))/2+1&gt;(LEN(AB796)-LEN(SUBSTITUTE(AB796,"[Aviso]","")))/7, "Con Incidencias", "Válido")))</f>
        <v/>
      </c>
      <c r="AB796" s="56">
        <f>IF(AND(A796="", B796="", E796=""), "", TEXTJOIN("; ", TRUE, IF(OR(TRIM(A796&amp;"")="", ISNUMBER(SEARCH("FALTA", A796))), "UPC faltante/inválido", ""), IF(AND(A796&lt;&gt;"", IFERROR(_xlfn.XMATCH(A796,$A$2:$A$1063,0,1)&lt;&gt;_xlfn.XMATCH(A796,$A$2:$A$1063,0,-1),FALSE)), "Código de barras duplicado", ""), IF(AND(E796&lt;&gt;"", COUNTIF($E$2:$E$1063, E796)&gt;1), "SKU duplicado", ""), IF(OR(J796="", J796=""), "[Aviso] División no capturada ()", IF(ISNA(MATCH(J796, Criterios!$A$123:$A$126, 0)), "División no válida", "")), IF(OR(K796="", K796=""), "[Aviso] Categoría no capturada ()", IF(ISNA(MATCH(K796, Criterios!$A$81:$A$120, 0)), "Categoría no válida", IF(AND(J796&lt;&gt;"", J796&lt;&gt;"", J796&lt;&gt;VLOOKUP(K796, Criterios!$A$81:$B$120, 2, FALSE)), "División no coincide con Categoría", ""))), IF(OR(L796="", L796=""), "[Aviso] Género no capturado ()", IF(ISNA(MATCH(L796, Criterios!$B$123:$B$127, 0)), "Género no válido", "")), IF(OR(N796="", N796=""), "[Aviso] Temporada no capturada ()", IF(ISNA(MATCH(N796, Criterios!$C$123:$C$128, 0)), "Temporada no válida", "")), IF(OR(O796="", O796=""), "[Aviso] Ciclo de vida no capturado ()", IF(ISNA(MATCH(O796, Criterios!$D$123:$D$124, 0)), "Ciclo de vida no válido", ""))))</f>
        <v/>
      </c>
      <c r="AC796" s="56" t="n"/>
      <c r="AD796" s="51" t="n"/>
      <c r="AE796" s="156" t="n"/>
      <c r="AF796" s="51" t="n"/>
      <c r="AG796" s="156" t="inlineStr">
        <is>
          <t>Nuevo – Carga Hoja2 01/10/2026</t>
        </is>
      </c>
      <c r="AH796" s="156" t="inlineStr">
        <is>
          <t>Alta 01/10/2026 desde Hoja2 (fila 817)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796" s="156" t="n"/>
      <c r="AJ796" s="156" t="n"/>
      <c r="AK796" s="155" t="inlineStr">
        <is>
          <t>Hoja2: fila 817 | Odoo: producto 11838 / plantilla 15273</t>
        </is>
      </c>
      <c r="AL796" s="58" t="n"/>
      <c r="AM796" s="58" t="n"/>
      <c r="AN796" s="155" t="inlineStr">
        <is>
          <t>Odoo Universal Unique Brands</t>
        </is>
      </c>
      <c r="AO796" s="59" t="n"/>
      <c r="AP796" s="59" t="n"/>
      <c r="AQ796" s="59" t="n">
        <v>13</v>
      </c>
      <c r="AR796" s="155" t="inlineStr">
        <is>
          <t>Odoo Universal Unique Brands › Bodega 25 › Bodega 25/General: 13</t>
        </is>
      </c>
    </row>
    <row r="797">
      <c r="A797" s="50" t="n"/>
      <c r="B797" s="51" t="inlineStr">
        <is>
          <t>11888</t>
        </is>
      </c>
      <c r="C797" s="156" t="inlineStr">
        <is>
          <t>Wrangler</t>
        </is>
      </c>
      <c r="D797" s="156" t="inlineStr">
        <is>
          <t>WG183-8312BK</t>
        </is>
      </c>
      <c r="E797" s="156" t="inlineStr">
        <is>
          <t>WG183-8312BK</t>
        </is>
      </c>
      <c r="F797" s="156" t="inlineStr">
        <is>
          <t>Talla única</t>
        </is>
      </c>
      <c r="G797" s="156" t="inlineStr">
        <is>
          <t>One Size</t>
        </is>
      </c>
      <c r="H797" s="156" t="inlineStr">
        <is>
          <t>Wrangler</t>
        </is>
      </c>
      <c r="I797" s="156" t="inlineStr">
        <is>
          <t>Bolsa Hobo Cruzada Wrangler Trenzada Whipstitch Con Correa Trenzada Negro</t>
        </is>
      </c>
      <c r="J797" s="156" t="inlineStr">
        <is>
          <t>Accesorios</t>
        </is>
      </c>
      <c r="K797" s="156" t="inlineStr">
        <is>
          <t>Bolsos</t>
        </is>
      </c>
      <c r="L797" s="156" t="inlineStr">
        <is>
          <t>Unisex</t>
        </is>
      </c>
      <c r="M797" s="156" t="inlineStr">
        <is>
          <t>Wrangler</t>
        </is>
      </c>
      <c r="N797" s="156" t="n"/>
      <c r="O797" s="156" t="n"/>
      <c r="P797" s="156" t="inlineStr">
        <is>
          <t>Negro</t>
        </is>
      </c>
      <c r="Q797" s="156" t="n"/>
      <c r="R797" s="156" t="n"/>
      <c r="S797" s="156" t="n"/>
      <c r="T797" s="156" t="n"/>
      <c r="U797" s="156" t="inlineStr">
        <is>
          <t>México</t>
        </is>
      </c>
      <c r="V797" s="156" t="inlineStr">
        <is>
          <t>PZS</t>
        </is>
      </c>
      <c r="W797" s="51" t="inlineStr">
        <is>
          <t>53121601</t>
        </is>
      </c>
      <c r="X797" s="156" t="n"/>
      <c r="Y797" s="54" t="n">
        <v>345</v>
      </c>
      <c r="Z797" s="54" t="n">
        <v>559</v>
      </c>
      <c r="AA797" s="55">
        <f>IF(AND(A797="", B797="", E797=""), "", IF(AB797="", "Válido", IF((LEN(AB797)-LEN(SUBSTITUTE(AB797,"; ","")))/2+1&gt;(LEN(AB797)-LEN(SUBSTITUTE(AB797,"[Aviso]","")))/7, "Con Incidencias", "Válido")))</f>
        <v/>
      </c>
      <c r="AB797" s="56">
        <f>IF(AND(A797="", B797="", E797=""), "", TEXTJOIN("; ", TRUE, IF(OR(TRIM(A797&amp;"")="", ISNUMBER(SEARCH("FALTA", A797))), "UPC faltante/inválido", ""), IF(AND(A797&lt;&gt;"", IFERROR(_xlfn.XMATCH(A797,$A$2:$A$1063,0,1)&lt;&gt;_xlfn.XMATCH(A797,$A$2:$A$1063,0,-1),FALSE)), "Código de barras duplicado", ""), IF(AND(E797&lt;&gt;"", COUNTIF($E$2:$E$1063, E797)&gt;1), "SKU duplicado", ""), IF(OR(J797="", J797=""), "[Aviso] División no capturada ()", IF(ISNA(MATCH(J797, Criterios!$A$123:$A$126, 0)), "División no válida", "")), IF(OR(K797="", K797=""), "[Aviso] Categoría no capturada ()", IF(ISNA(MATCH(K797, Criterios!$A$81:$A$120, 0)), "Categoría no válida", IF(AND(J797&lt;&gt;"", J797&lt;&gt;"", J797&lt;&gt;VLOOKUP(K797, Criterios!$A$81:$B$120, 2, FALSE)), "División no coincide con Categoría", ""))), IF(OR(L797="", L797=""), "[Aviso] Género no capturado ()", IF(ISNA(MATCH(L797, Criterios!$B$123:$B$127, 0)), "Género no válido", "")), IF(OR(N797="", N797=""), "[Aviso] Temporada no capturada ()", IF(ISNA(MATCH(N797, Criterios!$C$123:$C$128, 0)), "Temporada no válida", "")), IF(OR(O797="", O797=""), "[Aviso] Ciclo de vida no capturado ()", IF(ISNA(MATCH(O797, Criterios!$D$123:$D$124, 0)), "Ciclo de vida no válido", ""))))</f>
        <v/>
      </c>
      <c r="AC797" s="56" t="n"/>
      <c r="AD797" s="51" t="n"/>
      <c r="AE797" s="156" t="n"/>
      <c r="AF797" s="51" t="n"/>
      <c r="AG797" s="156" t="inlineStr">
        <is>
          <t>Nuevo – Carga Hoja2 01/10/2026</t>
        </is>
      </c>
      <c r="AH797" s="156" t="inlineStr">
        <is>
          <t>Alta 01/10/2026 desde Hoja2 (fila 818) | Homologación G1522 06/10/2026: WB País de origen: «Mexico» → «México» (Corrección aplicada)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797" s="156" t="n"/>
      <c r="AJ797" s="156" t="n"/>
      <c r="AK797" s="155" t="inlineStr">
        <is>
          <t>Hoja2: fila 818</t>
        </is>
      </c>
      <c r="AL797" s="58" t="n"/>
      <c r="AM797" s="58" t="n"/>
      <c r="AN797" s="155" t="n"/>
      <c r="AO797" s="59" t="n"/>
      <c r="AP797" s="59" t="n"/>
      <c r="AQ797" s="59" t="n"/>
      <c r="AR797" s="155" t="n"/>
    </row>
    <row r="798">
      <c r="A798" s="50" t="n"/>
      <c r="B798" s="51" t="inlineStr">
        <is>
          <t>11862</t>
        </is>
      </c>
      <c r="C798" s="156" t="inlineStr">
        <is>
          <t>Wrangler</t>
        </is>
      </c>
      <c r="D798" s="156" t="inlineStr">
        <is>
          <t>WG183-8312BR</t>
        </is>
      </c>
      <c r="E798" s="156" t="inlineStr">
        <is>
          <t>WG183-8312BR</t>
        </is>
      </c>
      <c r="F798" s="156" t="inlineStr">
        <is>
          <t>Talla única</t>
        </is>
      </c>
      <c r="G798" s="156" t="inlineStr">
        <is>
          <t>One Size</t>
        </is>
      </c>
      <c r="H798" s="156" t="inlineStr">
        <is>
          <t>Wrangler</t>
        </is>
      </c>
      <c r="I798" s="156" t="inlineStr">
        <is>
          <t>Bolsa Hobo Cruzada Wrangler Trenzada Whipstitch Con Correa Trenzada Café</t>
        </is>
      </c>
      <c r="J798" s="156" t="inlineStr">
        <is>
          <t>Accesorios</t>
        </is>
      </c>
      <c r="K798" s="156" t="inlineStr">
        <is>
          <t>Bolsos</t>
        </is>
      </c>
      <c r="L798" s="156" t="inlineStr">
        <is>
          <t>Unisex</t>
        </is>
      </c>
      <c r="M798" s="156" t="inlineStr">
        <is>
          <t>Wrangler</t>
        </is>
      </c>
      <c r="N798" s="156" t="n"/>
      <c r="O798" s="156" t="n"/>
      <c r="P798" s="156" t="inlineStr">
        <is>
          <t>Cafe</t>
        </is>
      </c>
      <c r="Q798" s="156" t="n"/>
      <c r="R798" s="156" t="n"/>
      <c r="S798" s="156" t="n"/>
      <c r="T798" s="156" t="n"/>
      <c r="U798" s="156" t="inlineStr">
        <is>
          <t>México</t>
        </is>
      </c>
      <c r="V798" s="156" t="inlineStr">
        <is>
          <t>PZS</t>
        </is>
      </c>
      <c r="W798" s="51" t="inlineStr">
        <is>
          <t>53121601</t>
        </is>
      </c>
      <c r="X798" s="156" t="inlineStr">
        <is>
          <t>https://cdn.shopify.com/s/files/1/0005/9015/1741/files/WG183-8312BR1.webp?v=1735636749</t>
        </is>
      </c>
      <c r="Y798" s="54" t="n">
        <v>345</v>
      </c>
      <c r="Z798" s="54" t="n">
        <v>559</v>
      </c>
      <c r="AA798" s="55">
        <f>IF(AND(A798="", B798="", E798=""), "", IF(AB798="", "Válido", IF((LEN(AB798)-LEN(SUBSTITUTE(AB798,"; ","")))/2+1&gt;(LEN(AB798)-LEN(SUBSTITUTE(AB798,"[Aviso]","")))/7, "Con Incidencias", "Válido")))</f>
        <v/>
      </c>
      <c r="AB798" s="56">
        <f>IF(AND(A798="", B798="", E798=""), "", TEXTJOIN("; ", TRUE, IF(OR(TRIM(A798&amp;"")="", ISNUMBER(SEARCH("FALTA", A798))), "UPC faltante/inválido", ""), IF(AND(A798&lt;&gt;"", IFERROR(_xlfn.XMATCH(A798,$A$2:$A$1063,0,1)&lt;&gt;_xlfn.XMATCH(A798,$A$2:$A$1063,0,-1),FALSE)), "Código de barras duplicado", ""), IF(AND(E798&lt;&gt;"", COUNTIF($E$2:$E$1063, E798)&gt;1), "SKU duplicado", ""), IF(OR(J798="", J798=""), "[Aviso] División no capturada ()", IF(ISNA(MATCH(J798, Criterios!$A$123:$A$126, 0)), "División no válida", "")), IF(OR(K798="", K798=""), "[Aviso] Categoría no capturada ()", IF(ISNA(MATCH(K798, Criterios!$A$81:$A$120, 0)), "Categoría no válida", IF(AND(J798&lt;&gt;"", J798&lt;&gt;"", J798&lt;&gt;VLOOKUP(K798, Criterios!$A$81:$B$120, 2, FALSE)), "División no coincide con Categoría", ""))), IF(OR(L798="", L798=""), "[Aviso] Género no capturado ()", IF(ISNA(MATCH(L798, Criterios!$B$123:$B$127, 0)), "Género no válido", "")), IF(OR(N798="", N798=""), "[Aviso] Temporada no capturada ()", IF(ISNA(MATCH(N798, Criterios!$C$123:$C$128, 0)), "Temporada no válida", "")), IF(OR(O798="", O798=""), "[Aviso] Ciclo de vida no capturado ()", IF(ISNA(MATCH(O798, Criterios!$D$123:$D$124, 0)), "Ciclo de vida no válido", ""))))</f>
        <v/>
      </c>
      <c r="AC798" s="56" t="n"/>
      <c r="AD798" s="51" t="n"/>
      <c r="AE798" s="156" t="n"/>
      <c r="AF798" s="51" t="n"/>
      <c r="AG798" s="156" t="inlineStr">
        <is>
          <t>Nuevo – Carga Hoja2 01/10/2026</t>
        </is>
      </c>
      <c r="AH798" s="156" t="inlineStr">
        <is>
          <t>Alta 01/10/2026 desde Hoja2 (fila 819) | Homologación G1522 06/10/2026: WB País de origen: «Mexico» → «México» (Corrección aplicada) · Enlace de imagen: «» → «https://cdn.shopify.com/s/files/1/0005/9015/1741/files/WG183-8312BR1.webp?v=1735636749» (Completado por investigación en línea)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798" s="156" t="n"/>
      <c r="AJ798" s="156" t="n"/>
      <c r="AK798" s="155" t="inlineStr">
        <is>
          <t>Hoja2: fila 819 | Investigación en línea 06/10/2026: https://montanawestworld.com/products/wrangler-braided-crossbody-bag</t>
        </is>
      </c>
      <c r="AL798" s="58" t="n"/>
      <c r="AM798" s="58" t="n"/>
      <c r="AN798" s="155" t="n"/>
      <c r="AO798" s="59" t="n"/>
      <c r="AP798" s="59" t="n"/>
      <c r="AQ798" s="59" t="n"/>
      <c r="AR798" s="155" t="n"/>
    </row>
    <row r="799">
      <c r="A799" s="50" t="inlineStr">
        <is>
          <t>717325207167</t>
        </is>
      </c>
      <c r="B799" s="51" t="inlineStr">
        <is>
          <t>11887</t>
        </is>
      </c>
      <c r="C799" s="156" t="inlineStr">
        <is>
          <t>Wrangler</t>
        </is>
      </c>
      <c r="D799" s="156" t="inlineStr">
        <is>
          <t>WG183-W048BR</t>
        </is>
      </c>
      <c r="E799" s="156" t="inlineStr">
        <is>
          <t>WG183-W048BR</t>
        </is>
      </c>
      <c r="F799" s="156" t="inlineStr">
        <is>
          <t>Talla única</t>
        </is>
      </c>
      <c r="G799" s="156" t="inlineStr">
        <is>
          <t>One Size</t>
        </is>
      </c>
      <c r="H799" s="156" t="inlineStr">
        <is>
          <t>Wrangler</t>
        </is>
      </c>
      <c r="I799" s="156" t="inlineStr">
        <is>
          <t>Cartera Muñequera Wrangler Trenzada Whipstitch Café</t>
        </is>
      </c>
      <c r="J799" s="156" t="inlineStr">
        <is>
          <t>Accesorios</t>
        </is>
      </c>
      <c r="K799" s="156" t="inlineStr">
        <is>
          <t>Carteras</t>
        </is>
      </c>
      <c r="L799" s="156" t="inlineStr">
        <is>
          <t>Unisex</t>
        </is>
      </c>
      <c r="M799" s="156" t="inlineStr">
        <is>
          <t>Wrangler</t>
        </is>
      </c>
      <c r="N799" s="156" t="n"/>
      <c r="O799" s="156" t="inlineStr">
        <is>
          <t>Core</t>
        </is>
      </c>
      <c r="P799" s="156" t="inlineStr">
        <is>
          <t>Cafe</t>
        </is>
      </c>
      <c r="Q799" s="156" t="n"/>
      <c r="R799" s="156" t="n"/>
      <c r="S799" s="156" t="n"/>
      <c r="T799" s="156" t="inlineStr">
        <is>
          <t>Cartera Muñequera Wrangler. Modelo: Trenzada Whipstitch. Color: Café. Talla única. Unisex. País de origen: México. Referencia: WG183-W048BR.</t>
        </is>
      </c>
      <c r="U799" s="156" t="inlineStr">
        <is>
          <t>México</t>
        </is>
      </c>
      <c r="V799" s="156" t="inlineStr">
        <is>
          <t>PZS</t>
        </is>
      </c>
      <c r="W799" s="51" t="inlineStr">
        <is>
          <t>53121700</t>
        </is>
      </c>
      <c r="X799" s="156" t="n"/>
      <c r="Y799" s="54" t="n">
        <v>258.75</v>
      </c>
      <c r="Z799" s="54" t="n">
        <v>419</v>
      </c>
      <c r="AA799" s="55">
        <f>IF(AND(A799="", B799="", E799=""), "", IF(AB799="", "Válido", IF((LEN(AB799)-LEN(SUBSTITUTE(AB799,"; ","")))/2+1&gt;(LEN(AB799)-LEN(SUBSTITUTE(AB799,"[Aviso]","")))/7, "Con Incidencias", "Válido")))</f>
        <v/>
      </c>
      <c r="AB799" s="56">
        <f>IF(AND(A799="", B799="", E799=""), "", TEXTJOIN("; ", TRUE, IF(OR(TRIM(A799&amp;"")="", ISNUMBER(SEARCH("FALTA", A799))), "UPC faltante/inválido", ""), IF(AND(A799&lt;&gt;"", IFERROR(_xlfn.XMATCH(A799,$A$2:$A$1063,0,1)&lt;&gt;_xlfn.XMATCH(A799,$A$2:$A$1063,0,-1),FALSE)), "Código de barras duplicado", ""), IF(AND(E799&lt;&gt;"", COUNTIF($E$2:$E$1063, E799)&gt;1), "SKU duplicado", ""), IF(OR(J799="", J799=""), "[Aviso] División no capturada ()", IF(ISNA(MATCH(J799, Criterios!$A$123:$A$126, 0)), "División no válida", "")), IF(OR(K799="", K799=""), "[Aviso] Categoría no capturada ()", IF(ISNA(MATCH(K799, Criterios!$A$81:$A$120, 0)), "Categoría no válida", IF(AND(J799&lt;&gt;"", J799&lt;&gt;"", J799&lt;&gt;VLOOKUP(K799, Criterios!$A$81:$B$120, 2, FALSE)), "División no coincide con Categoría", ""))), IF(OR(L799="", L799=""), "[Aviso] Género no capturado ()", IF(ISNA(MATCH(L799, Criterios!$B$123:$B$127, 0)), "Género no válido", "")), IF(OR(N799="", N799=""), "[Aviso] Temporada no capturada ()", IF(ISNA(MATCH(N799, Criterios!$C$123:$C$128, 0)), "Temporada no válida", "")), IF(OR(O799="", O799=""), "[Aviso] Ciclo de vida no capturado ()", IF(ISNA(MATCH(O799, Criterios!$D$123:$D$124, 0)), "Ciclo de vida no válido", ""))))</f>
        <v/>
      </c>
      <c r="AC799" s="56" t="n"/>
      <c r="AD799" s="51" t="n"/>
      <c r="AE799" s="156" t="n"/>
      <c r="AF799" s="51" t="n"/>
      <c r="AG799" s="156" t="inlineStr">
        <is>
          <t>Nuevo – Carga Hoja2 01/10/2026</t>
        </is>
      </c>
      <c r="AH799" s="156" t="inlineStr">
        <is>
          <t>Alta 01/10/2026 desde Hoja2 (fila 820) | 01/10/2026: Odoo Universal Unique Brands trae Marca «Montana West» — se conservó el valor de Productos | Homologación G1522 06/10/2026: Validador Shopify: WB: precio con IVA no termina en 9</t>
        </is>
      </c>
      <c r="AI799" s="156" t="n"/>
      <c r="AJ799" s="156" t="n"/>
      <c r="AK799" s="155" t="inlineStr">
        <is>
          <t>Hoja2: fila 820 | Odoo: producto 11887 / plantilla 15322 | Odoo: producto 27310 / plantilla 34010</t>
        </is>
      </c>
      <c r="AL799" s="58" t="n"/>
      <c r="AM799" s="58" t="n"/>
      <c r="AN799" s="155" t="inlineStr">
        <is>
          <t>Odoo Universal Unique Brands</t>
        </is>
      </c>
      <c r="AO799" s="59" t="n"/>
      <c r="AP799" s="59" t="n"/>
      <c r="AQ799" s="59" t="n">
        <v>21</v>
      </c>
      <c r="AR799" s="155" t="inlineStr">
        <is>
          <t>Odoo Universal Unique Brands › Bodega 25 › Bodega 25/General: 19 | Odoo Universal Unique Brands › Bodega 25 › Bodega 25/General: 2</t>
        </is>
      </c>
    </row>
    <row r="800">
      <c r="A800" s="50" t="inlineStr">
        <is>
          <t>717325212932</t>
        </is>
      </c>
      <c r="B800" s="51" t="inlineStr">
        <is>
          <t>11248</t>
        </is>
      </c>
      <c r="C800" s="156" t="inlineStr">
        <is>
          <t>Wrangler</t>
        </is>
      </c>
      <c r="D800" s="156" t="inlineStr">
        <is>
          <t>WG185-5112BG</t>
        </is>
      </c>
      <c r="E800" s="156" t="inlineStr">
        <is>
          <t>WG185-5112BG</t>
        </is>
      </c>
      <c r="F800" s="156" t="inlineStr">
        <is>
          <t>Talla única</t>
        </is>
      </c>
      <c r="G800" s="156" t="inlineStr">
        <is>
          <t>One Size</t>
        </is>
      </c>
      <c r="H800" s="156" t="inlineStr">
        <is>
          <t>Wrangler</t>
        </is>
      </c>
      <c r="I800" s="156" t="inlineStr">
        <is>
          <t>Bolsa Satchel Cruzada Wrangler Colección Trenzada Whipstitch Beige</t>
        </is>
      </c>
      <c r="J800" s="156" t="inlineStr">
        <is>
          <t>Accesorios</t>
        </is>
      </c>
      <c r="K800" s="156" t="inlineStr">
        <is>
          <t>Bolsos</t>
        </is>
      </c>
      <c r="L800" s="156" t="inlineStr">
        <is>
          <t>Unisex</t>
        </is>
      </c>
      <c r="M800" s="156" t="inlineStr">
        <is>
          <t>Wrangler</t>
        </is>
      </c>
      <c r="N800" s="156" t="n"/>
      <c r="O800" s="156" t="inlineStr">
        <is>
          <t>Core</t>
        </is>
      </c>
      <c r="P800" s="156" t="inlineStr">
        <is>
          <t>Beige</t>
        </is>
      </c>
      <c r="Q800" s="156" t="n"/>
      <c r="R800" s="156" t="n"/>
      <c r="S800" s="156" t="n"/>
      <c r="T800" s="156" t="inlineStr">
        <is>
          <t>Bolsa Satchel Cruzada Wrangler. Modelo: Colección Trenzada Whipstitch. Color: Beige. Talla única. Unisex. País de origen: México. Referencia: WG185-5112BG.</t>
        </is>
      </c>
      <c r="U800" s="156" t="inlineStr">
        <is>
          <t>México</t>
        </is>
      </c>
      <c r="V800" s="156" t="inlineStr">
        <is>
          <t>PZS</t>
        </is>
      </c>
      <c r="W800" s="51" t="inlineStr">
        <is>
          <t>53121601</t>
        </is>
      </c>
      <c r="X800" s="156" t="n"/>
      <c r="Y800" s="54" t="n">
        <v>379.5</v>
      </c>
      <c r="Z800" s="54" t="n">
        <v>609</v>
      </c>
      <c r="AA800" s="55">
        <f>IF(AND(A800="", B800="", E800=""), "", IF(AB800="", "Válido", IF((LEN(AB800)-LEN(SUBSTITUTE(AB800,"; ","")))/2+1&gt;(LEN(AB800)-LEN(SUBSTITUTE(AB800,"[Aviso]","")))/7, "Con Incidencias", "Válido")))</f>
        <v/>
      </c>
      <c r="AB800" s="56">
        <f>IF(AND(A800="", B800="", E800=""), "", TEXTJOIN("; ", TRUE, IF(OR(TRIM(A800&amp;"")="", ISNUMBER(SEARCH("FALTA", A800))), "UPC faltante/inválido", ""), IF(AND(A800&lt;&gt;"", IFERROR(_xlfn.XMATCH(A800,$A$2:$A$1063,0,1)&lt;&gt;_xlfn.XMATCH(A800,$A$2:$A$1063,0,-1),FALSE)), "Código de barras duplicado", ""), IF(AND(E800&lt;&gt;"", COUNTIF($E$2:$E$1063, E800)&gt;1), "SKU duplicado", ""), IF(OR(J800="", J800=""), "[Aviso] División no capturada ()", IF(ISNA(MATCH(J800, Criterios!$A$123:$A$126, 0)), "División no válida", "")), IF(OR(K800="", K800=""), "[Aviso] Categoría no capturada ()", IF(ISNA(MATCH(K800, Criterios!$A$81:$A$120, 0)), "Categoría no válida", IF(AND(J800&lt;&gt;"", J800&lt;&gt;"", J800&lt;&gt;VLOOKUP(K800, Criterios!$A$81:$B$120, 2, FALSE)), "División no coincide con Categoría", ""))), IF(OR(L800="", L800=""), "[Aviso] Género no capturado ()", IF(ISNA(MATCH(L800, Criterios!$B$123:$B$127, 0)), "Género no válido", "")), IF(OR(N800="", N800=""), "[Aviso] Temporada no capturada ()", IF(ISNA(MATCH(N800, Criterios!$C$123:$C$128, 0)), "Temporada no válida", "")), IF(OR(O800="", O800=""), "[Aviso] Ciclo de vida no capturado ()", IF(ISNA(MATCH(O800, Criterios!$D$123:$D$124, 0)), "Ciclo de vida no válido", ""))))</f>
        <v/>
      </c>
      <c r="AC800" s="56" t="n"/>
      <c r="AD800" s="51" t="n"/>
      <c r="AE800" s="156" t="n"/>
      <c r="AF800" s="51" t="n"/>
      <c r="AG800" s="156" t="inlineStr">
        <is>
          <t>Nuevo – Carga Hoja2 01/10/2026</t>
        </is>
      </c>
      <c r="AH800" s="156" t="inlineStr">
        <is>
          <t>Alta 01/10/2026 desde Hoja2 (fila 821) | 01/10/2026: Odoo Universal Unique Brands trae Marca «Montana West» — se conservó el valor de Productos | Homologación G1522 06/10/2026: Validador Shopify: WB: precio con IVA no termina en 9</t>
        </is>
      </c>
      <c r="AI800" s="156" t="n"/>
      <c r="AJ800" s="156" t="n"/>
      <c r="AK800" s="155" t="inlineStr">
        <is>
          <t>Hoja2: fila 821 | Odoo: producto 11248 / plantilla 14683 | Odoo: producto 27315 / plantilla 34015</t>
        </is>
      </c>
      <c r="AL800" s="58" t="n"/>
      <c r="AM800" s="58" t="n"/>
      <c r="AN800" s="155" t="inlineStr">
        <is>
          <t>Odoo Universal Unique Brands</t>
        </is>
      </c>
      <c r="AO800" s="59" t="n"/>
      <c r="AP800" s="59" t="n"/>
      <c r="AQ800" s="59" t="n">
        <v>43</v>
      </c>
      <c r="AR800" s="155" t="inlineStr">
        <is>
          <t>Odoo Universal Unique Brands › Bodega 25 › Bodega 25/General: 43</t>
        </is>
      </c>
    </row>
    <row r="801">
      <c r="A801" s="50" t="inlineStr">
        <is>
          <t>717325212888</t>
        </is>
      </c>
      <c r="B801" s="51" t="inlineStr">
        <is>
          <t>11247</t>
        </is>
      </c>
      <c r="C801" s="156" t="inlineStr">
        <is>
          <t>Wrangler</t>
        </is>
      </c>
      <c r="D801" s="156" t="inlineStr">
        <is>
          <t>WG185-5112BR</t>
        </is>
      </c>
      <c r="E801" s="156" t="inlineStr">
        <is>
          <t>WG185-5112BR</t>
        </is>
      </c>
      <c r="F801" s="156" t="inlineStr">
        <is>
          <t>Talla única</t>
        </is>
      </c>
      <c r="G801" s="156" t="inlineStr">
        <is>
          <t>One Size</t>
        </is>
      </c>
      <c r="H801" s="156" t="inlineStr">
        <is>
          <t>Wrangler</t>
        </is>
      </c>
      <c r="I801" s="156" t="inlineStr">
        <is>
          <t>Bolsa Satchel Cruzada Wrangler Colección Trenzada Whipstitch</t>
        </is>
      </c>
      <c r="J801" s="156" t="inlineStr">
        <is>
          <t>Accesorios</t>
        </is>
      </c>
      <c r="K801" s="156" t="inlineStr">
        <is>
          <t>Bolsos</t>
        </is>
      </c>
      <c r="L801" s="156" t="inlineStr">
        <is>
          <t>Unisex</t>
        </is>
      </c>
      <c r="M801" s="156" t="inlineStr">
        <is>
          <t>Wrangler</t>
        </is>
      </c>
      <c r="N801" s="156" t="n"/>
      <c r="O801" s="156" t="n"/>
      <c r="P801" s="156" t="inlineStr">
        <is>
          <t>Cafe</t>
        </is>
      </c>
      <c r="Q801" s="156" t="n"/>
      <c r="R801" s="156" t="n"/>
      <c r="S801" s="156" t="n"/>
      <c r="T801" s="156" t="inlineStr">
        <is>
          <t>Bolsa Satchel Cruzada</t>
        </is>
      </c>
      <c r="U801" s="156" t="inlineStr">
        <is>
          <t>México</t>
        </is>
      </c>
      <c r="V801" s="156" t="inlineStr">
        <is>
          <t>PZS</t>
        </is>
      </c>
      <c r="W801" s="51" t="inlineStr">
        <is>
          <t>53121601</t>
        </is>
      </c>
      <c r="X801" s="156" t="n"/>
      <c r="Y801" s="54" t="n">
        <v>379.5</v>
      </c>
      <c r="Z801" s="54" t="n">
        <v>609</v>
      </c>
      <c r="AA801" s="55">
        <f>IF(AND(A801="", B801="", E801=""), "", IF(AB801="", "Válido", IF((LEN(AB801)-LEN(SUBSTITUTE(AB801,"; ","")))/2+1&gt;(LEN(AB801)-LEN(SUBSTITUTE(AB801,"[Aviso]","")))/7, "Con Incidencias", "Válido")))</f>
        <v/>
      </c>
      <c r="AB801" s="56">
        <f>IF(AND(A801="", B801="", E801=""), "", TEXTJOIN("; ", TRUE, IF(OR(TRIM(A801&amp;"")="", ISNUMBER(SEARCH("FALTA", A801))), "UPC faltante/inválido", ""), IF(AND(A801&lt;&gt;"", IFERROR(_xlfn.XMATCH(A801,$A$2:$A$1063,0,1)&lt;&gt;_xlfn.XMATCH(A801,$A$2:$A$1063,0,-1),FALSE)), "Código de barras duplicado", ""), IF(AND(E801&lt;&gt;"", COUNTIF($E$2:$E$1063, E801)&gt;1), "SKU duplicado", ""), IF(OR(J801="", J801=""), "[Aviso] División no capturada ()", IF(ISNA(MATCH(J801, Criterios!$A$123:$A$126, 0)), "División no válida", "")), IF(OR(K801="", K801=""), "[Aviso] Categoría no capturada ()", IF(ISNA(MATCH(K801, Criterios!$A$81:$A$120, 0)), "Categoría no válida", IF(AND(J801&lt;&gt;"", J801&lt;&gt;"", J801&lt;&gt;VLOOKUP(K801, Criterios!$A$81:$B$120, 2, FALSE)), "División no coincide con Categoría", ""))), IF(OR(L801="", L801=""), "[Aviso] Género no capturado ()", IF(ISNA(MATCH(L801, Criterios!$B$123:$B$127, 0)), "Género no válido", "")), IF(OR(N801="", N801=""), "[Aviso] Temporada no capturada ()", IF(ISNA(MATCH(N801, Criterios!$C$123:$C$128, 0)), "Temporada no válida", "")), IF(OR(O801="", O801=""), "[Aviso] Ciclo de vida no capturado ()", IF(ISNA(MATCH(O801, Criterios!$D$123:$D$124, 0)), "Ciclo de vida no válido", ""))))</f>
        <v/>
      </c>
      <c r="AC801" s="56" t="n"/>
      <c r="AD801" s="51" t="n"/>
      <c r="AE801" s="156" t="n"/>
      <c r="AF801" s="51" t="n"/>
      <c r="AG801" s="156" t="inlineStr">
        <is>
          <t>Nuevo – Carga Hoja2 01/10/2026</t>
        </is>
      </c>
      <c r="AH801" s="156" t="inlineStr">
        <is>
          <t>Alta 01/10/2026 desde Hoja2 (fila 822) | 01/10/2026: complementado desde Odoo Universal Unique Brands (match por código de barras): WB Talla, WB Talla de EE. UU., WB Descripción larga | Homologación G1522 06/10/2026: WB País de origen: «Mexico» → «México» (Corrección aplicada) · Validación G1522: WB SKU duplicado · Validador NetSuite / Odoo: V4: SKU repetido · Validador Shopify: V4: SKU repetido; WB: precio con IVA no termina en 9</t>
        </is>
      </c>
      <c r="AI801" s="156" t="n"/>
      <c r="AJ801" s="156" t="n"/>
      <c r="AK801" s="155" t="inlineStr">
        <is>
          <t>Hoja2: fila 822 | Odoo: producto 11247 / plantilla 14682</t>
        </is>
      </c>
      <c r="AL801" s="58" t="n"/>
      <c r="AM801" s="58" t="n"/>
      <c r="AN801" s="155" t="inlineStr">
        <is>
          <t>Odoo Universal Unique Brands</t>
        </is>
      </c>
      <c r="AO801" s="59" t="n"/>
      <c r="AP801" s="59" t="n"/>
      <c r="AQ801" s="59" t="n">
        <v>46</v>
      </c>
      <c r="AR801" s="155" t="inlineStr">
        <is>
          <t>Odoo Universal Unique Brands › Bodega 25 › Bodega 25/General: 46</t>
        </is>
      </c>
    </row>
    <row r="802">
      <c r="A802" s="50" t="inlineStr">
        <is>
          <t>717325212871</t>
        </is>
      </c>
      <c r="B802" s="51" t="inlineStr">
        <is>
          <t>11844</t>
        </is>
      </c>
      <c r="C802" s="156" t="inlineStr">
        <is>
          <t>Wrangler</t>
        </is>
      </c>
      <c r="D802" s="156" t="inlineStr">
        <is>
          <t>WG185-5112JN</t>
        </is>
      </c>
      <c r="E802" s="156" t="inlineStr">
        <is>
          <t>WG185-5112JN</t>
        </is>
      </c>
      <c r="F802" s="156" t="inlineStr">
        <is>
          <t>Talla única</t>
        </is>
      </c>
      <c r="G802" s="156" t="inlineStr">
        <is>
          <t>One Size</t>
        </is>
      </c>
      <c r="H802" s="156" t="inlineStr">
        <is>
          <t>Wrangler</t>
        </is>
      </c>
      <c r="I802" s="156" t="inlineStr">
        <is>
          <t>Bolsa Satchel Cruzada Wrangler Colección Trenzada Whipstitch Mezclilla</t>
        </is>
      </c>
      <c r="J802" s="156" t="inlineStr">
        <is>
          <t>Accesorios</t>
        </is>
      </c>
      <c r="K802" s="156" t="inlineStr">
        <is>
          <t>Bolsos</t>
        </is>
      </c>
      <c r="L802" s="156" t="inlineStr">
        <is>
          <t>Unisex</t>
        </is>
      </c>
      <c r="M802" s="156" t="inlineStr">
        <is>
          <t>Wrangler</t>
        </is>
      </c>
      <c r="N802" s="156" t="n"/>
      <c r="O802" s="156" t="inlineStr">
        <is>
          <t>Core</t>
        </is>
      </c>
      <c r="P802" s="156" t="inlineStr">
        <is>
          <t>Varios</t>
        </is>
      </c>
      <c r="Q802" s="156" t="n"/>
      <c r="R802" s="156" t="n"/>
      <c r="S802" s="156" t="n"/>
      <c r="T802" s="156" t="inlineStr">
        <is>
          <t>Bolsa Satchel Cruzada Wrangler. Modelo: Colección Trenzada Whipstitch. Color: Mezclilla. Talla única. Unisex. País de origen: México. Referencia: WG185-5112JN.</t>
        </is>
      </c>
      <c r="U802" s="156" t="inlineStr">
        <is>
          <t>México</t>
        </is>
      </c>
      <c r="V802" s="156" t="inlineStr">
        <is>
          <t>PZS</t>
        </is>
      </c>
      <c r="W802" s="51" t="inlineStr">
        <is>
          <t>53121601</t>
        </is>
      </c>
      <c r="X802" s="156" t="n"/>
      <c r="Y802" s="54" t="n">
        <v>379.5</v>
      </c>
      <c r="Z802" s="54" t="n">
        <v>609</v>
      </c>
      <c r="AA802" s="55">
        <f>IF(AND(A802="", B802="", E802=""), "", IF(AB802="", "Válido", IF((LEN(AB802)-LEN(SUBSTITUTE(AB802,"; ","")))/2+1&gt;(LEN(AB802)-LEN(SUBSTITUTE(AB802,"[Aviso]","")))/7, "Con Incidencias", "Válido")))</f>
        <v/>
      </c>
      <c r="AB802" s="56">
        <f>IF(AND(A802="", B802="", E802=""), "", TEXTJOIN("; ", TRUE, IF(OR(TRIM(A802&amp;"")="", ISNUMBER(SEARCH("FALTA", A802))), "UPC faltante/inválido", ""), IF(AND(A802&lt;&gt;"", IFERROR(_xlfn.XMATCH(A802,$A$2:$A$1063,0,1)&lt;&gt;_xlfn.XMATCH(A802,$A$2:$A$1063,0,-1),FALSE)), "Código de barras duplicado", ""), IF(AND(E802&lt;&gt;"", COUNTIF($E$2:$E$1063, E802)&gt;1), "SKU duplicado", ""), IF(OR(J802="", J802=""), "[Aviso] División no capturada ()", IF(ISNA(MATCH(J802, Criterios!$A$123:$A$126, 0)), "División no válida", "")), IF(OR(K802="", K802=""), "[Aviso] Categoría no capturada ()", IF(ISNA(MATCH(K802, Criterios!$A$81:$A$120, 0)), "Categoría no válida", IF(AND(J802&lt;&gt;"", J802&lt;&gt;"", J802&lt;&gt;VLOOKUP(K802, Criterios!$A$81:$B$120, 2, FALSE)), "División no coincide con Categoría", ""))), IF(OR(L802="", L802=""), "[Aviso] Género no capturado ()", IF(ISNA(MATCH(L802, Criterios!$B$123:$B$127, 0)), "Género no válido", "")), IF(OR(N802="", N802=""), "[Aviso] Temporada no capturada ()", IF(ISNA(MATCH(N802, Criterios!$C$123:$C$128, 0)), "Temporada no válida", "")), IF(OR(O802="", O802=""), "[Aviso] Ciclo de vida no capturado ()", IF(ISNA(MATCH(O802, Criterios!$D$123:$D$124, 0)), "Ciclo de vida no válido", ""))))</f>
        <v/>
      </c>
      <c r="AC802" s="56" t="n"/>
      <c r="AD802" s="51" t="n"/>
      <c r="AE802" s="156" t="n"/>
      <c r="AF802" s="51" t="n"/>
      <c r="AG802" s="156" t="inlineStr">
        <is>
          <t>Nuevo – Carga Hoja2 01/10/2026</t>
        </is>
      </c>
      <c r="AH802" s="156" t="inlineStr">
        <is>
          <t>Alta 01/10/2026 desde Hoja2 (fila 823) | 01/10/2026: Odoo Universal Unique Brands trae Marca «Montana West» — se conservó el valor de Productos | Homologación G1522 06/10/2026: Validador Shopify: WB: precio con IVA no termina en 9</t>
        </is>
      </c>
      <c r="AI802" s="156" t="n"/>
      <c r="AJ802" s="156" t="n"/>
      <c r="AK802" s="155" t="inlineStr">
        <is>
          <t>Hoja2: fila 823 | Odoo: producto 11844 / plantilla 15279 | Odoo: producto 27317 / plantilla 34017</t>
        </is>
      </c>
      <c r="AL802" s="58" t="n"/>
      <c r="AM802" s="58" t="n"/>
      <c r="AN802" s="155" t="inlineStr">
        <is>
          <t>Odoo Universal Unique Brands</t>
        </is>
      </c>
      <c r="AO802" s="59" t="n"/>
      <c r="AP802" s="59" t="n"/>
      <c r="AQ802" s="59" t="n">
        <v>24</v>
      </c>
      <c r="AR802" s="155" t="inlineStr">
        <is>
          <t>Odoo Universal Unique Brands › Bodega 25 › Bodega 25/General: 27</t>
        </is>
      </c>
    </row>
    <row r="803">
      <c r="A803" s="50" t="n"/>
      <c r="B803" s="51" t="inlineStr">
        <is>
          <t>15677</t>
        </is>
      </c>
      <c r="C803" s="156" t="inlineStr">
        <is>
          <t>Wrangler</t>
        </is>
      </c>
      <c r="D803" s="156" t="inlineStr">
        <is>
          <t>WG185-5112LGY</t>
        </is>
      </c>
      <c r="E803" s="156" t="inlineStr">
        <is>
          <t>WG185-5112LGY</t>
        </is>
      </c>
      <c r="F803" s="156" t="inlineStr">
        <is>
          <t>Talla única</t>
        </is>
      </c>
      <c r="G803" s="156" t="inlineStr">
        <is>
          <t>One Size</t>
        </is>
      </c>
      <c r="H803" s="156" t="inlineStr">
        <is>
          <t>Wrangler</t>
        </is>
      </c>
      <c r="I803" s="156" t="inlineStr">
        <is>
          <t>Bolsa Satchel Cruzada Wrangler Colección Trenzada Whipstitch</t>
        </is>
      </c>
      <c r="J803" s="156" t="inlineStr">
        <is>
          <t>Accesorios</t>
        </is>
      </c>
      <c r="K803" s="156" t="inlineStr">
        <is>
          <t>Bolsos</t>
        </is>
      </c>
      <c r="L803" s="156" t="inlineStr">
        <is>
          <t>Unisex</t>
        </is>
      </c>
      <c r="M803" s="156" t="inlineStr">
        <is>
          <t>Wrangler</t>
        </is>
      </c>
      <c r="N803" s="156" t="n"/>
      <c r="O803" s="156" t="n"/>
      <c r="P803" s="156" t="inlineStr">
        <is>
          <t>Gris</t>
        </is>
      </c>
      <c r="Q803" s="156" t="n"/>
      <c r="R803" s="156" t="n"/>
      <c r="S803" s="156" t="n"/>
      <c r="T803" s="156" t="n"/>
      <c r="U803" s="156" t="inlineStr">
        <is>
          <t>México</t>
        </is>
      </c>
      <c r="V803" s="156" t="inlineStr">
        <is>
          <t>PZS</t>
        </is>
      </c>
      <c r="W803" s="51" t="inlineStr">
        <is>
          <t>53121601</t>
        </is>
      </c>
      <c r="X803" s="156" t="n"/>
      <c r="Y803" s="54" t="n">
        <v>300</v>
      </c>
      <c r="Z803" s="54" t="n">
        <v>609</v>
      </c>
      <c r="AA803" s="55">
        <f>IF(AND(A803="", B803="", E803=""), "", IF(AB803="", "Válido", IF((LEN(AB803)-LEN(SUBSTITUTE(AB803,"; ","")))/2+1&gt;(LEN(AB803)-LEN(SUBSTITUTE(AB803,"[Aviso]","")))/7, "Con Incidencias", "Válido")))</f>
        <v/>
      </c>
      <c r="AB803" s="56">
        <f>IF(AND(A803="", B803="", E803=""), "", TEXTJOIN("; ", TRUE, IF(OR(TRIM(A803&amp;"")="", ISNUMBER(SEARCH("FALTA", A803))), "UPC faltante/inválido", ""), IF(AND(A803&lt;&gt;"", IFERROR(_xlfn.XMATCH(A803,$A$2:$A$1063,0,1)&lt;&gt;_xlfn.XMATCH(A803,$A$2:$A$1063,0,-1),FALSE)), "Código de barras duplicado", ""), IF(AND(E803&lt;&gt;"", COUNTIF($E$2:$E$1063, E803)&gt;1), "SKU duplicado", ""), IF(OR(J803="", J803=""), "[Aviso] División no capturada ()", IF(ISNA(MATCH(J803, Criterios!$A$123:$A$126, 0)), "División no válida", "")), IF(OR(K803="", K803=""), "[Aviso] Categoría no capturada ()", IF(ISNA(MATCH(K803, Criterios!$A$81:$A$120, 0)), "Categoría no válida", IF(AND(J803&lt;&gt;"", J803&lt;&gt;"", J803&lt;&gt;VLOOKUP(K803, Criterios!$A$81:$B$120, 2, FALSE)), "División no coincide con Categoría", ""))), IF(OR(L803="", L803=""), "[Aviso] Género no capturado ()", IF(ISNA(MATCH(L803, Criterios!$B$123:$B$127, 0)), "Género no válido", "")), IF(OR(N803="", N803=""), "[Aviso] Temporada no capturada ()", IF(ISNA(MATCH(N803, Criterios!$C$123:$C$128, 0)), "Temporada no válida", "")), IF(OR(O803="", O803=""), "[Aviso] Ciclo de vida no capturado ()", IF(ISNA(MATCH(O803, Criterios!$D$123:$D$124, 0)), "Ciclo de vida no válido", ""))))</f>
        <v/>
      </c>
      <c r="AC803" s="56" t="n"/>
      <c r="AD803" s="51" t="n"/>
      <c r="AE803" s="156" t="n"/>
      <c r="AF803" s="51" t="n"/>
      <c r="AG803" s="156" t="inlineStr">
        <is>
          <t>Nuevo – Carga Hoja2 01/10/2026</t>
        </is>
      </c>
      <c r="AH803" s="156" t="inlineStr">
        <is>
          <t>Alta 01/10/2026 desde Hoja2 (fila 824) | Homologación G1522 06/10/2026: WB País de origen: «Mexico» → «México» (Corrección aplicada)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repetido; WB: precio con IVA no termina en 9</t>
        </is>
      </c>
      <c r="AI803" s="156" t="n"/>
      <c r="AJ803" s="156" t="n"/>
      <c r="AK803" s="155" t="inlineStr">
        <is>
          <t>Hoja2: fila 824</t>
        </is>
      </c>
      <c r="AL803" s="58" t="n"/>
      <c r="AM803" s="58" t="n"/>
      <c r="AN803" s="155" t="n"/>
      <c r="AO803" s="59" t="n"/>
      <c r="AP803" s="59" t="n"/>
      <c r="AQ803" s="59" t="n"/>
      <c r="AR803" s="155" t="n"/>
    </row>
    <row r="804">
      <c r="A804" s="50" t="inlineStr">
        <is>
          <t>717325213007</t>
        </is>
      </c>
      <c r="B804" s="51" t="inlineStr">
        <is>
          <t>11494</t>
        </is>
      </c>
      <c r="C804" s="156" t="inlineStr">
        <is>
          <t>Wrangler</t>
        </is>
      </c>
      <c r="D804" s="156" t="inlineStr">
        <is>
          <t>WG185-W050BK</t>
        </is>
      </c>
      <c r="E804" s="156" t="inlineStr">
        <is>
          <t>WG185-W050BK</t>
        </is>
      </c>
      <c r="F804" s="156" t="inlineStr">
        <is>
          <t>Talla única</t>
        </is>
      </c>
      <c r="G804" s="156" t="inlineStr">
        <is>
          <t>One Size</t>
        </is>
      </c>
      <c r="H804" s="156" t="inlineStr">
        <is>
          <t>Wrangler</t>
        </is>
      </c>
      <c r="I804" s="156" t="inlineStr">
        <is>
          <t>Cartera Grande Wrangler De Doble Compartimento Con Cierre</t>
        </is>
      </c>
      <c r="J804" s="156" t="inlineStr">
        <is>
          <t>Accesorios</t>
        </is>
      </c>
      <c r="K804" s="156" t="inlineStr">
        <is>
          <t>Carteras</t>
        </is>
      </c>
      <c r="L804" s="156" t="inlineStr">
        <is>
          <t>Unisex</t>
        </is>
      </c>
      <c r="M804" s="156" t="inlineStr">
        <is>
          <t>Wrangler</t>
        </is>
      </c>
      <c r="N804" s="156" t="n"/>
      <c r="O804" s="156" t="n"/>
      <c r="P804" s="156" t="inlineStr">
        <is>
          <t>Negro</t>
        </is>
      </c>
      <c r="Q804" s="156" t="n"/>
      <c r="R804" s="156" t="n"/>
      <c r="S804" s="156" t="n"/>
      <c r="T804" s="156" t="inlineStr">
        <is>
          <t>Cartera Grande</t>
        </is>
      </c>
      <c r="U804" s="156" t="inlineStr">
        <is>
          <t>México</t>
        </is>
      </c>
      <c r="V804" s="156" t="inlineStr">
        <is>
          <t>PZS</t>
        </is>
      </c>
      <c r="W804" s="51" t="inlineStr">
        <is>
          <t>53121700</t>
        </is>
      </c>
      <c r="X804" s="156" t="n"/>
      <c r="Y804" s="54" t="n">
        <v>310.5</v>
      </c>
      <c r="Z804" s="54" t="n">
        <v>499</v>
      </c>
      <c r="AA804" s="55">
        <f>IF(AND(A804="", B804="", E804=""), "", IF(AB804="", "Válido", IF((LEN(AB804)-LEN(SUBSTITUTE(AB804,"; ","")))/2+1&gt;(LEN(AB804)-LEN(SUBSTITUTE(AB804,"[Aviso]","")))/7, "Con Incidencias", "Válido")))</f>
        <v/>
      </c>
      <c r="AB804" s="56">
        <f>IF(AND(A804="", B804="", E804=""), "", TEXTJOIN("; ", TRUE, IF(OR(TRIM(A804&amp;"")="", ISNUMBER(SEARCH("FALTA", A804))), "UPC faltante/inválido", ""), IF(AND(A804&lt;&gt;"", IFERROR(_xlfn.XMATCH(A804,$A$2:$A$1063,0,1)&lt;&gt;_xlfn.XMATCH(A804,$A$2:$A$1063,0,-1),FALSE)), "Código de barras duplicado", ""), IF(AND(E804&lt;&gt;"", COUNTIF($E$2:$E$1063, E804)&gt;1), "SKU duplicado", ""), IF(OR(J804="", J804=""), "[Aviso] División no capturada ()", IF(ISNA(MATCH(J804, Criterios!$A$123:$A$126, 0)), "División no válida", "")), IF(OR(K804="", K804=""), "[Aviso] Categoría no capturada ()", IF(ISNA(MATCH(K804, Criterios!$A$81:$A$120, 0)), "Categoría no válida", IF(AND(J804&lt;&gt;"", J804&lt;&gt;"", J804&lt;&gt;VLOOKUP(K804, Criterios!$A$81:$B$120, 2, FALSE)), "División no coincide con Categoría", ""))), IF(OR(L804="", L804=""), "[Aviso] Género no capturado ()", IF(ISNA(MATCH(L804, Criterios!$B$123:$B$127, 0)), "Género no válido", "")), IF(OR(N804="", N804=""), "[Aviso] Temporada no capturada ()", IF(ISNA(MATCH(N804, Criterios!$C$123:$C$128, 0)), "Temporada no válida", "")), IF(OR(O804="", O804=""), "[Aviso] Ciclo de vida no capturado ()", IF(ISNA(MATCH(O804, Criterios!$D$123:$D$124, 0)), "Ciclo de vida no válido", ""))))</f>
        <v/>
      </c>
      <c r="AC804" s="56" t="n"/>
      <c r="AD804" s="51" t="n"/>
      <c r="AE804" s="156" t="n"/>
      <c r="AF804" s="51" t="n"/>
      <c r="AG804" s="156" t="inlineStr">
        <is>
          <t>Nuevo – Carga Hoja2 01/10/2026</t>
        </is>
      </c>
      <c r="AH804" s="156" t="inlineStr">
        <is>
          <t>Alta 01/10/2026 desde Hoja2 (fila 825)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804" s="156" t="n"/>
      <c r="AJ804" s="156" t="n"/>
      <c r="AK804" s="155" t="inlineStr">
        <is>
          <t>Hoja2: fila 825 | Odoo: producto 11494 / plantilla 14929</t>
        </is>
      </c>
      <c r="AL804" s="58" t="n"/>
      <c r="AM804" s="58" t="n"/>
      <c r="AN804" s="155" t="inlineStr">
        <is>
          <t>Odoo Universal Unique Brands</t>
        </is>
      </c>
      <c r="AO804" s="59" t="n"/>
      <c r="AP804" s="59" t="n"/>
      <c r="AQ804" s="59" t="n">
        <v>11</v>
      </c>
      <c r="AR804" s="155" t="inlineStr">
        <is>
          <t>Odoo Universal Unique Brands › Bodega 25 › Bodega 25/General: 11</t>
        </is>
      </c>
    </row>
    <row r="805">
      <c r="A805" s="50" t="inlineStr">
        <is>
          <t>717325216916</t>
        </is>
      </c>
      <c r="B805" s="51" t="inlineStr">
        <is>
          <t>11352</t>
        </is>
      </c>
      <c r="C805" s="156" t="inlineStr">
        <is>
          <t>Wrangler</t>
        </is>
      </c>
      <c r="D805" s="156" t="inlineStr">
        <is>
          <t>WG190-8319LBR</t>
        </is>
      </c>
      <c r="E805" s="156" t="inlineStr">
        <is>
          <t>WG190-8319LBR</t>
        </is>
      </c>
      <c r="F805" s="156" t="inlineStr">
        <is>
          <t>Talla única</t>
        </is>
      </c>
      <c r="G805" s="156" t="inlineStr">
        <is>
          <t>One Size</t>
        </is>
      </c>
      <c r="H805" s="156" t="inlineStr">
        <is>
          <t>Wrangler</t>
        </is>
      </c>
      <c r="I805" s="156" t="inlineStr">
        <is>
          <t>Bolsa Satchel Convertible Portalaptop Mochila Cruzada Wrangler Con Asa Superior Leopardo Café</t>
        </is>
      </c>
      <c r="J805" s="156" t="inlineStr">
        <is>
          <t>Accesorios</t>
        </is>
      </c>
      <c r="K805" s="156" t="inlineStr">
        <is>
          <t>Bolsos</t>
        </is>
      </c>
      <c r="L805" s="156" t="inlineStr">
        <is>
          <t>Unisex</t>
        </is>
      </c>
      <c r="M805" s="156" t="inlineStr">
        <is>
          <t>Wrangler</t>
        </is>
      </c>
      <c r="N805" s="156" t="n"/>
      <c r="O805" s="156" t="inlineStr">
        <is>
          <t>Core</t>
        </is>
      </c>
      <c r="P805" s="156" t="inlineStr">
        <is>
          <t>Cafe</t>
        </is>
      </c>
      <c r="Q805" s="156" t="n"/>
      <c r="R805" s="156" t="n"/>
      <c r="S805" s="156" t="n"/>
      <c r="T805" s="156" t="inlineStr">
        <is>
          <t>Bolsa Satchel Convertible Portalaptop Mochila Cruzada Wrangler. Modelo: Con Asa Superior. Color: Leopardo Café. Talla única. Unisex. País de origen: México. Referencia: WG190-8319LBR.</t>
        </is>
      </c>
      <c r="U805" s="156" t="inlineStr">
        <is>
          <t>México</t>
        </is>
      </c>
      <c r="V805" s="156" t="inlineStr">
        <is>
          <t>PZS</t>
        </is>
      </c>
      <c r="W805" s="51" t="inlineStr">
        <is>
          <t>53121601</t>
        </is>
      </c>
      <c r="X805" s="156" t="inlineStr">
        <is>
          <t>https://m-universal-unique-brands.odoo.com/web/image/product.product/11352/image_1920</t>
        </is>
      </c>
      <c r="Y805" s="54" t="n">
        <v>370.88</v>
      </c>
      <c r="Z805" s="54" t="n">
        <v>599</v>
      </c>
      <c r="AA805" s="55">
        <f>IF(AND(A805="", B805="", E805=""), "", IF(AB805="", "Válido", IF((LEN(AB805)-LEN(SUBSTITUTE(AB805,"; ","")))/2+1&gt;(LEN(AB805)-LEN(SUBSTITUTE(AB805,"[Aviso]","")))/7, "Con Incidencias", "Válido")))</f>
        <v/>
      </c>
      <c r="AB805" s="56">
        <f>IF(AND(A805="", B805="", E805=""), "", TEXTJOIN("; ", TRUE, IF(OR(TRIM(A805&amp;"")="", ISNUMBER(SEARCH("FALTA", A805))), "UPC faltante/inválido", ""), IF(AND(A805&lt;&gt;"", IFERROR(_xlfn.XMATCH(A805,$A$2:$A$1063,0,1)&lt;&gt;_xlfn.XMATCH(A805,$A$2:$A$1063,0,-1),FALSE)), "Código de barras duplicado", ""), IF(AND(E805&lt;&gt;"", COUNTIF($E$2:$E$1063, E805)&gt;1), "SKU duplicado", ""), IF(OR(J805="", J805=""), "[Aviso] División no capturada ()", IF(ISNA(MATCH(J805, Criterios!$A$123:$A$126, 0)), "División no válida", "")), IF(OR(K805="", K805=""), "[Aviso] Categoría no capturada ()", IF(ISNA(MATCH(K805, Criterios!$A$81:$A$120, 0)), "Categoría no válida", IF(AND(J805&lt;&gt;"", J805&lt;&gt;"", J805&lt;&gt;VLOOKUP(K805, Criterios!$A$81:$B$120, 2, FALSE)), "División no coincide con Categoría", ""))), IF(OR(L805="", L805=""), "[Aviso] Género no capturado ()", IF(ISNA(MATCH(L805, Criterios!$B$123:$B$127, 0)), "Género no válido", "")), IF(OR(N805="", N805=""), "[Aviso] Temporada no capturada ()", IF(ISNA(MATCH(N805, Criterios!$C$123:$C$128, 0)), "Temporada no válida", "")), IF(OR(O805="", O805=""), "[Aviso] Ciclo de vida no capturado ()", IF(ISNA(MATCH(O805, Criterios!$D$123:$D$124, 0)), "Ciclo de vida no válido", ""))))</f>
        <v/>
      </c>
      <c r="AC805" s="56" t="n"/>
      <c r="AD805" s="51" t="n"/>
      <c r="AE805" s="156" t="n"/>
      <c r="AF805" s="51" t="n"/>
      <c r="AG805" s="156" t="inlineStr">
        <is>
          <t>Nuevo – Carga Hoja2 01/10/2026</t>
        </is>
      </c>
      <c r="AH805" s="156" t="inlineStr">
        <is>
          <t>Alta 01/10/2026 desde Hoja2 (fila 826) | 01/10/2026: complementado desde Odoo Universal Unique Brands (match por código de barras): Enlace de imagen | 01/10/2026: Odoo Universal Unique Brands trae Categoría «Mochilas» — se conservó el valor de Productos | 01/10/2026: Odoo Universal Unique Brands trae Marca «Montana West» — se conservó el valor de Productos | Homologación G1522 06/10/2026: Validador Shopify: WB: precio con IVA no termina en 9</t>
        </is>
      </c>
      <c r="AI805" s="156" t="n"/>
      <c r="AJ805" s="156" t="n"/>
      <c r="AK805" s="155" t="inlineStr">
        <is>
          <t>Hoja2: fila 826 | Odoo: producto 11352 / plantilla 14787 | Odoo: producto 27326 / plantilla 34026</t>
        </is>
      </c>
      <c r="AL805" s="58" t="n"/>
      <c r="AM805" s="58" t="n"/>
      <c r="AN805" s="155" t="inlineStr">
        <is>
          <t>Odoo Universal Unique Brands</t>
        </is>
      </c>
      <c r="AO805" s="59" t="n"/>
      <c r="AP805" s="59" t="n"/>
      <c r="AQ805" s="59" t="n">
        <v>17</v>
      </c>
      <c r="AR805" s="155" t="inlineStr">
        <is>
          <t>Odoo Universal Unique Brands › Bodega 25 › Bodega 25/General: 11 | Odoo Universal Unique Brands › Bodega 25 › Bodega 25/General: 6</t>
        </is>
      </c>
    </row>
    <row r="806">
      <c r="A806" s="50" t="inlineStr">
        <is>
          <t>717325217579</t>
        </is>
      </c>
      <c r="B806" s="51" t="inlineStr">
        <is>
          <t>15597</t>
        </is>
      </c>
      <c r="C806" s="156" t="inlineStr">
        <is>
          <t>Wrangler</t>
        </is>
      </c>
      <c r="D806" s="156" t="inlineStr">
        <is>
          <t>WG193-2003BG</t>
        </is>
      </c>
      <c r="E806" s="156" t="inlineStr">
        <is>
          <t>WG193-2003BG</t>
        </is>
      </c>
      <c r="F806" s="156" t="inlineStr">
        <is>
          <t>Talla única</t>
        </is>
      </c>
      <c r="G806" s="156" t="inlineStr">
        <is>
          <t>One Size</t>
        </is>
      </c>
      <c r="H806" s="156" t="inlineStr">
        <is>
          <t>Wrangler</t>
        </is>
      </c>
      <c r="I806" s="156" t="inlineStr">
        <is>
          <t>Bolsa Wrangler WG</t>
        </is>
      </c>
      <c r="J806" s="156" t="inlineStr">
        <is>
          <t>Accesorios</t>
        </is>
      </c>
      <c r="K806" s="156" t="inlineStr">
        <is>
          <t>Bolsos</t>
        </is>
      </c>
      <c r="L806" s="156" t="inlineStr">
        <is>
          <t>Unisex</t>
        </is>
      </c>
      <c r="M806" s="156" t="inlineStr">
        <is>
          <t>Wrangler</t>
        </is>
      </c>
      <c r="N806" s="156" t="n"/>
      <c r="O806" s="156" t="n"/>
      <c r="P806" s="156" t="inlineStr">
        <is>
          <t>Beige</t>
        </is>
      </c>
      <c r="Q806" s="156" t="n"/>
      <c r="R806" s="156" t="n"/>
      <c r="S806" s="156" t="n"/>
      <c r="T806" s="156" t="inlineStr">
        <is>
          <t>Bolsa</t>
        </is>
      </c>
      <c r="U806" s="156" t="inlineStr">
        <is>
          <t>México</t>
        </is>
      </c>
      <c r="V806" s="156" t="inlineStr">
        <is>
          <t>PZS</t>
        </is>
      </c>
      <c r="W806" s="51" t="inlineStr">
        <is>
          <t>53121600</t>
        </is>
      </c>
      <c r="X806" s="156" t="inlineStr">
        <is>
          <t>https://m-universal-unique-brands.odoo.com/web/image/product.product/15597/image_1920</t>
        </is>
      </c>
      <c r="Y806" s="54" t="n"/>
      <c r="Z806" s="54" t="n">
        <v>719</v>
      </c>
      <c r="AA806" s="55">
        <f>IF(AND(A806="", B806="", E806=""), "", IF(AB806="", "Válido", IF((LEN(AB806)-LEN(SUBSTITUTE(AB806,"; ","")))/2+1&gt;(LEN(AB806)-LEN(SUBSTITUTE(AB806,"[Aviso]","")))/7, "Con Incidencias", "Válido")))</f>
        <v/>
      </c>
      <c r="AB806" s="56">
        <f>IF(AND(A806="", B806="", E806=""), "", TEXTJOIN("; ", TRUE, IF(OR(TRIM(A806&amp;"")="", ISNUMBER(SEARCH("FALTA", A806))), "UPC faltante/inválido", ""), IF(AND(A806&lt;&gt;"", IFERROR(_xlfn.XMATCH(A806,$A$2:$A$1063,0,1)&lt;&gt;_xlfn.XMATCH(A806,$A$2:$A$1063,0,-1),FALSE)), "Código de barras duplicado", ""), IF(AND(E806&lt;&gt;"", COUNTIF($E$2:$E$1063, E806)&gt;1), "SKU duplicado", ""), IF(OR(J806="", J806=""), "[Aviso] División no capturada ()", IF(ISNA(MATCH(J806, Criterios!$A$123:$A$126, 0)), "División no válida", "")), IF(OR(K806="", K806=""), "[Aviso] Categoría no capturada ()", IF(ISNA(MATCH(K806, Criterios!$A$81:$A$120, 0)), "Categoría no válida", IF(AND(J806&lt;&gt;"", J806&lt;&gt;"", J806&lt;&gt;VLOOKUP(K806, Criterios!$A$81:$B$120, 2, FALSE)), "División no coincide con Categoría", ""))), IF(OR(L806="", L806=""), "[Aviso] Género no capturado ()", IF(ISNA(MATCH(L806, Criterios!$B$123:$B$127, 0)), "Género no válido", "")), IF(OR(N806="", N806=""), "[Aviso] Temporada no capturada ()", IF(ISNA(MATCH(N806, Criterios!$C$123:$C$128, 0)), "Temporada no válida", "")), IF(OR(O806="", O806=""), "[Aviso] Ciclo de vida no capturado ()", IF(ISNA(MATCH(O806, Criterios!$D$123:$D$124, 0)), "Ciclo de vida no válido", ""))))</f>
        <v/>
      </c>
      <c r="AC806" s="56" t="inlineStr">
        <is>
          <t>Homologación G1522: integra 1 registro(s) iguales por mismo WB SKU, variante sin código igual en estilo/talla/color</t>
        </is>
      </c>
      <c r="AD806" s="51" t="n"/>
      <c r="AE806" s="156" t="n"/>
      <c r="AF806" s="51" t="n"/>
      <c r="AG806" s="156" t="inlineStr">
        <is>
          <t>Nuevo – Carga Hoja2 01/10/2026</t>
        </is>
      </c>
      <c r="AH806" s="156" t="inlineStr">
        <is>
          <t>Alta 01/10/2026 desde Hoja2 (fila 827); Precio de compra en 0/vacío en origen | 01/10/2026: complementado desde Odoo Universal Unique Brands (match por SKU): WB Talla, WB Talla de EE. UU. | 01/10/2026: complementado desde Odoo Universal Unique Brands (match por código de barras): WB Descripción larga, Enlace de imagen | Homologación G1522 06/10/2026: WB País de origen: «Mexico» → «México» (Corrección aplicada) · WB Talla: «» → «Talla única» (Completado por regla) · WB Talla de EE. UU.: «» → «One Size» (Completado por regla) · WB Descripcion: «WG193-2003BG» → «Bolsa Wrangler WG» (Conflicto entre duplicados) · Validador Shopify: WB: precio con IVA no termina en 9</t>
        </is>
      </c>
      <c r="AI806" s="156" t="n"/>
      <c r="AJ806" s="156" t="n"/>
      <c r="AK806" s="155" t="inlineStr">
        <is>
          <t>Hoja2: fila 827 | Odoo: producto 14903 / plantilla 19256 | Odoo: producto 15597 / plantilla 19950; Hoja2: fila 828</t>
        </is>
      </c>
      <c r="AL806" s="58" t="n"/>
      <c r="AM806" s="58" t="n"/>
      <c r="AN806" s="155" t="inlineStr">
        <is>
          <t>Odoo Universal Unique Brands</t>
        </is>
      </c>
      <c r="AO806" s="59" t="n"/>
      <c r="AP806" s="59" t="n"/>
      <c r="AQ806" s="59" t="n">
        <v>33</v>
      </c>
      <c r="AR806" s="155" t="inlineStr">
        <is>
          <t>Odoo Universal Unique Brands › Bodega 25 › Bodega 25/General: 33</t>
        </is>
      </c>
    </row>
    <row r="807">
      <c r="A807" s="50" t="inlineStr">
        <is>
          <t>717325217494</t>
        </is>
      </c>
      <c r="B807" s="51" t="inlineStr">
        <is>
          <t>11821</t>
        </is>
      </c>
      <c r="C807" s="156" t="inlineStr">
        <is>
          <t>Wrangler</t>
        </is>
      </c>
      <c r="D807" s="156" t="inlineStr">
        <is>
          <t>WG193-2003BK</t>
        </is>
      </c>
      <c r="E807" s="156" t="inlineStr">
        <is>
          <t>WG193-2003BK</t>
        </is>
      </c>
      <c r="F807" s="156" t="inlineStr">
        <is>
          <t>Talla única</t>
        </is>
      </c>
      <c r="G807" s="156" t="inlineStr">
        <is>
          <t>One Size</t>
        </is>
      </c>
      <c r="H807" s="156" t="inlineStr">
        <is>
          <t>Wrangler</t>
        </is>
      </c>
      <c r="I807" s="156" t="inlineStr">
        <is>
          <t>Bolsa Tote Cruzada Wrangler Con Asa Superior, Flecos Y Grabado Tipo Bota Negro</t>
        </is>
      </c>
      <c r="J807" s="156" t="inlineStr">
        <is>
          <t>Accesorios</t>
        </is>
      </c>
      <c r="K807" s="156" t="inlineStr">
        <is>
          <t>Bolsos</t>
        </is>
      </c>
      <c r="L807" s="156" t="inlineStr">
        <is>
          <t>Unisex</t>
        </is>
      </c>
      <c r="M807" s="156" t="inlineStr">
        <is>
          <t>Wrangler</t>
        </is>
      </c>
      <c r="N807" s="156" t="n"/>
      <c r="O807" s="156" t="inlineStr">
        <is>
          <t>Core</t>
        </is>
      </c>
      <c r="P807" s="156" t="inlineStr">
        <is>
          <t>Negro</t>
        </is>
      </c>
      <c r="Q807" s="156" t="n"/>
      <c r="R807" s="156" t="n"/>
      <c r="S807" s="156" t="n"/>
      <c r="T807" s="156" t="inlineStr">
        <is>
          <t>Bolsa Tote Cruzada Wrangler. Modelo: Con Asa Superior, Flecos Y Grabado Tipo Bota. Color: Negro. Talla única. Unisex. País de origen: México. Referencia: WG193-2003BK.</t>
        </is>
      </c>
      <c r="U807" s="156" t="inlineStr">
        <is>
          <t>México</t>
        </is>
      </c>
      <c r="V807" s="156" t="inlineStr">
        <is>
          <t>PZS</t>
        </is>
      </c>
      <c r="W807" s="51" t="inlineStr">
        <is>
          <t>53121601</t>
        </is>
      </c>
      <c r="X807" s="156" t="n"/>
      <c r="Y807" s="54" t="n">
        <v>448.5</v>
      </c>
      <c r="Z807" s="54" t="n">
        <v>719</v>
      </c>
      <c r="AA807" s="55">
        <f>IF(AND(A807="", B807="", E807=""), "", IF(AB807="", "Válido", IF((LEN(AB807)-LEN(SUBSTITUTE(AB807,"; ","")))/2+1&gt;(LEN(AB807)-LEN(SUBSTITUTE(AB807,"[Aviso]","")))/7, "Con Incidencias", "Válido")))</f>
        <v/>
      </c>
      <c r="AB807" s="56">
        <f>IF(AND(A807="", B807="", E807=""), "", TEXTJOIN("; ", TRUE, IF(OR(TRIM(A807&amp;"")="", ISNUMBER(SEARCH("FALTA", A807))), "UPC faltante/inválido", ""), IF(AND(A807&lt;&gt;"", IFERROR(_xlfn.XMATCH(A807,$A$2:$A$1063,0,1)&lt;&gt;_xlfn.XMATCH(A807,$A$2:$A$1063,0,-1),FALSE)), "Código de barras duplicado", ""), IF(AND(E807&lt;&gt;"", COUNTIF($E$2:$E$1063, E807)&gt;1), "SKU duplicado", ""), IF(OR(J807="", J807=""), "[Aviso] División no capturada ()", IF(ISNA(MATCH(J807, Criterios!$A$123:$A$126, 0)), "División no válida", "")), IF(OR(K807="", K807=""), "[Aviso] Categoría no capturada ()", IF(ISNA(MATCH(K807, Criterios!$A$81:$A$120, 0)), "Categoría no válida", IF(AND(J807&lt;&gt;"", J807&lt;&gt;"", J807&lt;&gt;VLOOKUP(K807, Criterios!$A$81:$B$120, 2, FALSE)), "División no coincide con Categoría", ""))), IF(OR(L807="", L807=""), "[Aviso] Género no capturado ()", IF(ISNA(MATCH(L807, Criterios!$B$123:$B$127, 0)), "Género no válido", "")), IF(OR(N807="", N807=""), "[Aviso] Temporada no capturada ()", IF(ISNA(MATCH(N807, Criterios!$C$123:$C$128, 0)), "Temporada no válida", "")), IF(OR(O807="", O807=""), "[Aviso] Ciclo de vida no capturado ()", IF(ISNA(MATCH(O807, Criterios!$D$123:$D$124, 0)), "Ciclo de vida no válido", ""))))</f>
        <v/>
      </c>
      <c r="AC807" s="56" t="n"/>
      <c r="AD807" s="51" t="n"/>
      <c r="AE807" s="156" t="n"/>
      <c r="AF807" s="51" t="n"/>
      <c r="AG807" s="156" t="inlineStr">
        <is>
          <t>Nuevo – Carga Hoja2 01/10/2026</t>
        </is>
      </c>
      <c r="AH807" s="156" t="inlineStr">
        <is>
          <t>Alta 01/10/2026 desde Hoja2 (fila 829) | 01/10/2026: Odoo Universal Unique Brands trae Categoría «Botas» — se conservó el valor de Productos | Homologación G1522 06/10/2026: Validador Shopify: WB: precio con IVA no termina en 9</t>
        </is>
      </c>
      <c r="AI807" s="156" t="n"/>
      <c r="AJ807" s="156" t="n"/>
      <c r="AK807" s="155" t="inlineStr">
        <is>
          <t>Hoja2: fila 829 | Odoo: producto 11821 / plantilla 15256</t>
        </is>
      </c>
      <c r="AL807" s="58" t="n"/>
      <c r="AM807" s="58" t="n"/>
      <c r="AN807" s="155" t="inlineStr">
        <is>
          <t>Odoo Universal Unique Brands</t>
        </is>
      </c>
      <c r="AO807" s="59" t="n"/>
      <c r="AP807" s="59" t="n"/>
      <c r="AQ807" s="59" t="n">
        <v>197</v>
      </c>
      <c r="AR807" s="155" t="inlineStr">
        <is>
          <t>Odoo Universal Unique Brands › Bodega 25 › Bodega 25/General: 197</t>
        </is>
      </c>
    </row>
    <row r="808">
      <c r="A808" s="50" t="inlineStr">
        <is>
          <t>717325217524</t>
        </is>
      </c>
      <c r="B808" s="51" t="inlineStr">
        <is>
          <t>15598</t>
        </is>
      </c>
      <c r="C808" s="156" t="inlineStr">
        <is>
          <t>Wrangler</t>
        </is>
      </c>
      <c r="D808" s="156" t="inlineStr">
        <is>
          <t>WG193-2003BR</t>
        </is>
      </c>
      <c r="E808" s="156" t="inlineStr">
        <is>
          <t>WG193-2003BR</t>
        </is>
      </c>
      <c r="F808" s="156" t="inlineStr">
        <is>
          <t>Talla única</t>
        </is>
      </c>
      <c r="G808" s="156" t="inlineStr">
        <is>
          <t>One Size</t>
        </is>
      </c>
      <c r="H808" s="156" t="inlineStr">
        <is>
          <t>Wrangler</t>
        </is>
      </c>
      <c r="I808" s="156" t="inlineStr">
        <is>
          <t>Bolsa Tote Cruzada Wrangler Con Asa Superior, Flecos Y Grabado Tipo Bota Café</t>
        </is>
      </c>
      <c r="J808" s="156" t="inlineStr">
        <is>
          <t>Accesorios</t>
        </is>
      </c>
      <c r="K808" s="156" t="inlineStr">
        <is>
          <t>Bolsos</t>
        </is>
      </c>
      <c r="L808" s="156" t="inlineStr">
        <is>
          <t>Unisex</t>
        </is>
      </c>
      <c r="M808" s="156" t="inlineStr">
        <is>
          <t>Wrangler</t>
        </is>
      </c>
      <c r="N808" s="156" t="n"/>
      <c r="O808" s="156" t="inlineStr">
        <is>
          <t>Core</t>
        </is>
      </c>
      <c r="P808" s="156" t="inlineStr">
        <is>
          <t>Cafe</t>
        </is>
      </c>
      <c r="Q808" s="156" t="n"/>
      <c r="R808" s="156" t="n"/>
      <c r="S808" s="156" t="n"/>
      <c r="T808" s="156" t="inlineStr">
        <is>
          <t>Bolsa Tote Cruzada Wrangler. Modelo: Con Asa Superior, Flecos Y Grabado Tipo Bota. Color: Café. Talla única. Unisex. País de origen: México. Referencia: WG193-2003BR.</t>
        </is>
      </c>
      <c r="U808" s="156" t="inlineStr">
        <is>
          <t>México</t>
        </is>
      </c>
      <c r="V808" s="156" t="inlineStr">
        <is>
          <t>PZS</t>
        </is>
      </c>
      <c r="W808" s="51" t="inlineStr">
        <is>
          <t>53121601</t>
        </is>
      </c>
      <c r="X808" s="156" t="inlineStr">
        <is>
          <t>https://m-universal-unique-brands.odoo.com/web/image/product.product/15598/image_1920</t>
        </is>
      </c>
      <c r="Y808" s="54" t="n"/>
      <c r="Z808" s="54" t="n">
        <v>719</v>
      </c>
      <c r="AA808" s="55">
        <f>IF(AND(A808="", B808="", E808=""), "", IF(AB808="", "Válido", IF((LEN(AB808)-LEN(SUBSTITUTE(AB808,"; ","")))/2+1&gt;(LEN(AB808)-LEN(SUBSTITUTE(AB808,"[Aviso]","")))/7, "Con Incidencias", "Válido")))</f>
        <v/>
      </c>
      <c r="AB808" s="56">
        <f>IF(AND(A808="", B808="", E808=""), "", TEXTJOIN("; ", TRUE, IF(OR(TRIM(A808&amp;"")="", ISNUMBER(SEARCH("FALTA", A808))), "UPC faltante/inválido", ""), IF(AND(A808&lt;&gt;"", IFERROR(_xlfn.XMATCH(A808,$A$2:$A$1063,0,1)&lt;&gt;_xlfn.XMATCH(A808,$A$2:$A$1063,0,-1),FALSE)), "Código de barras duplicado", ""), IF(AND(E808&lt;&gt;"", COUNTIF($E$2:$E$1063, E808)&gt;1), "SKU duplicado", ""), IF(OR(J808="", J808=""), "[Aviso] División no capturada ()", IF(ISNA(MATCH(J808, Criterios!$A$123:$A$126, 0)), "División no válida", "")), IF(OR(K808="", K808=""), "[Aviso] Categoría no capturada ()", IF(ISNA(MATCH(K808, Criterios!$A$81:$A$120, 0)), "Categoría no válida", IF(AND(J808&lt;&gt;"", J808&lt;&gt;"", J808&lt;&gt;VLOOKUP(K808, Criterios!$A$81:$B$120, 2, FALSE)), "División no coincide con Categoría", ""))), IF(OR(L808="", L808=""), "[Aviso] Género no capturado ()", IF(ISNA(MATCH(L808, Criterios!$B$123:$B$127, 0)), "Género no válido", "")), IF(OR(N808="", N808=""), "[Aviso] Temporada no capturada ()", IF(ISNA(MATCH(N808, Criterios!$C$123:$C$128, 0)), "Temporada no válida", "")), IF(OR(O808="", O808=""), "[Aviso] Ciclo de vida no capturado ()", IF(ISNA(MATCH(O808, Criterios!$D$123:$D$124, 0)), "Ciclo de vida no válido", ""))))</f>
        <v/>
      </c>
      <c r="AC808" s="56" t="n"/>
      <c r="AD808" s="51" t="n"/>
      <c r="AE808" s="156" t="n"/>
      <c r="AF808" s="51" t="n"/>
      <c r="AG808" s="156" t="inlineStr">
        <is>
          <t>Nuevo – Carga Hoja2 01/10/2026</t>
        </is>
      </c>
      <c r="AH808" s="156" t="inlineStr">
        <is>
          <t>Alta 01/10/2026 desde Hoja2 (fila 830); Precio de compra en 0/vacío en origen | 01/10/2026: complementado desde Odoo Universal Unique Brands (match por código de barras): Enlace de imagen | Homologación G1522 06/10/2026: Validador Shopify: WB: precio con IVA no termina en 9</t>
        </is>
      </c>
      <c r="AI808" s="156" t="n"/>
      <c r="AJ808" s="156" t="n"/>
      <c r="AK808" s="155" t="inlineStr">
        <is>
          <t>Hoja2: fila 830 | Odoo: producto 15598 / plantilla 19951</t>
        </is>
      </c>
      <c r="AL808" s="58" t="n"/>
      <c r="AM808" s="58" t="n"/>
      <c r="AN808" s="155" t="inlineStr">
        <is>
          <t>Odoo Universal Unique Brands</t>
        </is>
      </c>
      <c r="AO808" s="59" t="n"/>
      <c r="AP808" s="59" t="n"/>
      <c r="AQ808" s="59" t="n">
        <v>31</v>
      </c>
      <c r="AR808" s="155" t="inlineStr">
        <is>
          <t>Odoo Universal Unique Brands › Bodega 25 › Bodega 25/General: 31</t>
        </is>
      </c>
    </row>
    <row r="809">
      <c r="A809" s="50" t="inlineStr">
        <is>
          <t>717325217517</t>
        </is>
      </c>
      <c r="B809" s="51" t="inlineStr">
        <is>
          <t>11349</t>
        </is>
      </c>
      <c r="C809" s="156" t="inlineStr">
        <is>
          <t>Wrangler</t>
        </is>
      </c>
      <c r="D809" s="156" t="inlineStr">
        <is>
          <t>WG193-2003CF</t>
        </is>
      </c>
      <c r="E809" s="156" t="inlineStr">
        <is>
          <t>WG193-2003CF</t>
        </is>
      </c>
      <c r="F809" s="156" t="inlineStr">
        <is>
          <t>Talla única</t>
        </is>
      </c>
      <c r="G809" s="156" t="inlineStr">
        <is>
          <t>One Size</t>
        </is>
      </c>
      <c r="H809" s="156" t="inlineStr">
        <is>
          <t>Wrangler</t>
        </is>
      </c>
      <c r="I809" s="156" t="inlineStr">
        <is>
          <t>Bolsa Tote Cruzada Wrangler Con Asa Superior, Flecos Y Grabado Tipo Bota</t>
        </is>
      </c>
      <c r="J809" s="156" t="inlineStr">
        <is>
          <t>Accesorios</t>
        </is>
      </c>
      <c r="K809" s="156" t="inlineStr">
        <is>
          <t>Bolsos</t>
        </is>
      </c>
      <c r="L809" s="156" t="inlineStr">
        <is>
          <t>Unisex</t>
        </is>
      </c>
      <c r="M809" s="156" t="inlineStr">
        <is>
          <t>Wrangler</t>
        </is>
      </c>
      <c r="N809" s="156" t="n"/>
      <c r="O809" s="156" t="n"/>
      <c r="P809" s="156" t="inlineStr">
        <is>
          <t>Cafe</t>
        </is>
      </c>
      <c r="Q809" s="156" t="n"/>
      <c r="R809" s="156" t="n"/>
      <c r="S809" s="156" t="n"/>
      <c r="T809" s="156" t="inlineStr">
        <is>
          <t>Bolsa Tote Cruzada</t>
        </is>
      </c>
      <c r="U809" s="156" t="inlineStr">
        <is>
          <t>México</t>
        </is>
      </c>
      <c r="V809" s="156" t="inlineStr">
        <is>
          <t>PZS</t>
        </is>
      </c>
      <c r="W809" s="51" t="inlineStr">
        <is>
          <t>53121601</t>
        </is>
      </c>
      <c r="X809" s="156" t="inlineStr">
        <is>
          <t>https://m-universal-unique-brands.odoo.com/web/image/product.product/11349/image_1920</t>
        </is>
      </c>
      <c r="Y809" s="54" t="n">
        <v>448.5</v>
      </c>
      <c r="Z809" s="54" t="n">
        <v>719</v>
      </c>
      <c r="AA809" s="55">
        <f>IF(AND(A809="", B809="", E809=""), "", IF(AB809="", "Válido", IF((LEN(AB809)-LEN(SUBSTITUTE(AB809,"; ","")))/2+1&gt;(LEN(AB809)-LEN(SUBSTITUTE(AB809,"[Aviso]","")))/7, "Con Incidencias", "Válido")))</f>
        <v/>
      </c>
      <c r="AB809" s="56">
        <f>IF(AND(A809="", B809="", E809=""), "", TEXTJOIN("; ", TRUE, IF(OR(TRIM(A809&amp;"")="", ISNUMBER(SEARCH("FALTA", A809))), "UPC faltante/inválido", ""), IF(AND(A809&lt;&gt;"", IFERROR(_xlfn.XMATCH(A809,$A$2:$A$1063,0,1)&lt;&gt;_xlfn.XMATCH(A809,$A$2:$A$1063,0,-1),FALSE)), "Código de barras duplicado", ""), IF(AND(E809&lt;&gt;"", COUNTIF($E$2:$E$1063, E809)&gt;1), "SKU duplicado", ""), IF(OR(J809="", J809=""), "[Aviso] División no capturada ()", IF(ISNA(MATCH(J809, Criterios!$A$123:$A$126, 0)), "División no válida", "")), IF(OR(K809="", K809=""), "[Aviso] Categoría no capturada ()", IF(ISNA(MATCH(K809, Criterios!$A$81:$A$120, 0)), "Categoría no válida", IF(AND(J809&lt;&gt;"", J809&lt;&gt;"", J809&lt;&gt;VLOOKUP(K809, Criterios!$A$81:$B$120, 2, FALSE)), "División no coincide con Categoría", ""))), IF(OR(L809="", L809=""), "[Aviso] Género no capturado ()", IF(ISNA(MATCH(L809, Criterios!$B$123:$B$127, 0)), "Género no válido", "")), IF(OR(N809="", N809=""), "[Aviso] Temporada no capturada ()", IF(ISNA(MATCH(N809, Criterios!$C$123:$C$128, 0)), "Temporada no válida", "")), IF(OR(O809="", O809=""), "[Aviso] Ciclo de vida no capturado ()", IF(ISNA(MATCH(O809, Criterios!$D$123:$D$124, 0)), "Ciclo de vida no válido", ""))))</f>
        <v/>
      </c>
      <c r="AC809" s="56" t="n"/>
      <c r="AD809" s="51" t="n"/>
      <c r="AE809" s="156" t="n"/>
      <c r="AF809" s="51" t="n"/>
      <c r="AG809" s="156" t="inlineStr">
        <is>
          <t>Nuevo – Carga Hoja2 01/10/2026</t>
        </is>
      </c>
      <c r="AH809" s="156" t="inlineStr">
        <is>
          <t>Alta 01/10/2026 desde Hoja2 (fila 831) | 01/10/2026: complementado desde Odoo Universal Unique Brands (match por código de barras): WB Descripción larga, Enlace de imagen | 01/10/2026: Odoo Universal Unique Brands trae Categoría «Botas» — se conservó el valor de Productos | Homologación G1522 06/10/2026: WB País de origen: «Mexico» → «México» (Corrección aplicada) · WB Talla: «» → «Talla única» (Completado por regla) · WB Talla de EE. UU.: «» → «One Size» (Completado por regla) · Validador Shopify: WB: precio con IVA no termina en 9</t>
        </is>
      </c>
      <c r="AI809" s="156" t="n"/>
      <c r="AJ809" s="156" t="n"/>
      <c r="AK809" s="155" t="inlineStr">
        <is>
          <t>Hoja2: fila 831 | Odoo: producto 11349 / plantilla 14784</t>
        </is>
      </c>
      <c r="AL809" s="58" t="n"/>
      <c r="AM809" s="58" t="n"/>
      <c r="AN809" s="155" t="inlineStr">
        <is>
          <t>Odoo Universal Unique Brands</t>
        </is>
      </c>
      <c r="AO809" s="59" t="n"/>
      <c r="AP809" s="59" t="n"/>
      <c r="AQ809" s="59" t="n">
        <v>94</v>
      </c>
      <c r="AR809" s="155" t="inlineStr">
        <is>
          <t>Odoo Universal Unique Brands › Bodega 25 › Bodega 25/General: 94</t>
        </is>
      </c>
    </row>
    <row r="810">
      <c r="A810" s="50" t="inlineStr">
        <is>
          <t>717325218170</t>
        </is>
      </c>
      <c r="B810" s="51" t="inlineStr">
        <is>
          <t>11337</t>
        </is>
      </c>
      <c r="C810" s="156" t="inlineStr">
        <is>
          <t>Wrangler</t>
        </is>
      </c>
      <c r="D810" s="156" t="inlineStr">
        <is>
          <t>WG196-W056BG</t>
        </is>
      </c>
      <c r="E810" s="156" t="inlineStr">
        <is>
          <t>WG196-W056BG</t>
        </is>
      </c>
      <c r="F810" s="156" t="inlineStr">
        <is>
          <t>Talla única</t>
        </is>
      </c>
      <c r="G810" s="156" t="inlineStr">
        <is>
          <t>One Size</t>
        </is>
      </c>
      <c r="H810" s="156" t="inlineStr">
        <is>
          <t>Wrangler</t>
        </is>
      </c>
      <c r="I810" s="156" t="inlineStr">
        <is>
          <t>Cartera Trifold Muñequera RFID Wrangler Floral Grabada Western Beige</t>
        </is>
      </c>
      <c r="J810" s="156" t="inlineStr">
        <is>
          <t>Accesorios</t>
        </is>
      </c>
      <c r="K810" s="156" t="inlineStr">
        <is>
          <t>Carteras</t>
        </is>
      </c>
      <c r="L810" s="156" t="inlineStr">
        <is>
          <t>Unisex</t>
        </is>
      </c>
      <c r="M810" s="156" t="inlineStr">
        <is>
          <t>Wrangler</t>
        </is>
      </c>
      <c r="N810" s="156" t="n"/>
      <c r="O810" s="156" t="inlineStr">
        <is>
          <t>Core</t>
        </is>
      </c>
      <c r="P810" s="156" t="inlineStr">
        <is>
          <t>Beige</t>
        </is>
      </c>
      <c r="Q810" s="156" t="n"/>
      <c r="R810" s="156" t="n"/>
      <c r="S810" s="156" t="n"/>
      <c r="T810" s="156" t="inlineStr">
        <is>
          <t>Cartera Trifold Muñequera RFID Wrangler. Modelo: Floral Grabada Western. Color: Beige. Talla única. Unisex. País de origen: México. Referencia: WG196-W056BG.</t>
        </is>
      </c>
      <c r="U810" s="156" t="inlineStr">
        <is>
          <t>México</t>
        </is>
      </c>
      <c r="V810" s="156" t="inlineStr">
        <is>
          <t>PZS</t>
        </is>
      </c>
      <c r="W810" s="51" t="inlineStr">
        <is>
          <t>53121700</t>
        </is>
      </c>
      <c r="X810" s="156" t="inlineStr">
        <is>
          <t>https://m-universal-unique-brands.odoo.com/web/image/product.product/11337/image_1920</t>
        </is>
      </c>
      <c r="Y810" s="54" t="n">
        <v>293.25</v>
      </c>
      <c r="Z810" s="54" t="n">
        <v>469</v>
      </c>
      <c r="AA810" s="55">
        <f>IF(AND(A810="", B810="", E810=""), "", IF(AB810="", "Válido", IF((LEN(AB810)-LEN(SUBSTITUTE(AB810,"; ","")))/2+1&gt;(LEN(AB810)-LEN(SUBSTITUTE(AB810,"[Aviso]","")))/7, "Con Incidencias", "Válido")))</f>
        <v/>
      </c>
      <c r="AB810" s="56">
        <f>IF(AND(A810="", B810="", E810=""), "", TEXTJOIN("; ", TRUE, IF(OR(TRIM(A810&amp;"")="", ISNUMBER(SEARCH("FALTA", A810))), "UPC faltante/inválido", ""), IF(AND(A810&lt;&gt;"", IFERROR(_xlfn.XMATCH(A810,$A$2:$A$1063,0,1)&lt;&gt;_xlfn.XMATCH(A810,$A$2:$A$1063,0,-1),FALSE)), "Código de barras duplicado", ""), IF(AND(E810&lt;&gt;"", COUNTIF($E$2:$E$1063, E810)&gt;1), "SKU duplicado", ""), IF(OR(J810="", J810=""), "[Aviso] División no capturada ()", IF(ISNA(MATCH(J810, Criterios!$A$123:$A$126, 0)), "División no válida", "")), IF(OR(K810="", K810=""), "[Aviso] Categoría no capturada ()", IF(ISNA(MATCH(K810, Criterios!$A$81:$A$120, 0)), "Categoría no válida", IF(AND(J810&lt;&gt;"", J810&lt;&gt;"", J810&lt;&gt;VLOOKUP(K810, Criterios!$A$81:$B$120, 2, FALSE)), "División no coincide con Categoría", ""))), IF(OR(L810="", L810=""), "[Aviso] Género no capturado ()", IF(ISNA(MATCH(L810, Criterios!$B$123:$B$127, 0)), "Género no válido", "")), IF(OR(N810="", N810=""), "[Aviso] Temporada no capturada ()", IF(ISNA(MATCH(N810, Criterios!$C$123:$C$128, 0)), "Temporada no válida", "")), IF(OR(O810="", O810=""), "[Aviso] Ciclo de vida no capturado ()", IF(ISNA(MATCH(O810, Criterios!$D$123:$D$124, 0)), "Ciclo de vida no válido", ""))))</f>
        <v/>
      </c>
      <c r="AC810" s="56" t="n"/>
      <c r="AD810" s="51" t="n"/>
      <c r="AE810" s="156" t="n"/>
      <c r="AF810" s="51" t="n"/>
      <c r="AG810" s="156" t="inlineStr">
        <is>
          <t>Nuevo – Carga Hoja2 01/10/2026</t>
        </is>
      </c>
      <c r="AH810" s="156" t="inlineStr">
        <is>
          <t>Alta 01/10/2026 desde Hoja2 (fila 835)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10" s="156" t="n"/>
      <c r="AJ810" s="156" t="n"/>
      <c r="AK810" s="155" t="inlineStr">
        <is>
          <t>Hoja2: fila 835 | Odoo: producto 11337 / plantilla 14772 | Odoo: producto 27337 / plantilla 34037</t>
        </is>
      </c>
      <c r="AL810" s="58" t="n"/>
      <c r="AM810" s="58" t="n"/>
      <c r="AN810" s="155" t="inlineStr">
        <is>
          <t>Odoo Universal Unique Brands</t>
        </is>
      </c>
      <c r="AO810" s="59" t="n"/>
      <c r="AP810" s="59" t="n"/>
      <c r="AQ810" s="59" t="n">
        <v>47</v>
      </c>
      <c r="AR810" s="155" t="inlineStr">
        <is>
          <t>Odoo Universal Unique Brands › Bodega 25 › Bodega 25/General: 41 | Odoo Universal Unique Brands › Bodega 25 › Bodega 25/General: 6</t>
        </is>
      </c>
    </row>
    <row r="811">
      <c r="A811" s="50" t="inlineStr">
        <is>
          <t>717325218125</t>
        </is>
      </c>
      <c r="B811" s="51" t="inlineStr">
        <is>
          <t>11333</t>
        </is>
      </c>
      <c r="C811" s="156" t="inlineStr">
        <is>
          <t>Wrangler</t>
        </is>
      </c>
      <c r="D811" s="156" t="inlineStr">
        <is>
          <t>WG196-W056LIME</t>
        </is>
      </c>
      <c r="E811" s="156" t="inlineStr">
        <is>
          <t>WG196-W056LIME</t>
        </is>
      </c>
      <c r="F811" s="156" t="inlineStr">
        <is>
          <t>Talla única</t>
        </is>
      </c>
      <c r="G811" s="156" t="inlineStr">
        <is>
          <t>One Size</t>
        </is>
      </c>
      <c r="H811" s="156" t="inlineStr">
        <is>
          <t>Wrangler</t>
        </is>
      </c>
      <c r="I811" s="156" t="inlineStr">
        <is>
          <t>Cartera Trifold Muñequera RFID Wrangler Floral Grabada Western Lima</t>
        </is>
      </c>
      <c r="J811" s="156" t="inlineStr">
        <is>
          <t>Accesorios</t>
        </is>
      </c>
      <c r="K811" s="156" t="inlineStr">
        <is>
          <t>Carteras</t>
        </is>
      </c>
      <c r="L811" s="156" t="inlineStr">
        <is>
          <t>Unisex</t>
        </is>
      </c>
      <c r="M811" s="156" t="inlineStr">
        <is>
          <t>Wrangler</t>
        </is>
      </c>
      <c r="N811" s="156" t="n"/>
      <c r="O811" s="156" t="inlineStr">
        <is>
          <t>Core</t>
        </is>
      </c>
      <c r="P811" s="156" t="inlineStr">
        <is>
          <t>Varios</t>
        </is>
      </c>
      <c r="Q811" s="156" t="n"/>
      <c r="R811" s="156" t="n"/>
      <c r="S811" s="156" t="n"/>
      <c r="T811" s="156" t="inlineStr">
        <is>
          <t>Cartera Trifold Muñequera RFID Wrangler. Modelo: Floral Grabada Western. Color: Lima. Talla única. Unisex. País de origen: México. Referencia: WG196-W056LIME.</t>
        </is>
      </c>
      <c r="U811" s="156" t="inlineStr">
        <is>
          <t>México</t>
        </is>
      </c>
      <c r="V811" s="156" t="inlineStr">
        <is>
          <t>PZS</t>
        </is>
      </c>
      <c r="W811" s="51" t="inlineStr">
        <is>
          <t>53121700</t>
        </is>
      </c>
      <c r="X811" s="156" t="inlineStr">
        <is>
          <t>https://m-universal-unique-brands.odoo.com/web/image/product.product/11333/image_1920</t>
        </is>
      </c>
      <c r="Y811" s="54" t="n">
        <v>293.25</v>
      </c>
      <c r="Z811" s="54" t="n">
        <v>469</v>
      </c>
      <c r="AA811" s="55">
        <f>IF(AND(A811="", B811="", E811=""), "", IF(AB811="", "Válido", IF((LEN(AB811)-LEN(SUBSTITUTE(AB811,"; ","")))/2+1&gt;(LEN(AB811)-LEN(SUBSTITUTE(AB811,"[Aviso]","")))/7, "Con Incidencias", "Válido")))</f>
        <v/>
      </c>
      <c r="AB811" s="56">
        <f>IF(AND(A811="", B811="", E811=""), "", TEXTJOIN("; ", TRUE, IF(OR(TRIM(A811&amp;"")="", ISNUMBER(SEARCH("FALTA", A811))), "UPC faltante/inválido", ""), IF(AND(A811&lt;&gt;"", IFERROR(_xlfn.XMATCH(A811,$A$2:$A$1063,0,1)&lt;&gt;_xlfn.XMATCH(A811,$A$2:$A$1063,0,-1),FALSE)), "Código de barras duplicado", ""), IF(AND(E811&lt;&gt;"", COUNTIF($E$2:$E$1063, E811)&gt;1), "SKU duplicado", ""), IF(OR(J811="", J811=""), "[Aviso] División no capturada ()", IF(ISNA(MATCH(J811, Criterios!$A$123:$A$126, 0)), "División no válida", "")), IF(OR(K811="", K811=""), "[Aviso] Categoría no capturada ()", IF(ISNA(MATCH(K811, Criterios!$A$81:$A$120, 0)), "Categoría no válida", IF(AND(J811&lt;&gt;"", J811&lt;&gt;"", J811&lt;&gt;VLOOKUP(K811, Criterios!$A$81:$B$120, 2, FALSE)), "División no coincide con Categoría", ""))), IF(OR(L811="", L811=""), "[Aviso] Género no capturado ()", IF(ISNA(MATCH(L811, Criterios!$B$123:$B$127, 0)), "Género no válido", "")), IF(OR(N811="", N811=""), "[Aviso] Temporada no capturada ()", IF(ISNA(MATCH(N811, Criterios!$C$123:$C$128, 0)), "Temporada no válida", "")), IF(OR(O811="", O811=""), "[Aviso] Ciclo de vida no capturado ()", IF(ISNA(MATCH(O811, Criterios!$D$123:$D$124, 0)), "Ciclo de vida no válido", ""))))</f>
        <v/>
      </c>
      <c r="AC811" s="56" t="n"/>
      <c r="AD811" s="51" t="n"/>
      <c r="AE811" s="156" t="n"/>
      <c r="AF811" s="51" t="n"/>
      <c r="AG811" s="156" t="inlineStr">
        <is>
          <t>Nuevo – Carga Hoja2 01/10/2026</t>
        </is>
      </c>
      <c r="AH811" s="156" t="inlineStr">
        <is>
          <t>Alta 01/10/2026 desde Hoja2 (fila 837)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11" s="156" t="n"/>
      <c r="AJ811" s="156" t="n"/>
      <c r="AK811" s="155" t="inlineStr">
        <is>
          <t>Hoja2: fila 837 | Odoo: producto 11333 / plantilla 14768 | Odoo: producto 27340 / plantilla 34040</t>
        </is>
      </c>
      <c r="AL811" s="58" t="n"/>
      <c r="AM811" s="58" t="n"/>
      <c r="AN811" s="155" t="inlineStr">
        <is>
          <t>Odoo Universal Unique Brands</t>
        </is>
      </c>
      <c r="AO811" s="59" t="n"/>
      <c r="AP811" s="59" t="n"/>
      <c r="AQ811" s="59" t="n">
        <v>42</v>
      </c>
      <c r="AR811" s="155" t="inlineStr">
        <is>
          <t>Odoo Universal Unique Brands › Bodega 25 › Bodega 25/General: 24 | Odoo Universal Unique Brands › Bodega 25 › Bodega 25/General: 18</t>
        </is>
      </c>
    </row>
    <row r="812">
      <c r="A812" s="50" t="inlineStr">
        <is>
          <t>717325218149</t>
        </is>
      </c>
      <c r="B812" s="51" t="inlineStr">
        <is>
          <t>11334</t>
        </is>
      </c>
      <c r="C812" s="156" t="inlineStr">
        <is>
          <t>Wrangler</t>
        </is>
      </c>
      <c r="D812" s="156" t="inlineStr">
        <is>
          <t>WG196-W056PK</t>
        </is>
      </c>
      <c r="E812" s="156" t="inlineStr">
        <is>
          <t>WG196-W056PK</t>
        </is>
      </c>
      <c r="F812" s="156" t="inlineStr">
        <is>
          <t>Talla única</t>
        </is>
      </c>
      <c r="G812" s="156" t="inlineStr">
        <is>
          <t>One Size</t>
        </is>
      </c>
      <c r="H812" s="156" t="inlineStr">
        <is>
          <t>Wrangler</t>
        </is>
      </c>
      <c r="I812" s="156" t="inlineStr">
        <is>
          <t>Cartera Trifold Muñequera RFID Wrangler Floral Grabada Western Rosa</t>
        </is>
      </c>
      <c r="J812" s="156" t="inlineStr">
        <is>
          <t>Accesorios</t>
        </is>
      </c>
      <c r="K812" s="156" t="inlineStr">
        <is>
          <t>Carteras</t>
        </is>
      </c>
      <c r="L812" s="156" t="inlineStr">
        <is>
          <t>Unisex</t>
        </is>
      </c>
      <c r="M812" s="156" t="inlineStr">
        <is>
          <t>Wrangler</t>
        </is>
      </c>
      <c r="N812" s="156" t="n"/>
      <c r="O812" s="156" t="inlineStr">
        <is>
          <t>Core</t>
        </is>
      </c>
      <c r="P812" s="156" t="inlineStr">
        <is>
          <t>Rosa</t>
        </is>
      </c>
      <c r="Q812" s="156" t="n"/>
      <c r="R812" s="156" t="n"/>
      <c r="S812" s="156" t="n"/>
      <c r="T812" s="156" t="inlineStr">
        <is>
          <t>Cartera Trifold Muñequera RFID Wrangler. Modelo: Floral Grabada Western. Color: Rosa. Talla única. Unisex. País de origen: México. Referencia: WG196-W056PK.</t>
        </is>
      </c>
      <c r="U812" s="156" t="inlineStr">
        <is>
          <t>México</t>
        </is>
      </c>
      <c r="V812" s="156" t="inlineStr">
        <is>
          <t>PZS</t>
        </is>
      </c>
      <c r="W812" s="51" t="inlineStr">
        <is>
          <t>53121700</t>
        </is>
      </c>
      <c r="X812" s="156" t="inlineStr">
        <is>
          <t>https://m-universal-unique-brands.odoo.com/web/image/product.product/11334/image_1920</t>
        </is>
      </c>
      <c r="Y812" s="54" t="n">
        <v>293.25</v>
      </c>
      <c r="Z812" s="54" t="n">
        <v>469</v>
      </c>
      <c r="AA812" s="55">
        <f>IF(AND(A812="", B812="", E812=""), "", IF(AB812="", "Válido", IF((LEN(AB812)-LEN(SUBSTITUTE(AB812,"; ","")))/2+1&gt;(LEN(AB812)-LEN(SUBSTITUTE(AB812,"[Aviso]","")))/7, "Con Incidencias", "Válido")))</f>
        <v/>
      </c>
      <c r="AB812" s="56">
        <f>IF(AND(A812="", B812="", E812=""), "", TEXTJOIN("; ", TRUE, IF(OR(TRIM(A812&amp;"")="", ISNUMBER(SEARCH("FALTA", A812))), "UPC faltante/inválido", ""), IF(AND(A812&lt;&gt;"", IFERROR(_xlfn.XMATCH(A812,$A$2:$A$1063,0,1)&lt;&gt;_xlfn.XMATCH(A812,$A$2:$A$1063,0,-1),FALSE)), "Código de barras duplicado", ""), IF(AND(E812&lt;&gt;"", COUNTIF($E$2:$E$1063, E812)&gt;1), "SKU duplicado", ""), IF(OR(J812="", J812=""), "[Aviso] División no capturada ()", IF(ISNA(MATCH(J812, Criterios!$A$123:$A$126, 0)), "División no válida", "")), IF(OR(K812="", K812=""), "[Aviso] Categoría no capturada ()", IF(ISNA(MATCH(K812, Criterios!$A$81:$A$120, 0)), "Categoría no válida", IF(AND(J812&lt;&gt;"", J812&lt;&gt;"", J812&lt;&gt;VLOOKUP(K812, Criterios!$A$81:$B$120, 2, FALSE)), "División no coincide con Categoría", ""))), IF(OR(L812="", L812=""), "[Aviso] Género no capturado ()", IF(ISNA(MATCH(L812, Criterios!$B$123:$B$127, 0)), "Género no válido", "")), IF(OR(N812="", N812=""), "[Aviso] Temporada no capturada ()", IF(ISNA(MATCH(N812, Criterios!$C$123:$C$128, 0)), "Temporada no válida", "")), IF(OR(O812="", O812=""), "[Aviso] Ciclo de vida no capturado ()", IF(ISNA(MATCH(O812, Criterios!$D$123:$D$124, 0)), "Ciclo de vida no válido", ""))))</f>
        <v/>
      </c>
      <c r="AC812" s="56" t="n"/>
      <c r="AD812" s="51" t="n"/>
      <c r="AE812" s="156" t="n"/>
      <c r="AF812" s="51" t="n"/>
      <c r="AG812" s="156" t="inlineStr">
        <is>
          <t>Nuevo – Carga Hoja2 01/10/2026</t>
        </is>
      </c>
      <c r="AH812" s="156" t="inlineStr">
        <is>
          <t>Alta 01/10/2026 desde Hoja2 (fila 838) | 01/10/2026: complementado desde Odoo Universal Unique Brands (match por código de barras): Enlace de imagen | Homologación G1522 06/10/2026: Validador Shopify: WB: precio con IVA no termina en 9</t>
        </is>
      </c>
      <c r="AI812" s="156" t="n"/>
      <c r="AJ812" s="156" t="n"/>
      <c r="AK812" s="155" t="inlineStr">
        <is>
          <t>Hoja2: fila 838 | Odoo: producto 11334 / plantilla 14769</t>
        </is>
      </c>
      <c r="AL812" s="58" t="n"/>
      <c r="AM812" s="58" t="n"/>
      <c r="AN812" s="155" t="inlineStr">
        <is>
          <t>Odoo Universal Unique Brands</t>
        </is>
      </c>
      <c r="AO812" s="59" t="n"/>
      <c r="AP812" s="59" t="n"/>
      <c r="AQ812" s="59" t="n">
        <v>16</v>
      </c>
      <c r="AR812" s="155" t="inlineStr">
        <is>
          <t>Odoo Universal Unique Brands › Bodega 25 › Bodega 25/General: 16</t>
        </is>
      </c>
    </row>
    <row r="813">
      <c r="A813" s="50" t="inlineStr">
        <is>
          <t>717325218118</t>
        </is>
      </c>
      <c r="B813" s="51" t="inlineStr">
        <is>
          <t>11335</t>
        </is>
      </c>
      <c r="C813" s="156" t="inlineStr">
        <is>
          <t>Wrangler</t>
        </is>
      </c>
      <c r="D813" s="156" t="inlineStr">
        <is>
          <t>WG196-W056TN</t>
        </is>
      </c>
      <c r="E813" s="156" t="inlineStr">
        <is>
          <t>WG196-W056TN</t>
        </is>
      </c>
      <c r="F813" s="156" t="inlineStr">
        <is>
          <t>Talla única</t>
        </is>
      </c>
      <c r="G813" s="156" t="inlineStr">
        <is>
          <t>One Size</t>
        </is>
      </c>
      <c r="H813" s="156" t="inlineStr">
        <is>
          <t>Wrangler</t>
        </is>
      </c>
      <c r="I813" s="156" t="inlineStr">
        <is>
          <t>Cartera Trifold Muñequera RFID Wrangler Floral Grabada Western Camel</t>
        </is>
      </c>
      <c r="J813" s="156" t="inlineStr">
        <is>
          <t>Accesorios</t>
        </is>
      </c>
      <c r="K813" s="156" t="inlineStr">
        <is>
          <t>Carteras</t>
        </is>
      </c>
      <c r="L813" s="156" t="inlineStr">
        <is>
          <t>Unisex</t>
        </is>
      </c>
      <c r="M813" s="156" t="inlineStr">
        <is>
          <t>Wrangler</t>
        </is>
      </c>
      <c r="N813" s="156" t="n"/>
      <c r="O813" s="156" t="inlineStr">
        <is>
          <t>Core</t>
        </is>
      </c>
      <c r="P813" s="156" t="inlineStr">
        <is>
          <t>Beige</t>
        </is>
      </c>
      <c r="Q813" s="156" t="n"/>
      <c r="R813" s="156" t="n"/>
      <c r="S813" s="156" t="n"/>
      <c r="T813" s="156" t="inlineStr">
        <is>
          <t>Cartera Trifold Muñequera RFID Wrangler. Modelo: Floral Grabada Western. Color: Camel. Talla única. Unisex. País de origen: México. Referencia: WG196-W056TN.</t>
        </is>
      </c>
      <c r="U813" s="156" t="inlineStr">
        <is>
          <t>México</t>
        </is>
      </c>
      <c r="V813" s="156" t="inlineStr">
        <is>
          <t>PZS</t>
        </is>
      </c>
      <c r="W813" s="51" t="inlineStr">
        <is>
          <t>53121700</t>
        </is>
      </c>
      <c r="X813" s="156" t="inlineStr">
        <is>
          <t>https://m-universal-unique-brands.odoo.com/web/image/product.product/11335/image_1920</t>
        </is>
      </c>
      <c r="Y813" s="54" t="n">
        <v>293.25</v>
      </c>
      <c r="Z813" s="54" t="n">
        <v>469</v>
      </c>
      <c r="AA813" s="55">
        <f>IF(AND(A813="", B813="", E813=""), "", IF(AB813="", "Válido", IF((LEN(AB813)-LEN(SUBSTITUTE(AB813,"; ","")))/2+1&gt;(LEN(AB813)-LEN(SUBSTITUTE(AB813,"[Aviso]","")))/7, "Con Incidencias", "Válido")))</f>
        <v/>
      </c>
      <c r="AB813" s="56">
        <f>IF(AND(A813="", B813="", E813=""), "", TEXTJOIN("; ", TRUE, IF(OR(TRIM(A813&amp;"")="", ISNUMBER(SEARCH("FALTA", A813))), "UPC faltante/inválido", ""), IF(AND(A813&lt;&gt;"", IFERROR(_xlfn.XMATCH(A813,$A$2:$A$1063,0,1)&lt;&gt;_xlfn.XMATCH(A813,$A$2:$A$1063,0,-1),FALSE)), "Código de barras duplicado", ""), IF(AND(E813&lt;&gt;"", COUNTIF($E$2:$E$1063, E813)&gt;1), "SKU duplicado", ""), IF(OR(J813="", J813=""), "[Aviso] División no capturada ()", IF(ISNA(MATCH(J813, Criterios!$A$123:$A$126, 0)), "División no válida", "")), IF(OR(K813="", K813=""), "[Aviso] Categoría no capturada ()", IF(ISNA(MATCH(K813, Criterios!$A$81:$A$120, 0)), "Categoría no válida", IF(AND(J813&lt;&gt;"", J813&lt;&gt;"", J813&lt;&gt;VLOOKUP(K813, Criterios!$A$81:$B$120, 2, FALSE)), "División no coincide con Categoría", ""))), IF(OR(L813="", L813=""), "[Aviso] Género no capturado ()", IF(ISNA(MATCH(L813, Criterios!$B$123:$B$127, 0)), "Género no válido", "")), IF(OR(N813="", N813=""), "[Aviso] Temporada no capturada ()", IF(ISNA(MATCH(N813, Criterios!$C$123:$C$128, 0)), "Temporada no válida", "")), IF(OR(O813="", O813=""), "[Aviso] Ciclo de vida no capturado ()", IF(ISNA(MATCH(O813, Criterios!$D$123:$D$124, 0)), "Ciclo de vida no válido", ""))))</f>
        <v/>
      </c>
      <c r="AC813" s="56" t="n"/>
      <c r="AD813" s="51" t="n"/>
      <c r="AE813" s="156" t="n"/>
      <c r="AF813" s="51" t="n"/>
      <c r="AG813" s="156" t="inlineStr">
        <is>
          <t>Nuevo – Carga Hoja2 01/10/2026</t>
        </is>
      </c>
      <c r="AH813" s="156" t="inlineStr">
        <is>
          <t>Alta 01/10/2026 desde Hoja2 (fila 839) | 01/10/2026: complementado desde Odoo Universal Unique Brands (match por código de barras): Enlace de imagen | Homologación G1522 06/10/2026: Validador Shopify: WB: precio con IVA no termina en 9</t>
        </is>
      </c>
      <c r="AI813" s="156" t="n"/>
      <c r="AJ813" s="156" t="n"/>
      <c r="AK813" s="155" t="inlineStr">
        <is>
          <t>Hoja2: fila 839 | Odoo: producto 11335 / plantilla 14770</t>
        </is>
      </c>
      <c r="AL813" s="58" t="n"/>
      <c r="AM813" s="58" t="n"/>
      <c r="AN813" s="155" t="inlineStr">
        <is>
          <t>Odoo Universal Unique Brands</t>
        </is>
      </c>
      <c r="AO813" s="59" t="n"/>
      <c r="AP813" s="59" t="n"/>
      <c r="AQ813" s="59" t="n">
        <v>3</v>
      </c>
      <c r="AR813" s="155" t="inlineStr">
        <is>
          <t>Odoo Universal Unique Brands › Bodega 25 › Bodega 25/General: 3</t>
        </is>
      </c>
    </row>
    <row r="814">
      <c r="A814" s="50" t="n"/>
      <c r="B814" s="51" t="inlineStr">
        <is>
          <t>14909</t>
        </is>
      </c>
      <c r="C814" s="156" t="inlineStr">
        <is>
          <t>Wrangler</t>
        </is>
      </c>
      <c r="D814" s="156" t="inlineStr">
        <is>
          <t>WG196-W063BR</t>
        </is>
      </c>
      <c r="E814" s="156" t="inlineStr">
        <is>
          <t>WG196-W063BR</t>
        </is>
      </c>
      <c r="F814" s="156" t="inlineStr">
        <is>
          <t>Talla única</t>
        </is>
      </c>
      <c r="G814" s="156" t="inlineStr">
        <is>
          <t>One Size</t>
        </is>
      </c>
      <c r="H814" s="156" t="inlineStr">
        <is>
          <t>Wrangler</t>
        </is>
      </c>
      <c r="I814" s="156" t="inlineStr">
        <is>
          <t>WG196-W063BR</t>
        </is>
      </c>
      <c r="J814" s="156" t="inlineStr">
        <is>
          <t>Accesorios</t>
        </is>
      </c>
      <c r="K814" s="156" t="inlineStr">
        <is>
          <t>Bolsos</t>
        </is>
      </c>
      <c r="L814" s="156" t="inlineStr">
        <is>
          <t>Unisex</t>
        </is>
      </c>
      <c r="M814" s="156" t="inlineStr">
        <is>
          <t>Wrangler</t>
        </is>
      </c>
      <c r="N814" s="156" t="n"/>
      <c r="O814" s="156" t="n"/>
      <c r="P814" s="156" t="inlineStr">
        <is>
          <t>Cafe</t>
        </is>
      </c>
      <c r="Q814" s="156" t="n"/>
      <c r="R814" s="156" t="n"/>
      <c r="S814" s="156" t="n"/>
      <c r="T814" s="156" t="n"/>
      <c r="U814" s="156" t="inlineStr">
        <is>
          <t>México</t>
        </is>
      </c>
      <c r="V814" s="156" t="inlineStr">
        <is>
          <t>PZS</t>
        </is>
      </c>
      <c r="W814" s="51" t="inlineStr">
        <is>
          <t>53121600</t>
        </is>
      </c>
      <c r="X814" s="156" t="n"/>
      <c r="Y814" s="54" t="n"/>
      <c r="Z814" s="54" t="n">
        <v>469</v>
      </c>
      <c r="AA814" s="55">
        <f>IF(AND(A814="", B814="", E814=""), "", IF(AB814="", "Válido", IF((LEN(AB814)-LEN(SUBSTITUTE(AB814,"; ","")))/2+1&gt;(LEN(AB814)-LEN(SUBSTITUTE(AB814,"[Aviso]","")))/7, "Con Incidencias", "Válido")))</f>
        <v/>
      </c>
      <c r="AB814" s="56">
        <f>IF(AND(A814="", B814="", E814=""), "", TEXTJOIN("; ", TRUE, IF(OR(TRIM(A814&amp;"")="", ISNUMBER(SEARCH("FALTA", A814))), "UPC faltante/inválido", ""), IF(AND(A814&lt;&gt;"", IFERROR(_xlfn.XMATCH(A814,$A$2:$A$1063,0,1)&lt;&gt;_xlfn.XMATCH(A814,$A$2:$A$1063,0,-1),FALSE)), "Código de barras duplicado", ""), IF(AND(E814&lt;&gt;"", COUNTIF($E$2:$E$1063, E814)&gt;1), "SKU duplicado", ""), IF(OR(J814="", J814=""), "[Aviso] División no capturada ()", IF(ISNA(MATCH(J814, Criterios!$A$123:$A$126, 0)), "División no válida", "")), IF(OR(K814="", K814=""), "[Aviso] Categoría no capturada ()", IF(ISNA(MATCH(K814, Criterios!$A$81:$A$120, 0)), "Categoría no válida", IF(AND(J814&lt;&gt;"", J814&lt;&gt;"", J814&lt;&gt;VLOOKUP(K814, Criterios!$A$81:$B$120, 2, FALSE)), "División no coincide con Categoría", ""))), IF(OR(L814="", L814=""), "[Aviso] Género no capturado ()", IF(ISNA(MATCH(L814, Criterios!$B$123:$B$127, 0)), "Género no válido", "")), IF(OR(N814="", N814=""), "[Aviso] Temporada no capturada ()", IF(ISNA(MATCH(N814, Criterios!$C$123:$C$128, 0)), "Temporada no válida", "")), IF(OR(O814="", O814=""), "[Aviso] Ciclo de vida no capturado ()", IF(ISNA(MATCH(O814, Criterios!$D$123:$D$124, 0)), "Ciclo de vida no válido", ""))))</f>
        <v/>
      </c>
      <c r="AC814" s="56" t="n"/>
      <c r="AD814" s="51" t="n"/>
      <c r="AE814" s="156" t="n"/>
      <c r="AF814" s="51" t="n"/>
      <c r="AG814" s="156" t="inlineStr">
        <is>
          <t>Nuevo – Carga Hoja2 01/10/2026</t>
        </is>
      </c>
      <c r="AH814" s="156" t="inlineStr">
        <is>
          <t>Alta 01/10/2026 desde Hoja2 (fila 840); Precio de compra en 0/vacío en origen | 01/10/2026: complementado desde Odoo Universal Unique Brands (match por SKU): WB Talla, WB Talla de EE. UU. | Homologación G1522 06/10/2026: WB País de origen: «Mexico» → «México» (Corrección aplicada) · Validación G1522: Código de barras faltante · Validador NetSuite / Odoo: V1: falta código de barras · Validador Shopify: V1: falta código de barras; WB: precio con IVA no termina en 9</t>
        </is>
      </c>
      <c r="AI814" s="156" t="n"/>
      <c r="AJ814" s="156" t="n"/>
      <c r="AK814" s="155" t="inlineStr">
        <is>
          <t>Hoja2: fila 840 | Odoo: producto 14909 / plantilla 19262</t>
        </is>
      </c>
      <c r="AL814" s="58" t="n"/>
      <c r="AM814" s="58" t="n"/>
      <c r="AN814" s="155" t="inlineStr">
        <is>
          <t>Odoo Universal Unique Brands</t>
        </is>
      </c>
      <c r="AO814" s="59" t="n"/>
      <c r="AP814" s="59" t="n"/>
      <c r="AQ814" s="59" t="n">
        <v>0</v>
      </c>
      <c r="AR814" s="155" t="n"/>
    </row>
    <row r="815">
      <c r="A815" s="50" t="inlineStr">
        <is>
          <t>717325225482</t>
        </is>
      </c>
      <c r="B815" s="51" t="inlineStr">
        <is>
          <t>14373</t>
        </is>
      </c>
      <c r="C815" s="156" t="inlineStr">
        <is>
          <t>Wrangler</t>
        </is>
      </c>
      <c r="D815" s="156" t="inlineStr">
        <is>
          <t>WG197-W06</t>
        </is>
      </c>
      <c r="E815" s="156" t="inlineStr">
        <is>
          <t>WG197-W063TN</t>
        </is>
      </c>
      <c r="F815" s="156" t="inlineStr">
        <is>
          <t>Talla única</t>
        </is>
      </c>
      <c r="G815" s="156" t="inlineStr">
        <is>
          <t>One Size</t>
        </is>
      </c>
      <c r="H815" s="156" t="inlineStr">
        <is>
          <t>Wrangler</t>
        </is>
      </c>
      <c r="I815" s="156" t="inlineStr">
        <is>
          <t>Bolsa Wrangler Camel</t>
        </is>
      </c>
      <c r="J815" s="156" t="inlineStr">
        <is>
          <t>Accesorios</t>
        </is>
      </c>
      <c r="K815" s="156" t="inlineStr">
        <is>
          <t>Bolsos</t>
        </is>
      </c>
      <c r="L815" s="156" t="inlineStr">
        <is>
          <t>Unisex</t>
        </is>
      </c>
      <c r="M815" s="156" t="inlineStr">
        <is>
          <t>Wrangler</t>
        </is>
      </c>
      <c r="N815" s="156" t="n"/>
      <c r="O815" s="156" t="inlineStr">
        <is>
          <t>Core</t>
        </is>
      </c>
      <c r="P815" s="156" t="inlineStr">
        <is>
          <t>Varios</t>
        </is>
      </c>
      <c r="Q815" s="156" t="n"/>
      <c r="R815" s="156" t="n"/>
      <c r="S815" s="156" t="n"/>
      <c r="T815" s="156" t="inlineStr">
        <is>
          <t>Bolsa Wrangler. Color: Camel. Talla única. Unisex. País de origen: México. Referencia: WG197-W063TN.</t>
        </is>
      </c>
      <c r="U815" s="156" t="inlineStr">
        <is>
          <t>México</t>
        </is>
      </c>
      <c r="V815" s="156" t="inlineStr">
        <is>
          <t>PZS</t>
        </is>
      </c>
      <c r="W815" s="51" t="inlineStr">
        <is>
          <t>53121601</t>
        </is>
      </c>
      <c r="X815" s="156" t="n"/>
      <c r="Y815" s="54" t="n"/>
      <c r="Z815" s="54" t="n">
        <v>389</v>
      </c>
      <c r="AA815" s="55">
        <f>IF(AND(A815="", B815="", E815=""), "", IF(AB815="", "Válido", IF((LEN(AB815)-LEN(SUBSTITUTE(AB815,"; ","")))/2+1&gt;(LEN(AB815)-LEN(SUBSTITUTE(AB815,"[Aviso]","")))/7, "Con Incidencias", "Válido")))</f>
        <v/>
      </c>
      <c r="AB815" s="56">
        <f>IF(AND(A815="", B815="", E815=""), "", TEXTJOIN("; ", TRUE, IF(OR(TRIM(A815&amp;"")="", ISNUMBER(SEARCH("FALTA", A815))), "UPC faltante/inválido", ""), IF(AND(A815&lt;&gt;"", IFERROR(_xlfn.XMATCH(A815,$A$2:$A$1063,0,1)&lt;&gt;_xlfn.XMATCH(A815,$A$2:$A$1063,0,-1),FALSE)), "Código de barras duplicado", ""), IF(AND(E815&lt;&gt;"", COUNTIF($E$2:$E$1063, E815)&gt;1), "SKU duplicado", ""), IF(OR(J815="", J815=""), "[Aviso] División no capturada ()", IF(ISNA(MATCH(J815, Criterios!$A$123:$A$126, 0)), "División no válida", "")), IF(OR(K815="", K815=""), "[Aviso] Categoría no capturada ()", IF(ISNA(MATCH(K815, Criterios!$A$81:$A$120, 0)), "Categoría no válida", IF(AND(J815&lt;&gt;"", J815&lt;&gt;"", J815&lt;&gt;VLOOKUP(K815, Criterios!$A$81:$B$120, 2, FALSE)), "División no coincide con Categoría", ""))), IF(OR(L815="", L815=""), "[Aviso] Género no capturado ()", IF(ISNA(MATCH(L815, Criterios!$B$123:$B$127, 0)), "Género no válido", "")), IF(OR(N815="", N815=""), "[Aviso] Temporada no capturada ()", IF(ISNA(MATCH(N815, Criterios!$C$123:$C$128, 0)), "Temporada no válida", "")), IF(OR(O815="", O815=""), "[Aviso] Ciclo de vida no capturado ()", IF(ISNA(MATCH(O815, Criterios!$D$123:$D$124, 0)), "Ciclo de vida no válido", ""))))</f>
        <v/>
      </c>
      <c r="AC815" s="56" t="n"/>
      <c r="AD815" s="51" t="n"/>
      <c r="AE815" s="156" t="n"/>
      <c r="AF815" s="51" t="n"/>
      <c r="AG815" s="156" t="inlineStr">
        <is>
          <t>Nuevo – Carga Hoja2 01/10/2026</t>
        </is>
      </c>
      <c r="AH815" s="156" t="inlineStr">
        <is>
          <t>Alta 01/10/2026 desde Hoja2 (fila 841); Precio de compra en 0/vacío en origen | 01/10/2026: Odoo Universal Unique Brands trae SKU WG197-W06 — se conservó el valor de Productos | Homologación G1522 06/10/2026: Validador Shopify: WB: precio con IVA no termina en 9</t>
        </is>
      </c>
      <c r="AI815" s="156" t="n"/>
      <c r="AJ815" s="156" t="n"/>
      <c r="AK815" s="155" t="inlineStr">
        <is>
          <t>Hoja2: fila 841 | Odoo: producto 14373 / plantilla 17950</t>
        </is>
      </c>
      <c r="AL815" s="58" t="n"/>
      <c r="AM815" s="58" t="n"/>
      <c r="AN815" s="155" t="inlineStr">
        <is>
          <t>Odoo Universal Unique Brands</t>
        </is>
      </c>
      <c r="AO815" s="59" t="n"/>
      <c r="AP815" s="59" t="n"/>
      <c r="AQ815" s="59" t="n">
        <v>0</v>
      </c>
      <c r="AR815" s="155" t="n"/>
    </row>
    <row r="816">
      <c r="A816" s="50" t="inlineStr">
        <is>
          <t>717690437060</t>
        </is>
      </c>
      <c r="B816" s="51" t="inlineStr">
        <is>
          <t>15600</t>
        </is>
      </c>
      <c r="C816" s="156" t="inlineStr">
        <is>
          <t>Wrangler</t>
        </is>
      </c>
      <c r="D816" s="156" t="inlineStr">
        <is>
          <t>WG2000-006BR</t>
        </is>
      </c>
      <c r="E816" s="156" t="inlineStr">
        <is>
          <t>WG2000-006BR</t>
        </is>
      </c>
      <c r="F816" s="156" t="inlineStr">
        <is>
          <t>Talla única</t>
        </is>
      </c>
      <c r="G816" s="156" t="inlineStr">
        <is>
          <t>One Size</t>
        </is>
      </c>
      <c r="H816" s="156" t="inlineStr">
        <is>
          <t>Wrangler</t>
        </is>
      </c>
      <c r="I816" s="156" t="inlineStr">
        <is>
          <t>Mochila Wrangler Café</t>
        </is>
      </c>
      <c r="J816" s="156" t="inlineStr">
        <is>
          <t>Accesorios</t>
        </is>
      </c>
      <c r="K816" s="156" t="inlineStr">
        <is>
          <t>Mochilas</t>
        </is>
      </c>
      <c r="L816" s="156" t="inlineStr">
        <is>
          <t>Unisex</t>
        </is>
      </c>
      <c r="M816" s="156" t="inlineStr">
        <is>
          <t>Wrangler</t>
        </is>
      </c>
      <c r="N816" s="156" t="n"/>
      <c r="O816" s="156" t="inlineStr">
        <is>
          <t>Core</t>
        </is>
      </c>
      <c r="P816" s="156" t="inlineStr">
        <is>
          <t>Cafe</t>
        </is>
      </c>
      <c r="Q816" s="156" t="n"/>
      <c r="R816" s="156" t="n"/>
      <c r="S816" s="156" t="n"/>
      <c r="T816" s="156" t="inlineStr">
        <is>
          <t>Mochila Wrangler. Color: Café. Talla única. Unisex. País de origen: México. Referencia: WG2000-006BR.</t>
        </is>
      </c>
      <c r="U816" s="156" t="inlineStr">
        <is>
          <t>México</t>
        </is>
      </c>
      <c r="V816" s="156" t="inlineStr">
        <is>
          <t>PZS</t>
        </is>
      </c>
      <c r="W816" s="51" t="inlineStr">
        <is>
          <t>53121600</t>
        </is>
      </c>
      <c r="X816" s="156" t="inlineStr">
        <is>
          <t>https://m-universal-unique-brands.odoo.com/web/image/product.product/15600/image_1920</t>
        </is>
      </c>
      <c r="Y816" s="54" t="n"/>
      <c r="Z816" s="54" t="n">
        <v>309</v>
      </c>
      <c r="AA816" s="55">
        <f>IF(AND(A816="", B816="", E816=""), "", IF(AB816="", "Válido", IF((LEN(AB816)-LEN(SUBSTITUTE(AB816,"; ","")))/2+1&gt;(LEN(AB816)-LEN(SUBSTITUTE(AB816,"[Aviso]","")))/7, "Con Incidencias", "Válido")))</f>
        <v/>
      </c>
      <c r="AB816" s="56">
        <f>IF(AND(A816="", B816="", E816=""), "", TEXTJOIN("; ", TRUE, IF(OR(TRIM(A816&amp;"")="", ISNUMBER(SEARCH("FALTA", A816))), "UPC faltante/inválido", ""), IF(AND(A816&lt;&gt;"", IFERROR(_xlfn.XMATCH(A816,$A$2:$A$1063,0,1)&lt;&gt;_xlfn.XMATCH(A816,$A$2:$A$1063,0,-1),FALSE)), "Código de barras duplicado", ""), IF(AND(E816&lt;&gt;"", COUNTIF($E$2:$E$1063, E816)&gt;1), "SKU duplicado", ""), IF(OR(J816="", J816=""), "[Aviso] División no capturada ()", IF(ISNA(MATCH(J816, Criterios!$A$123:$A$126, 0)), "División no válida", "")), IF(OR(K816="", K816=""), "[Aviso] Categoría no capturada ()", IF(ISNA(MATCH(K816, Criterios!$A$81:$A$120, 0)), "Categoría no válida", IF(AND(J816&lt;&gt;"", J816&lt;&gt;"", J816&lt;&gt;VLOOKUP(K816, Criterios!$A$81:$B$120, 2, FALSE)), "División no coincide con Categoría", ""))), IF(OR(L816="", L816=""), "[Aviso] Género no capturado ()", IF(ISNA(MATCH(L816, Criterios!$B$123:$B$127, 0)), "Género no válido", "")), IF(OR(N816="", N816=""), "[Aviso] Temporada no capturada ()", IF(ISNA(MATCH(N816, Criterios!$C$123:$C$128, 0)), "Temporada no válida", "")), IF(OR(O816="", O816=""), "[Aviso] Ciclo de vida no capturado ()", IF(ISNA(MATCH(O816, Criterios!$D$123:$D$124, 0)), "Ciclo de vida no válido", ""))))</f>
        <v/>
      </c>
      <c r="AC816" s="56" t="n"/>
      <c r="AD816" s="51" t="n"/>
      <c r="AE816" s="156" t="n"/>
      <c r="AF816" s="51" t="n"/>
      <c r="AG816" s="156" t="inlineStr">
        <is>
          <t>Nuevo – Carga Hoja2 01/10/2026</t>
        </is>
      </c>
      <c r="AH816" s="156" t="inlineStr">
        <is>
          <t>Alta 01/10/2026 desde Hoja2 (fila 842); Precio de compra en 0/vacío en origen | 01/10/2026: complementado desde Odoo Universal Unique Brands (match por código de barras): Enlace de imagen | Homologación G1522 06/10/2026: Validador Shopify: WB: precio con IVA no termina en 9</t>
        </is>
      </c>
      <c r="AI816" s="156" t="n"/>
      <c r="AJ816" s="156" t="n"/>
      <c r="AK816" s="155" t="inlineStr">
        <is>
          <t>Hoja2: fila 842 | Odoo: producto 15600 / plantilla 19953</t>
        </is>
      </c>
      <c r="AL816" s="58" t="n"/>
      <c r="AM816" s="58" t="n"/>
      <c r="AN816" s="155" t="inlineStr">
        <is>
          <t>Odoo Universal Unique Brands</t>
        </is>
      </c>
      <c r="AO816" s="59" t="n"/>
      <c r="AP816" s="59" t="n"/>
      <c r="AQ816" s="59" t="n">
        <v>28</v>
      </c>
      <c r="AR816" s="155" t="inlineStr">
        <is>
          <t>Odoo Universal Unique Brands › Bodega 25 › Bodega 25/General: 28</t>
        </is>
      </c>
    </row>
    <row r="817">
      <c r="A817" s="50" t="inlineStr">
        <is>
          <t>717690437114</t>
        </is>
      </c>
      <c r="B817" s="51" t="inlineStr">
        <is>
          <t>15599</t>
        </is>
      </c>
      <c r="C817" s="156" t="inlineStr">
        <is>
          <t>Wrangler</t>
        </is>
      </c>
      <c r="D817" s="156" t="inlineStr">
        <is>
          <t>WG2000-007BK</t>
        </is>
      </c>
      <c r="E817" s="156" t="inlineStr">
        <is>
          <t>WG2000-007BK</t>
        </is>
      </c>
      <c r="F817" s="156" t="inlineStr">
        <is>
          <t>Talla única</t>
        </is>
      </c>
      <c r="G817" s="156" t="inlineStr">
        <is>
          <t>One Size</t>
        </is>
      </c>
      <c r="H817" s="156" t="inlineStr">
        <is>
          <t>Wrangler</t>
        </is>
      </c>
      <c r="I817" s="156" t="inlineStr">
        <is>
          <t>Mochila Wrangler Negro</t>
        </is>
      </c>
      <c r="J817" s="156" t="inlineStr">
        <is>
          <t>Accesorios</t>
        </is>
      </c>
      <c r="K817" s="156" t="inlineStr">
        <is>
          <t>Mochilas</t>
        </is>
      </c>
      <c r="L817" s="156" t="inlineStr">
        <is>
          <t>Unisex</t>
        </is>
      </c>
      <c r="M817" s="156" t="inlineStr">
        <is>
          <t>Wrangler</t>
        </is>
      </c>
      <c r="N817" s="156" t="n"/>
      <c r="O817" s="156" t="inlineStr">
        <is>
          <t>Core</t>
        </is>
      </c>
      <c r="P817" s="156" t="inlineStr">
        <is>
          <t>Negro</t>
        </is>
      </c>
      <c r="Q817" s="156" t="n"/>
      <c r="R817" s="156" t="n"/>
      <c r="S817" s="156" t="n"/>
      <c r="T817" s="156" t="inlineStr">
        <is>
          <t>Mochila Wrangler. Color: Negro. Talla única. Unisex. País de origen: México. Referencia: WG2000-007BK.</t>
        </is>
      </c>
      <c r="U817" s="156" t="inlineStr">
        <is>
          <t>México</t>
        </is>
      </c>
      <c r="V817" s="156" t="inlineStr">
        <is>
          <t>PZS</t>
        </is>
      </c>
      <c r="W817" s="51" t="inlineStr">
        <is>
          <t>53121600</t>
        </is>
      </c>
      <c r="X817" s="156" t="inlineStr">
        <is>
          <t>https://m-universal-unique-brands.odoo.com/web/image/product.product/15599/image_1920</t>
        </is>
      </c>
      <c r="Y817" s="54" t="n"/>
      <c r="Z817" s="54" t="n">
        <v>309</v>
      </c>
      <c r="AA817" s="55">
        <f>IF(AND(A817="", B817="", E817=""), "", IF(AB817="", "Válido", IF((LEN(AB817)-LEN(SUBSTITUTE(AB817,"; ","")))/2+1&gt;(LEN(AB817)-LEN(SUBSTITUTE(AB817,"[Aviso]","")))/7, "Con Incidencias", "Válido")))</f>
        <v/>
      </c>
      <c r="AB817" s="56">
        <f>IF(AND(A817="", B817="", E817=""), "", TEXTJOIN("; ", TRUE, IF(OR(TRIM(A817&amp;"")="", ISNUMBER(SEARCH("FALTA", A817))), "UPC faltante/inválido", ""), IF(AND(A817&lt;&gt;"", IFERROR(_xlfn.XMATCH(A817,$A$2:$A$1063,0,1)&lt;&gt;_xlfn.XMATCH(A817,$A$2:$A$1063,0,-1),FALSE)), "Código de barras duplicado", ""), IF(AND(E817&lt;&gt;"", COUNTIF($E$2:$E$1063, E817)&gt;1), "SKU duplicado", ""), IF(OR(J817="", J817=""), "[Aviso] División no capturada ()", IF(ISNA(MATCH(J817, Criterios!$A$123:$A$126, 0)), "División no válida", "")), IF(OR(K817="", K817=""), "[Aviso] Categoría no capturada ()", IF(ISNA(MATCH(K817, Criterios!$A$81:$A$120, 0)), "Categoría no válida", IF(AND(J817&lt;&gt;"", J817&lt;&gt;"", J817&lt;&gt;VLOOKUP(K817, Criterios!$A$81:$B$120, 2, FALSE)), "División no coincide con Categoría", ""))), IF(OR(L817="", L817=""), "[Aviso] Género no capturado ()", IF(ISNA(MATCH(L817, Criterios!$B$123:$B$127, 0)), "Género no válido", "")), IF(OR(N817="", N817=""), "[Aviso] Temporada no capturada ()", IF(ISNA(MATCH(N817, Criterios!$C$123:$C$128, 0)), "Temporada no válida", "")), IF(OR(O817="", O817=""), "[Aviso] Ciclo de vida no capturado ()", IF(ISNA(MATCH(O817, Criterios!$D$123:$D$124, 0)), "Ciclo de vida no válido", ""))))</f>
        <v/>
      </c>
      <c r="AC817" s="56" t="n"/>
      <c r="AD817" s="51" t="n"/>
      <c r="AE817" s="156" t="n"/>
      <c r="AF817" s="51" t="n"/>
      <c r="AG817" s="156" t="inlineStr">
        <is>
          <t>Nuevo – Carga Hoja2 01/10/2026</t>
        </is>
      </c>
      <c r="AH817" s="156" t="inlineStr">
        <is>
          <t>Alta 01/10/2026 desde Hoja2 (fila 843); Precio de compra en 0/vacío en origen | 01/10/2026: complementado desde Odoo Universal Unique Brands (match por código de barras): Enlace de imagen | Homologación G1522 06/10/2026: Validador Shopify: WB: precio con IVA no termina en 9</t>
        </is>
      </c>
      <c r="AI817" s="156" t="n"/>
      <c r="AJ817" s="156" t="n"/>
      <c r="AK817" s="155" t="inlineStr">
        <is>
          <t>Hoja2: fila 843 | Odoo: producto 15599 / plantilla 19952</t>
        </is>
      </c>
      <c r="AL817" s="58" t="n"/>
      <c r="AM817" s="58" t="n"/>
      <c r="AN817" s="155" t="inlineStr">
        <is>
          <t>Odoo Universal Unique Brands</t>
        </is>
      </c>
      <c r="AO817" s="59" t="n"/>
      <c r="AP817" s="59" t="n"/>
      <c r="AQ817" s="59" t="n">
        <v>24</v>
      </c>
      <c r="AR817" s="155" t="inlineStr">
        <is>
          <t>Odoo Universal Unique Brands › Bodega 25 › Bodega 25/General: 24</t>
        </is>
      </c>
    </row>
    <row r="818">
      <c r="A818" s="50" t="inlineStr">
        <is>
          <t>717325221330</t>
        </is>
      </c>
      <c r="B818" s="51" t="inlineStr">
        <is>
          <t>11512</t>
        </is>
      </c>
      <c r="C818" s="156" t="inlineStr">
        <is>
          <t>Wrangler</t>
        </is>
      </c>
      <c r="D818" s="156" t="inlineStr">
        <is>
          <t>WG206-8122KH</t>
        </is>
      </c>
      <c r="E818" s="156" t="inlineStr">
        <is>
          <t>WG206-8122KH</t>
        </is>
      </c>
      <c r="F818" s="156" t="inlineStr">
        <is>
          <t>Talla única</t>
        </is>
      </c>
      <c r="G818" s="156" t="inlineStr">
        <is>
          <t>One Size</t>
        </is>
      </c>
      <c r="H818" s="156" t="inlineStr">
        <is>
          <t>Wrangler</t>
        </is>
      </c>
      <c r="I818" s="156" t="inlineStr">
        <is>
          <t>Bolsa Tote Cruzada Wrangler Estampado Azteca Caqui</t>
        </is>
      </c>
      <c r="J818" s="156" t="inlineStr">
        <is>
          <t>Accesorios</t>
        </is>
      </c>
      <c r="K818" s="156" t="inlineStr">
        <is>
          <t>Bolsos</t>
        </is>
      </c>
      <c r="L818" s="156" t="inlineStr">
        <is>
          <t>Unisex</t>
        </is>
      </c>
      <c r="M818" s="156" t="inlineStr">
        <is>
          <t>Wrangler</t>
        </is>
      </c>
      <c r="N818" s="156" t="n"/>
      <c r="O818" s="156" t="inlineStr">
        <is>
          <t>Core</t>
        </is>
      </c>
      <c r="P818" s="156" t="inlineStr">
        <is>
          <t>Beige</t>
        </is>
      </c>
      <c r="Q818" s="156" t="n"/>
      <c r="R818" s="156" t="n"/>
      <c r="S818" s="156" t="n"/>
      <c r="T818" s="156" t="inlineStr">
        <is>
          <t>Bolsa Tote Cruzada Wrangler. Modelo: Estampado Azteca. Color: Caqui. Talla única. Unisex. País de origen: México. Referencia: WG206-8122KH.</t>
        </is>
      </c>
      <c r="U818" s="156" t="inlineStr">
        <is>
          <t>México</t>
        </is>
      </c>
      <c r="V818" s="156" t="inlineStr">
        <is>
          <t>PZS</t>
        </is>
      </c>
      <c r="W818" s="51" t="inlineStr">
        <is>
          <t>53121601</t>
        </is>
      </c>
      <c r="X818" s="156" t="inlineStr">
        <is>
          <t>https://m-universal-unique-brands.odoo.com/web/image/product.product/11512/image_1920</t>
        </is>
      </c>
      <c r="Y818" s="54" t="n">
        <v>483</v>
      </c>
      <c r="Z818" s="54" t="n">
        <v>779</v>
      </c>
      <c r="AA818" s="55">
        <f>IF(AND(A818="", B818="", E818=""), "", IF(AB818="", "Válido", IF((LEN(AB818)-LEN(SUBSTITUTE(AB818,"; ","")))/2+1&gt;(LEN(AB818)-LEN(SUBSTITUTE(AB818,"[Aviso]","")))/7, "Con Incidencias", "Válido")))</f>
        <v/>
      </c>
      <c r="AB818" s="56">
        <f>IF(AND(A818="", B818="", E818=""), "", TEXTJOIN("; ", TRUE, IF(OR(TRIM(A818&amp;"")="", ISNUMBER(SEARCH("FALTA", A818))), "UPC faltante/inválido", ""), IF(AND(A818&lt;&gt;"", IFERROR(_xlfn.XMATCH(A818,$A$2:$A$1063,0,1)&lt;&gt;_xlfn.XMATCH(A818,$A$2:$A$1063,0,-1),FALSE)), "Código de barras duplicado", ""), IF(AND(E818&lt;&gt;"", COUNTIF($E$2:$E$1063, E818)&gt;1), "SKU duplicado", ""), IF(OR(J818="", J818=""), "[Aviso] División no capturada ()", IF(ISNA(MATCH(J818, Criterios!$A$123:$A$126, 0)), "División no válida", "")), IF(OR(K818="", K818=""), "[Aviso] Categoría no capturada ()", IF(ISNA(MATCH(K818, Criterios!$A$81:$A$120, 0)), "Categoría no válida", IF(AND(J818&lt;&gt;"", J818&lt;&gt;"", J818&lt;&gt;VLOOKUP(K818, Criterios!$A$81:$B$120, 2, FALSE)), "División no coincide con Categoría", ""))), IF(OR(L818="", L818=""), "[Aviso] Género no capturado ()", IF(ISNA(MATCH(L818, Criterios!$B$123:$B$127, 0)), "Género no válido", "")), IF(OR(N818="", N818=""), "[Aviso] Temporada no capturada ()", IF(ISNA(MATCH(N818, Criterios!$C$123:$C$128, 0)), "Temporada no válida", "")), IF(OR(O818="", O818=""), "[Aviso] Ciclo de vida no capturado ()", IF(ISNA(MATCH(O818, Criterios!$D$123:$D$124, 0)), "Ciclo de vida no válido", ""))))</f>
        <v/>
      </c>
      <c r="AC818" s="56" t="n"/>
      <c r="AD818" s="51" t="n"/>
      <c r="AE818" s="156" t="n"/>
      <c r="AF818" s="51" t="n"/>
      <c r="AG818" s="156" t="inlineStr">
        <is>
          <t>Nuevo – Carga Hoja2 01/10/2026</t>
        </is>
      </c>
      <c r="AH818" s="156" t="inlineStr">
        <is>
          <t>Alta 01/10/2026 desde Hoja2 (fila 845) | 01/10/2026: complementado desde Odoo Universal Unique Brands (match por código de barras): Enlace de imagen | Homologación G1522 06/10/2026: Validador Shopify: WB: precio con IVA no termina en 9</t>
        </is>
      </c>
      <c r="AI818" s="156" t="n"/>
      <c r="AJ818" s="156" t="n"/>
      <c r="AK818" s="155" t="inlineStr">
        <is>
          <t>Hoja2: fila 845 | Odoo: producto 11512 / plantilla 14947</t>
        </is>
      </c>
      <c r="AL818" s="58" t="n"/>
      <c r="AM818" s="58" t="n"/>
      <c r="AN818" s="155" t="inlineStr">
        <is>
          <t>Odoo Universal Unique Brands</t>
        </is>
      </c>
      <c r="AO818" s="59" t="n"/>
      <c r="AP818" s="59" t="n"/>
      <c r="AQ818" s="59" t="n">
        <v>134</v>
      </c>
      <c r="AR818" s="155" t="inlineStr">
        <is>
          <t>Odoo Universal Unique Brands › Bodega 25 › Bodega 25/General: 134</t>
        </is>
      </c>
    </row>
    <row r="819">
      <c r="A819" s="50" t="inlineStr">
        <is>
          <t>717325221323</t>
        </is>
      </c>
      <c r="B819" s="51" t="inlineStr">
        <is>
          <t>14901</t>
        </is>
      </c>
      <c r="C819" s="156" t="inlineStr">
        <is>
          <t>Wrangler</t>
        </is>
      </c>
      <c r="D819" s="156" t="inlineStr">
        <is>
          <t>WG206-8122LP</t>
        </is>
      </c>
      <c r="E819" s="156" t="inlineStr">
        <is>
          <t>WG206-8122LP</t>
        </is>
      </c>
      <c r="F819" s="156" t="inlineStr">
        <is>
          <t>Talla única</t>
        </is>
      </c>
      <c r="G819" s="156" t="inlineStr">
        <is>
          <t>One Size</t>
        </is>
      </c>
      <c r="H819" s="156" t="inlineStr">
        <is>
          <t>Wrangler</t>
        </is>
      </c>
      <c r="I819" s="156" t="inlineStr">
        <is>
          <t>WG206-8122LP</t>
        </is>
      </c>
      <c r="J819" s="156" t="inlineStr">
        <is>
          <t>Accesorios</t>
        </is>
      </c>
      <c r="K819" s="156" t="inlineStr">
        <is>
          <t>Bolsos</t>
        </is>
      </c>
      <c r="L819" s="156" t="inlineStr">
        <is>
          <t>Unisex</t>
        </is>
      </c>
      <c r="M819" s="156" t="inlineStr">
        <is>
          <t>Wrangler</t>
        </is>
      </c>
      <c r="N819" s="156" t="n"/>
      <c r="O819" s="156" t="n"/>
      <c r="P819" s="156" t="inlineStr">
        <is>
          <t>Varios</t>
        </is>
      </c>
      <c r="Q819" s="156" t="n"/>
      <c r="R819" s="156" t="n"/>
      <c r="S819" s="156" t="n"/>
      <c r="T819" s="156" t="n"/>
      <c r="U819" s="156" t="inlineStr">
        <is>
          <t>México</t>
        </is>
      </c>
      <c r="V819" s="156" t="inlineStr">
        <is>
          <t>PZS</t>
        </is>
      </c>
      <c r="W819" s="51" t="inlineStr">
        <is>
          <t>53121600</t>
        </is>
      </c>
      <c r="X819" s="156" t="n"/>
      <c r="Y819" s="54" t="n"/>
      <c r="Z819" s="54" t="n">
        <v>779</v>
      </c>
      <c r="AA819" s="55">
        <f>IF(AND(A819="", B819="", E819=""), "", IF(AB819="", "Válido", IF((LEN(AB819)-LEN(SUBSTITUTE(AB819,"; ","")))/2+1&gt;(LEN(AB819)-LEN(SUBSTITUTE(AB819,"[Aviso]","")))/7, "Con Incidencias", "Válido")))</f>
        <v/>
      </c>
      <c r="AB819" s="56">
        <f>IF(AND(A819="", B819="", E819=""), "", TEXTJOIN("; ", TRUE, IF(OR(TRIM(A819&amp;"")="", ISNUMBER(SEARCH("FALTA", A819))), "UPC faltante/inválido", ""), IF(AND(A819&lt;&gt;"", IFERROR(_xlfn.XMATCH(A819,$A$2:$A$1063,0,1)&lt;&gt;_xlfn.XMATCH(A819,$A$2:$A$1063,0,-1),FALSE)), "Código de barras duplicado", ""), IF(AND(E819&lt;&gt;"", COUNTIF($E$2:$E$1063, E819)&gt;1), "SKU duplicado", ""), IF(OR(J819="", J819=""), "[Aviso] División no capturada ()", IF(ISNA(MATCH(J819, Criterios!$A$123:$A$126, 0)), "División no válida", "")), IF(OR(K819="", K819=""), "[Aviso] Categoría no capturada ()", IF(ISNA(MATCH(K819, Criterios!$A$81:$A$120, 0)), "Categoría no válida", IF(AND(J819&lt;&gt;"", J819&lt;&gt;"", J819&lt;&gt;VLOOKUP(K819, Criterios!$A$81:$B$120, 2, FALSE)), "División no coincide con Categoría", ""))), IF(OR(L819="", L819=""), "[Aviso] Género no capturado ()", IF(ISNA(MATCH(L819, Criterios!$B$123:$B$127, 0)), "Género no válido", "")), IF(OR(N819="", N819=""), "[Aviso] Temporada no capturada ()", IF(ISNA(MATCH(N819, Criterios!$C$123:$C$128, 0)), "Temporada no válida", "")), IF(OR(O819="", O819=""), "[Aviso] Ciclo de vida no capturado ()", IF(ISNA(MATCH(O819, Criterios!$D$123:$D$124, 0)), "Ciclo de vida no válido", ""))))</f>
        <v/>
      </c>
      <c r="AC819" s="56" t="n"/>
      <c r="AD819" s="51" t="n"/>
      <c r="AE819" s="156" t="n"/>
      <c r="AF819" s="51" t="n"/>
      <c r="AG819" s="156" t="inlineStr">
        <is>
          <t>Nuevo – Carga Hoja2 01/10/2026</t>
        </is>
      </c>
      <c r="AH819" s="156" t="inlineStr">
        <is>
          <t>Alta 01/10/2026 desde Hoja2 (fila 846); Precio de compra en 0/vacío en origen | 01/10/2026: complementado desde Odoo Universal Unique Brands (match por código de barras): WB Talla, WB Talla de EE. UU. | Homologación G1522 06/10/2026: WB País de origen: «Mexico» → «México» (Corrección aplicada) · Validador Shopify: WB: precio con IVA no termina en 9</t>
        </is>
      </c>
      <c r="AI819" s="156" t="n"/>
      <c r="AJ819" s="156" t="n"/>
      <c r="AK819" s="155" t="inlineStr">
        <is>
          <t>Hoja2: fila 846 | Odoo: producto 14901 / plantilla 19254</t>
        </is>
      </c>
      <c r="AL819" s="58" t="n"/>
      <c r="AM819" s="58" t="n"/>
      <c r="AN819" s="155" t="inlineStr">
        <is>
          <t>Odoo Universal Unique Brands</t>
        </is>
      </c>
      <c r="AO819" s="59" t="n"/>
      <c r="AP819" s="59" t="n"/>
      <c r="AQ819" s="59" t="n">
        <v>0</v>
      </c>
      <c r="AR819" s="155" t="n"/>
    </row>
    <row r="820">
      <c r="A820" s="50" t="inlineStr">
        <is>
          <t>717325221415</t>
        </is>
      </c>
      <c r="B820" s="51" t="inlineStr">
        <is>
          <t>14894</t>
        </is>
      </c>
      <c r="C820" s="156" t="inlineStr">
        <is>
          <t>Wrangler</t>
        </is>
      </c>
      <c r="D820" s="156" t="inlineStr">
        <is>
          <t>WG206-8122TQ</t>
        </is>
      </c>
      <c r="E820" s="156" t="inlineStr">
        <is>
          <t>WG206-8122TQ</t>
        </is>
      </c>
      <c r="F820" s="156" t="inlineStr">
        <is>
          <t>Talla única</t>
        </is>
      </c>
      <c r="G820" s="156" t="inlineStr">
        <is>
          <t>One Size</t>
        </is>
      </c>
      <c r="H820" s="156" t="inlineStr">
        <is>
          <t>Wrangler</t>
        </is>
      </c>
      <c r="I820" s="156" t="inlineStr">
        <is>
          <t>WG206-8122TQ</t>
        </is>
      </c>
      <c r="J820" s="156" t="inlineStr">
        <is>
          <t>Accesorios</t>
        </is>
      </c>
      <c r="K820" s="156" t="inlineStr">
        <is>
          <t>Bolsos</t>
        </is>
      </c>
      <c r="L820" s="156" t="inlineStr">
        <is>
          <t>Unisex</t>
        </is>
      </c>
      <c r="M820" s="156" t="inlineStr">
        <is>
          <t>Wrangler</t>
        </is>
      </c>
      <c r="N820" s="156" t="n"/>
      <c r="O820" s="156" t="n"/>
      <c r="P820" s="156" t="inlineStr">
        <is>
          <t>Azul</t>
        </is>
      </c>
      <c r="Q820" s="156" t="n"/>
      <c r="R820" s="156" t="n"/>
      <c r="S820" s="156" t="n"/>
      <c r="T820" s="156" t="n"/>
      <c r="U820" s="156" t="inlineStr">
        <is>
          <t>México</t>
        </is>
      </c>
      <c r="V820" s="156" t="inlineStr">
        <is>
          <t>PZS</t>
        </is>
      </c>
      <c r="W820" s="51" t="inlineStr">
        <is>
          <t>53121600</t>
        </is>
      </c>
      <c r="X820" s="156" t="n"/>
      <c r="Y820" s="54" t="n"/>
      <c r="Z820" s="54" t="n">
        <v>779</v>
      </c>
      <c r="AA820" s="55">
        <f>IF(AND(A820="", B820="", E820=""), "", IF(AB820="", "Válido", IF((LEN(AB820)-LEN(SUBSTITUTE(AB820,"; ","")))/2+1&gt;(LEN(AB820)-LEN(SUBSTITUTE(AB820,"[Aviso]","")))/7, "Con Incidencias", "Válido")))</f>
        <v/>
      </c>
      <c r="AB820" s="56">
        <f>IF(AND(A820="", B820="", E820=""), "", TEXTJOIN("; ", TRUE, IF(OR(TRIM(A820&amp;"")="", ISNUMBER(SEARCH("FALTA", A820))), "UPC faltante/inválido", ""), IF(AND(A820&lt;&gt;"", IFERROR(_xlfn.XMATCH(A820,$A$2:$A$1063,0,1)&lt;&gt;_xlfn.XMATCH(A820,$A$2:$A$1063,0,-1),FALSE)), "Código de barras duplicado", ""), IF(AND(E820&lt;&gt;"", COUNTIF($E$2:$E$1063, E820)&gt;1), "SKU duplicado", ""), IF(OR(J820="", J820=""), "[Aviso] División no capturada ()", IF(ISNA(MATCH(J820, Criterios!$A$123:$A$126, 0)), "División no válida", "")), IF(OR(K820="", K820=""), "[Aviso] Categoría no capturada ()", IF(ISNA(MATCH(K820, Criterios!$A$81:$A$120, 0)), "Categoría no válida", IF(AND(J820&lt;&gt;"", J820&lt;&gt;"", J820&lt;&gt;VLOOKUP(K820, Criterios!$A$81:$B$120, 2, FALSE)), "División no coincide con Categoría", ""))), IF(OR(L820="", L820=""), "[Aviso] Género no capturado ()", IF(ISNA(MATCH(L820, Criterios!$B$123:$B$127, 0)), "Género no válido", "")), IF(OR(N820="", N820=""), "[Aviso] Temporada no capturada ()", IF(ISNA(MATCH(N820, Criterios!$C$123:$C$128, 0)), "Temporada no válida", "")), IF(OR(O820="", O820=""), "[Aviso] Ciclo de vida no capturado ()", IF(ISNA(MATCH(O820, Criterios!$D$123:$D$124, 0)), "Ciclo de vida no válido", ""))))</f>
        <v/>
      </c>
      <c r="AC820" s="56" t="n"/>
      <c r="AD820" s="51" t="n"/>
      <c r="AE820" s="156" t="n"/>
      <c r="AF820" s="51" t="n"/>
      <c r="AG820" s="156" t="inlineStr">
        <is>
          <t>Nuevo – Carga Hoja2 01/10/2026</t>
        </is>
      </c>
      <c r="AH820" s="156" t="inlineStr">
        <is>
          <t>Alta 01/10/2026 desde Hoja2 (fila 847); Precio de compra en 0/vacío en origen | 01/10/2026: complementado desde Odoo Universal Unique Brands (match por código de barras): WB Talla, WB Talla de EE. UU. | Homologación G1522 06/10/2026: WB País de origen: «Mexico» → «México» (Corrección aplicada) · Validador Shopify: WB: precio con IVA no termina en 9</t>
        </is>
      </c>
      <c r="AI820" s="156" t="n"/>
      <c r="AJ820" s="156" t="n"/>
      <c r="AK820" s="155" t="inlineStr">
        <is>
          <t>Hoja2: fila 847 | Odoo: producto 14894 / plantilla 19247</t>
        </is>
      </c>
      <c r="AL820" s="58" t="n"/>
      <c r="AM820" s="58" t="n"/>
      <c r="AN820" s="155" t="inlineStr">
        <is>
          <t>Odoo Universal Unique Brands</t>
        </is>
      </c>
      <c r="AO820" s="59" t="n"/>
      <c r="AP820" s="59" t="n"/>
      <c r="AQ820" s="59" t="n">
        <v>0</v>
      </c>
      <c r="AR820" s="155" t="n"/>
    </row>
    <row r="821">
      <c r="A821" s="50" t="inlineStr">
        <is>
          <t>717325231896</t>
        </is>
      </c>
      <c r="B821" s="51" t="inlineStr">
        <is>
          <t>11222</t>
        </is>
      </c>
      <c r="C821" s="156" t="inlineStr">
        <is>
          <t>Wrangler</t>
        </is>
      </c>
      <c r="D821" s="156" t="inlineStr">
        <is>
          <t>WG211-8014CF</t>
        </is>
      </c>
      <c r="E821" s="156" t="inlineStr">
        <is>
          <t>WG211-8014CF</t>
        </is>
      </c>
      <c r="F821" s="156" t="inlineStr">
        <is>
          <t>Talla única</t>
        </is>
      </c>
      <c r="G821" s="156" t="inlineStr">
        <is>
          <t>One Size</t>
        </is>
      </c>
      <c r="H821" s="156" t="inlineStr">
        <is>
          <t>Wrangler</t>
        </is>
      </c>
      <c r="I821" s="156" t="inlineStr">
        <is>
          <t>Bolsa Tote Cruzada Wrangler Bordada Azteca Floral Repujada</t>
        </is>
      </c>
      <c r="J821" s="156" t="inlineStr">
        <is>
          <t>Accesorios</t>
        </is>
      </c>
      <c r="K821" s="156" t="inlineStr">
        <is>
          <t>Bolsos</t>
        </is>
      </c>
      <c r="L821" s="156" t="inlineStr">
        <is>
          <t>Unisex</t>
        </is>
      </c>
      <c r="M821" s="156" t="inlineStr">
        <is>
          <t>Wrangler</t>
        </is>
      </c>
      <c r="N821" s="156" t="n"/>
      <c r="O821" s="156" t="n"/>
      <c r="P821" s="156" t="inlineStr">
        <is>
          <t>Cafe</t>
        </is>
      </c>
      <c r="Q821" s="156" t="n"/>
      <c r="R821" s="156" t="n"/>
      <c r="S821" s="156" t="n"/>
      <c r="T821" s="156" t="inlineStr">
        <is>
          <t>Bolsa Tote Cruzada</t>
        </is>
      </c>
      <c r="U821" s="156" t="inlineStr">
        <is>
          <t>México</t>
        </is>
      </c>
      <c r="V821" s="156" t="inlineStr">
        <is>
          <t>PZS</t>
        </is>
      </c>
      <c r="W821" s="51" t="inlineStr">
        <is>
          <t>53121700</t>
        </is>
      </c>
      <c r="X821" s="156" t="inlineStr">
        <is>
          <t>https://m-universal-unique-brands.odoo.com/web/image/product.product/11222/image_1920</t>
        </is>
      </c>
      <c r="Y821" s="54" t="n">
        <v>396.75</v>
      </c>
      <c r="Z821" s="54" t="n">
        <v>639</v>
      </c>
      <c r="AA821" s="55">
        <f>IF(AND(A821="", B821="", E821=""), "", IF(AB821="", "Válido", IF((LEN(AB821)-LEN(SUBSTITUTE(AB821,"; ","")))/2+1&gt;(LEN(AB821)-LEN(SUBSTITUTE(AB821,"[Aviso]","")))/7, "Con Incidencias", "Válido")))</f>
        <v/>
      </c>
      <c r="AB821" s="56">
        <f>IF(AND(A821="", B821="", E821=""), "", TEXTJOIN("; ", TRUE, IF(OR(TRIM(A821&amp;"")="", ISNUMBER(SEARCH("FALTA", A821))), "UPC faltante/inválido", ""), IF(AND(A821&lt;&gt;"", IFERROR(_xlfn.XMATCH(A821,$A$2:$A$1063,0,1)&lt;&gt;_xlfn.XMATCH(A821,$A$2:$A$1063,0,-1),FALSE)), "Código de barras duplicado", ""), IF(AND(E821&lt;&gt;"", COUNTIF($E$2:$E$1063, E821)&gt;1), "SKU duplicado", ""), IF(OR(J821="", J821=""), "[Aviso] División no capturada ()", IF(ISNA(MATCH(J821, Criterios!$A$123:$A$126, 0)), "División no válida", "")), IF(OR(K821="", K821=""), "[Aviso] Categoría no capturada ()", IF(ISNA(MATCH(K821, Criterios!$A$81:$A$120, 0)), "Categoría no válida", IF(AND(J821&lt;&gt;"", J821&lt;&gt;"", J821&lt;&gt;VLOOKUP(K821, Criterios!$A$81:$B$120, 2, FALSE)), "División no coincide con Categoría", ""))), IF(OR(L821="", L821=""), "[Aviso] Género no capturado ()", IF(ISNA(MATCH(L821, Criterios!$B$123:$B$127, 0)), "Género no válido", "")), IF(OR(N821="", N821=""), "[Aviso] Temporada no capturada ()", IF(ISNA(MATCH(N821, Criterios!$C$123:$C$128, 0)), "Temporada no válida", "")), IF(OR(O821="", O821=""), "[Aviso] Ciclo de vida no capturado ()", IF(ISNA(MATCH(O821, Criterios!$D$123:$D$124, 0)), "Ciclo de vida no válido", ""))))</f>
        <v/>
      </c>
      <c r="AC821" s="56" t="n"/>
      <c r="AD821" s="51" t="n"/>
      <c r="AE821" s="156" t="n"/>
      <c r="AF821" s="51" t="n"/>
      <c r="AG821" s="156" t="inlineStr">
        <is>
          <t>Nuevo – Carga Hoja2 01/10/2026</t>
        </is>
      </c>
      <c r="AH821" s="156" t="inlineStr">
        <is>
          <t>Alta 01/10/2026 desde Hoja2 (fila 849)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821" s="156" t="n"/>
      <c r="AJ821" s="156" t="n"/>
      <c r="AK821" s="155" t="inlineStr">
        <is>
          <t>Hoja2: fila 849 | Odoo: producto 11222 / plantilla 14657</t>
        </is>
      </c>
      <c r="AL821" s="58" t="n"/>
      <c r="AM821" s="58" t="n"/>
      <c r="AN821" s="155" t="inlineStr">
        <is>
          <t>Odoo Universal Unique Brands</t>
        </is>
      </c>
      <c r="AO821" s="59" t="n"/>
      <c r="AP821" s="59" t="n"/>
      <c r="AQ821" s="59" t="n">
        <v>233</v>
      </c>
      <c r="AR821" s="155" t="inlineStr">
        <is>
          <t>Odoo Universal Unique Brands › Bodega 25 › Bodega 25/General: 233</t>
        </is>
      </c>
    </row>
    <row r="822">
      <c r="A822" s="50" t="inlineStr">
        <is>
          <t>717325231926</t>
        </is>
      </c>
      <c r="B822" s="51" t="inlineStr">
        <is>
          <t>27555</t>
        </is>
      </c>
      <c r="C822" s="156" t="inlineStr">
        <is>
          <t>Wrangler</t>
        </is>
      </c>
      <c r="D822" s="156" t="inlineStr">
        <is>
          <t>WG211-8014DPK</t>
        </is>
      </c>
      <c r="E822" s="156" t="inlineStr">
        <is>
          <t>WG211-8014DPK</t>
        </is>
      </c>
      <c r="F822" s="156" t="inlineStr">
        <is>
          <t>Talla única</t>
        </is>
      </c>
      <c r="G822" s="156" t="inlineStr">
        <is>
          <t>One Size</t>
        </is>
      </c>
      <c r="H822" s="156" t="inlineStr">
        <is>
          <t>Wrangler</t>
        </is>
      </c>
      <c r="I822" s="156" t="inlineStr">
        <is>
          <t>WG211-8014DPK</t>
        </is>
      </c>
      <c r="J822" s="156" t="inlineStr">
        <is>
          <t>Accesorios</t>
        </is>
      </c>
      <c r="K822" s="156" t="inlineStr">
        <is>
          <t>Bolsos</t>
        </is>
      </c>
      <c r="L822" s="156" t="inlineStr">
        <is>
          <t>Unisex</t>
        </is>
      </c>
      <c r="M822" s="156" t="inlineStr">
        <is>
          <t>Wrangler</t>
        </is>
      </c>
      <c r="N822" s="156" t="n"/>
      <c r="O822" s="156" t="n"/>
      <c r="P822" s="156" t="inlineStr">
        <is>
          <t>Rosa</t>
        </is>
      </c>
      <c r="Q822" s="156" t="n"/>
      <c r="R822" s="156" t="n"/>
      <c r="S822" s="156" t="n"/>
      <c r="T822" s="156" t="n"/>
      <c r="U822" s="156" t="inlineStr">
        <is>
          <t>México</t>
        </is>
      </c>
      <c r="V822" s="156" t="inlineStr">
        <is>
          <t>PZS</t>
        </is>
      </c>
      <c r="W822" s="51" t="inlineStr">
        <is>
          <t>53121600</t>
        </is>
      </c>
      <c r="X822" s="156" t="n"/>
      <c r="Y822" s="54" t="n"/>
      <c r="Z822" s="54" t="n">
        <v>639</v>
      </c>
      <c r="AA822" s="55">
        <f>IF(AND(A822="", B822="", E822=""), "", IF(AB822="", "Válido", IF((LEN(AB822)-LEN(SUBSTITUTE(AB822,"; ","")))/2+1&gt;(LEN(AB822)-LEN(SUBSTITUTE(AB822,"[Aviso]","")))/7, "Con Incidencias", "Válido")))</f>
        <v/>
      </c>
      <c r="AB822" s="56">
        <f>IF(AND(A822="", B822="", E822=""), "", TEXTJOIN("; ", TRUE, IF(OR(TRIM(A822&amp;"")="", ISNUMBER(SEARCH("FALTA", A822))), "UPC faltante/inválido", ""), IF(AND(A822&lt;&gt;"", IFERROR(_xlfn.XMATCH(A822,$A$2:$A$1063,0,1)&lt;&gt;_xlfn.XMATCH(A822,$A$2:$A$1063,0,-1),FALSE)), "Código de barras duplicado", ""), IF(AND(E822&lt;&gt;"", COUNTIF($E$2:$E$1063, E822)&gt;1), "SKU duplicado", ""), IF(OR(J822="", J822=""), "[Aviso] División no capturada ()", IF(ISNA(MATCH(J822, Criterios!$A$123:$A$126, 0)), "División no válida", "")), IF(OR(K822="", K822=""), "[Aviso] Categoría no capturada ()", IF(ISNA(MATCH(K822, Criterios!$A$81:$A$120, 0)), "Categoría no válida", IF(AND(J822&lt;&gt;"", J822&lt;&gt;"", J822&lt;&gt;VLOOKUP(K822, Criterios!$A$81:$B$120, 2, FALSE)), "División no coincide con Categoría", ""))), IF(OR(L822="", L822=""), "[Aviso] Género no capturado ()", IF(ISNA(MATCH(L822, Criterios!$B$123:$B$127, 0)), "Género no válido", "")), IF(OR(N822="", N822=""), "[Aviso] Temporada no capturada ()", IF(ISNA(MATCH(N822, Criterios!$C$123:$C$128, 0)), "Temporada no válida", "")), IF(OR(O822="", O822=""), "[Aviso] Ciclo de vida no capturado ()", IF(ISNA(MATCH(O822, Criterios!$D$123:$D$124, 0)), "Ciclo de vida no válido", ""))))</f>
        <v/>
      </c>
      <c r="AC822" s="56" t="n"/>
      <c r="AD822" s="51" t="n"/>
      <c r="AE822" s="156" t="n"/>
      <c r="AF822" s="51" t="n"/>
      <c r="AG822" s="156" t="inlineStr">
        <is>
          <t>Nuevo – Carga Hoja2 01/10/2026</t>
        </is>
      </c>
      <c r="AH822" s="156" t="inlineStr">
        <is>
          <t>Alta 01/10/2026 desde Hoja2 (fila 850); Precio de compra en 0/vacío en origen | 01/10/2026: complementado desde Odoo Universal Unique Brands (match por código de barras): WB Talla, WB Talla de EE. UU. | Homologación G1522 06/10/2026: WB País de origen: «Mexico» → «México» (Corrección aplicada) · Validador Shopify: WB: precio con IVA no termina en 9</t>
        </is>
      </c>
      <c r="AI822" s="156" t="n"/>
      <c r="AJ822" s="156" t="n"/>
      <c r="AK822" s="155" t="inlineStr">
        <is>
          <t>Hoja2: fila 850 | Odoo: producto 27555 / plantilla 34255</t>
        </is>
      </c>
      <c r="AL822" s="58" t="n"/>
      <c r="AM822" s="58" t="n"/>
      <c r="AN822" s="155" t="inlineStr">
        <is>
          <t>Odoo Universal Unique Brands</t>
        </is>
      </c>
      <c r="AO822" s="59" t="n"/>
      <c r="AP822" s="59" t="n"/>
      <c r="AQ822" s="59" t="n">
        <v>1</v>
      </c>
      <c r="AR822" s="155" t="inlineStr">
        <is>
          <t>Odoo Universal Unique Brands › Bodega 25 › Bodega 25/General: 1</t>
        </is>
      </c>
    </row>
    <row r="823">
      <c r="A823" s="50" t="n"/>
      <c r="B823" s="51" t="inlineStr">
        <is>
          <t>11491</t>
        </is>
      </c>
      <c r="C823" s="156" t="inlineStr">
        <is>
          <t>Wrangler</t>
        </is>
      </c>
      <c r="D823" s="156" t="inlineStr">
        <is>
          <t>WG214-W064BK</t>
        </is>
      </c>
      <c r="E823" s="156" t="inlineStr">
        <is>
          <t>WG214-W064BK</t>
        </is>
      </c>
      <c r="F823" s="156" t="inlineStr">
        <is>
          <t>Talla única</t>
        </is>
      </c>
      <c r="G823" s="156" t="inlineStr">
        <is>
          <t>One Size</t>
        </is>
      </c>
      <c r="H823" s="156" t="inlineStr">
        <is>
          <t>Wrangler</t>
        </is>
      </c>
      <c r="I823" s="156" t="inlineStr">
        <is>
          <t>Cartera Muñequera RFID Wrangler Diseño Acolchado</t>
        </is>
      </c>
      <c r="J823" s="156" t="inlineStr">
        <is>
          <t>Accesorios</t>
        </is>
      </c>
      <c r="K823" s="156" t="inlineStr">
        <is>
          <t>Carteras</t>
        </is>
      </c>
      <c r="L823" s="156" t="inlineStr">
        <is>
          <t>Unisex</t>
        </is>
      </c>
      <c r="M823" s="156" t="inlineStr">
        <is>
          <t>Wrangler</t>
        </is>
      </c>
      <c r="N823" s="156" t="n"/>
      <c r="O823" s="156" t="n"/>
      <c r="P823" s="156" t="inlineStr">
        <is>
          <t>Negro</t>
        </is>
      </c>
      <c r="Q823" s="156" t="n"/>
      <c r="R823" s="156" t="n"/>
      <c r="S823" s="156" t="n"/>
      <c r="T823" s="156" t="inlineStr">
        <is>
          <t>Cartera Muñequera RFID</t>
        </is>
      </c>
      <c r="U823" s="156" t="inlineStr">
        <is>
          <t>México</t>
        </is>
      </c>
      <c r="V823" s="156" t="inlineStr">
        <is>
          <t>PZS</t>
        </is>
      </c>
      <c r="W823" s="51" t="inlineStr">
        <is>
          <t>53121601</t>
        </is>
      </c>
      <c r="X823" s="156" t="n"/>
      <c r="Y823" s="54" t="n">
        <v>86.25</v>
      </c>
      <c r="Z823" s="54" t="n">
        <v>13900</v>
      </c>
      <c r="AA823" s="55">
        <f>IF(AND(A823="", B823="", E823=""), "", IF(AB823="", "Válido", IF((LEN(AB823)-LEN(SUBSTITUTE(AB823,"; ","")))/2+1&gt;(LEN(AB823)-LEN(SUBSTITUTE(AB823,"[Aviso]","")))/7, "Con Incidencias", "Válido")))</f>
        <v/>
      </c>
      <c r="AB823" s="56">
        <f>IF(AND(A823="", B823="", E823=""), "", TEXTJOIN("; ", TRUE, IF(OR(TRIM(A823&amp;"")="", ISNUMBER(SEARCH("FALTA", A823))), "UPC faltante/inválido", ""), IF(AND(A823&lt;&gt;"", IFERROR(_xlfn.XMATCH(A823,$A$2:$A$1063,0,1)&lt;&gt;_xlfn.XMATCH(A823,$A$2:$A$1063,0,-1),FALSE)), "Código de barras duplicado", ""), IF(AND(E823&lt;&gt;"", COUNTIF($E$2:$E$1063, E823)&gt;1), "SKU duplicado", ""), IF(OR(J823="", J823=""), "[Aviso] División no capturada ()", IF(ISNA(MATCH(J823, Criterios!$A$123:$A$126, 0)), "División no válida", "")), IF(OR(K823="", K823=""), "[Aviso] Categoría no capturada ()", IF(ISNA(MATCH(K823, Criterios!$A$81:$A$120, 0)), "Categoría no válida", IF(AND(J823&lt;&gt;"", J823&lt;&gt;"", J823&lt;&gt;VLOOKUP(K823, Criterios!$A$81:$B$120, 2, FALSE)), "División no coincide con Categoría", ""))), IF(OR(L823="", L823=""), "[Aviso] Género no capturado ()", IF(ISNA(MATCH(L823, Criterios!$B$123:$B$127, 0)), "Género no válido", "")), IF(OR(N823="", N823=""), "[Aviso] Temporada no capturada ()", IF(ISNA(MATCH(N823, Criterios!$C$123:$C$128, 0)), "Temporada no válida", "")), IF(OR(O823="", O823=""), "[Aviso] Ciclo de vida no capturado ()", IF(ISNA(MATCH(O823, Criterios!$D$123:$D$124, 0)), "Ciclo de vida no válido", ""))))</f>
        <v/>
      </c>
      <c r="AC823" s="56" t="n"/>
      <c r="AD823" s="51" t="n"/>
      <c r="AE823" s="156" t="n"/>
      <c r="AF823" s="51" t="n"/>
      <c r="AG823" s="156" t="inlineStr">
        <is>
          <t>Nuevo – Carga Hoja2 01/10/2026</t>
        </is>
      </c>
      <c r="AH823" s="156" t="inlineStr">
        <is>
          <t>Alta 01/10/2026 desde Hoja2 (fila 851) | 01/10/2026: complementado desde Odoo Universal Unique Brands (match por SKU): WB Talla, WB Talla de EE. UU., WB Descripción larga | Homologación G1522 06/10/2026: WB País de origen: «Mexico» → «México» (Corrección aplicada) · Validación G1522: Código de barras faltante · Validador NetSuite / Odoo: V1: falta código de barras · Validador Shopify: V1: falta código de barras; WB: precio con IVA no termina en 9</t>
        </is>
      </c>
      <c r="AI823" s="156" t="n"/>
      <c r="AJ823" s="156" t="n"/>
      <c r="AK823" s="155" t="inlineStr">
        <is>
          <t>Hoja2: fila 851 | Odoo: producto 11491 / plantilla 14926</t>
        </is>
      </c>
      <c r="AL823" s="58" t="n"/>
      <c r="AM823" s="58" t="n"/>
      <c r="AN823" s="155" t="inlineStr">
        <is>
          <t>Odoo Universal Unique Brands</t>
        </is>
      </c>
      <c r="AO823" s="59" t="n"/>
      <c r="AP823" s="59" t="n"/>
      <c r="AQ823" s="59" t="n">
        <v>6</v>
      </c>
      <c r="AR823" s="155" t="inlineStr">
        <is>
          <t>Odoo Universal Unique Brands › Bodega 25 › Bodega 25/General: 6</t>
        </is>
      </c>
    </row>
    <row r="824">
      <c r="A824" s="50" t="inlineStr">
        <is>
          <t>717690445485</t>
        </is>
      </c>
      <c r="B824" s="51" t="inlineStr">
        <is>
          <t>30061</t>
        </is>
      </c>
      <c r="C824" s="156" t="inlineStr">
        <is>
          <t>Wrangler</t>
        </is>
      </c>
      <c r="D824" s="156" t="inlineStr">
        <is>
          <t>WG217-2002BR</t>
        </is>
      </c>
      <c r="E824" s="156" t="inlineStr">
        <is>
          <t>WG217-2002BR</t>
        </is>
      </c>
      <c r="F824" s="156" t="inlineStr">
        <is>
          <t>Talla única</t>
        </is>
      </c>
      <c r="G824" s="156" t="inlineStr">
        <is>
          <t>One Size</t>
        </is>
      </c>
      <c r="H824" s="156" t="inlineStr">
        <is>
          <t>Wrangler</t>
        </is>
      </c>
      <c r="I824" s="156" t="inlineStr">
        <is>
          <t>Bolsa Tote Wrangler Trenzada Whipstitch Con Cierre Café</t>
        </is>
      </c>
      <c r="J824" s="156" t="inlineStr">
        <is>
          <t>Accesorios</t>
        </is>
      </c>
      <c r="K824" s="156" t="inlineStr">
        <is>
          <t>Bolsos</t>
        </is>
      </c>
      <c r="L824" s="156" t="inlineStr">
        <is>
          <t>Unisex</t>
        </is>
      </c>
      <c r="M824" s="156" t="inlineStr">
        <is>
          <t>Wrangler</t>
        </is>
      </c>
      <c r="N824" s="156" t="inlineStr">
        <is>
          <t>FW26</t>
        </is>
      </c>
      <c r="O824" s="156" t="inlineStr">
        <is>
          <t>Seasonal</t>
        </is>
      </c>
      <c r="P824" s="156" t="inlineStr">
        <is>
          <t>Cafe</t>
        </is>
      </c>
      <c r="Q824" s="156" t="n"/>
      <c r="R824" s="156" t="n"/>
      <c r="S824" s="156" t="n"/>
      <c r="T824" s="156" t="inlineStr">
        <is>
          <t>Bolsa Tote Wrangler. Modelo: Trenzada Whipstitch Con Cierre. Color: Café. Talla única. Unisex. País de origen: México. Referencia: WG217-2002BR.</t>
        </is>
      </c>
      <c r="U824" s="156" t="inlineStr">
        <is>
          <t>México</t>
        </is>
      </c>
      <c r="V824" s="156" t="inlineStr">
        <is>
          <t>PZS</t>
        </is>
      </c>
      <c r="W824" s="51" t="inlineStr">
        <is>
          <t>53121601</t>
        </is>
      </c>
      <c r="X824" s="156" t="n"/>
      <c r="Y824" s="54" t="n">
        <v>378</v>
      </c>
      <c r="Z824" s="54" t="n">
        <v>749.5</v>
      </c>
      <c r="AA824" s="55">
        <f>IF(AND(A824="", B824="", E824=""), "", IF(AB824="", "Válido", IF((LEN(AB824)-LEN(SUBSTITUTE(AB824,"; ","")))/2+1&gt;(LEN(AB824)-LEN(SUBSTITUTE(AB824,"[Aviso]","")))/7, "Con Incidencias", "Válido")))</f>
        <v/>
      </c>
      <c r="AB824" s="56">
        <f>IF(AND(A824="", B824="", E824=""), "", TEXTJOIN("; ", TRUE, IF(OR(TRIM(A824&amp;"")="", ISNUMBER(SEARCH("FALTA", A824))), "UPC faltante/inválido", ""), IF(AND(A824&lt;&gt;"", IFERROR(_xlfn.XMATCH(A824,$A$2:$A$1063,0,1)&lt;&gt;_xlfn.XMATCH(A824,$A$2:$A$1063,0,-1),FALSE)), "Código de barras duplicado", ""), IF(AND(E824&lt;&gt;"", COUNTIF($E$2:$E$1063, E824)&gt;1), "SKU duplicado", ""), IF(OR(J824="", J824=""), "[Aviso] División no capturada ()", IF(ISNA(MATCH(J824, Criterios!$A$123:$A$126, 0)), "División no válida", "")), IF(OR(K824="", K824=""), "[Aviso] Categoría no capturada ()", IF(ISNA(MATCH(K824, Criterios!$A$81:$A$120, 0)), "Categoría no válida", IF(AND(J824&lt;&gt;"", J824&lt;&gt;"", J824&lt;&gt;VLOOKUP(K824, Criterios!$A$81:$B$120, 2, FALSE)), "División no coincide con Categoría", ""))), IF(OR(L824="", L824=""), "[Aviso] Género no capturado ()", IF(ISNA(MATCH(L824, Criterios!$B$123:$B$127, 0)), "Género no válido", "")), IF(OR(N824="", N824=""), "[Aviso] Temporada no capturada ()", IF(ISNA(MATCH(N824, Criterios!$C$123:$C$128, 0)), "Temporada no válida", "")), IF(OR(O824="", O824=""), "[Aviso] Ciclo de vida no capturado ()", IF(ISNA(MATCH(O824, Criterios!$D$123:$D$124, 0)), "Ciclo de vida no válido", ""))))</f>
        <v/>
      </c>
      <c r="AC824" s="56" t="n"/>
      <c r="AD824" s="51" t="n"/>
      <c r="AE824" s="156" t="n"/>
      <c r="AF824" s="51" t="n"/>
      <c r="AG824" s="156" t="inlineStr">
        <is>
          <t>Nuevo – Carga Hoja2 01/10/2026</t>
        </is>
      </c>
      <c r="AH824" s="156" t="inlineStr">
        <is>
          <t>Alta 01/10/2026 desde Hoja2 (fila 852)</t>
        </is>
      </c>
      <c r="AI824" s="156" t="n"/>
      <c r="AJ824" s="156" t="n"/>
      <c r="AK824" s="155" t="inlineStr">
        <is>
          <t>Hoja2: fila 852 | Odoo: producto 30061 / plantilla 38817</t>
        </is>
      </c>
      <c r="AL824" s="58" t="n"/>
      <c r="AM824" s="58" t="n"/>
      <c r="AN824" s="155" t="inlineStr">
        <is>
          <t>Odoo Universal Unique Brands</t>
        </is>
      </c>
      <c r="AO824" s="59" t="n"/>
      <c r="AP824" s="59" t="n"/>
      <c r="AQ824" s="59" t="n">
        <v>-31</v>
      </c>
      <c r="AR824" s="155" t="n"/>
    </row>
    <row r="825">
      <c r="A825" s="50" t="inlineStr">
        <is>
          <t>717690445454</t>
        </is>
      </c>
      <c r="B825" s="51" t="inlineStr">
        <is>
          <t>30060</t>
        </is>
      </c>
      <c r="C825" s="156" t="inlineStr">
        <is>
          <t>Wrangler</t>
        </is>
      </c>
      <c r="D825" s="156" t="inlineStr">
        <is>
          <t>WG217-2002TN</t>
        </is>
      </c>
      <c r="E825" s="156" t="inlineStr">
        <is>
          <t>WG217-2002TN</t>
        </is>
      </c>
      <c r="F825" s="156" t="inlineStr">
        <is>
          <t>Talla única</t>
        </is>
      </c>
      <c r="G825" s="156" t="inlineStr">
        <is>
          <t>One Size</t>
        </is>
      </c>
      <c r="H825" s="156" t="inlineStr">
        <is>
          <t>Wrangler</t>
        </is>
      </c>
      <c r="I825" s="156" t="inlineStr">
        <is>
          <t>Bolsa Tote Wrangler Trenzada Whipstitch Con Cierre Camel</t>
        </is>
      </c>
      <c r="J825" s="156" t="inlineStr">
        <is>
          <t>Accesorios</t>
        </is>
      </c>
      <c r="K825" s="156" t="inlineStr">
        <is>
          <t>Bolsos</t>
        </is>
      </c>
      <c r="L825" s="156" t="inlineStr">
        <is>
          <t>Unisex</t>
        </is>
      </c>
      <c r="M825" s="156" t="inlineStr">
        <is>
          <t>Wrangler</t>
        </is>
      </c>
      <c r="N825" s="156" t="inlineStr">
        <is>
          <t>FW26</t>
        </is>
      </c>
      <c r="O825" s="156" t="inlineStr">
        <is>
          <t>Seasonal</t>
        </is>
      </c>
      <c r="P825" s="156" t="inlineStr">
        <is>
          <t>Beige</t>
        </is>
      </c>
      <c r="Q825" s="156" t="n"/>
      <c r="R825" s="156" t="n"/>
      <c r="S825" s="156" t="n"/>
      <c r="T825" s="156" t="inlineStr">
        <is>
          <t>Bolsa Tote Wrangler. Modelo: Trenzada Whipstitch Con Cierre. Color: Camel. Talla única. Unisex. País de origen: México. Referencia: WG217-2002TN.</t>
        </is>
      </c>
      <c r="U825" s="156" t="inlineStr">
        <is>
          <t>México</t>
        </is>
      </c>
      <c r="V825" s="156" t="inlineStr">
        <is>
          <t>PZS</t>
        </is>
      </c>
      <c r="W825" s="51" t="inlineStr">
        <is>
          <t>53121601</t>
        </is>
      </c>
      <c r="X825" s="156" t="n"/>
      <c r="Y825" s="54" t="n">
        <v>378</v>
      </c>
      <c r="Z825" s="54" t="n">
        <v>749.5</v>
      </c>
      <c r="AA825" s="55">
        <f>IF(AND(A825="", B825="", E825=""), "", IF(AB825="", "Válido", IF((LEN(AB825)-LEN(SUBSTITUTE(AB825,"; ","")))/2+1&gt;(LEN(AB825)-LEN(SUBSTITUTE(AB825,"[Aviso]","")))/7, "Con Incidencias", "Válido")))</f>
        <v/>
      </c>
      <c r="AB825" s="56">
        <f>IF(AND(A825="", B825="", E825=""), "", TEXTJOIN("; ", TRUE, IF(OR(TRIM(A825&amp;"")="", ISNUMBER(SEARCH("FALTA", A825))), "UPC faltante/inválido", ""), IF(AND(A825&lt;&gt;"", IFERROR(_xlfn.XMATCH(A825,$A$2:$A$1063,0,1)&lt;&gt;_xlfn.XMATCH(A825,$A$2:$A$1063,0,-1),FALSE)), "Código de barras duplicado", ""), IF(AND(E825&lt;&gt;"", COUNTIF($E$2:$E$1063, E825)&gt;1), "SKU duplicado", ""), IF(OR(J825="", J825=""), "[Aviso] División no capturada ()", IF(ISNA(MATCH(J825, Criterios!$A$123:$A$126, 0)), "División no válida", "")), IF(OR(K825="", K825=""), "[Aviso] Categoría no capturada ()", IF(ISNA(MATCH(K825, Criterios!$A$81:$A$120, 0)), "Categoría no válida", IF(AND(J825&lt;&gt;"", J825&lt;&gt;"", J825&lt;&gt;VLOOKUP(K825, Criterios!$A$81:$B$120, 2, FALSE)), "División no coincide con Categoría", ""))), IF(OR(L825="", L825=""), "[Aviso] Género no capturado ()", IF(ISNA(MATCH(L825, Criterios!$B$123:$B$127, 0)), "Género no válido", "")), IF(OR(N825="", N825=""), "[Aviso] Temporada no capturada ()", IF(ISNA(MATCH(N825, Criterios!$C$123:$C$128, 0)), "Temporada no válida", "")), IF(OR(O825="", O825=""), "[Aviso] Ciclo de vida no capturado ()", IF(ISNA(MATCH(O825, Criterios!$D$123:$D$124, 0)), "Ciclo de vida no válido", ""))))</f>
        <v/>
      </c>
      <c r="AC825" s="56" t="n"/>
      <c r="AD825" s="51" t="n"/>
      <c r="AE825" s="156" t="n"/>
      <c r="AF825" s="51" t="n"/>
      <c r="AG825" s="156" t="inlineStr">
        <is>
          <t>Nuevo – Carga Hoja2 01/10/2026</t>
        </is>
      </c>
      <c r="AH825" s="156" t="inlineStr">
        <is>
          <t>Alta 01/10/2026 desde Hoja2 (fila 853)</t>
        </is>
      </c>
      <c r="AI825" s="156" t="n"/>
      <c r="AJ825" s="156" t="n"/>
      <c r="AK825" s="155" t="inlineStr">
        <is>
          <t>Hoja2: fila 853 | Odoo: producto 30060 / plantilla 38816</t>
        </is>
      </c>
      <c r="AL825" s="58" t="n"/>
      <c r="AM825" s="58" t="n"/>
      <c r="AN825" s="155" t="inlineStr">
        <is>
          <t>Odoo Universal Unique Brands</t>
        </is>
      </c>
      <c r="AO825" s="59" t="n"/>
      <c r="AP825" s="59" t="n"/>
      <c r="AQ825" s="59" t="n">
        <v>4</v>
      </c>
      <c r="AR825" s="155" t="inlineStr">
        <is>
          <t>Odoo Universal Unique Brands › Bodega 25 › Bodega 25/General: 4</t>
        </is>
      </c>
    </row>
    <row r="826">
      <c r="A826" s="50" t="inlineStr">
        <is>
          <t>717690431112</t>
        </is>
      </c>
      <c r="B826" s="51" t="inlineStr">
        <is>
          <t>11484</t>
        </is>
      </c>
      <c r="C826" s="156" t="inlineStr">
        <is>
          <t>Wrangler</t>
        </is>
      </c>
      <c r="D826" s="156" t="inlineStr">
        <is>
          <t>WG218-8250BR</t>
        </is>
      </c>
      <c r="E826" s="156" t="inlineStr">
        <is>
          <t>WG218-8250BR</t>
        </is>
      </c>
      <c r="F826" s="156" t="inlineStr">
        <is>
          <t>Talla única</t>
        </is>
      </c>
      <c r="G826" s="156" t="inlineStr">
        <is>
          <t>One Size</t>
        </is>
      </c>
      <c r="H826" s="156" t="inlineStr">
        <is>
          <t>Wrangler</t>
        </is>
      </c>
      <c r="I826" s="156" t="inlineStr">
        <is>
          <t>Bolsa Tote Wrangler Bordada Azteca</t>
        </is>
      </c>
      <c r="J826" s="156" t="inlineStr">
        <is>
          <t>Accesorios</t>
        </is>
      </c>
      <c r="K826" s="156" t="inlineStr">
        <is>
          <t>Bolsos</t>
        </is>
      </c>
      <c r="L826" s="156" t="inlineStr">
        <is>
          <t>Unisex</t>
        </is>
      </c>
      <c r="M826" s="156" t="inlineStr">
        <is>
          <t>Wrangler</t>
        </is>
      </c>
      <c r="N826" s="156" t="n"/>
      <c r="O826" s="156" t="n"/>
      <c r="P826" s="156" t="inlineStr">
        <is>
          <t>Cafe</t>
        </is>
      </c>
      <c r="Q826" s="156" t="n"/>
      <c r="R826" s="156" t="n"/>
      <c r="S826" s="156" t="n"/>
      <c r="T826" s="156" t="inlineStr">
        <is>
          <t>Bolsa Tote</t>
        </is>
      </c>
      <c r="U826" s="156" t="inlineStr">
        <is>
          <t>México</t>
        </is>
      </c>
      <c r="V826" s="156" t="inlineStr">
        <is>
          <t>PZS</t>
        </is>
      </c>
      <c r="W826" s="51" t="inlineStr">
        <is>
          <t>53121700</t>
        </is>
      </c>
      <c r="X826" s="156" t="inlineStr">
        <is>
          <t>https://m-universal-unique-brands.odoo.com/web/image/product.product/11484/image_1920</t>
        </is>
      </c>
      <c r="Y826" s="54" t="n">
        <v>448.5</v>
      </c>
      <c r="Z826" s="54" t="n">
        <v>719</v>
      </c>
      <c r="AA826" s="55">
        <f>IF(AND(A826="", B826="", E826=""), "", IF(AB826="", "Válido", IF((LEN(AB826)-LEN(SUBSTITUTE(AB826,"; ","")))/2+1&gt;(LEN(AB826)-LEN(SUBSTITUTE(AB826,"[Aviso]","")))/7, "Con Incidencias", "Válido")))</f>
        <v/>
      </c>
      <c r="AB826" s="56">
        <f>IF(AND(A826="", B826="", E826=""), "", TEXTJOIN("; ", TRUE, IF(OR(TRIM(A826&amp;"")="", ISNUMBER(SEARCH("FALTA", A826))), "UPC faltante/inválido", ""), IF(AND(A826&lt;&gt;"", IFERROR(_xlfn.XMATCH(A826,$A$2:$A$1063,0,1)&lt;&gt;_xlfn.XMATCH(A826,$A$2:$A$1063,0,-1),FALSE)), "Código de barras duplicado", ""), IF(AND(E826&lt;&gt;"", COUNTIF($E$2:$E$1063, E826)&gt;1), "SKU duplicado", ""), IF(OR(J826="", J826=""), "[Aviso] División no capturada ()", IF(ISNA(MATCH(J826, Criterios!$A$123:$A$126, 0)), "División no válida", "")), IF(OR(K826="", K826=""), "[Aviso] Categoría no capturada ()", IF(ISNA(MATCH(K826, Criterios!$A$81:$A$120, 0)), "Categoría no válida", IF(AND(J826&lt;&gt;"", J826&lt;&gt;"", J826&lt;&gt;VLOOKUP(K826, Criterios!$A$81:$B$120, 2, FALSE)), "División no coincide con Categoría", ""))), IF(OR(L826="", L826=""), "[Aviso] Género no capturado ()", IF(ISNA(MATCH(L826, Criterios!$B$123:$B$127, 0)), "Género no válido", "")), IF(OR(N826="", N826=""), "[Aviso] Temporada no capturada ()", IF(ISNA(MATCH(N826, Criterios!$C$123:$C$128, 0)), "Temporada no válida", "")), IF(OR(O826="", O826=""), "[Aviso] Ciclo de vida no capturado ()", IF(ISNA(MATCH(O826, Criterios!$D$123:$D$124, 0)), "Ciclo de vida no válido", ""))))</f>
        <v/>
      </c>
      <c r="AC826" s="56" t="n"/>
      <c r="AD826" s="51" t="n"/>
      <c r="AE826" s="156" t="n"/>
      <c r="AF826" s="51" t="n"/>
      <c r="AG826" s="156" t="inlineStr">
        <is>
          <t>Nuevo – Carga Hoja2 01/10/2026</t>
        </is>
      </c>
      <c r="AH826" s="156" t="inlineStr">
        <is>
          <t>Alta 01/10/2026 desde Hoja2 (fila 854)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826" s="156" t="n"/>
      <c r="AJ826" s="156" t="n"/>
      <c r="AK826" s="155" t="inlineStr">
        <is>
          <t>Hoja2: fila 854 | Odoo: producto 11484 / plantilla 14919</t>
        </is>
      </c>
      <c r="AL826" s="58" t="n"/>
      <c r="AM826" s="58" t="n"/>
      <c r="AN826" s="155" t="inlineStr">
        <is>
          <t>Odoo Universal Unique Brands</t>
        </is>
      </c>
      <c r="AO826" s="59" t="n"/>
      <c r="AP826" s="59" t="n"/>
      <c r="AQ826" s="59" t="n">
        <v>143</v>
      </c>
      <c r="AR826" s="155" t="inlineStr">
        <is>
          <t>Odoo Universal Unique Brands › Bodega 25 › Bodega 25/General: 143</t>
        </is>
      </c>
    </row>
    <row r="827">
      <c r="A827" s="50" t="inlineStr">
        <is>
          <t>717690430986</t>
        </is>
      </c>
      <c r="B827" s="51" t="inlineStr">
        <is>
          <t>22026</t>
        </is>
      </c>
      <c r="C827" s="156" t="inlineStr">
        <is>
          <t>Wrangler</t>
        </is>
      </c>
      <c r="D827" s="156" t="inlineStr">
        <is>
          <t>WG218-8900BG</t>
        </is>
      </c>
      <c r="E827" s="156" t="inlineStr">
        <is>
          <t>WG218-8900BG</t>
        </is>
      </c>
      <c r="F827" s="156" t="inlineStr">
        <is>
          <t>Talla única</t>
        </is>
      </c>
      <c r="G827" s="156" t="inlineStr">
        <is>
          <t>One Size</t>
        </is>
      </c>
      <c r="H827" s="156" t="inlineStr">
        <is>
          <t>Wrangler</t>
        </is>
      </c>
      <c r="I827" s="156" t="inlineStr">
        <is>
          <t>Bolsa Wrangler Bordada Azteca Beige</t>
        </is>
      </c>
      <c r="J827" s="156" t="inlineStr">
        <is>
          <t>Accesorios</t>
        </is>
      </c>
      <c r="K827" s="156" t="inlineStr">
        <is>
          <t>Bolsos</t>
        </is>
      </c>
      <c r="L827" s="156" t="inlineStr">
        <is>
          <t>Unisex</t>
        </is>
      </c>
      <c r="M827" s="156" t="inlineStr">
        <is>
          <t>Wrangler</t>
        </is>
      </c>
      <c r="N827" s="156" t="n"/>
      <c r="O827" s="156" t="inlineStr">
        <is>
          <t>Core</t>
        </is>
      </c>
      <c r="P827" s="156" t="inlineStr">
        <is>
          <t>Beige</t>
        </is>
      </c>
      <c r="Q827" s="156" t="n"/>
      <c r="R827" s="156" t="n"/>
      <c r="S827" s="156" t="n"/>
      <c r="T827" s="156" t="inlineStr">
        <is>
          <t>Bolsa Wrangler. Modelo: Bordada Azteca. Color: Beige. Talla única. Unisex. País de origen: México. Referencia: WG218-8900BG.</t>
        </is>
      </c>
      <c r="U827" s="156" t="inlineStr">
        <is>
          <t>México</t>
        </is>
      </c>
      <c r="V827" s="156" t="inlineStr">
        <is>
          <t>PZS</t>
        </is>
      </c>
      <c r="W827" s="51" t="inlineStr">
        <is>
          <t>53121601</t>
        </is>
      </c>
      <c r="X827" s="156" t="inlineStr">
        <is>
          <t>https://m-universal-unique-brands.odoo.com/web/image/product.product/22026/image_1920</t>
        </is>
      </c>
      <c r="Y827" s="54" t="n">
        <v>26.5</v>
      </c>
      <c r="Z827" s="54" t="n">
        <v>759</v>
      </c>
      <c r="AA827" s="55">
        <f>IF(AND(A827="", B827="", E827=""), "", IF(AB827="", "Válido", IF((LEN(AB827)-LEN(SUBSTITUTE(AB827,"; ","")))/2+1&gt;(LEN(AB827)-LEN(SUBSTITUTE(AB827,"[Aviso]","")))/7, "Con Incidencias", "Válido")))</f>
        <v/>
      </c>
      <c r="AB827" s="56">
        <f>IF(AND(A827="", B827="", E827=""), "", TEXTJOIN("; ", TRUE, IF(OR(TRIM(A827&amp;"")="", ISNUMBER(SEARCH("FALTA", A827))), "UPC faltante/inválido", ""), IF(AND(A827&lt;&gt;"", IFERROR(_xlfn.XMATCH(A827,$A$2:$A$1063,0,1)&lt;&gt;_xlfn.XMATCH(A827,$A$2:$A$1063,0,-1),FALSE)), "Código de barras duplicado", ""), IF(AND(E827&lt;&gt;"", COUNTIF($E$2:$E$1063, E827)&gt;1), "SKU duplicado", ""), IF(OR(J827="", J827=""), "[Aviso] División no capturada ()", IF(ISNA(MATCH(J827, Criterios!$A$123:$A$126, 0)), "División no válida", "")), IF(OR(K827="", K827=""), "[Aviso] Categoría no capturada ()", IF(ISNA(MATCH(K827, Criterios!$A$81:$A$120, 0)), "Categoría no válida", IF(AND(J827&lt;&gt;"", J827&lt;&gt;"", J827&lt;&gt;VLOOKUP(K827, Criterios!$A$81:$B$120, 2, FALSE)), "División no coincide con Categoría", ""))), IF(OR(L827="", L827=""), "[Aviso] Género no capturado ()", IF(ISNA(MATCH(L827, Criterios!$B$123:$B$127, 0)), "Género no válido", "")), IF(OR(N827="", N827=""), "[Aviso] Temporada no capturada ()", IF(ISNA(MATCH(N827, Criterios!$C$123:$C$128, 0)), "Temporada no válida", "")), IF(OR(O827="", O827=""), "[Aviso] Ciclo de vida no capturado ()", IF(ISNA(MATCH(O827, Criterios!$D$123:$D$124, 0)), "Ciclo de vida no válido", ""))))</f>
        <v/>
      </c>
      <c r="AC827" s="56" t="n"/>
      <c r="AD827" s="51" t="n"/>
      <c r="AE827" s="156" t="n"/>
      <c r="AF827" s="51" t="n"/>
      <c r="AG827" s="156" t="inlineStr">
        <is>
          <t>Nuevo – Carga Hoja2 01/10/2026</t>
        </is>
      </c>
      <c r="AH827" s="156" t="inlineStr">
        <is>
          <t>Alta 01/10/2026 desde Hoja2 (fila 855) | 01/10/2026: complementado desde Odoo Universal Unique Brands (match por código de barras): Enlace de imagen | Homologación G1522 06/10/2026: Validador Shopify: WB: precio con IVA no termina en 9</t>
        </is>
      </c>
      <c r="AI827" s="156" t="n"/>
      <c r="AJ827" s="156" t="n"/>
      <c r="AK827" s="155" t="inlineStr">
        <is>
          <t>Hoja2: fila 855 | Odoo: producto 22026 / plantilla 28169</t>
        </is>
      </c>
      <c r="AL827" s="58" t="n"/>
      <c r="AM827" s="58" t="n"/>
      <c r="AN827" s="155" t="inlineStr">
        <is>
          <t>Odoo Universal Unique Brands</t>
        </is>
      </c>
      <c r="AO827" s="59" t="n"/>
      <c r="AP827" s="59" t="n"/>
      <c r="AQ827" s="59" t="n">
        <v>0</v>
      </c>
      <c r="AR827" s="155" t="n"/>
    </row>
    <row r="828">
      <c r="A828" s="50" t="inlineStr">
        <is>
          <t>717690430955</t>
        </is>
      </c>
      <c r="B828" s="51" t="inlineStr">
        <is>
          <t>11203</t>
        </is>
      </c>
      <c r="C828" s="156" t="inlineStr">
        <is>
          <t>Wrangler</t>
        </is>
      </c>
      <c r="D828" s="156" t="inlineStr">
        <is>
          <t>WG218-8900BK</t>
        </is>
      </c>
      <c r="E828" s="156" t="inlineStr">
        <is>
          <t>WG218-8900BK</t>
        </is>
      </c>
      <c r="F828" s="156" t="inlineStr">
        <is>
          <t>Talla única</t>
        </is>
      </c>
      <c r="G828" s="156" t="inlineStr">
        <is>
          <t>One Size</t>
        </is>
      </c>
      <c r="H828" s="156" t="inlineStr">
        <is>
          <t>Wrangler</t>
        </is>
      </c>
      <c r="I828" s="156" t="inlineStr">
        <is>
          <t>Bolsa Tote Cruzada Wrangler Bordada Azteca Negro</t>
        </is>
      </c>
      <c r="J828" s="156" t="inlineStr">
        <is>
          <t>Accesorios</t>
        </is>
      </c>
      <c r="K828" s="156" t="inlineStr">
        <is>
          <t>Bolsos</t>
        </is>
      </c>
      <c r="L828" s="156" t="inlineStr">
        <is>
          <t>Unisex</t>
        </is>
      </c>
      <c r="M828" s="156" t="inlineStr">
        <is>
          <t>Wrangler</t>
        </is>
      </c>
      <c r="N828" s="156" t="n"/>
      <c r="O828" s="156" t="inlineStr">
        <is>
          <t>Core</t>
        </is>
      </c>
      <c r="P828" s="156" t="inlineStr">
        <is>
          <t>Negro</t>
        </is>
      </c>
      <c r="Q828" s="156" t="n"/>
      <c r="R828" s="156" t="n"/>
      <c r="S828" s="156" t="n"/>
      <c r="T828" s="156" t="inlineStr">
        <is>
          <t>Bolsa Tote Cruzada Wrangler. Modelo: Bordada Azteca. Color: Negro. Talla única. Unisex. País de origen: México. Referencia: WG218-8900BK.</t>
        </is>
      </c>
      <c r="U828" s="156" t="inlineStr">
        <is>
          <t>México</t>
        </is>
      </c>
      <c r="V828" s="156" t="inlineStr">
        <is>
          <t>PZS</t>
        </is>
      </c>
      <c r="W828" s="51" t="inlineStr">
        <is>
          <t>53121601</t>
        </is>
      </c>
      <c r="X828" s="156" t="inlineStr">
        <is>
          <t>https://m-universal-unique-brands.odoo.com/web/image/product.product/11203/image_1920</t>
        </is>
      </c>
      <c r="Y828" s="54" t="n">
        <v>26.5</v>
      </c>
      <c r="Z828" s="54" t="n">
        <v>759</v>
      </c>
      <c r="AA828" s="55">
        <f>IF(AND(A828="", B828="", E828=""), "", IF(AB828="", "Válido", IF((LEN(AB828)-LEN(SUBSTITUTE(AB828,"; ","")))/2+1&gt;(LEN(AB828)-LEN(SUBSTITUTE(AB828,"[Aviso]","")))/7, "Con Incidencias", "Válido")))</f>
        <v/>
      </c>
      <c r="AB828" s="56">
        <f>IF(AND(A828="", B828="", E828=""), "", TEXTJOIN("; ", TRUE, IF(OR(TRIM(A828&amp;"")="", ISNUMBER(SEARCH("FALTA", A828))), "UPC faltante/inválido", ""), IF(AND(A828&lt;&gt;"", IFERROR(_xlfn.XMATCH(A828,$A$2:$A$1063,0,1)&lt;&gt;_xlfn.XMATCH(A828,$A$2:$A$1063,0,-1),FALSE)), "Código de barras duplicado", ""), IF(AND(E828&lt;&gt;"", COUNTIF($E$2:$E$1063, E828)&gt;1), "SKU duplicado", ""), IF(OR(J828="", J828=""), "[Aviso] División no capturada ()", IF(ISNA(MATCH(J828, Criterios!$A$123:$A$126, 0)), "División no válida", "")), IF(OR(K828="", K828=""), "[Aviso] Categoría no capturada ()", IF(ISNA(MATCH(K828, Criterios!$A$81:$A$120, 0)), "Categoría no válida", IF(AND(J828&lt;&gt;"", J828&lt;&gt;"", J828&lt;&gt;VLOOKUP(K828, Criterios!$A$81:$B$120, 2, FALSE)), "División no coincide con Categoría", ""))), IF(OR(L828="", L828=""), "[Aviso] Género no capturado ()", IF(ISNA(MATCH(L828, Criterios!$B$123:$B$127, 0)), "Género no válido", "")), IF(OR(N828="", N828=""), "[Aviso] Temporada no capturada ()", IF(ISNA(MATCH(N828, Criterios!$C$123:$C$128, 0)), "Temporada no válida", "")), IF(OR(O828="", O828=""), "[Aviso] Ciclo de vida no capturado ()", IF(ISNA(MATCH(O828, Criterios!$D$123:$D$124, 0)), "Ciclo de vida no válido", ""))))</f>
        <v/>
      </c>
      <c r="AC828" s="56" t="n"/>
      <c r="AD828" s="51" t="n"/>
      <c r="AE828" s="156" t="n"/>
      <c r="AF828" s="51" t="n"/>
      <c r="AG828" s="156" t="inlineStr">
        <is>
          <t>Nuevo – Carga Hoja2 01/10/2026</t>
        </is>
      </c>
      <c r="AH828" s="156" t="inlineStr">
        <is>
          <t>Alta 01/10/2026 desde Hoja2 (fila 856)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28" s="156" t="n"/>
      <c r="AJ828" s="156" t="n"/>
      <c r="AK828" s="155" t="inlineStr">
        <is>
          <t>Hoja2: fila 856 | Odoo: producto 11203 / plantilla 14638 | Odoo: producto 27350 / plantilla 34050</t>
        </is>
      </c>
      <c r="AL828" s="58" t="n"/>
      <c r="AM828" s="58" t="n"/>
      <c r="AN828" s="155" t="inlineStr">
        <is>
          <t>Odoo Universal Unique Brands</t>
        </is>
      </c>
      <c r="AO828" s="59" t="n"/>
      <c r="AP828" s="59" t="n"/>
      <c r="AQ828" s="59" t="n">
        <v>117</v>
      </c>
      <c r="AR828" s="155" t="inlineStr">
        <is>
          <t>Odoo Universal Unique Brands › Bodega 25 › Bodega 25/General: 93 | Odoo Universal Unique Brands › Bodega 25 › Bodega 25/General: 24</t>
        </is>
      </c>
    </row>
    <row r="829">
      <c r="A829" s="50" t="inlineStr">
        <is>
          <t>717690431020</t>
        </is>
      </c>
      <c r="B829" s="51" t="inlineStr">
        <is>
          <t>11202</t>
        </is>
      </c>
      <c r="C829" s="156" t="inlineStr">
        <is>
          <t>Wrangler</t>
        </is>
      </c>
      <c r="D829" s="156" t="inlineStr">
        <is>
          <t>WG218-8900BR</t>
        </is>
      </c>
      <c r="E829" s="156" t="inlineStr">
        <is>
          <t>WG218-8900BR</t>
        </is>
      </c>
      <c r="F829" s="156" t="inlineStr">
        <is>
          <t>Talla única</t>
        </is>
      </c>
      <c r="G829" s="156" t="inlineStr">
        <is>
          <t>One Size</t>
        </is>
      </c>
      <c r="H829" s="156" t="inlineStr">
        <is>
          <t>Wrangler</t>
        </is>
      </c>
      <c r="I829" s="156" t="inlineStr">
        <is>
          <t>Bolsa Tote Cruzada Wrangler Bordada Azteca</t>
        </is>
      </c>
      <c r="J829" s="156" t="inlineStr">
        <is>
          <t>Accesorios</t>
        </is>
      </c>
      <c r="K829" s="156" t="inlineStr">
        <is>
          <t>Bolsos</t>
        </is>
      </c>
      <c r="L829" s="156" t="inlineStr">
        <is>
          <t>Unisex</t>
        </is>
      </c>
      <c r="M829" s="156" t="inlineStr">
        <is>
          <t>Wrangler</t>
        </is>
      </c>
      <c r="N829" s="156" t="n"/>
      <c r="O829" s="156" t="n"/>
      <c r="P829" s="156" t="inlineStr">
        <is>
          <t>Cafe</t>
        </is>
      </c>
      <c r="Q829" s="156" t="n"/>
      <c r="R829" s="156" t="n"/>
      <c r="S829" s="156" t="n"/>
      <c r="T829" s="156" t="inlineStr">
        <is>
          <t>Bolsa Tote Cruzada</t>
        </is>
      </c>
      <c r="U829" s="156" t="inlineStr">
        <is>
          <t>México</t>
        </is>
      </c>
      <c r="V829" s="156" t="inlineStr">
        <is>
          <t>PZS</t>
        </is>
      </c>
      <c r="W829" s="51" t="inlineStr">
        <is>
          <t>53121601</t>
        </is>
      </c>
      <c r="X829" s="156" t="inlineStr">
        <is>
          <t>https://m-universal-unique-brands.odoo.com/web/image/product.product/11202/image_1920</t>
        </is>
      </c>
      <c r="Y829" s="54" t="n">
        <v>457.13</v>
      </c>
      <c r="Z829" s="54" t="n">
        <v>759</v>
      </c>
      <c r="AA829" s="55">
        <f>IF(AND(A829="", B829="", E829=""), "", IF(AB829="", "Válido", IF((LEN(AB829)-LEN(SUBSTITUTE(AB829,"; ","")))/2+1&gt;(LEN(AB829)-LEN(SUBSTITUTE(AB829,"[Aviso]","")))/7, "Con Incidencias", "Válido")))</f>
        <v/>
      </c>
      <c r="AB829" s="56">
        <f>IF(AND(A829="", B829="", E829=""), "", TEXTJOIN("; ", TRUE, IF(OR(TRIM(A829&amp;"")="", ISNUMBER(SEARCH("FALTA", A829))), "UPC faltante/inválido", ""), IF(AND(A829&lt;&gt;"", IFERROR(_xlfn.XMATCH(A829,$A$2:$A$1063,0,1)&lt;&gt;_xlfn.XMATCH(A829,$A$2:$A$1063,0,-1),FALSE)), "Código de barras duplicado", ""), IF(AND(E829&lt;&gt;"", COUNTIF($E$2:$E$1063, E829)&gt;1), "SKU duplicado", ""), IF(OR(J829="", J829=""), "[Aviso] División no capturada ()", IF(ISNA(MATCH(J829, Criterios!$A$123:$A$126, 0)), "División no válida", "")), IF(OR(K829="", K829=""), "[Aviso] Categoría no capturada ()", IF(ISNA(MATCH(K829, Criterios!$A$81:$A$120, 0)), "Categoría no válida", IF(AND(J829&lt;&gt;"", J829&lt;&gt;"", J829&lt;&gt;VLOOKUP(K829, Criterios!$A$81:$B$120, 2, FALSE)), "División no coincide con Categoría", ""))), IF(OR(L829="", L829=""), "[Aviso] Género no capturado ()", IF(ISNA(MATCH(L829, Criterios!$B$123:$B$127, 0)), "Género no válido", "")), IF(OR(N829="", N829=""), "[Aviso] Temporada no capturada ()", IF(ISNA(MATCH(N829, Criterios!$C$123:$C$128, 0)), "Temporada no válida", "")), IF(OR(O829="", O829=""), "[Aviso] Ciclo de vida no capturado ()", IF(ISNA(MATCH(O829, Criterios!$D$123:$D$124, 0)), "Ciclo de vida no válido", ""))))</f>
        <v/>
      </c>
      <c r="AC829" s="56" t="n"/>
      <c r="AD829" s="51" t="n"/>
      <c r="AE829" s="156" t="n"/>
      <c r="AF829" s="51" t="n"/>
      <c r="AG829" s="156" t="inlineStr">
        <is>
          <t>Nuevo – Carga Hoja2 01/10/2026</t>
        </is>
      </c>
      <c r="AH829" s="156" t="inlineStr">
        <is>
          <t>Alta 01/10/2026 desde Hoja2 (fila 857)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Validación G1522: WB SKU duplicado · Validador NetSuite / Odoo: V4: SKU repetido · Validador Shopify: V4: SKU repetido; WB: precio con IVA no termina en 9</t>
        </is>
      </c>
      <c r="AI829" s="156" t="n"/>
      <c r="AJ829" s="156" t="n"/>
      <c r="AK829" s="155" t="inlineStr">
        <is>
          <t>Hoja2: fila 857 | Odoo: producto 11202 / plantilla 14637</t>
        </is>
      </c>
      <c r="AL829" s="58" t="n"/>
      <c r="AM829" s="58" t="n"/>
      <c r="AN829" s="155" t="inlineStr">
        <is>
          <t>Odoo Universal Unique Brands</t>
        </is>
      </c>
      <c r="AO829" s="59" t="n"/>
      <c r="AP829" s="59" t="n"/>
      <c r="AQ829" s="59" t="n">
        <v>102</v>
      </c>
      <c r="AR829" s="155" t="inlineStr">
        <is>
          <t>Odoo Universal Unique Brands › Bodega 25 › Bodega 25/General: 102</t>
        </is>
      </c>
    </row>
    <row r="830">
      <c r="A830" s="50" t="inlineStr">
        <is>
          <t>717690430993</t>
        </is>
      </c>
      <c r="B830" s="51" t="inlineStr">
        <is>
          <t>11861</t>
        </is>
      </c>
      <c r="C830" s="156" t="inlineStr">
        <is>
          <t>Wrangler</t>
        </is>
      </c>
      <c r="D830" s="156" t="inlineStr">
        <is>
          <t>WG218-8900DPK</t>
        </is>
      </c>
      <c r="E830" s="156" t="inlineStr">
        <is>
          <t>WG218-8900DPK</t>
        </is>
      </c>
      <c r="F830" s="156" t="inlineStr">
        <is>
          <t>Talla única</t>
        </is>
      </c>
      <c r="G830" s="156" t="inlineStr">
        <is>
          <t>One Size</t>
        </is>
      </c>
      <c r="H830" s="156" t="inlineStr">
        <is>
          <t>Wrangler</t>
        </is>
      </c>
      <c r="I830" s="156" t="inlineStr">
        <is>
          <t>Bolsa Tote Cruzada Wrangler Bordada Azteca Rosa Oscuro</t>
        </is>
      </c>
      <c r="J830" s="156" t="inlineStr">
        <is>
          <t>Accesorios</t>
        </is>
      </c>
      <c r="K830" s="156" t="inlineStr">
        <is>
          <t>Bolsos</t>
        </is>
      </c>
      <c r="L830" s="156" t="inlineStr">
        <is>
          <t>Unisex</t>
        </is>
      </c>
      <c r="M830" s="156" t="inlineStr">
        <is>
          <t>Wrangler</t>
        </is>
      </c>
      <c r="N830" s="156" t="n"/>
      <c r="O830" s="156" t="inlineStr">
        <is>
          <t>Core</t>
        </is>
      </c>
      <c r="P830" s="156" t="inlineStr">
        <is>
          <t>Rosa</t>
        </is>
      </c>
      <c r="Q830" s="156" t="n"/>
      <c r="R830" s="156" t="n"/>
      <c r="S830" s="156" t="n"/>
      <c r="T830" s="156" t="inlineStr">
        <is>
          <t>Bolsa Tote Cruzada Wrangler. Modelo: Bordada Azteca. Color: Rosa Oscuro. Talla única. Unisex. País de origen: México. Referencia: WG218-8900DPK.</t>
        </is>
      </c>
      <c r="U830" s="156" t="inlineStr">
        <is>
          <t>México</t>
        </is>
      </c>
      <c r="V830" s="156" t="inlineStr">
        <is>
          <t>PZS</t>
        </is>
      </c>
      <c r="W830" s="51" t="inlineStr">
        <is>
          <t>53121601</t>
        </is>
      </c>
      <c r="X830" s="156" t="n"/>
      <c r="Y830" s="54" t="n">
        <v>457.13</v>
      </c>
      <c r="Z830" s="54" t="n">
        <v>739</v>
      </c>
      <c r="AA830" s="55">
        <f>IF(AND(A830="", B830="", E830=""), "", IF(AB830="", "Válido", IF((LEN(AB830)-LEN(SUBSTITUTE(AB830,"; ","")))/2+1&gt;(LEN(AB830)-LEN(SUBSTITUTE(AB830,"[Aviso]","")))/7, "Con Incidencias", "Válido")))</f>
        <v/>
      </c>
      <c r="AB830" s="56">
        <f>IF(AND(A830="", B830="", E830=""), "", TEXTJOIN("; ", TRUE, IF(OR(TRIM(A830&amp;"")="", ISNUMBER(SEARCH("FALTA", A830))), "UPC faltante/inválido", ""), IF(AND(A830&lt;&gt;"", IFERROR(_xlfn.XMATCH(A830,$A$2:$A$1063,0,1)&lt;&gt;_xlfn.XMATCH(A830,$A$2:$A$1063,0,-1),FALSE)), "Código de barras duplicado", ""), IF(AND(E830&lt;&gt;"", COUNTIF($E$2:$E$1063, E830)&gt;1), "SKU duplicado", ""), IF(OR(J830="", J830=""), "[Aviso] División no capturada ()", IF(ISNA(MATCH(J830, Criterios!$A$123:$A$126, 0)), "División no válida", "")), IF(OR(K830="", K830=""), "[Aviso] Categoría no capturada ()", IF(ISNA(MATCH(K830, Criterios!$A$81:$A$120, 0)), "Categoría no válida", IF(AND(J830&lt;&gt;"", J830&lt;&gt;"", J830&lt;&gt;VLOOKUP(K830, Criterios!$A$81:$B$120, 2, FALSE)), "División no coincide con Categoría", ""))), IF(OR(L830="", L830=""), "[Aviso] Género no capturado ()", IF(ISNA(MATCH(L830, Criterios!$B$123:$B$127, 0)), "Género no válido", "")), IF(OR(N830="", N830=""), "[Aviso] Temporada no capturada ()", IF(ISNA(MATCH(N830, Criterios!$C$123:$C$128, 0)), "Temporada no válida", "")), IF(OR(O830="", O830=""), "[Aviso] Ciclo de vida no capturado ()", IF(ISNA(MATCH(O830, Criterios!$D$123:$D$124, 0)), "Ciclo de vida no válido", ""))))</f>
        <v/>
      </c>
      <c r="AC830" s="56" t="n"/>
      <c r="AD830" s="51" t="n"/>
      <c r="AE830" s="156" t="n"/>
      <c r="AF830" s="51" t="n"/>
      <c r="AG830" s="156" t="inlineStr">
        <is>
          <t>Nuevo – Carga Hoja2 01/10/2026</t>
        </is>
      </c>
      <c r="AH830" s="156" t="inlineStr">
        <is>
          <t>Alta 01/10/2026 desde Hoja2 (fila 858) | 01/10/2026: Odoo Universal Unique Brands trae Marca «Montana West» — se conservó el valor de Productos | Homologación G1522 06/10/2026: Validador Shopify: WB: precio con IVA no termina en 9</t>
        </is>
      </c>
      <c r="AI830" s="156" t="n"/>
      <c r="AJ830" s="156" t="n"/>
      <c r="AK830" s="155" t="inlineStr">
        <is>
          <t>Hoja2: fila 858 | Odoo: producto 11861 / plantilla 15296 | Odoo: producto 27352 / plantilla 34052</t>
        </is>
      </c>
      <c r="AL830" s="58" t="n"/>
      <c r="AM830" s="58" t="n"/>
      <c r="AN830" s="155" t="inlineStr">
        <is>
          <t>Odoo Universal Unique Brands</t>
        </is>
      </c>
      <c r="AO830" s="59" t="n"/>
      <c r="AP830" s="59" t="n"/>
      <c r="AQ830" s="59" t="n">
        <v>29</v>
      </c>
      <c r="AR830" s="155" t="inlineStr">
        <is>
          <t>Odoo Universal Unique Brands › Bodega 25 › Bodega 25/General: 27 | Odoo Universal Unique Brands › Bodega 25 › Bodega 25/General: 2</t>
        </is>
      </c>
    </row>
    <row r="831">
      <c r="A831" s="50" t="inlineStr">
        <is>
          <t>717690431211</t>
        </is>
      </c>
      <c r="B831" s="51" t="inlineStr">
        <is>
          <t>11214</t>
        </is>
      </c>
      <c r="C831" s="156" t="inlineStr">
        <is>
          <t>Wrangler</t>
        </is>
      </c>
      <c r="D831" s="156" t="inlineStr">
        <is>
          <t>WG218-W068BR</t>
        </is>
      </c>
      <c r="E831" s="156" t="inlineStr">
        <is>
          <t>WG218-W068BR</t>
        </is>
      </c>
      <c r="F831" s="156" t="inlineStr">
        <is>
          <t>Talla única</t>
        </is>
      </c>
      <c r="G831" s="156" t="inlineStr">
        <is>
          <t>One Size</t>
        </is>
      </c>
      <c r="H831" s="156" t="inlineStr">
        <is>
          <t>Wrangler</t>
        </is>
      </c>
      <c r="I831" s="156" t="inlineStr">
        <is>
          <t>Cartera Muñequera Wrangler Bordada Azteca Café</t>
        </is>
      </c>
      <c r="J831" s="156" t="inlineStr">
        <is>
          <t>Accesorios</t>
        </is>
      </c>
      <c r="K831" s="156" t="inlineStr">
        <is>
          <t>Carteras</t>
        </is>
      </c>
      <c r="L831" s="156" t="inlineStr">
        <is>
          <t>Unisex</t>
        </is>
      </c>
      <c r="M831" s="156" t="inlineStr">
        <is>
          <t>Wrangler</t>
        </is>
      </c>
      <c r="N831" s="156" t="n"/>
      <c r="O831" s="156" t="inlineStr">
        <is>
          <t>Core</t>
        </is>
      </c>
      <c r="P831" s="156" t="inlineStr">
        <is>
          <t>Cafe</t>
        </is>
      </c>
      <c r="Q831" s="156" t="n"/>
      <c r="R831" s="156" t="n"/>
      <c r="S831" s="156" t="n"/>
      <c r="T831" s="156" t="inlineStr">
        <is>
          <t>Cartera Muñequera Wrangler. Modelo: Bordada Azteca. Color: Café. Talla única. Unisex. País de origen: México. Referencia: WG218-W068BR.</t>
        </is>
      </c>
      <c r="U831" s="156" t="inlineStr">
        <is>
          <t>México</t>
        </is>
      </c>
      <c r="V831" s="156" t="inlineStr">
        <is>
          <t>PZS</t>
        </is>
      </c>
      <c r="W831" s="51" t="inlineStr">
        <is>
          <t>53121700</t>
        </is>
      </c>
      <c r="X831" s="156" t="inlineStr">
        <is>
          <t>https://m-universal-unique-brands.odoo.com/web/image/product.product/11214/image_1920</t>
        </is>
      </c>
      <c r="Y831" s="54" t="n">
        <v>16</v>
      </c>
      <c r="Z831" s="54" t="n">
        <v>449</v>
      </c>
      <c r="AA831" s="55">
        <f>IF(AND(A831="", B831="", E831=""), "", IF(AB831="", "Válido", IF((LEN(AB831)-LEN(SUBSTITUTE(AB831,"; ","")))/2+1&gt;(LEN(AB831)-LEN(SUBSTITUTE(AB831,"[Aviso]","")))/7, "Con Incidencias", "Válido")))</f>
        <v/>
      </c>
      <c r="AB831" s="56">
        <f>IF(AND(A831="", B831="", E831=""), "", TEXTJOIN("; ", TRUE, IF(OR(TRIM(A831&amp;"")="", ISNUMBER(SEARCH("FALTA", A831))), "UPC faltante/inválido", ""), IF(AND(A831&lt;&gt;"", IFERROR(_xlfn.XMATCH(A831,$A$2:$A$1063,0,1)&lt;&gt;_xlfn.XMATCH(A831,$A$2:$A$1063,0,-1),FALSE)), "Código de barras duplicado", ""), IF(AND(E831&lt;&gt;"", COUNTIF($E$2:$E$1063, E831)&gt;1), "SKU duplicado", ""), IF(OR(J831="", J831=""), "[Aviso] División no capturada ()", IF(ISNA(MATCH(J831, Criterios!$A$123:$A$126, 0)), "División no válida", "")), IF(OR(K831="", K831=""), "[Aviso] Categoría no capturada ()", IF(ISNA(MATCH(K831, Criterios!$A$81:$A$120, 0)), "Categoría no válida", IF(AND(J831&lt;&gt;"", J831&lt;&gt;"", J831&lt;&gt;VLOOKUP(K831, Criterios!$A$81:$B$120, 2, FALSE)), "División no coincide con Categoría", ""))), IF(OR(L831="", L831=""), "[Aviso] Género no capturado ()", IF(ISNA(MATCH(L831, Criterios!$B$123:$B$127, 0)), "Género no válido", "")), IF(OR(N831="", N831=""), "[Aviso] Temporada no capturada ()", IF(ISNA(MATCH(N831, Criterios!$C$123:$C$128, 0)), "Temporada no válida", "")), IF(OR(O831="", O831=""), "[Aviso] Ciclo de vida no capturado ()", IF(ISNA(MATCH(O831, Criterios!$D$123:$D$124, 0)), "Ciclo de vida no válido", ""))))</f>
        <v/>
      </c>
      <c r="AC831" s="56" t="n"/>
      <c r="AD831" s="51" t="n"/>
      <c r="AE831" s="156" t="n"/>
      <c r="AF831" s="51" t="n"/>
      <c r="AG831" s="156" t="inlineStr">
        <is>
          <t>Nuevo – Carga Hoja2 01/10/2026</t>
        </is>
      </c>
      <c r="AH831" s="156" t="inlineStr">
        <is>
          <t>Alta 01/10/2026 desde Hoja2 (fila 859) | 01/10/2026: complementado desde Odoo Universal Unique Brands (match por código de barras): Enlace de imagen | Homologación G1522 06/10/2026: Validación G1522: [Aviso] Precio de compra posiblemente en USD · Validador Shopify: WB: precio con IVA no termina en 9</t>
        </is>
      </c>
      <c r="AI831" s="156" t="n"/>
      <c r="AJ831" s="156" t="n"/>
      <c r="AK831" s="155" t="inlineStr">
        <is>
          <t>Hoja2: fila 859 | Odoo: producto 11214 / plantilla 14649</t>
        </is>
      </c>
      <c r="AL831" s="58" t="n"/>
      <c r="AM831" s="58" t="n"/>
      <c r="AN831" s="155" t="inlineStr">
        <is>
          <t>Odoo Universal Unique Brands</t>
        </is>
      </c>
      <c r="AO831" s="59" t="n"/>
      <c r="AP831" s="59" t="n"/>
      <c r="AQ831" s="59" t="n">
        <v>104</v>
      </c>
      <c r="AR831" s="155" t="inlineStr">
        <is>
          <t>Odoo Universal Unique Brands › Bodega 25 › Bodega 25/General: 104</t>
        </is>
      </c>
    </row>
    <row r="832">
      <c r="A832" s="50" t="inlineStr">
        <is>
          <t>717690431167</t>
        </is>
      </c>
      <c r="B832" s="51" t="inlineStr">
        <is>
          <t>11509</t>
        </is>
      </c>
      <c r="C832" s="156" t="inlineStr">
        <is>
          <t>Wrangler</t>
        </is>
      </c>
      <c r="D832" s="156" t="inlineStr">
        <is>
          <t>WG218-W068TN</t>
        </is>
      </c>
      <c r="E832" s="156" t="inlineStr">
        <is>
          <t>WG218-W068TN</t>
        </is>
      </c>
      <c r="F832" s="156" t="inlineStr">
        <is>
          <t>Talla única</t>
        </is>
      </c>
      <c r="G832" s="156" t="inlineStr">
        <is>
          <t>One Size</t>
        </is>
      </c>
      <c r="H832" s="156" t="inlineStr">
        <is>
          <t>Wrangler</t>
        </is>
      </c>
      <c r="I832" s="156" t="inlineStr">
        <is>
          <t>Cartera Muñequera Wrangler Bordada Azteca Camel</t>
        </is>
      </c>
      <c r="J832" s="156" t="inlineStr">
        <is>
          <t>Accesorios</t>
        </is>
      </c>
      <c r="K832" s="156" t="inlineStr">
        <is>
          <t>Carteras</t>
        </is>
      </c>
      <c r="L832" s="156" t="inlineStr">
        <is>
          <t>Unisex</t>
        </is>
      </c>
      <c r="M832" s="156" t="inlineStr">
        <is>
          <t>Wrangler</t>
        </is>
      </c>
      <c r="N832" s="156" t="n"/>
      <c r="O832" s="156" t="inlineStr">
        <is>
          <t>Core</t>
        </is>
      </c>
      <c r="P832" s="156" t="inlineStr">
        <is>
          <t>Beige</t>
        </is>
      </c>
      <c r="Q832" s="156" t="n"/>
      <c r="R832" s="156" t="n"/>
      <c r="S832" s="156" t="n"/>
      <c r="T832" s="156" t="inlineStr">
        <is>
          <t>Cartera Muñequera Wrangler. Modelo: Bordada Azteca. Color: Camel. Talla única. Unisex. País de origen: México. Referencia: WG218-W068TN.</t>
        </is>
      </c>
      <c r="U832" s="156" t="inlineStr">
        <is>
          <t>México</t>
        </is>
      </c>
      <c r="V832" s="156" t="inlineStr">
        <is>
          <t>PZS</t>
        </is>
      </c>
      <c r="W832" s="51" t="inlineStr">
        <is>
          <t>53121700</t>
        </is>
      </c>
      <c r="X832" s="156" t="inlineStr">
        <is>
          <t>https://m-universal-unique-brands.odoo.com/web/image/product.product/11509/image_1920</t>
        </is>
      </c>
      <c r="Y832" s="54" t="n">
        <v>276</v>
      </c>
      <c r="Z832" s="54" t="n">
        <v>349</v>
      </c>
      <c r="AA832" s="55">
        <f>IF(AND(A832="", B832="", E832=""), "", IF(AB832="", "Válido", IF((LEN(AB832)-LEN(SUBSTITUTE(AB832,"; ","")))/2+1&gt;(LEN(AB832)-LEN(SUBSTITUTE(AB832,"[Aviso]","")))/7, "Con Incidencias", "Válido")))</f>
        <v/>
      </c>
      <c r="AB832" s="56">
        <f>IF(AND(A832="", B832="", E832=""), "", TEXTJOIN("; ", TRUE, IF(OR(TRIM(A832&amp;"")="", ISNUMBER(SEARCH("FALTA", A832))), "UPC faltante/inválido", ""), IF(AND(A832&lt;&gt;"", IFERROR(_xlfn.XMATCH(A832,$A$2:$A$1063,0,1)&lt;&gt;_xlfn.XMATCH(A832,$A$2:$A$1063,0,-1),FALSE)), "Código de barras duplicado", ""), IF(AND(E832&lt;&gt;"", COUNTIF($E$2:$E$1063, E832)&gt;1), "SKU duplicado", ""), IF(OR(J832="", J832=""), "[Aviso] División no capturada ()", IF(ISNA(MATCH(J832, Criterios!$A$123:$A$126, 0)), "División no válida", "")), IF(OR(K832="", K832=""), "[Aviso] Categoría no capturada ()", IF(ISNA(MATCH(K832, Criterios!$A$81:$A$120, 0)), "Categoría no válida", IF(AND(J832&lt;&gt;"", J832&lt;&gt;"", J832&lt;&gt;VLOOKUP(K832, Criterios!$A$81:$B$120, 2, FALSE)), "División no coincide con Categoría", ""))), IF(OR(L832="", L832=""), "[Aviso] Género no capturado ()", IF(ISNA(MATCH(L832, Criterios!$B$123:$B$127, 0)), "Género no válido", "")), IF(OR(N832="", N832=""), "[Aviso] Temporada no capturada ()", IF(ISNA(MATCH(N832, Criterios!$C$123:$C$128, 0)), "Temporada no válida", "")), IF(OR(O832="", O832=""), "[Aviso] Ciclo de vida no capturado ()", IF(ISNA(MATCH(O832, Criterios!$D$123:$D$124, 0)), "Ciclo de vida no válido", ""))))</f>
        <v/>
      </c>
      <c r="AC832" s="56" t="n"/>
      <c r="AD832" s="51" t="n"/>
      <c r="AE832" s="156" t="n"/>
      <c r="AF832" s="51" t="n"/>
      <c r="AG832" s="156" t="inlineStr">
        <is>
          <t>Nuevo – Carga Hoja2 01/10/2026</t>
        </is>
      </c>
      <c r="AH832" s="156" t="inlineStr">
        <is>
          <t>Alta 01/10/2026 desde Hoja2 (fila 860) | 01/10/2026: complementado desde Odoo Universal Unique Brands (match por código de barras): Enlace de imagen | Homologación G1522 06/10/2026: Validador Shopify: WB: precio con IVA no termina en 9</t>
        </is>
      </c>
      <c r="AI832" s="156" t="n"/>
      <c r="AJ832" s="156" t="n"/>
      <c r="AK832" s="155" t="inlineStr">
        <is>
          <t>Hoja2: fila 860 | Odoo: producto 11509 / plantilla 14944</t>
        </is>
      </c>
      <c r="AL832" s="58" t="n"/>
      <c r="AM832" s="58" t="n"/>
      <c r="AN832" s="155" t="inlineStr">
        <is>
          <t>Odoo Universal Unique Brands</t>
        </is>
      </c>
      <c r="AO832" s="59" t="n"/>
      <c r="AP832" s="59" t="n"/>
      <c r="AQ832" s="59" t="n">
        <v>19</v>
      </c>
      <c r="AR832" s="155" t="inlineStr">
        <is>
          <t>Odoo Universal Unique Brands › Bodega 25 › Bodega 25/General: 19</t>
        </is>
      </c>
    </row>
    <row r="833">
      <c r="A833" s="50" t="inlineStr">
        <is>
          <t>717325226021</t>
        </is>
      </c>
      <c r="B833" s="51" t="inlineStr">
        <is>
          <t>11316</t>
        </is>
      </c>
      <c r="C833" s="156" t="inlineStr">
        <is>
          <t>Wrangler</t>
        </is>
      </c>
      <c r="D833" s="156" t="inlineStr">
        <is>
          <t>WG219-183BK</t>
        </is>
      </c>
      <c r="E833" s="156" t="inlineStr">
        <is>
          <t>WG219-183BK</t>
        </is>
      </c>
      <c r="F833" s="156" t="inlineStr">
        <is>
          <t>Talla única</t>
        </is>
      </c>
      <c r="G833" s="156" t="inlineStr">
        <is>
          <t>One Size</t>
        </is>
      </c>
      <c r="H833" s="156" t="inlineStr">
        <is>
          <t>Wrangler</t>
        </is>
      </c>
      <c r="I833" s="156" t="inlineStr">
        <is>
          <t>Bolsa Cruzada Wrangler Bolsillo De Mezclilla Repelente Al Agua Con Costura "W"</t>
        </is>
      </c>
      <c r="J833" s="156" t="inlineStr">
        <is>
          <t>Accesorios</t>
        </is>
      </c>
      <c r="K833" s="156" t="inlineStr">
        <is>
          <t>Bolsos</t>
        </is>
      </c>
      <c r="L833" s="156" t="inlineStr">
        <is>
          <t>Unisex</t>
        </is>
      </c>
      <c r="M833" s="156" t="inlineStr">
        <is>
          <t>Wrangler</t>
        </is>
      </c>
      <c r="N833" s="156" t="inlineStr">
        <is>
          <t>FW26</t>
        </is>
      </c>
      <c r="O833" s="156" t="n"/>
      <c r="P833" s="156" t="inlineStr">
        <is>
          <t>Negro</t>
        </is>
      </c>
      <c r="Q833" s="156" t="n"/>
      <c r="R833" s="156" t="n"/>
      <c r="S833" s="156" t="n"/>
      <c r="T833" s="156" t="inlineStr">
        <is>
          <t>Bolsa Cruzada</t>
        </is>
      </c>
      <c r="U833" s="156" t="inlineStr">
        <is>
          <t>México</t>
        </is>
      </c>
      <c r="V833" s="156" t="inlineStr">
        <is>
          <t>PZS</t>
        </is>
      </c>
      <c r="W833" s="51" t="inlineStr">
        <is>
          <t>53121601</t>
        </is>
      </c>
      <c r="X833" s="156" t="inlineStr">
        <is>
          <t>https://m-universal-unique-brands.odoo.com/web/image/product.product/11316/image_1920</t>
        </is>
      </c>
      <c r="Y833" s="54" t="n">
        <v>276</v>
      </c>
      <c r="Z833" s="54" t="n">
        <v>449</v>
      </c>
      <c r="AA833" s="55">
        <f>IF(AND(A833="", B833="", E833=""), "", IF(AB833="", "Válido", IF((LEN(AB833)-LEN(SUBSTITUTE(AB833,"; ","")))/2+1&gt;(LEN(AB833)-LEN(SUBSTITUTE(AB833,"[Aviso]","")))/7, "Con Incidencias", "Válido")))</f>
        <v/>
      </c>
      <c r="AB833" s="56">
        <f>IF(AND(A833="", B833="", E833=""), "", TEXTJOIN("; ", TRUE, IF(OR(TRIM(A833&amp;"")="", ISNUMBER(SEARCH("FALTA", A833))), "UPC faltante/inválido", ""), IF(AND(A833&lt;&gt;"", IFERROR(_xlfn.XMATCH(A833,$A$2:$A$1063,0,1)&lt;&gt;_xlfn.XMATCH(A833,$A$2:$A$1063,0,-1),FALSE)), "Código de barras duplicado", ""), IF(AND(E833&lt;&gt;"", COUNTIF($E$2:$E$1063, E833)&gt;1), "SKU duplicado", ""), IF(OR(J833="", J833=""), "[Aviso] División no capturada ()", IF(ISNA(MATCH(J833, Criterios!$A$123:$A$126, 0)), "División no válida", "")), IF(OR(K833="", K833=""), "[Aviso] Categoría no capturada ()", IF(ISNA(MATCH(K833, Criterios!$A$81:$A$120, 0)), "Categoría no válida", IF(AND(J833&lt;&gt;"", J833&lt;&gt;"", J833&lt;&gt;VLOOKUP(K833, Criterios!$A$81:$B$120, 2, FALSE)), "División no coincide con Categoría", ""))), IF(OR(L833="", L833=""), "[Aviso] Género no capturado ()", IF(ISNA(MATCH(L833, Criterios!$B$123:$B$127, 0)), "Género no válido", "")), IF(OR(N833="", N833=""), "[Aviso] Temporada no capturada ()", IF(ISNA(MATCH(N833, Criterios!$C$123:$C$128, 0)), "Temporada no válida", "")), IF(OR(O833="", O833=""), "[Aviso] Ciclo de vida no capturado ()", IF(ISNA(MATCH(O833, Criterios!$D$123:$D$124, 0)), "Ciclo de vida no válido", ""))))</f>
        <v/>
      </c>
      <c r="AC833" s="56" t="n"/>
      <c r="AD833" s="51" t="n"/>
      <c r="AE833" s="156" t="n"/>
      <c r="AF833" s="51" t="n"/>
      <c r="AG833" s="156" t="inlineStr">
        <is>
          <t>Nuevo – Carga Hoja2 01/10/2026</t>
        </is>
      </c>
      <c r="AH833" s="156" t="inlineStr">
        <is>
          <t>Alta 01/10/2026 desde Hoja2 (fila 861) | 01/10/2026: complementado desde Odoo Universal Unique Brands (match por código de barras): WB Descripción larga, Enlace de imagen | Homologación G1522 06/10/2026: WB País de origen: «Mexico» → «México» (Corrección aplicada) · Validación G1522: WB SKU duplicado · Validador NetSuite / Odoo: V4: SKU repetido · Validador Shopify: V4: SKU repetido; WB: precio con IVA no termina en 9</t>
        </is>
      </c>
      <c r="AI833" s="156" t="n"/>
      <c r="AJ833" s="156" t="n"/>
      <c r="AK833" s="155" t="inlineStr">
        <is>
          <t>Hoja2: fila 861 | Odoo: producto 11316 / plantilla 14751</t>
        </is>
      </c>
      <c r="AL833" s="58" t="n"/>
      <c r="AM833" s="58" t="n"/>
      <c r="AN833" s="155" t="inlineStr">
        <is>
          <t>Odoo Universal Unique Brands</t>
        </is>
      </c>
      <c r="AO833" s="59" t="n"/>
      <c r="AP833" s="59" t="n"/>
      <c r="AQ833" s="59" t="n">
        <v>7</v>
      </c>
      <c r="AR833" s="155" t="inlineStr">
        <is>
          <t>Odoo Universal Unique Brands › Bodega 25 › Bodega 25/General: 7</t>
        </is>
      </c>
    </row>
    <row r="834">
      <c r="A834" s="50" t="inlineStr">
        <is>
          <t>717325225956</t>
        </is>
      </c>
      <c r="B834" s="51" t="inlineStr">
        <is>
          <t>11313</t>
        </is>
      </c>
      <c r="C834" s="156" t="inlineStr">
        <is>
          <t>Wrangler</t>
        </is>
      </c>
      <c r="D834" s="156" t="inlineStr">
        <is>
          <t>WG219-8317JN</t>
        </is>
      </c>
      <c r="E834" s="156" t="inlineStr">
        <is>
          <t>WG219-8317JN</t>
        </is>
      </c>
      <c r="F834" s="156" t="inlineStr">
        <is>
          <t>Talla única</t>
        </is>
      </c>
      <c r="G834" s="156" t="inlineStr">
        <is>
          <t>One Size</t>
        </is>
      </c>
      <c r="H834" s="156" t="inlineStr">
        <is>
          <t>Wrangler</t>
        </is>
      </c>
      <c r="I834" s="156" t="inlineStr">
        <is>
          <t>Bolsa Tote Con Cierre Wrangler Bolsillo De Mezclilla Repelente Al Agua Con Costura "W"</t>
        </is>
      </c>
      <c r="J834" s="156" t="inlineStr">
        <is>
          <t>Accesorios</t>
        </is>
      </c>
      <c r="K834" s="156" t="inlineStr">
        <is>
          <t>Bolsos</t>
        </is>
      </c>
      <c r="L834" s="156" t="inlineStr">
        <is>
          <t>Unisex</t>
        </is>
      </c>
      <c r="M834" s="156" t="inlineStr">
        <is>
          <t>Wrangler</t>
        </is>
      </c>
      <c r="N834" s="156" t="n"/>
      <c r="O834" s="156" t="n"/>
      <c r="P834" s="156" t="inlineStr">
        <is>
          <t>Varios</t>
        </is>
      </c>
      <c r="Q834" s="156" t="n"/>
      <c r="R834" s="156" t="n"/>
      <c r="S834" s="156" t="n"/>
      <c r="T834" s="156" t="inlineStr">
        <is>
          <t>Bolsa Tote Con Cierre</t>
        </is>
      </c>
      <c r="U834" s="156" t="inlineStr">
        <is>
          <t>México</t>
        </is>
      </c>
      <c r="V834" s="156" t="inlineStr">
        <is>
          <t>PZS</t>
        </is>
      </c>
      <c r="W834" s="51" t="inlineStr">
        <is>
          <t>53121601</t>
        </is>
      </c>
      <c r="X834" s="156" t="n"/>
      <c r="Y834" s="54" t="n">
        <v>483</v>
      </c>
      <c r="Z834" s="54" t="n">
        <v>779</v>
      </c>
      <c r="AA834" s="55">
        <f>IF(AND(A834="", B834="", E834=""), "", IF(AB834="", "Válido", IF((LEN(AB834)-LEN(SUBSTITUTE(AB834,"; ","")))/2+1&gt;(LEN(AB834)-LEN(SUBSTITUTE(AB834,"[Aviso]","")))/7, "Con Incidencias", "Válido")))</f>
        <v/>
      </c>
      <c r="AB834" s="56">
        <f>IF(AND(A834="", B834="", E834=""), "", TEXTJOIN("; ", TRUE, IF(OR(TRIM(A834&amp;"")="", ISNUMBER(SEARCH("FALTA", A834))), "UPC faltante/inválido", ""), IF(AND(A834&lt;&gt;"", IFERROR(_xlfn.XMATCH(A834,$A$2:$A$1063,0,1)&lt;&gt;_xlfn.XMATCH(A834,$A$2:$A$1063,0,-1),FALSE)), "Código de barras duplicado", ""), IF(AND(E834&lt;&gt;"", COUNTIF($E$2:$E$1063, E834)&gt;1), "SKU duplicado", ""), IF(OR(J834="", J834=""), "[Aviso] División no capturada ()", IF(ISNA(MATCH(J834, Criterios!$A$123:$A$126, 0)), "División no válida", "")), IF(OR(K834="", K834=""), "[Aviso] Categoría no capturada ()", IF(ISNA(MATCH(K834, Criterios!$A$81:$A$120, 0)), "Categoría no válida", IF(AND(J834&lt;&gt;"", J834&lt;&gt;"", J834&lt;&gt;VLOOKUP(K834, Criterios!$A$81:$B$120, 2, FALSE)), "División no coincide con Categoría", ""))), IF(OR(L834="", L834=""), "[Aviso] Género no capturado ()", IF(ISNA(MATCH(L834, Criterios!$B$123:$B$127, 0)), "Género no válido", "")), IF(OR(N834="", N834=""), "[Aviso] Temporada no capturada ()", IF(ISNA(MATCH(N834, Criterios!$C$123:$C$128, 0)), "Temporada no válida", "")), IF(OR(O834="", O834=""), "[Aviso] Ciclo de vida no capturado ()", IF(ISNA(MATCH(O834, Criterios!$D$123:$D$124, 0)), "Ciclo de vida no válido", ""))))</f>
        <v/>
      </c>
      <c r="AC834" s="56" t="n"/>
      <c r="AD834" s="51" t="n"/>
      <c r="AE834" s="156" t="n"/>
      <c r="AF834" s="51" t="n"/>
      <c r="AG834" s="156" t="inlineStr">
        <is>
          <t>Nuevo – Carga Hoja2 01/10/2026</t>
        </is>
      </c>
      <c r="AH834" s="156" t="inlineStr">
        <is>
          <t>Alta 01/10/2026 desde Hoja2 (fila 862)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834" s="156" t="n"/>
      <c r="AJ834" s="156" t="n"/>
      <c r="AK834" s="155" t="inlineStr">
        <is>
          <t>Hoja2: fila 862 | Odoo: producto 11313 / plantilla 14748</t>
        </is>
      </c>
      <c r="AL834" s="58" t="n"/>
      <c r="AM834" s="58" t="n"/>
      <c r="AN834" s="155" t="inlineStr">
        <is>
          <t>Odoo Universal Unique Brands</t>
        </is>
      </c>
      <c r="AO834" s="59" t="n"/>
      <c r="AP834" s="59" t="n"/>
      <c r="AQ834" s="59" t="n">
        <v>17</v>
      </c>
      <c r="AR834" s="155" t="inlineStr">
        <is>
          <t>Odoo Universal Unique Brands › Bodega 25 › Bodega 25/General: 17</t>
        </is>
      </c>
    </row>
    <row r="835">
      <c r="A835" s="50" t="inlineStr">
        <is>
          <t>762704248057</t>
        </is>
      </c>
      <c r="B835" s="51" t="inlineStr">
        <is>
          <t>11395</t>
        </is>
      </c>
      <c r="C835" s="156" t="inlineStr">
        <is>
          <t>Wrangler</t>
        </is>
      </c>
      <c r="D835" s="156" t="inlineStr">
        <is>
          <t>WG2202-8120SCF</t>
        </is>
      </c>
      <c r="E835" s="156" t="inlineStr">
        <is>
          <t>WG2202-8120SCF</t>
        </is>
      </c>
      <c r="F835" s="156" t="inlineStr">
        <is>
          <t>Talla única</t>
        </is>
      </c>
      <c r="G835" s="156" t="inlineStr">
        <is>
          <t>One Size</t>
        </is>
      </c>
      <c r="H835" s="156" t="inlineStr">
        <is>
          <t>Wrangler</t>
        </is>
      </c>
      <c r="I835" s="156" t="inlineStr">
        <is>
          <t>Bolsa Tote Cruzada Wrangler Estampado Suroeste De Lona Chica Café Oscuro</t>
        </is>
      </c>
      <c r="J835" s="156" t="inlineStr">
        <is>
          <t>Accesorios</t>
        </is>
      </c>
      <c r="K835" s="156" t="inlineStr">
        <is>
          <t>Bolsos</t>
        </is>
      </c>
      <c r="L835" s="156" t="inlineStr">
        <is>
          <t>Unisex</t>
        </is>
      </c>
      <c r="M835" s="156" t="inlineStr">
        <is>
          <t>Wrangler</t>
        </is>
      </c>
      <c r="N835" s="156" t="n"/>
      <c r="O835" s="156" t="inlineStr">
        <is>
          <t>Core</t>
        </is>
      </c>
      <c r="P835" s="156" t="inlineStr">
        <is>
          <t>Cafe</t>
        </is>
      </c>
      <c r="Q835" s="156" t="n"/>
      <c r="R835" s="156" t="n"/>
      <c r="S835" s="156" t="n"/>
      <c r="T835" s="156" t="inlineStr">
        <is>
          <t>Bolsa Tote Cruzada Wrangler. Modelo: Estampado Suroeste De Lona Chica. Color: Café Oscuro. Talla única. Unisex. País de origen: México. Referencia: WG2202-8120SCF.</t>
        </is>
      </c>
      <c r="U835" s="156" t="inlineStr">
        <is>
          <t>México</t>
        </is>
      </c>
      <c r="V835" s="156" t="inlineStr">
        <is>
          <t>PZS</t>
        </is>
      </c>
      <c r="W835" s="51" t="inlineStr">
        <is>
          <t>53121601</t>
        </is>
      </c>
      <c r="X835" s="156" t="inlineStr">
        <is>
          <t>https://m-universal-unique-brands.odoo.com/web/image/product.product/11395/image_1920</t>
        </is>
      </c>
      <c r="Y835" s="54" t="n">
        <v>241.5</v>
      </c>
      <c r="Z835" s="54" t="n">
        <v>499</v>
      </c>
      <c r="AA835" s="55">
        <f>IF(AND(A835="", B835="", E835=""), "", IF(AB835="", "Válido", IF((LEN(AB835)-LEN(SUBSTITUTE(AB835,"; ","")))/2+1&gt;(LEN(AB835)-LEN(SUBSTITUTE(AB835,"[Aviso]","")))/7, "Con Incidencias", "Válido")))</f>
        <v/>
      </c>
      <c r="AB835" s="56">
        <f>IF(AND(A835="", B835="", E835=""), "", TEXTJOIN("; ", TRUE, IF(OR(TRIM(A835&amp;"")="", ISNUMBER(SEARCH("FALTA", A835))), "UPC faltante/inválido", ""), IF(AND(A835&lt;&gt;"", IFERROR(_xlfn.XMATCH(A835,$A$2:$A$1063,0,1)&lt;&gt;_xlfn.XMATCH(A835,$A$2:$A$1063,0,-1),FALSE)), "Código de barras duplicado", ""), IF(AND(E835&lt;&gt;"", COUNTIF($E$2:$E$1063, E835)&gt;1), "SKU duplicado", ""), IF(OR(J835="", J835=""), "[Aviso] División no capturada ()", IF(ISNA(MATCH(J835, Criterios!$A$123:$A$126, 0)), "División no válida", "")), IF(OR(K835="", K835=""), "[Aviso] Categoría no capturada ()", IF(ISNA(MATCH(K835, Criterios!$A$81:$A$120, 0)), "Categoría no válida", IF(AND(J835&lt;&gt;"", J835&lt;&gt;"", J835&lt;&gt;VLOOKUP(K835, Criterios!$A$81:$B$120, 2, FALSE)), "División no coincide con Categoría", ""))), IF(OR(L835="", L835=""), "[Aviso] Género no capturado ()", IF(ISNA(MATCH(L835, Criterios!$B$123:$B$127, 0)), "Género no válido", "")), IF(OR(N835="", N835=""), "[Aviso] Temporada no capturada ()", IF(ISNA(MATCH(N835, Criterios!$C$123:$C$128, 0)), "Temporada no válida", "")), IF(OR(O835="", O835=""), "[Aviso] Ciclo de vida no capturado ()", IF(ISNA(MATCH(O835, Criterios!$D$123:$D$124, 0)), "Ciclo de vida no válido", ""))))</f>
        <v/>
      </c>
      <c r="AC835" s="56" t="n"/>
      <c r="AD835" s="51" t="n"/>
      <c r="AE835" s="156" t="n"/>
      <c r="AF835" s="51" t="n"/>
      <c r="AG835" s="156" t="inlineStr">
        <is>
          <t>Nuevo – Carga Hoja2 01/10/2026</t>
        </is>
      </c>
      <c r="AH835" s="156" t="inlineStr">
        <is>
          <t>Alta 01/10/2026 desde Hoja2 (fila 863)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35" s="156" t="n"/>
      <c r="AJ835" s="156" t="n"/>
      <c r="AK835" s="155" t="inlineStr">
        <is>
          <t>Hoja2: fila 863 | Odoo: producto 11395 / plantilla 14830 | Odoo: producto 27360 / plantilla 34060</t>
        </is>
      </c>
      <c r="AL835" s="58" t="n"/>
      <c r="AM835" s="58" t="n"/>
      <c r="AN835" s="155" t="inlineStr">
        <is>
          <t>Odoo Universal Unique Brands</t>
        </is>
      </c>
      <c r="AO835" s="59" t="n"/>
      <c r="AP835" s="59" t="n"/>
      <c r="AQ835" s="59" t="n">
        <v>393</v>
      </c>
      <c r="AR835" s="155" t="inlineStr">
        <is>
          <t>Odoo Universal Unique Brands › Bodega 25 › Bodega 25/General: 393</t>
        </is>
      </c>
    </row>
    <row r="836">
      <c r="A836" s="50" t="inlineStr">
        <is>
          <t>774196307433</t>
        </is>
      </c>
      <c r="B836" s="51" t="inlineStr">
        <is>
          <t>11820</t>
        </is>
      </c>
      <c r="C836" s="156" t="inlineStr">
        <is>
          <t>Wrangler</t>
        </is>
      </c>
      <c r="D836" s="156" t="inlineStr">
        <is>
          <t>WG2203-8120SBDY</t>
        </is>
      </c>
      <c r="E836" s="156" t="inlineStr">
        <is>
          <t>WG2203-8120SBDY</t>
        </is>
      </c>
      <c r="F836" s="156" t="inlineStr">
        <is>
          <t>Talla única</t>
        </is>
      </c>
      <c r="G836" s="156" t="inlineStr">
        <is>
          <t>One Size</t>
        </is>
      </c>
      <c r="H836" s="156" t="inlineStr">
        <is>
          <t>Wrangler</t>
        </is>
      </c>
      <c r="I836" s="156" t="inlineStr">
        <is>
          <t>Bolsa Tote Cruzada Wrangler Estampado Suroeste De Lona Chica Vino</t>
        </is>
      </c>
      <c r="J836" s="156" t="inlineStr">
        <is>
          <t>Accesorios</t>
        </is>
      </c>
      <c r="K836" s="156" t="inlineStr">
        <is>
          <t>Bolsos</t>
        </is>
      </c>
      <c r="L836" s="156" t="inlineStr">
        <is>
          <t>Unisex</t>
        </is>
      </c>
      <c r="M836" s="156" t="inlineStr">
        <is>
          <t>Wrangler</t>
        </is>
      </c>
      <c r="N836" s="156" t="n"/>
      <c r="O836" s="156" t="inlineStr">
        <is>
          <t>Core</t>
        </is>
      </c>
      <c r="P836" s="156" t="inlineStr">
        <is>
          <t>Rojo</t>
        </is>
      </c>
      <c r="Q836" s="156" t="n"/>
      <c r="R836" s="156" t="n"/>
      <c r="S836" s="156" t="n"/>
      <c r="T836" s="156" t="inlineStr">
        <is>
          <t>Bolsa Tote Cruzada Wrangler. Modelo: Estampado Suroeste De Lona Chica. Color: Vino. Talla única. Unisex. País de origen: México. Referencia: WG2203-8120SBDY.</t>
        </is>
      </c>
      <c r="U836" s="156" t="inlineStr">
        <is>
          <t>México</t>
        </is>
      </c>
      <c r="V836" s="156" t="inlineStr">
        <is>
          <t>PZS</t>
        </is>
      </c>
      <c r="W836" s="51" t="inlineStr">
        <is>
          <t>53121601</t>
        </is>
      </c>
      <c r="X836" s="156" t="n"/>
      <c r="Y836" s="54" t="n">
        <v>310.5</v>
      </c>
      <c r="Z836" s="54" t="n">
        <v>499</v>
      </c>
      <c r="AA836" s="55">
        <f>IF(AND(A836="", B836="", E836=""), "", IF(AB836="", "Válido", IF((LEN(AB836)-LEN(SUBSTITUTE(AB836,"; ","")))/2+1&gt;(LEN(AB836)-LEN(SUBSTITUTE(AB836,"[Aviso]","")))/7, "Con Incidencias", "Válido")))</f>
        <v/>
      </c>
      <c r="AB836" s="56">
        <f>IF(AND(A836="", B836="", E836=""), "", TEXTJOIN("; ", TRUE, IF(OR(TRIM(A836&amp;"")="", ISNUMBER(SEARCH("FALTA", A836))), "UPC faltante/inválido", ""), IF(AND(A836&lt;&gt;"", IFERROR(_xlfn.XMATCH(A836,$A$2:$A$1063,0,1)&lt;&gt;_xlfn.XMATCH(A836,$A$2:$A$1063,0,-1),FALSE)), "Código de barras duplicado", ""), IF(AND(E836&lt;&gt;"", COUNTIF($E$2:$E$1063, E836)&gt;1), "SKU duplicado", ""), IF(OR(J836="", J836=""), "[Aviso] División no capturada ()", IF(ISNA(MATCH(J836, Criterios!$A$123:$A$126, 0)), "División no válida", "")), IF(OR(K836="", K836=""), "[Aviso] Categoría no capturada ()", IF(ISNA(MATCH(K836, Criterios!$A$81:$A$120, 0)), "Categoría no válida", IF(AND(J836&lt;&gt;"", J836&lt;&gt;"", J836&lt;&gt;VLOOKUP(K836, Criterios!$A$81:$B$120, 2, FALSE)), "División no coincide con Categoría", ""))), IF(OR(L836="", L836=""), "[Aviso] Género no capturado ()", IF(ISNA(MATCH(L836, Criterios!$B$123:$B$127, 0)), "Género no válido", "")), IF(OR(N836="", N836=""), "[Aviso] Temporada no capturada ()", IF(ISNA(MATCH(N836, Criterios!$C$123:$C$128, 0)), "Temporada no válida", "")), IF(OR(O836="", O836=""), "[Aviso] Ciclo de vida no capturado ()", IF(ISNA(MATCH(O836, Criterios!$D$123:$D$124, 0)), "Ciclo de vida no válido", ""))))</f>
        <v/>
      </c>
      <c r="AC836" s="56" t="n"/>
      <c r="AD836" s="51" t="n"/>
      <c r="AE836" s="156" t="n"/>
      <c r="AF836" s="51" t="n"/>
      <c r="AG836" s="156" t="inlineStr">
        <is>
          <t>Nuevo – Carga Hoja2 01/10/2026</t>
        </is>
      </c>
      <c r="AH836" s="156" t="inlineStr">
        <is>
          <t>Alta 01/10/2026 desde Hoja2 (fila 864) | Homologación G1522 06/10/2026: Validador Shopify: WB: precio con IVA no termina en 9</t>
        </is>
      </c>
      <c r="AI836" s="156" t="n"/>
      <c r="AJ836" s="156" t="n"/>
      <c r="AK836" s="155" t="inlineStr">
        <is>
          <t>Hoja2: fila 864 | Odoo: producto 11820 / plantilla 15255</t>
        </is>
      </c>
      <c r="AL836" s="58" t="n"/>
      <c r="AM836" s="58" t="n"/>
      <c r="AN836" s="155" t="inlineStr">
        <is>
          <t>Odoo Universal Unique Brands</t>
        </is>
      </c>
      <c r="AO836" s="59" t="n"/>
      <c r="AP836" s="59" t="n"/>
      <c r="AQ836" s="59" t="n">
        <v>37</v>
      </c>
      <c r="AR836" s="155" t="inlineStr">
        <is>
          <t>Odoo Universal Unique Brands › Bodega 25 › Bodega 25/General: 37</t>
        </is>
      </c>
    </row>
    <row r="837">
      <c r="A837" s="50" t="inlineStr">
        <is>
          <t>774196308454</t>
        </is>
      </c>
      <c r="B837" s="51" t="inlineStr">
        <is>
          <t>11886</t>
        </is>
      </c>
      <c r="C837" s="156" t="inlineStr">
        <is>
          <t>Wrangler</t>
        </is>
      </c>
      <c r="D837" s="156" t="inlineStr">
        <is>
          <t>WG2203-W005TQ</t>
        </is>
      </c>
      <c r="E837" s="156" t="inlineStr">
        <is>
          <t>WG2203-W005TQ</t>
        </is>
      </c>
      <c r="F837" s="156" t="inlineStr">
        <is>
          <t>Talla única</t>
        </is>
      </c>
      <c r="G837" s="156" t="inlineStr">
        <is>
          <t>One Size</t>
        </is>
      </c>
      <c r="H837" s="156" t="inlineStr">
        <is>
          <t>Wrangler</t>
        </is>
      </c>
      <c r="I837" s="156" t="inlineStr">
        <is>
          <t>Tarjetero Mini Con Cierre Wrangler Estampado Artístico Suroeste Turquesa</t>
        </is>
      </c>
      <c r="J837" s="156" t="inlineStr">
        <is>
          <t>Accesorios</t>
        </is>
      </c>
      <c r="K837" s="156" t="inlineStr">
        <is>
          <t>Carteras</t>
        </is>
      </c>
      <c r="L837" s="156" t="inlineStr">
        <is>
          <t>Unisex</t>
        </is>
      </c>
      <c r="M837" s="156" t="inlineStr">
        <is>
          <t>Wrangler</t>
        </is>
      </c>
      <c r="N837" s="156" t="n"/>
      <c r="O837" s="156" t="inlineStr">
        <is>
          <t>Core</t>
        </is>
      </c>
      <c r="P837" s="156" t="inlineStr">
        <is>
          <t>Azul</t>
        </is>
      </c>
      <c r="Q837" s="156" t="n"/>
      <c r="R837" s="156" t="n"/>
      <c r="S837" s="156" t="n"/>
      <c r="T837" s="156" t="inlineStr">
        <is>
          <t>Tarjetero Mini Con Cierre Wrangler. Modelo: Estampado Artístico Suroeste. Color: Turquesa. Talla única. Unisex. País de origen: México. Referencia: WG2203-W005TQ.</t>
        </is>
      </c>
      <c r="U837" s="156" t="inlineStr">
        <is>
          <t>México</t>
        </is>
      </c>
      <c r="V837" s="156" t="inlineStr">
        <is>
          <t>PZS</t>
        </is>
      </c>
      <c r="W837" s="51" t="inlineStr">
        <is>
          <t>53121700</t>
        </is>
      </c>
      <c r="X837" s="156" t="n"/>
      <c r="Y837" s="54" t="n">
        <v>69</v>
      </c>
      <c r="Z837" s="54" t="n">
        <v>199</v>
      </c>
      <c r="AA837" s="55">
        <f>IF(AND(A837="", B837="", E837=""), "", IF(AB837="", "Válido", IF((LEN(AB837)-LEN(SUBSTITUTE(AB837,"; ","")))/2+1&gt;(LEN(AB837)-LEN(SUBSTITUTE(AB837,"[Aviso]","")))/7, "Con Incidencias", "Válido")))</f>
        <v/>
      </c>
      <c r="AB837" s="56">
        <f>IF(AND(A837="", B837="", E837=""), "", TEXTJOIN("; ", TRUE, IF(OR(TRIM(A837&amp;"")="", ISNUMBER(SEARCH("FALTA", A837))), "UPC faltante/inválido", ""), IF(AND(A837&lt;&gt;"", IFERROR(_xlfn.XMATCH(A837,$A$2:$A$1063,0,1)&lt;&gt;_xlfn.XMATCH(A837,$A$2:$A$1063,0,-1),FALSE)), "Código de barras duplicado", ""), IF(AND(E837&lt;&gt;"", COUNTIF($E$2:$E$1063, E837)&gt;1), "SKU duplicado", ""), IF(OR(J837="", J837=""), "[Aviso] División no capturada ()", IF(ISNA(MATCH(J837, Criterios!$A$123:$A$126, 0)), "División no válida", "")), IF(OR(K837="", K837=""), "[Aviso] Categoría no capturada ()", IF(ISNA(MATCH(K837, Criterios!$A$81:$A$120, 0)), "Categoría no válida", IF(AND(J837&lt;&gt;"", J837&lt;&gt;"", J837&lt;&gt;VLOOKUP(K837, Criterios!$A$81:$B$120, 2, FALSE)), "División no coincide con Categoría", ""))), IF(OR(L837="", L837=""), "[Aviso] Género no capturado ()", IF(ISNA(MATCH(L837, Criterios!$B$123:$B$127, 0)), "Género no válido", "")), IF(OR(N837="", N837=""), "[Aviso] Temporada no capturada ()", IF(ISNA(MATCH(N837, Criterios!$C$123:$C$128, 0)), "Temporada no válida", "")), IF(OR(O837="", O837=""), "[Aviso] Ciclo de vida no capturado ()", IF(ISNA(MATCH(O837, Criterios!$D$123:$D$124, 0)), "Ciclo de vida no válido", ""))))</f>
        <v/>
      </c>
      <c r="AC837" s="56" t="n"/>
      <c r="AD837" s="51" t="n"/>
      <c r="AE837" s="156" t="n"/>
      <c r="AF837" s="51" t="n"/>
      <c r="AG837" s="156" t="inlineStr">
        <is>
          <t>Nuevo – Carga Hoja2 01/10/2026</t>
        </is>
      </c>
      <c r="AH837" s="156" t="inlineStr">
        <is>
          <t>Alta 01/10/2026 desde Hoja2 (fila 865) | 01/10/2026: Odoo Universal Unique Brands trae Marca «Montana West» — se conservó el valor de Productos | Homologación G1522 06/10/2026: Validador Shopify: WB: precio con IVA no termina en 9</t>
        </is>
      </c>
      <c r="AI837" s="156" t="n"/>
      <c r="AJ837" s="156" t="n"/>
      <c r="AK837" s="155" t="inlineStr">
        <is>
          <t>Hoja2: fila 865 | Odoo: producto 11886 / plantilla 15321 | Odoo: producto 27362 / plantilla 34062</t>
        </is>
      </c>
      <c r="AL837" s="58" t="n"/>
      <c r="AM837" s="58" t="n"/>
      <c r="AN837" s="155" t="inlineStr">
        <is>
          <t>Odoo Universal Unique Brands</t>
        </is>
      </c>
      <c r="AO837" s="59" t="n"/>
      <c r="AP837" s="59" t="n"/>
      <c r="AQ837" s="59" t="n">
        <v>20</v>
      </c>
      <c r="AR837" s="155" t="inlineStr">
        <is>
          <t>Odoo Universal Unique Brands › Bodega 25 › Bodega 25/General: 21</t>
        </is>
      </c>
    </row>
    <row r="838">
      <c r="A838" s="50" t="inlineStr">
        <is>
          <t>717012192226</t>
        </is>
      </c>
      <c r="B838" s="51" t="inlineStr">
        <is>
          <t>18054</t>
        </is>
      </c>
      <c r="C838" s="156" t="inlineStr">
        <is>
          <t>Wrangler</t>
        </is>
      </c>
      <c r="D838" s="156" t="inlineStr">
        <is>
          <t>WG2203A-8120SBK</t>
        </is>
      </c>
      <c r="E838" s="156" t="inlineStr">
        <is>
          <t>WG2203A-8120SBK</t>
        </is>
      </c>
      <c r="F838" s="156" t="inlineStr">
        <is>
          <t>Talla única</t>
        </is>
      </c>
      <c r="G838" s="156" t="inlineStr">
        <is>
          <t>One Size</t>
        </is>
      </c>
      <c r="H838" s="156" t="inlineStr">
        <is>
          <t>Wrangler</t>
        </is>
      </c>
      <c r="I838" s="156" t="inlineStr">
        <is>
          <t>Bolsa Wrangler Negro</t>
        </is>
      </c>
      <c r="J838" s="156" t="inlineStr">
        <is>
          <t>Accesorios</t>
        </is>
      </c>
      <c r="K838" s="156" t="inlineStr">
        <is>
          <t>Bolsos</t>
        </is>
      </c>
      <c r="L838" s="156" t="inlineStr">
        <is>
          <t>Unisex</t>
        </is>
      </c>
      <c r="M838" s="156" t="inlineStr">
        <is>
          <t>Wrangler</t>
        </is>
      </c>
      <c r="N838" s="156" t="n"/>
      <c r="O838" s="156" t="inlineStr">
        <is>
          <t>Core</t>
        </is>
      </c>
      <c r="P838" s="156" t="inlineStr">
        <is>
          <t>Negro</t>
        </is>
      </c>
      <c r="Q838" s="156" t="n"/>
      <c r="R838" s="156" t="n"/>
      <c r="S838" s="156" t="n"/>
      <c r="T838" s="156" t="inlineStr">
        <is>
          <t>Bolsa Wrangler. Color: Negro. Talla única. Unisex. País de origen: México. Referencia: WG2203A-8120SBK.</t>
        </is>
      </c>
      <c r="U838" s="156" t="inlineStr">
        <is>
          <t>México</t>
        </is>
      </c>
      <c r="V838" s="156" t="inlineStr">
        <is>
          <t>PZS</t>
        </is>
      </c>
      <c r="W838" s="51" t="inlineStr">
        <is>
          <t>53121601</t>
        </is>
      </c>
      <c r="X838" s="156" t="n"/>
      <c r="Y838" s="54" t="n"/>
      <c r="Z838" s="54" t="n"/>
      <c r="AA838" s="55">
        <f>IF(AND(A838="", B838="", E838=""), "", IF(AB838="", "Válido", IF((LEN(AB838)-LEN(SUBSTITUTE(AB838,"; ","")))/2+1&gt;(LEN(AB838)-LEN(SUBSTITUTE(AB838,"[Aviso]","")))/7, "Con Incidencias", "Válido")))</f>
        <v/>
      </c>
      <c r="AB838" s="56">
        <f>IF(AND(A838="", B838="", E838=""), "", TEXTJOIN("; ", TRUE, IF(OR(TRIM(A838&amp;"")="", ISNUMBER(SEARCH("FALTA", A838))), "UPC faltante/inválido", ""), IF(AND(A838&lt;&gt;"", IFERROR(_xlfn.XMATCH(A838,$A$2:$A$1063,0,1)&lt;&gt;_xlfn.XMATCH(A838,$A$2:$A$1063,0,-1),FALSE)), "Código de barras duplicado", ""), IF(AND(E838&lt;&gt;"", COUNTIF($E$2:$E$1063, E838)&gt;1), "SKU duplicado", ""), IF(OR(J838="", J838=""), "[Aviso] División no capturada ()", IF(ISNA(MATCH(J838, Criterios!$A$123:$A$126, 0)), "División no válida", "")), IF(OR(K838="", K838=""), "[Aviso] Categoría no capturada ()", IF(ISNA(MATCH(K838, Criterios!$A$81:$A$120, 0)), "Categoría no válida", IF(AND(J838&lt;&gt;"", J838&lt;&gt;"", J838&lt;&gt;VLOOKUP(K838, Criterios!$A$81:$B$120, 2, FALSE)), "División no coincide con Categoría", ""))), IF(OR(L838="", L838=""), "[Aviso] Género no capturado ()", IF(ISNA(MATCH(L838, Criterios!$B$123:$B$127, 0)), "Género no válido", "")), IF(OR(N838="", N838=""), "[Aviso] Temporada no capturada ()", IF(ISNA(MATCH(N838, Criterios!$C$123:$C$128, 0)), "Temporada no válida", "")), IF(OR(O838="", O838=""), "[Aviso] Ciclo de vida no capturado ()", IF(ISNA(MATCH(O838, Criterios!$D$123:$D$124, 0)), "Ciclo de vida no válido", ""))))</f>
        <v/>
      </c>
      <c r="AC838" s="56" t="n"/>
      <c r="AD838" s="51" t="n"/>
      <c r="AE838" s="156" t="n"/>
      <c r="AF838" s="51" t="n"/>
      <c r="AG838" s="156" t="inlineStr">
        <is>
          <t>Nuevo – Carga Hoja2 01/10/2026</t>
        </is>
      </c>
      <c r="AH838" s="156" t="inlineStr">
        <is>
          <t>Alta 01/10/2026 desde Hoja2 (fila 866); Precio de compra en 0/vacío en origen; Precio de venta en 0/vacío en origen</t>
        </is>
      </c>
      <c r="AI838" s="156" t="n"/>
      <c r="AJ838" s="156" t="n"/>
      <c r="AK838" s="155" t="inlineStr">
        <is>
          <t>Hoja2: fila 866 | Odoo: producto 18054 / plantilla 22407</t>
        </is>
      </c>
      <c r="AL838" s="58" t="n"/>
      <c r="AM838" s="58" t="n"/>
      <c r="AN838" s="155" t="inlineStr">
        <is>
          <t>Odoo Universal Unique Brands</t>
        </is>
      </c>
      <c r="AO838" s="59" t="n"/>
      <c r="AP838" s="59" t="n"/>
      <c r="AQ838" s="59" t="n">
        <v>0</v>
      </c>
      <c r="AR838" s="155" t="n"/>
    </row>
    <row r="839">
      <c r="A839" s="50" t="inlineStr">
        <is>
          <t>717012192523</t>
        </is>
      </c>
      <c r="B839" s="51" t="inlineStr">
        <is>
          <t>22162</t>
        </is>
      </c>
      <c r="C839" s="156" t="inlineStr">
        <is>
          <t>Wrangler</t>
        </is>
      </c>
      <c r="D839" s="156" t="inlineStr">
        <is>
          <t>WG2204-9110HPK</t>
        </is>
      </c>
      <c r="E839" s="156" t="inlineStr">
        <is>
          <t>WG2204-9110HPK</t>
        </is>
      </c>
      <c r="F839" s="156" t="inlineStr">
        <is>
          <t>Talla única</t>
        </is>
      </c>
      <c r="G839" s="156" t="inlineStr">
        <is>
          <t>One Size</t>
        </is>
      </c>
      <c r="H839" s="156" t="inlineStr">
        <is>
          <t>Wrangler</t>
        </is>
      </c>
      <c r="I839" s="156" t="inlineStr">
        <is>
          <t>Mochila Wrangler Estampado Azteca Callie Rosa Fuerte</t>
        </is>
      </c>
      <c r="J839" s="156" t="inlineStr">
        <is>
          <t>Accesorios</t>
        </is>
      </c>
      <c r="K839" s="156" t="inlineStr">
        <is>
          <t>Mochilas</t>
        </is>
      </c>
      <c r="L839" s="156" t="inlineStr">
        <is>
          <t>Unisex</t>
        </is>
      </c>
      <c r="M839" s="156" t="inlineStr">
        <is>
          <t>Wrangler</t>
        </is>
      </c>
      <c r="N839" s="156" t="n"/>
      <c r="O839" s="156" t="inlineStr">
        <is>
          <t>Core</t>
        </is>
      </c>
      <c r="P839" s="156" t="inlineStr">
        <is>
          <t>Rosa</t>
        </is>
      </c>
      <c r="Q839" s="156" t="n"/>
      <c r="R839" s="156" t="n"/>
      <c r="S839" s="156" t="n"/>
      <c r="T839" s="156" t="inlineStr">
        <is>
          <t>Mochila Wrangler. Modelo: Estampado Azteca Callie. Color: Rosa Fuerte. Talla única. Unisex. País de origen: México. Referencia: WG2204-9110HPK.</t>
        </is>
      </c>
      <c r="U839" s="156" t="inlineStr">
        <is>
          <t>México</t>
        </is>
      </c>
      <c r="V839" s="156" t="inlineStr">
        <is>
          <t>PZS</t>
        </is>
      </c>
      <c r="W839" s="51" t="inlineStr">
        <is>
          <t>53121601</t>
        </is>
      </c>
      <c r="X839" s="156" t="inlineStr">
        <is>
          <t>https://m-universal-unique-brands.odoo.com/web/image/product.product/22162/image_1920</t>
        </is>
      </c>
      <c r="Y839" s="54" t="n">
        <v>12.75</v>
      </c>
      <c r="Z839" s="54" t="n">
        <v>479</v>
      </c>
      <c r="AA839" s="55">
        <f>IF(AND(A839="", B839="", E839=""), "", IF(AB839="", "Válido", IF((LEN(AB839)-LEN(SUBSTITUTE(AB839,"; ","")))/2+1&gt;(LEN(AB839)-LEN(SUBSTITUTE(AB839,"[Aviso]","")))/7, "Con Incidencias", "Válido")))</f>
        <v/>
      </c>
      <c r="AB839" s="56">
        <f>IF(AND(A839="", B839="", E839=""), "", TEXTJOIN("; ", TRUE, IF(OR(TRIM(A839&amp;"")="", ISNUMBER(SEARCH("FALTA", A839))), "UPC faltante/inválido", ""), IF(AND(A839&lt;&gt;"", IFERROR(_xlfn.XMATCH(A839,$A$2:$A$1063,0,1)&lt;&gt;_xlfn.XMATCH(A839,$A$2:$A$1063,0,-1),FALSE)), "Código de barras duplicado", ""), IF(AND(E839&lt;&gt;"", COUNTIF($E$2:$E$1063, E839)&gt;1), "SKU duplicado", ""), IF(OR(J839="", J839=""), "[Aviso] División no capturada ()", IF(ISNA(MATCH(J839, Criterios!$A$123:$A$126, 0)), "División no válida", "")), IF(OR(K839="", K839=""), "[Aviso] Categoría no capturada ()", IF(ISNA(MATCH(K839, Criterios!$A$81:$A$120, 0)), "Categoría no válida", IF(AND(J839&lt;&gt;"", J839&lt;&gt;"", J839&lt;&gt;VLOOKUP(K839, Criterios!$A$81:$B$120, 2, FALSE)), "División no coincide con Categoría", ""))), IF(OR(L839="", L839=""), "[Aviso] Género no capturado ()", IF(ISNA(MATCH(L839, Criterios!$B$123:$B$127, 0)), "Género no válido", "")), IF(OR(N839="", N839=""), "[Aviso] Temporada no capturada ()", IF(ISNA(MATCH(N839, Criterios!$C$123:$C$128, 0)), "Temporada no válida", "")), IF(OR(O839="", O839=""), "[Aviso] Ciclo de vida no capturado ()", IF(ISNA(MATCH(O839, Criterios!$D$123:$D$124, 0)), "Ciclo de vida no válido", ""))))</f>
        <v/>
      </c>
      <c r="AC839" s="56" t="n"/>
      <c r="AD839" s="51" t="n"/>
      <c r="AE839" s="156" t="n"/>
      <c r="AF839" s="51" t="n"/>
      <c r="AG839" s="156" t="inlineStr">
        <is>
          <t>Nuevo – Carga Hoja2 01/10/2026</t>
        </is>
      </c>
      <c r="AH839" s="156" t="inlineStr">
        <is>
          <t>Alta 01/10/2026 desde Hoja2 (fila 867) | 01/10/2026: complementado desde Odoo Universal Unique Brands (match por SKU): Enlace de imagen | 01/10/2026: Odoo Universal Unique Brands trae Marca «Montana West» — se conservó el valor de Productos | Homologación G1522 06/10/2026: Validación G1522: [Aviso] Precio de compra posiblemente en USD · Validador Shopify: WB: precio con IVA no termina en 9</t>
        </is>
      </c>
      <c r="AI839" s="156" t="n"/>
      <c r="AJ839" s="156" t="n"/>
      <c r="AK839" s="155" t="inlineStr">
        <is>
          <t>Hoja2: fila 867 | Odoo: producto 22162 / plantilla 28305 | Odoo: producto 27366 / plantilla 34066</t>
        </is>
      </c>
      <c r="AL839" s="58" t="n"/>
      <c r="AM839" s="58" t="n"/>
      <c r="AN839" s="155" t="inlineStr">
        <is>
          <t>Odoo Universal Unique Brands</t>
        </is>
      </c>
      <c r="AO839" s="59" t="n"/>
      <c r="AP839" s="59" t="n"/>
      <c r="AQ839" s="59" t="n">
        <v>0</v>
      </c>
      <c r="AR839" s="155" t="n"/>
    </row>
    <row r="840">
      <c r="A840" s="50" t="inlineStr">
        <is>
          <t>717012192561</t>
        </is>
      </c>
      <c r="B840" s="51" t="inlineStr">
        <is>
          <t>22027</t>
        </is>
      </c>
      <c r="C840" s="156" t="inlineStr">
        <is>
          <t>Wrangler</t>
        </is>
      </c>
      <c r="D840" s="156" t="inlineStr">
        <is>
          <t>WG2204-9110LV</t>
        </is>
      </c>
      <c r="E840" s="156" t="inlineStr">
        <is>
          <t>WG2204-9110LV</t>
        </is>
      </c>
      <c r="F840" s="156" t="inlineStr">
        <is>
          <t>Talla única</t>
        </is>
      </c>
      <c r="G840" s="156" t="inlineStr">
        <is>
          <t>One Size</t>
        </is>
      </c>
      <c r="H840" s="156" t="inlineStr">
        <is>
          <t>Wrangler</t>
        </is>
      </c>
      <c r="I840" s="156" t="inlineStr">
        <is>
          <t>Pañalera Wrangler Estampado Azteca Completo Lavanda</t>
        </is>
      </c>
      <c r="J840" s="156" t="inlineStr">
        <is>
          <t>Accesorios</t>
        </is>
      </c>
      <c r="K840" s="156" t="inlineStr">
        <is>
          <t>Mochilas</t>
        </is>
      </c>
      <c r="L840" s="156" t="inlineStr">
        <is>
          <t>Unisex</t>
        </is>
      </c>
      <c r="M840" s="156" t="inlineStr">
        <is>
          <t>Wrangler</t>
        </is>
      </c>
      <c r="N840" s="156" t="n"/>
      <c r="O840" s="156" t="inlineStr">
        <is>
          <t>Core</t>
        </is>
      </c>
      <c r="P840" s="156" t="inlineStr">
        <is>
          <t>Morado</t>
        </is>
      </c>
      <c r="Q840" s="156" t="n"/>
      <c r="R840" s="156" t="n"/>
      <c r="S840" s="156" t="n"/>
      <c r="T840" s="156" t="inlineStr">
        <is>
          <t>Pañalera Wrangler. Modelo: Estampado Azteca Completo. Color: Lavanda. Talla única. Unisex. País de origen: México. Referencia: WG2204-9110LV.</t>
        </is>
      </c>
      <c r="U840" s="156" t="inlineStr">
        <is>
          <t>México</t>
        </is>
      </c>
      <c r="V840" s="156" t="inlineStr">
        <is>
          <t>PZS</t>
        </is>
      </c>
      <c r="W840" s="51" t="inlineStr">
        <is>
          <t>53121701</t>
        </is>
      </c>
      <c r="X840" s="156" t="inlineStr">
        <is>
          <t>https://m-universal-unique-brands.odoo.com/web/image/product.product/22027/image_1920</t>
        </is>
      </c>
      <c r="Y840" s="54" t="n">
        <v>26.5</v>
      </c>
      <c r="Z840" s="54" t="n">
        <v>1519</v>
      </c>
      <c r="AA840" s="55">
        <f>IF(AND(A840="", B840="", E840=""), "", IF(AB840="", "Válido", IF((LEN(AB840)-LEN(SUBSTITUTE(AB840,"; ","")))/2+1&gt;(LEN(AB840)-LEN(SUBSTITUTE(AB840,"[Aviso]","")))/7, "Con Incidencias", "Válido")))</f>
        <v/>
      </c>
      <c r="AB840" s="56">
        <f>IF(AND(A840="", B840="", E840=""), "", TEXTJOIN("; ", TRUE, IF(OR(TRIM(A840&amp;"")="", ISNUMBER(SEARCH("FALTA", A840))), "UPC faltante/inválido", ""), IF(AND(A840&lt;&gt;"", IFERROR(_xlfn.XMATCH(A840,$A$2:$A$1063,0,1)&lt;&gt;_xlfn.XMATCH(A840,$A$2:$A$1063,0,-1),FALSE)), "Código de barras duplicado", ""), IF(AND(E840&lt;&gt;"", COUNTIF($E$2:$E$1063, E840)&gt;1), "SKU duplicado", ""), IF(OR(J840="", J840=""), "[Aviso] División no capturada ()", IF(ISNA(MATCH(J840, Criterios!$A$123:$A$126, 0)), "División no válida", "")), IF(OR(K840="", K840=""), "[Aviso] Categoría no capturada ()", IF(ISNA(MATCH(K840, Criterios!$A$81:$A$120, 0)), "Categoría no válida", IF(AND(J840&lt;&gt;"", J840&lt;&gt;"", J840&lt;&gt;VLOOKUP(K840, Criterios!$A$81:$B$120, 2, FALSE)), "División no coincide con Categoría", ""))), IF(OR(L840="", L840=""), "[Aviso] Género no capturado ()", IF(ISNA(MATCH(L840, Criterios!$B$123:$B$127, 0)), "Género no válido", "")), IF(OR(N840="", N840=""), "[Aviso] Temporada no capturada ()", IF(ISNA(MATCH(N840, Criterios!$C$123:$C$128, 0)), "Temporada no válida", "")), IF(OR(O840="", O840=""), "[Aviso] Ciclo de vida no capturado ()", IF(ISNA(MATCH(O840, Criterios!$D$123:$D$124, 0)), "Ciclo de vida no válido", ""))))</f>
        <v/>
      </c>
      <c r="AC840" s="56" t="n"/>
      <c r="AD840" s="51" t="n"/>
      <c r="AE840" s="156" t="n"/>
      <c r="AF840" s="51" t="n"/>
      <c r="AG840" s="156" t="inlineStr">
        <is>
          <t>Nuevo – Carga Hoja2 01/10/2026</t>
        </is>
      </c>
      <c r="AH840" s="156" t="inlineStr">
        <is>
          <t>Alta 01/10/2026 desde Hoja2 (fila 868)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40" s="156" t="n"/>
      <c r="AJ840" s="156" t="n"/>
      <c r="AK840" s="155" t="inlineStr">
        <is>
          <t>Hoja2: fila 868 | Odoo: producto 22027 / plantilla 28170 | Odoo: producto 27367 / plantilla 34067</t>
        </is>
      </c>
      <c r="AL840" s="58" t="n"/>
      <c r="AM840" s="58" t="n"/>
      <c r="AN840" s="155" t="inlineStr">
        <is>
          <t>Odoo Universal Unique Brands</t>
        </is>
      </c>
      <c r="AO840" s="59" t="n"/>
      <c r="AP840" s="59" t="n"/>
      <c r="AQ840" s="59" t="n">
        <v>9</v>
      </c>
      <c r="AR840" s="155" t="inlineStr">
        <is>
          <t>Odoo Universal Unique Brands › Bodega 25 › Bodega 25/General: 11</t>
        </is>
      </c>
    </row>
    <row r="841">
      <c r="A841" s="50" t="inlineStr">
        <is>
          <t>717325200991</t>
        </is>
      </c>
      <c r="B841" s="51" t="inlineStr">
        <is>
          <t>11473</t>
        </is>
      </c>
      <c r="C841" s="156" t="inlineStr">
        <is>
          <t>Wrangler</t>
        </is>
      </c>
      <c r="D841" s="156" t="inlineStr">
        <is>
          <t>WG2206-9110CF</t>
        </is>
      </c>
      <c r="E841" s="156" t="inlineStr">
        <is>
          <t>WG2206-9110CF</t>
        </is>
      </c>
      <c r="F841" s="156" t="inlineStr">
        <is>
          <t>Talla única</t>
        </is>
      </c>
      <c r="G841" s="156" t="inlineStr">
        <is>
          <t>One Size</t>
        </is>
      </c>
      <c r="H841" s="156" t="inlineStr">
        <is>
          <t>Wrangler</t>
        </is>
      </c>
      <c r="I841" s="156" t="inlineStr">
        <is>
          <t>Mochila Wrangler Estampado Azteca</t>
        </is>
      </c>
      <c r="J841" s="156" t="inlineStr">
        <is>
          <t>Accesorios</t>
        </is>
      </c>
      <c r="K841" s="156" t="inlineStr">
        <is>
          <t>Bolsos</t>
        </is>
      </c>
      <c r="L841" s="156" t="inlineStr">
        <is>
          <t>Unisex</t>
        </is>
      </c>
      <c r="M841" s="156" t="inlineStr">
        <is>
          <t>Wrangler</t>
        </is>
      </c>
      <c r="N841" s="156" t="n"/>
      <c r="O841" s="156" t="n"/>
      <c r="P841" s="156" t="inlineStr">
        <is>
          <t>Cafe</t>
        </is>
      </c>
      <c r="Q841" s="156" t="n"/>
      <c r="R841" s="156" t="n"/>
      <c r="S841" s="156" t="n"/>
      <c r="T841" s="156" t="inlineStr">
        <is>
          <t>Mochila</t>
        </is>
      </c>
      <c r="U841" s="156" t="inlineStr">
        <is>
          <t>México</t>
        </is>
      </c>
      <c r="V841" s="156" t="inlineStr">
        <is>
          <t>PZS</t>
        </is>
      </c>
      <c r="W841" s="51" t="inlineStr">
        <is>
          <t>53121601</t>
        </is>
      </c>
      <c r="X841" s="156" t="n"/>
      <c r="Y841" s="54" t="n">
        <v>276</v>
      </c>
      <c r="Z841" s="54" t="n">
        <v>449</v>
      </c>
      <c r="AA841" s="55">
        <f>IF(AND(A841="", B841="", E841=""), "", IF(AB841="", "Válido", IF((LEN(AB841)-LEN(SUBSTITUTE(AB841,"; ","")))/2+1&gt;(LEN(AB841)-LEN(SUBSTITUTE(AB841,"[Aviso]","")))/7, "Con Incidencias", "Válido")))</f>
        <v/>
      </c>
      <c r="AB841" s="56">
        <f>IF(AND(A841="", B841="", E841=""), "", TEXTJOIN("; ", TRUE, IF(OR(TRIM(A841&amp;"")="", ISNUMBER(SEARCH("FALTA", A841))), "UPC faltante/inválido", ""), IF(AND(A841&lt;&gt;"", IFERROR(_xlfn.XMATCH(A841,$A$2:$A$1063,0,1)&lt;&gt;_xlfn.XMATCH(A841,$A$2:$A$1063,0,-1),FALSE)), "Código de barras duplicado", ""), IF(AND(E841&lt;&gt;"", COUNTIF($E$2:$E$1063, E841)&gt;1), "SKU duplicado", ""), IF(OR(J841="", J841=""), "[Aviso] División no capturada ()", IF(ISNA(MATCH(J841, Criterios!$A$123:$A$126, 0)), "División no válida", "")), IF(OR(K841="", K841=""), "[Aviso] Categoría no capturada ()", IF(ISNA(MATCH(K841, Criterios!$A$81:$A$120, 0)), "Categoría no válida", IF(AND(J841&lt;&gt;"", J841&lt;&gt;"", J841&lt;&gt;VLOOKUP(K841, Criterios!$A$81:$B$120, 2, FALSE)), "División no coincide con Categoría", ""))), IF(OR(L841="", L841=""), "[Aviso] Género no capturado ()", IF(ISNA(MATCH(L841, Criterios!$B$123:$B$127, 0)), "Género no válido", "")), IF(OR(N841="", N841=""), "[Aviso] Temporada no capturada ()", IF(ISNA(MATCH(N841, Criterios!$C$123:$C$128, 0)), "Temporada no válida", "")), IF(OR(O841="", O841=""), "[Aviso] Ciclo de vida no capturado ()", IF(ISNA(MATCH(O841, Criterios!$D$123:$D$124, 0)), "Ciclo de vida no válido", ""))))</f>
        <v/>
      </c>
      <c r="AC841" s="56" t="n"/>
      <c r="AD841" s="51" t="n"/>
      <c r="AE841" s="156" t="n"/>
      <c r="AF841" s="51" t="n"/>
      <c r="AG841" s="156" t="inlineStr">
        <is>
          <t>Nuevo – Carga Hoja2 01/10/2026</t>
        </is>
      </c>
      <c r="AH841" s="156" t="inlineStr">
        <is>
          <t>Alta 01/10/2026 desde Hoja2 (fila 869) | 01/10/2026: complementado desde Odoo Universal Unique Brands (match por código de barras): WB Talla, WB Talla de EE. UU., WB Descripción larga | 01/10/2026: Odoo Universal Unique Brands trae Categoría «Mochilas» — se conservó el valor de Productos | Homologación G1522 06/10/2026: WB País de origen: «Mexico» → «México» (Corrección aplicada) · Validador Shopify: WB: precio con IVA no termina en 9</t>
        </is>
      </c>
      <c r="AI841" s="156" t="n"/>
      <c r="AJ841" s="156" t="n"/>
      <c r="AK841" s="155" t="inlineStr">
        <is>
          <t>Hoja2: fila 869 | Odoo: producto 11473 / plantilla 14908</t>
        </is>
      </c>
      <c r="AL841" s="58" t="n"/>
      <c r="AM841" s="58" t="n"/>
      <c r="AN841" s="155" t="inlineStr">
        <is>
          <t>Odoo Universal Unique Brands</t>
        </is>
      </c>
      <c r="AO841" s="59" t="n"/>
      <c r="AP841" s="59" t="n"/>
      <c r="AQ841" s="59" t="n">
        <v>21</v>
      </c>
      <c r="AR841" s="155" t="inlineStr">
        <is>
          <t>Odoo Universal Unique Brands › Bodega 25 › Bodega 25/General: 21</t>
        </is>
      </c>
    </row>
    <row r="842">
      <c r="A842" s="50" t="inlineStr">
        <is>
          <t>717325201059</t>
        </is>
      </c>
      <c r="B842" s="51" t="inlineStr">
        <is>
          <t>11226</t>
        </is>
      </c>
      <c r="C842" s="156" t="inlineStr">
        <is>
          <t>Wrangler</t>
        </is>
      </c>
      <c r="D842" s="156" t="inlineStr">
        <is>
          <t>WG2206-9110TQ</t>
        </is>
      </c>
      <c r="E842" s="156" t="inlineStr">
        <is>
          <t>WG2206-9110TQ</t>
        </is>
      </c>
      <c r="F842" s="156" t="inlineStr">
        <is>
          <t>Talla única</t>
        </is>
      </c>
      <c r="G842" s="156" t="inlineStr">
        <is>
          <t>One Size</t>
        </is>
      </c>
      <c r="H842" s="156" t="inlineStr">
        <is>
          <t>Wrangler</t>
        </is>
      </c>
      <c r="I842" s="156" t="inlineStr">
        <is>
          <t>Mochila Wrangler Estampado Azteca Turquesa</t>
        </is>
      </c>
      <c r="J842" s="156" t="inlineStr">
        <is>
          <t>Accesorios</t>
        </is>
      </c>
      <c r="K842" s="156" t="inlineStr">
        <is>
          <t>Mochilas</t>
        </is>
      </c>
      <c r="L842" s="156" t="inlineStr">
        <is>
          <t>Unisex</t>
        </is>
      </c>
      <c r="M842" s="156" t="inlineStr">
        <is>
          <t>Wrangler</t>
        </is>
      </c>
      <c r="N842" s="156" t="n"/>
      <c r="O842" s="156" t="inlineStr">
        <is>
          <t>Core</t>
        </is>
      </c>
      <c r="P842" s="156" t="inlineStr">
        <is>
          <t>Azul</t>
        </is>
      </c>
      <c r="Q842" s="156" t="n"/>
      <c r="R842" s="156" t="n"/>
      <c r="S842" s="156" t="n"/>
      <c r="T842" s="156" t="inlineStr">
        <is>
          <t>Mochila Wrangler. Modelo: Estampado Azteca. Color: Turquesa. Talla única. Unisex. País de origen: México. Referencia: WG2206-9110TQ.</t>
        </is>
      </c>
      <c r="U842" s="156" t="inlineStr">
        <is>
          <t>México</t>
        </is>
      </c>
      <c r="V842" s="156" t="inlineStr">
        <is>
          <t>PZS</t>
        </is>
      </c>
      <c r="W842" s="51" t="inlineStr">
        <is>
          <t>53121601</t>
        </is>
      </c>
      <c r="X842" s="156" t="inlineStr">
        <is>
          <t>https://m-universal-unique-brands.odoo.com/web/image/product.product/11226/image_1920</t>
        </is>
      </c>
      <c r="Y842" s="54" t="n">
        <v>276</v>
      </c>
      <c r="Z842" s="54" t="n">
        <v>449</v>
      </c>
      <c r="AA842" s="55">
        <f>IF(AND(A842="", B842="", E842=""), "", IF(AB842="", "Válido", IF((LEN(AB842)-LEN(SUBSTITUTE(AB842,"; ","")))/2+1&gt;(LEN(AB842)-LEN(SUBSTITUTE(AB842,"[Aviso]","")))/7, "Con Incidencias", "Válido")))</f>
        <v/>
      </c>
      <c r="AB842" s="56">
        <f>IF(AND(A842="", B842="", E842=""), "", TEXTJOIN("; ", TRUE, IF(OR(TRIM(A842&amp;"")="", ISNUMBER(SEARCH("FALTA", A842))), "UPC faltante/inválido", ""), IF(AND(A842&lt;&gt;"", IFERROR(_xlfn.XMATCH(A842,$A$2:$A$1063,0,1)&lt;&gt;_xlfn.XMATCH(A842,$A$2:$A$1063,0,-1),FALSE)), "Código de barras duplicado", ""), IF(AND(E842&lt;&gt;"", COUNTIF($E$2:$E$1063, E842)&gt;1), "SKU duplicado", ""), IF(OR(J842="", J842=""), "[Aviso] División no capturada ()", IF(ISNA(MATCH(J842, Criterios!$A$123:$A$126, 0)), "División no válida", "")), IF(OR(K842="", K842=""), "[Aviso] Categoría no capturada ()", IF(ISNA(MATCH(K842, Criterios!$A$81:$A$120, 0)), "Categoría no válida", IF(AND(J842&lt;&gt;"", J842&lt;&gt;"", J842&lt;&gt;VLOOKUP(K842, Criterios!$A$81:$B$120, 2, FALSE)), "División no coincide con Categoría", ""))), IF(OR(L842="", L842=""), "[Aviso] Género no capturado ()", IF(ISNA(MATCH(L842, Criterios!$B$123:$B$127, 0)), "Género no válido", "")), IF(OR(N842="", N842=""), "[Aviso] Temporada no capturada ()", IF(ISNA(MATCH(N842, Criterios!$C$123:$C$128, 0)), "Temporada no válida", "")), IF(OR(O842="", O842=""), "[Aviso] Ciclo de vida no capturado ()", IF(ISNA(MATCH(O842, Criterios!$D$123:$D$124, 0)), "Ciclo de vida no válido", ""))))</f>
        <v/>
      </c>
      <c r="AC842" s="56" t="n"/>
      <c r="AD842" s="51" t="n"/>
      <c r="AE842" s="156" t="n"/>
      <c r="AF842" s="51" t="n"/>
      <c r="AG842" s="156" t="inlineStr">
        <is>
          <t>Nuevo – Carga Hoja2 01/10/2026</t>
        </is>
      </c>
      <c r="AH842" s="156" t="inlineStr">
        <is>
          <t>Alta 01/10/2026 desde Hoja2 (fila 870) | 01/10/2026: complementado desde Odoo Universal Unique Brands (match por código de barras): Enlace de imagen | Homologación G1522 06/10/2026: Validador Shopify: WB: precio con IVA no termina en 9</t>
        </is>
      </c>
      <c r="AI842" s="156" t="n"/>
      <c r="AJ842" s="156" t="n"/>
      <c r="AK842" s="155" t="inlineStr">
        <is>
          <t>Hoja2: fila 870 | Odoo: producto 11226 / plantilla 14661</t>
        </is>
      </c>
      <c r="AL842" s="58" t="n"/>
      <c r="AM842" s="58" t="n"/>
      <c r="AN842" s="155" t="inlineStr">
        <is>
          <t>Odoo Universal Unique Brands</t>
        </is>
      </c>
      <c r="AO842" s="59" t="n"/>
      <c r="AP842" s="59" t="n"/>
      <c r="AQ842" s="59" t="n">
        <v>8</v>
      </c>
      <c r="AR842" s="155" t="inlineStr">
        <is>
          <t>Odoo Universal Unique Brands › Bodega 25 › Bodega 25/General: 8</t>
        </is>
      </c>
    </row>
    <row r="843">
      <c r="A843" s="50" t="inlineStr">
        <is>
          <t>717690443429</t>
        </is>
      </c>
      <c r="B843" s="51" t="inlineStr">
        <is>
          <t>22028</t>
        </is>
      </c>
      <c r="C843" s="156" t="inlineStr">
        <is>
          <t>Wrangler</t>
        </is>
      </c>
      <c r="D843" s="156" t="inlineStr">
        <is>
          <t>WG2209-8120SLBR</t>
        </is>
      </c>
      <c r="E843" s="156" t="inlineStr">
        <is>
          <t>WG2209-8120SLBR</t>
        </is>
      </c>
      <c r="F843" s="156" t="inlineStr">
        <is>
          <t>Talla única</t>
        </is>
      </c>
      <c r="G843" s="156" t="inlineStr">
        <is>
          <t>One Size</t>
        </is>
      </c>
      <c r="H843" s="156" t="inlineStr">
        <is>
          <t>Wrangler</t>
        </is>
      </c>
      <c r="I843" s="156" t="inlineStr">
        <is>
          <t>Bolsa Tote Cruzada Wrangler Azteca Doble Cara Leopardo Café</t>
        </is>
      </c>
      <c r="J843" s="156" t="inlineStr">
        <is>
          <t>Accesorios</t>
        </is>
      </c>
      <c r="K843" s="156" t="inlineStr">
        <is>
          <t>Bolsos</t>
        </is>
      </c>
      <c r="L843" s="156" t="inlineStr">
        <is>
          <t>Unisex</t>
        </is>
      </c>
      <c r="M843" s="156" t="inlineStr">
        <is>
          <t>Wrangler</t>
        </is>
      </c>
      <c r="N843" s="156" t="n"/>
      <c r="O843" s="156" t="inlineStr">
        <is>
          <t>Core</t>
        </is>
      </c>
      <c r="P843" s="156" t="inlineStr">
        <is>
          <t>Cafe</t>
        </is>
      </c>
      <c r="Q843" s="156" t="n"/>
      <c r="R843" s="156" t="n"/>
      <c r="S843" s="156" t="n"/>
      <c r="T843" s="156" t="inlineStr">
        <is>
          <t>Bolsa Tote Cruzada Wrangler. Modelo: Azteca Doble Cara. Color: Leopardo Café. Talla única. Unisex. País de origen: México. Referencia: WG2209-8120SLBR.</t>
        </is>
      </c>
      <c r="U843" s="156" t="inlineStr">
        <is>
          <t>México</t>
        </is>
      </c>
      <c r="V843" s="156" t="inlineStr">
        <is>
          <t>PZS</t>
        </is>
      </c>
      <c r="W843" s="51" t="inlineStr">
        <is>
          <t>53121601</t>
        </is>
      </c>
      <c r="X843" s="156" t="inlineStr">
        <is>
          <t>https://m-universal-unique-brands.odoo.com/web/image/product.product/22028/image_1920</t>
        </is>
      </c>
      <c r="Y843" s="54" t="n">
        <v>22</v>
      </c>
      <c r="Z843" s="54" t="n">
        <v>639</v>
      </c>
      <c r="AA843" s="55">
        <f>IF(AND(A843="", B843="", E843=""), "", IF(AB843="", "Válido", IF((LEN(AB843)-LEN(SUBSTITUTE(AB843,"; ","")))/2+1&gt;(LEN(AB843)-LEN(SUBSTITUTE(AB843,"[Aviso]","")))/7, "Con Incidencias", "Válido")))</f>
        <v/>
      </c>
      <c r="AB843" s="56">
        <f>IF(AND(A843="", B843="", E843=""), "", TEXTJOIN("; ", TRUE, IF(OR(TRIM(A843&amp;"")="", ISNUMBER(SEARCH("FALTA", A843))), "UPC faltante/inválido", ""), IF(AND(A843&lt;&gt;"", IFERROR(_xlfn.XMATCH(A843,$A$2:$A$1063,0,1)&lt;&gt;_xlfn.XMATCH(A843,$A$2:$A$1063,0,-1),FALSE)), "Código de barras duplicado", ""), IF(AND(E843&lt;&gt;"", COUNTIF($E$2:$E$1063, E843)&gt;1), "SKU duplicado", ""), IF(OR(J843="", J843=""), "[Aviso] División no capturada ()", IF(ISNA(MATCH(J843, Criterios!$A$123:$A$126, 0)), "División no válida", "")), IF(OR(K843="", K843=""), "[Aviso] Categoría no capturada ()", IF(ISNA(MATCH(K843, Criterios!$A$81:$A$120, 0)), "Categoría no válida", IF(AND(J843&lt;&gt;"", J843&lt;&gt;"", J843&lt;&gt;VLOOKUP(K843, Criterios!$A$81:$B$120, 2, FALSE)), "División no coincide con Categoría", ""))), IF(OR(L843="", L843=""), "[Aviso] Género no capturado ()", IF(ISNA(MATCH(L843, Criterios!$B$123:$B$127, 0)), "Género no válido", "")), IF(OR(N843="", N843=""), "[Aviso] Temporada no capturada ()", IF(ISNA(MATCH(N843, Criterios!$C$123:$C$128, 0)), "Temporada no válida", "")), IF(OR(O843="", O843=""), "[Aviso] Ciclo de vida no capturado ()", IF(ISNA(MATCH(O843, Criterios!$D$123:$D$124, 0)), "Ciclo de vida no válido", ""))))</f>
        <v/>
      </c>
      <c r="AC843" s="56" t="n"/>
      <c r="AD843" s="51" t="n"/>
      <c r="AE843" s="156" t="n"/>
      <c r="AF843" s="51" t="n"/>
      <c r="AG843" s="156" t="inlineStr">
        <is>
          <t>Nuevo – Carga Hoja2 01/10/2026</t>
        </is>
      </c>
      <c r="AH843" s="156" t="inlineStr">
        <is>
          <t>Alta 01/10/2026 desde Hoja2 (fila 871) | 01/10/2026: complementado desde Odoo Universal Unique Brands (match por código de barras): Enlace de imagen | Homologación G1522 06/10/2026: Validador Shopify: WB: precio con IVA no termina en 9</t>
        </is>
      </c>
      <c r="AI843" s="156" t="n"/>
      <c r="AJ843" s="156" t="n"/>
      <c r="AK843" s="155" t="inlineStr">
        <is>
          <t>Hoja2: fila 871 | Odoo: producto 22028 / plantilla 28171</t>
        </is>
      </c>
      <c r="AL843" s="58" t="n"/>
      <c r="AM843" s="58" t="n"/>
      <c r="AN843" s="155" t="inlineStr">
        <is>
          <t>Odoo Universal Unique Brands</t>
        </is>
      </c>
      <c r="AO843" s="59" t="n"/>
      <c r="AP843" s="59" t="n"/>
      <c r="AQ843" s="59" t="n">
        <v>-6</v>
      </c>
      <c r="AR843" s="155" t="n"/>
    </row>
    <row r="844">
      <c r="A844" s="50" t="inlineStr">
        <is>
          <t>717325202667</t>
        </is>
      </c>
      <c r="B844" s="51" t="inlineStr">
        <is>
          <t>22029</t>
        </is>
      </c>
      <c r="C844" s="156" t="inlineStr">
        <is>
          <t>Wrangler</t>
        </is>
      </c>
      <c r="D844" s="156" t="inlineStr">
        <is>
          <t>WG2210-9110CF</t>
        </is>
      </c>
      <c r="E844" s="156" t="inlineStr">
        <is>
          <t>WG2210-9110CF</t>
        </is>
      </c>
      <c r="F844" s="156" t="inlineStr">
        <is>
          <t>Talla única</t>
        </is>
      </c>
      <c r="G844" s="156" t="inlineStr">
        <is>
          <t>One Size</t>
        </is>
      </c>
      <c r="H844" s="156" t="inlineStr">
        <is>
          <t>Wrangler</t>
        </is>
      </c>
      <c r="I844" s="156" t="inlineStr">
        <is>
          <t>Mochila Wrangler Estampado Azteca Callie Café Oscuro</t>
        </is>
      </c>
      <c r="J844" s="156" t="inlineStr">
        <is>
          <t>Accesorios</t>
        </is>
      </c>
      <c r="K844" s="156" t="inlineStr">
        <is>
          <t>Mochilas</t>
        </is>
      </c>
      <c r="L844" s="156" t="inlineStr">
        <is>
          <t>Unisex</t>
        </is>
      </c>
      <c r="M844" s="156" t="inlineStr">
        <is>
          <t>Wrangler</t>
        </is>
      </c>
      <c r="N844" s="156" t="n"/>
      <c r="O844" s="156" t="inlineStr">
        <is>
          <t>Core</t>
        </is>
      </c>
      <c r="P844" s="156" t="inlineStr">
        <is>
          <t>Cafe</t>
        </is>
      </c>
      <c r="Q844" s="156" t="n"/>
      <c r="R844" s="156" t="n"/>
      <c r="S844" s="156" t="n"/>
      <c r="T844" s="156" t="inlineStr">
        <is>
          <t>Mochila Wrangler. Modelo: Estampado Azteca Callie. Color: Café Oscuro. Talla única. Unisex. País de origen: México. Referencia: WG2210-9110CF.</t>
        </is>
      </c>
      <c r="U844" s="156" t="inlineStr">
        <is>
          <t>México</t>
        </is>
      </c>
      <c r="V844" s="156" t="inlineStr">
        <is>
          <t>PZS</t>
        </is>
      </c>
      <c r="W844" s="51" t="inlineStr">
        <is>
          <t>53121701</t>
        </is>
      </c>
      <c r="X844" s="156" t="inlineStr">
        <is>
          <t>https://m-universal-unique-brands.odoo.com/web/image/product.product/22029/image_1920</t>
        </is>
      </c>
      <c r="Y844" s="54" t="n">
        <v>30</v>
      </c>
      <c r="Z844" s="54" t="n">
        <v>1679</v>
      </c>
      <c r="AA844" s="55">
        <f>IF(AND(A844="", B844="", E844=""), "", IF(AB844="", "Válido", IF((LEN(AB844)-LEN(SUBSTITUTE(AB844,"; ","")))/2+1&gt;(LEN(AB844)-LEN(SUBSTITUTE(AB844,"[Aviso]","")))/7, "Con Incidencias", "Válido")))</f>
        <v/>
      </c>
      <c r="AB844" s="56">
        <f>IF(AND(A844="", B844="", E844=""), "", TEXTJOIN("; ", TRUE, IF(OR(TRIM(A844&amp;"")="", ISNUMBER(SEARCH("FALTA", A844))), "UPC faltante/inválido", ""), IF(AND(A844&lt;&gt;"", IFERROR(_xlfn.XMATCH(A844,$A$2:$A$1063,0,1)&lt;&gt;_xlfn.XMATCH(A844,$A$2:$A$1063,0,-1),FALSE)), "Código de barras duplicado", ""), IF(AND(E844&lt;&gt;"", COUNTIF($E$2:$E$1063, E844)&gt;1), "SKU duplicado", ""), IF(OR(J844="", J844=""), "[Aviso] División no capturada ()", IF(ISNA(MATCH(J844, Criterios!$A$123:$A$126, 0)), "División no válida", "")), IF(OR(K844="", K844=""), "[Aviso] Categoría no capturada ()", IF(ISNA(MATCH(K844, Criterios!$A$81:$A$120, 0)), "Categoría no válida", IF(AND(J844&lt;&gt;"", J844&lt;&gt;"", J844&lt;&gt;VLOOKUP(K844, Criterios!$A$81:$B$120, 2, FALSE)), "División no coincide con Categoría", ""))), IF(OR(L844="", L844=""), "[Aviso] Género no capturado ()", IF(ISNA(MATCH(L844, Criterios!$B$123:$B$127, 0)), "Género no válido", "")), IF(OR(N844="", N844=""), "[Aviso] Temporada no capturada ()", IF(ISNA(MATCH(N844, Criterios!$C$123:$C$128, 0)), "Temporada no válida", "")), IF(OR(O844="", O844=""), "[Aviso] Ciclo de vida no capturado ()", IF(ISNA(MATCH(O844, Criterios!$D$123:$D$124, 0)), "Ciclo de vida no válido", ""))))</f>
        <v/>
      </c>
      <c r="AC844" s="56" t="n"/>
      <c r="AD844" s="51" t="n"/>
      <c r="AE844" s="156" t="n"/>
      <c r="AF844" s="51" t="n"/>
      <c r="AG844" s="156" t="inlineStr">
        <is>
          <t>Nuevo – Carga Hoja2 01/10/2026</t>
        </is>
      </c>
      <c r="AH844" s="156" t="inlineStr">
        <is>
          <t>Alta 01/10/2026 desde Hoja2 (fila 872)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44" s="156" t="n"/>
      <c r="AJ844" s="156" t="n"/>
      <c r="AK844" s="155" t="inlineStr">
        <is>
          <t>Hoja2: fila 872 | Odoo: producto 22029 / plantilla 28172 | Odoo: producto 27375 / plantilla 34075</t>
        </is>
      </c>
      <c r="AL844" s="58" t="n"/>
      <c r="AM844" s="58" t="n"/>
      <c r="AN844" s="155" t="inlineStr">
        <is>
          <t>Odoo Universal Unique Brands</t>
        </is>
      </c>
      <c r="AO844" s="59" t="n"/>
      <c r="AP844" s="59" t="n"/>
      <c r="AQ844" s="59" t="n">
        <v>5</v>
      </c>
      <c r="AR844" s="155" t="inlineStr">
        <is>
          <t>Odoo Universal Unique Brands › Bodega 25 › Bodega 25/General: 11</t>
        </is>
      </c>
    </row>
    <row r="845">
      <c r="A845" s="50" t="inlineStr">
        <is>
          <t>717019691210</t>
        </is>
      </c>
      <c r="B845" s="51" t="inlineStr">
        <is>
          <t>15594</t>
        </is>
      </c>
      <c r="C845" s="156" t="inlineStr">
        <is>
          <t>Wrangler</t>
        </is>
      </c>
      <c r="D845" s="156" t="inlineStr">
        <is>
          <t>WG2211-3003DPK</t>
        </is>
      </c>
      <c r="E845" s="156" t="inlineStr">
        <is>
          <t>WG2211-3003DPK</t>
        </is>
      </c>
      <c r="F845" s="156" t="inlineStr">
        <is>
          <t>Talla única</t>
        </is>
      </c>
      <c r="G845" s="156" t="inlineStr">
        <is>
          <t>One Size</t>
        </is>
      </c>
      <c r="H845" s="156" t="inlineStr">
        <is>
          <t>Wrangler</t>
        </is>
      </c>
      <c r="I845" s="156" t="inlineStr">
        <is>
          <t>Bolsa Cruzada Wrangler Estampado Suroeste Doble Cara Con Compartimento Para Cartera Rosa Oscuro</t>
        </is>
      </c>
      <c r="J845" s="156" t="inlineStr">
        <is>
          <t>Accesorios</t>
        </is>
      </c>
      <c r="K845" s="156" t="inlineStr">
        <is>
          <t>Bolsos</t>
        </is>
      </c>
      <c r="L845" s="156" t="inlineStr">
        <is>
          <t>Unisex</t>
        </is>
      </c>
      <c r="M845" s="156" t="inlineStr">
        <is>
          <t>Wrangler</t>
        </is>
      </c>
      <c r="N845" s="156" t="n"/>
      <c r="O845" s="156" t="inlineStr">
        <is>
          <t>Core</t>
        </is>
      </c>
      <c r="P845" s="156" t="inlineStr">
        <is>
          <t>Rosa</t>
        </is>
      </c>
      <c r="Q845" s="156" t="n"/>
      <c r="R845" s="156" t="n"/>
      <c r="S845" s="156" t="n"/>
      <c r="T845" s="156" t="inlineStr">
        <is>
          <t>Bolsa Cruzada Wrangler. Modelo: Estampado Suroeste Doble Cara Con Compartimento Para Cartera. Color: Rosa Oscuro. Talla única. Unisex. País de origen: México. Referencia: WG2211-3003DPK.</t>
        </is>
      </c>
      <c r="U845" s="156" t="inlineStr">
        <is>
          <t>México</t>
        </is>
      </c>
      <c r="V845" s="156" t="inlineStr">
        <is>
          <t>PZS</t>
        </is>
      </c>
      <c r="W845" s="51" t="inlineStr">
        <is>
          <t>53121601</t>
        </is>
      </c>
      <c r="X845" s="156" t="inlineStr">
        <is>
          <t>https://m-universal-unique-brands.odoo.com/web/image/product.product/15594/image_1920</t>
        </is>
      </c>
      <c r="Y845" s="54" t="n"/>
      <c r="Z845" s="54" t="n">
        <v>609</v>
      </c>
      <c r="AA845" s="55">
        <f>IF(AND(A845="", B845="", E845=""), "", IF(AB845="", "Válido", IF((LEN(AB845)-LEN(SUBSTITUTE(AB845,"; ","")))/2+1&gt;(LEN(AB845)-LEN(SUBSTITUTE(AB845,"[Aviso]","")))/7, "Con Incidencias", "Válido")))</f>
        <v/>
      </c>
      <c r="AB845" s="56">
        <f>IF(AND(A845="", B845="", E845=""), "", TEXTJOIN("; ", TRUE, IF(OR(TRIM(A845&amp;"")="", ISNUMBER(SEARCH("FALTA", A845))), "UPC faltante/inválido", ""), IF(AND(A845&lt;&gt;"", IFERROR(_xlfn.XMATCH(A845,$A$2:$A$1063,0,1)&lt;&gt;_xlfn.XMATCH(A845,$A$2:$A$1063,0,-1),FALSE)), "Código de barras duplicado", ""), IF(AND(E845&lt;&gt;"", COUNTIF($E$2:$E$1063, E845)&gt;1), "SKU duplicado", ""), IF(OR(J845="", J845=""), "[Aviso] División no capturada ()", IF(ISNA(MATCH(J845, Criterios!$A$123:$A$126, 0)), "División no válida", "")), IF(OR(K845="", K845=""), "[Aviso] Categoría no capturada ()", IF(ISNA(MATCH(K845, Criterios!$A$81:$A$120, 0)), "Categoría no válida", IF(AND(J845&lt;&gt;"", J845&lt;&gt;"", J845&lt;&gt;VLOOKUP(K845, Criterios!$A$81:$B$120, 2, FALSE)), "División no coincide con Categoría", ""))), IF(OR(L845="", L845=""), "[Aviso] Género no capturado ()", IF(ISNA(MATCH(L845, Criterios!$B$123:$B$127, 0)), "Género no válido", "")), IF(OR(N845="", N845=""), "[Aviso] Temporada no capturada ()", IF(ISNA(MATCH(N845, Criterios!$C$123:$C$128, 0)), "Temporada no válida", "")), IF(OR(O845="", O845=""), "[Aviso] Ciclo de vida no capturado ()", IF(ISNA(MATCH(O845, Criterios!$D$123:$D$124, 0)), "Ciclo de vida no válido", ""))))</f>
        <v/>
      </c>
      <c r="AC845" s="56" t="n"/>
      <c r="AD845" s="51" t="n"/>
      <c r="AE845" s="156" t="n"/>
      <c r="AF845" s="51" t="n"/>
      <c r="AG845" s="156" t="inlineStr">
        <is>
          <t>Nuevo – Carga Hoja2 01/10/2026</t>
        </is>
      </c>
      <c r="AH845" s="156" t="inlineStr">
        <is>
          <t>Alta 01/10/2026 desde Hoja2 (fila 873); Precio de compra en 0/vacío en origen | 01/10/2026: complementado desde Odoo Universal Unique Brands (match por código de barras): Enlace de imagen | Homologación G1522 06/10/2026: Validador Shopify: WB: precio con IVA no termina en 9</t>
        </is>
      </c>
      <c r="AI845" s="156" t="n"/>
      <c r="AJ845" s="156" t="n"/>
      <c r="AK845" s="155" t="inlineStr">
        <is>
          <t>Hoja2: fila 873 | Odoo: producto 15594 / plantilla 19947</t>
        </is>
      </c>
      <c r="AL845" s="58" t="n"/>
      <c r="AM845" s="58" t="n"/>
      <c r="AN845" s="155" t="inlineStr">
        <is>
          <t>Odoo Universal Unique Brands</t>
        </is>
      </c>
      <c r="AO845" s="59" t="n"/>
      <c r="AP845" s="59" t="n"/>
      <c r="AQ845" s="59" t="n">
        <v>49</v>
      </c>
      <c r="AR845" s="155" t="inlineStr">
        <is>
          <t>Odoo Universal Unique Brands › Bodega 25 › Bodega 25/General: 49</t>
        </is>
      </c>
    </row>
    <row r="846">
      <c r="A846" s="50" t="inlineStr">
        <is>
          <t>717019690978</t>
        </is>
      </c>
      <c r="B846" s="51" t="inlineStr">
        <is>
          <t>22030</t>
        </is>
      </c>
      <c r="C846" s="156" t="inlineStr">
        <is>
          <t>Wrangler</t>
        </is>
      </c>
      <c r="D846" s="156" t="inlineStr">
        <is>
          <t>WG2211-8120SBK</t>
        </is>
      </c>
      <c r="E846" s="156" t="inlineStr">
        <is>
          <t>WG2211-8120SBK</t>
        </is>
      </c>
      <c r="F846" s="156" t="inlineStr">
        <is>
          <t>Talla única</t>
        </is>
      </c>
      <c r="G846" s="156" t="inlineStr">
        <is>
          <t>One Size</t>
        </is>
      </c>
      <c r="H846" s="156" t="inlineStr">
        <is>
          <t>Wrangler</t>
        </is>
      </c>
      <c r="I846" s="156" t="inlineStr">
        <is>
          <t>Bolsa De Mano Wrangler Estampado Suroeste De Lona Chica Negro</t>
        </is>
      </c>
      <c r="J846" s="156" t="inlineStr">
        <is>
          <t>Accesorios</t>
        </is>
      </c>
      <c r="K846" s="156" t="inlineStr">
        <is>
          <t>Bolsos</t>
        </is>
      </c>
      <c r="L846" s="156" t="inlineStr">
        <is>
          <t>Unisex</t>
        </is>
      </c>
      <c r="M846" s="156" t="inlineStr">
        <is>
          <t>Wrangler</t>
        </is>
      </c>
      <c r="N846" s="156" t="n"/>
      <c r="O846" s="156" t="inlineStr">
        <is>
          <t>Core</t>
        </is>
      </c>
      <c r="P846" s="156" t="inlineStr">
        <is>
          <t>Negro</t>
        </is>
      </c>
      <c r="Q846" s="156" t="n"/>
      <c r="R846" s="156" t="n"/>
      <c r="S846" s="156" t="n"/>
      <c r="T846" s="156" t="inlineStr">
        <is>
          <t>Bolsa De Mano Wrangler. Modelo: Estampado Suroeste De Lona Chica. Color: Negro. Talla única. Unisex. País de origen: México. Referencia: WG2211-8120SBK.</t>
        </is>
      </c>
      <c r="U846" s="156" t="inlineStr">
        <is>
          <t>México</t>
        </is>
      </c>
      <c r="V846" s="156" t="inlineStr">
        <is>
          <t>PZS</t>
        </is>
      </c>
      <c r="W846" s="51" t="inlineStr">
        <is>
          <t>53121601</t>
        </is>
      </c>
      <c r="X846" s="156" t="inlineStr">
        <is>
          <t>https://m-universal-unique-brands.odoo.com/web/image/product.product/22030/image_1920</t>
        </is>
      </c>
      <c r="Y846" s="54" t="n">
        <v>18</v>
      </c>
      <c r="Z846" s="54" t="n">
        <v>719</v>
      </c>
      <c r="AA846" s="55">
        <f>IF(AND(A846="", B846="", E846=""), "", IF(AB846="", "Válido", IF((LEN(AB846)-LEN(SUBSTITUTE(AB846,"; ","")))/2+1&gt;(LEN(AB846)-LEN(SUBSTITUTE(AB846,"[Aviso]","")))/7, "Con Incidencias", "Válido")))</f>
        <v/>
      </c>
      <c r="AB846" s="56">
        <f>IF(AND(A846="", B846="", E846=""), "", TEXTJOIN("; ", TRUE, IF(OR(TRIM(A846&amp;"")="", ISNUMBER(SEARCH("FALTA", A846))), "UPC faltante/inválido", ""), IF(AND(A846&lt;&gt;"", IFERROR(_xlfn.XMATCH(A846,$A$2:$A$1063,0,1)&lt;&gt;_xlfn.XMATCH(A846,$A$2:$A$1063,0,-1),FALSE)), "Código de barras duplicado", ""), IF(AND(E846&lt;&gt;"", COUNTIF($E$2:$E$1063, E846)&gt;1), "SKU duplicado", ""), IF(OR(J846="", J846=""), "[Aviso] División no capturada ()", IF(ISNA(MATCH(J846, Criterios!$A$123:$A$126, 0)), "División no válida", "")), IF(OR(K846="", K846=""), "[Aviso] Categoría no capturada ()", IF(ISNA(MATCH(K846, Criterios!$A$81:$A$120, 0)), "Categoría no válida", IF(AND(J846&lt;&gt;"", J846&lt;&gt;"", J846&lt;&gt;VLOOKUP(K846, Criterios!$A$81:$B$120, 2, FALSE)), "División no coincide con Categoría", ""))), IF(OR(L846="", L846=""), "[Aviso] Género no capturado ()", IF(ISNA(MATCH(L846, Criterios!$B$123:$B$127, 0)), "Género no válido", "")), IF(OR(N846="", N846=""), "[Aviso] Temporada no capturada ()", IF(ISNA(MATCH(N846, Criterios!$C$123:$C$128, 0)), "Temporada no válida", "")), IF(OR(O846="", O846=""), "[Aviso] Ciclo de vida no capturado ()", IF(ISNA(MATCH(O846, Criterios!$D$123:$D$124, 0)), "Ciclo de vida no válido", ""))))</f>
        <v/>
      </c>
      <c r="AC846" s="56" t="n"/>
      <c r="AD846" s="51" t="n"/>
      <c r="AE846" s="156" t="n"/>
      <c r="AF846" s="51" t="n"/>
      <c r="AG846" s="156" t="inlineStr">
        <is>
          <t>Nuevo – Carga Hoja2 01/10/2026</t>
        </is>
      </c>
      <c r="AH846" s="156" t="inlineStr">
        <is>
          <t>Alta 01/10/2026 desde Hoja2 (fila 875) | 01/10/2026: complementado desde Odoo Universal Unique Brands (match por código de barras): Enlace de imagen | Homologación G1522 06/10/2026: Validación G1522: [Aviso] Precio de compra posiblemente en USD · Validador Shopify: WB: precio con IVA no termina en 9</t>
        </is>
      </c>
      <c r="AI846" s="156" t="n"/>
      <c r="AJ846" s="156" t="n"/>
      <c r="AK846" s="155" t="inlineStr">
        <is>
          <t>Hoja2: fila 875 | Odoo: producto 22030 / plantilla 28173</t>
        </is>
      </c>
      <c r="AL846" s="58" t="n"/>
      <c r="AM846" s="58" t="n"/>
      <c r="AN846" s="155" t="inlineStr">
        <is>
          <t>Odoo Universal Unique Brands</t>
        </is>
      </c>
      <c r="AO846" s="59" t="n"/>
      <c r="AP846" s="59" t="n"/>
      <c r="AQ846" s="59" t="n">
        <v>-5</v>
      </c>
      <c r="AR846" s="155" t="n"/>
    </row>
    <row r="847">
      <c r="A847" s="50" t="inlineStr">
        <is>
          <t>717019691067</t>
        </is>
      </c>
      <c r="B847" s="51" t="inlineStr">
        <is>
          <t>22031</t>
        </is>
      </c>
      <c r="C847" s="156" t="inlineStr">
        <is>
          <t>Wrangler</t>
        </is>
      </c>
      <c r="D847" s="156" t="inlineStr">
        <is>
          <t>WG2211-8120SDPK</t>
        </is>
      </c>
      <c r="E847" s="156" t="inlineStr">
        <is>
          <t>WG2211-8120SDPK</t>
        </is>
      </c>
      <c r="F847" s="156" t="inlineStr">
        <is>
          <t>Talla única</t>
        </is>
      </c>
      <c r="G847" s="156" t="inlineStr">
        <is>
          <t>One Size</t>
        </is>
      </c>
      <c r="H847" s="156" t="inlineStr">
        <is>
          <t>Wrangler</t>
        </is>
      </c>
      <c r="I847" s="156" t="inlineStr">
        <is>
          <t>Bolsa De Mano Wrangler Estampado Suroeste Doble Cara Rosa Oscuro</t>
        </is>
      </c>
      <c r="J847" s="156" t="inlineStr">
        <is>
          <t>Accesorios</t>
        </is>
      </c>
      <c r="K847" s="156" t="inlineStr">
        <is>
          <t>Bolsos</t>
        </is>
      </c>
      <c r="L847" s="156" t="inlineStr">
        <is>
          <t>Unisex</t>
        </is>
      </c>
      <c r="M847" s="156" t="inlineStr">
        <is>
          <t>Wrangler</t>
        </is>
      </c>
      <c r="N847" s="156" t="n"/>
      <c r="O847" s="156" t="inlineStr">
        <is>
          <t>Core</t>
        </is>
      </c>
      <c r="P847" s="156" t="inlineStr">
        <is>
          <t>Rosa</t>
        </is>
      </c>
      <c r="Q847" s="156" t="n"/>
      <c r="R847" s="156" t="n"/>
      <c r="S847" s="156" t="n"/>
      <c r="T847" s="156" t="inlineStr">
        <is>
          <t>Bolsa De Mano Wrangler. Modelo: Estampado Suroeste Doble Cara. Color: Rosa Oscuro. Talla única. Unisex. País de origen: México. Referencia: WG2211-8120SDPK.</t>
        </is>
      </c>
      <c r="U847" s="156" t="inlineStr">
        <is>
          <t>México</t>
        </is>
      </c>
      <c r="V847" s="156" t="inlineStr">
        <is>
          <t>PZS</t>
        </is>
      </c>
      <c r="W847" s="51" t="inlineStr">
        <is>
          <t>53121601</t>
        </is>
      </c>
      <c r="X847" s="156" t="inlineStr">
        <is>
          <t>https://m-universal-unique-brands.odoo.com/web/image/product.product/22031/image_1920</t>
        </is>
      </c>
      <c r="Y847" s="54" t="n">
        <v>18</v>
      </c>
      <c r="Z847" s="54" t="n">
        <v>719</v>
      </c>
      <c r="AA847" s="55">
        <f>IF(AND(A847="", B847="", E847=""), "", IF(AB847="", "Válido", IF((LEN(AB847)-LEN(SUBSTITUTE(AB847,"; ","")))/2+1&gt;(LEN(AB847)-LEN(SUBSTITUTE(AB847,"[Aviso]","")))/7, "Con Incidencias", "Válido")))</f>
        <v/>
      </c>
      <c r="AB847" s="56">
        <f>IF(AND(A847="", B847="", E847=""), "", TEXTJOIN("; ", TRUE, IF(OR(TRIM(A847&amp;"")="", ISNUMBER(SEARCH("FALTA", A847))), "UPC faltante/inválido", ""), IF(AND(A847&lt;&gt;"", IFERROR(_xlfn.XMATCH(A847,$A$2:$A$1063,0,1)&lt;&gt;_xlfn.XMATCH(A847,$A$2:$A$1063,0,-1),FALSE)), "Código de barras duplicado", ""), IF(AND(E847&lt;&gt;"", COUNTIF($E$2:$E$1063, E847)&gt;1), "SKU duplicado", ""), IF(OR(J847="", J847=""), "[Aviso] División no capturada ()", IF(ISNA(MATCH(J847, Criterios!$A$123:$A$126, 0)), "División no válida", "")), IF(OR(K847="", K847=""), "[Aviso] Categoría no capturada ()", IF(ISNA(MATCH(K847, Criterios!$A$81:$A$120, 0)), "Categoría no válida", IF(AND(J847&lt;&gt;"", J847&lt;&gt;"", J847&lt;&gt;VLOOKUP(K847, Criterios!$A$81:$B$120, 2, FALSE)), "División no coincide con Categoría", ""))), IF(OR(L847="", L847=""), "[Aviso] Género no capturado ()", IF(ISNA(MATCH(L847, Criterios!$B$123:$B$127, 0)), "Género no válido", "")), IF(OR(N847="", N847=""), "[Aviso] Temporada no capturada ()", IF(ISNA(MATCH(N847, Criterios!$C$123:$C$128, 0)), "Temporada no válida", "")), IF(OR(O847="", O847=""), "[Aviso] Ciclo de vida no capturado ()", IF(ISNA(MATCH(O847, Criterios!$D$123:$D$124, 0)), "Ciclo de vida no válido", ""))))</f>
        <v/>
      </c>
      <c r="AC847" s="56" t="n"/>
      <c r="AD847" s="51" t="n"/>
      <c r="AE847" s="156" t="n"/>
      <c r="AF847" s="51" t="n"/>
      <c r="AG847" s="156" t="inlineStr">
        <is>
          <t>Nuevo – Carga Hoja2 01/10/2026</t>
        </is>
      </c>
      <c r="AH847" s="156" t="inlineStr">
        <is>
          <t>Alta 01/10/2026 desde Hoja2 (fila 876) | 01/10/2026: complementado desde Odoo Universal Unique Brands (match por código de barras): Enlace de imagen | Homologación G1522 06/10/2026: Validación G1522: [Aviso] Precio de compra posiblemente en USD · Validador Shopify: WB: precio con IVA no termina en 9</t>
        </is>
      </c>
      <c r="AI847" s="156" t="n"/>
      <c r="AJ847" s="156" t="n"/>
      <c r="AK847" s="155" t="inlineStr">
        <is>
          <t>Hoja2: fila 876 | Odoo: producto 22031 / plantilla 28174</t>
        </is>
      </c>
      <c r="AL847" s="58" t="n"/>
      <c r="AM847" s="58" t="n"/>
      <c r="AN847" s="155" t="inlineStr">
        <is>
          <t>Odoo Universal Unique Brands</t>
        </is>
      </c>
      <c r="AO847" s="59" t="n"/>
      <c r="AP847" s="59" t="n"/>
      <c r="AQ847" s="59" t="n">
        <v>0</v>
      </c>
      <c r="AR847" s="155" t="n"/>
    </row>
    <row r="848">
      <c r="A848" s="50" t="inlineStr">
        <is>
          <t>717019691098</t>
        </is>
      </c>
      <c r="B848" s="51" t="inlineStr">
        <is>
          <t>15705</t>
        </is>
      </c>
      <c r="C848" s="156" t="inlineStr">
        <is>
          <t>Wrangler</t>
        </is>
      </c>
      <c r="D848" s="156" t="inlineStr">
        <is>
          <t>WG2211-8120SJN</t>
        </is>
      </c>
      <c r="E848" s="156" t="inlineStr">
        <is>
          <t>WG2211-8120SJN</t>
        </is>
      </c>
      <c r="F848" s="156" t="inlineStr">
        <is>
          <t>Talla única</t>
        </is>
      </c>
      <c r="G848" s="156" t="inlineStr">
        <is>
          <t>One Size</t>
        </is>
      </c>
      <c r="H848" s="156" t="inlineStr">
        <is>
          <t>Wrangler</t>
        </is>
      </c>
      <c r="I848" s="156" t="inlineStr">
        <is>
          <t>WG Handbag</t>
        </is>
      </c>
      <c r="J848" s="156" t="inlineStr">
        <is>
          <t>Accesorios</t>
        </is>
      </c>
      <c r="K848" s="156" t="inlineStr">
        <is>
          <t>Bolsos</t>
        </is>
      </c>
      <c r="L848" s="156" t="inlineStr">
        <is>
          <t>Unisex</t>
        </is>
      </c>
      <c r="M848" s="156" t="inlineStr">
        <is>
          <t>Wrangler</t>
        </is>
      </c>
      <c r="N848" s="156" t="n"/>
      <c r="O848" s="156" t="n"/>
      <c r="P848" s="156" t="inlineStr">
        <is>
          <t>Varios</t>
        </is>
      </c>
      <c r="Q848" s="156" t="n"/>
      <c r="R848" s="156" t="n"/>
      <c r="S848" s="156" t="n"/>
      <c r="T848" s="156" t="n"/>
      <c r="U848" s="156" t="inlineStr">
        <is>
          <t>México</t>
        </is>
      </c>
      <c r="V848" s="156" t="inlineStr">
        <is>
          <t>PZS</t>
        </is>
      </c>
      <c r="W848" s="51" t="inlineStr">
        <is>
          <t>53121601</t>
        </is>
      </c>
      <c r="X848" s="156" t="inlineStr">
        <is>
          <t>https://m-universal-unique-brands.odoo.com/web/image/product.product/15705/image_1920</t>
        </is>
      </c>
      <c r="Y848" s="54" t="n"/>
      <c r="Z848" s="54" t="n">
        <v>719</v>
      </c>
      <c r="AA848" s="55">
        <f>IF(AND(A848="", B848="", E848=""), "", IF(AB848="", "Válido", IF((LEN(AB848)-LEN(SUBSTITUTE(AB848,"; ","")))/2+1&gt;(LEN(AB848)-LEN(SUBSTITUTE(AB848,"[Aviso]","")))/7, "Con Incidencias", "Válido")))</f>
        <v/>
      </c>
      <c r="AB848" s="56">
        <f>IF(AND(A848="", B848="", E848=""), "", TEXTJOIN("; ", TRUE, IF(OR(TRIM(A848&amp;"")="", ISNUMBER(SEARCH("FALTA", A848))), "UPC faltante/inválido", ""), IF(AND(A848&lt;&gt;"", IFERROR(_xlfn.XMATCH(A848,$A$2:$A$1063,0,1)&lt;&gt;_xlfn.XMATCH(A848,$A$2:$A$1063,0,-1),FALSE)), "Código de barras duplicado", ""), IF(AND(E848&lt;&gt;"", COUNTIF($E$2:$E$1063, E848)&gt;1), "SKU duplicado", ""), IF(OR(J848="", J848=""), "[Aviso] División no capturada ()", IF(ISNA(MATCH(J848, Criterios!$A$123:$A$126, 0)), "División no válida", "")), IF(OR(K848="", K848=""), "[Aviso] Categoría no capturada ()", IF(ISNA(MATCH(K848, Criterios!$A$81:$A$120, 0)), "Categoría no válida", IF(AND(J848&lt;&gt;"", J848&lt;&gt;"", J848&lt;&gt;VLOOKUP(K848, Criterios!$A$81:$B$120, 2, FALSE)), "División no coincide con Categoría", ""))), IF(OR(L848="", L848=""), "[Aviso] Género no capturado ()", IF(ISNA(MATCH(L848, Criterios!$B$123:$B$127, 0)), "Género no válido", "")), IF(OR(N848="", N848=""), "[Aviso] Temporada no capturada ()", IF(ISNA(MATCH(N848, Criterios!$C$123:$C$128, 0)), "Temporada no válida", "")), IF(OR(O848="", O848=""), "[Aviso] Ciclo de vida no capturado ()", IF(ISNA(MATCH(O848, Criterios!$D$123:$D$124, 0)), "Ciclo de vida no válido", ""))))</f>
        <v/>
      </c>
      <c r="AC848" s="56" t="n"/>
      <c r="AD848" s="51" t="n"/>
      <c r="AE848" s="156" t="n"/>
      <c r="AF848" s="51" t="n"/>
      <c r="AG848" s="156" t="inlineStr">
        <is>
          <t>Nuevo – Carga Hoja2 01/10/2026</t>
        </is>
      </c>
      <c r="AH848" s="156" t="inlineStr">
        <is>
          <t>Alta 01/10/2026 desde Hoja2 (fila 877); Precio de compra en 0/vacío en origen | 01/10/2026: complementado desde Odoo Universal Unique Brands (match por código de barras): WB Talla, WB Talla de EE. UU., Enlace de imagen | Homologación G1522 06/10/2026: WB País de origen: «Mexico» → «México» (Corrección aplicada) · Validador Shopify: WB: precio con IVA no termina en 9</t>
        </is>
      </c>
      <c r="AI848" s="156" t="n"/>
      <c r="AJ848" s="156" t="n"/>
      <c r="AK848" s="155" t="inlineStr">
        <is>
          <t>Hoja2: fila 877 | Odoo: producto 15705 / plantilla 20058</t>
        </is>
      </c>
      <c r="AL848" s="58" t="n"/>
      <c r="AM848" s="58" t="n"/>
      <c r="AN848" s="155" t="inlineStr">
        <is>
          <t>Odoo Universal Unique Brands</t>
        </is>
      </c>
      <c r="AO848" s="59" t="n"/>
      <c r="AP848" s="59" t="n"/>
      <c r="AQ848" s="59" t="n">
        <v>0</v>
      </c>
      <c r="AR848" s="155" t="n"/>
    </row>
    <row r="849">
      <c r="A849" s="50" t="inlineStr">
        <is>
          <t>717019691579</t>
        </is>
      </c>
      <c r="B849" s="51" t="inlineStr">
        <is>
          <t>11224</t>
        </is>
      </c>
      <c r="C849" s="156" t="inlineStr">
        <is>
          <t>Wrangler</t>
        </is>
      </c>
      <c r="D849" s="156" t="inlineStr">
        <is>
          <t>WG2211-W0051BK</t>
        </is>
      </c>
      <c r="E849" s="156" t="inlineStr">
        <is>
          <t>WG2211-W0051BK</t>
        </is>
      </c>
      <c r="F849" s="156" t="inlineStr">
        <is>
          <t>Talla única</t>
        </is>
      </c>
      <c r="G849" s="156" t="inlineStr">
        <is>
          <t>One Size</t>
        </is>
      </c>
      <c r="H849" s="156" t="inlineStr">
        <is>
          <t>Wrangler</t>
        </is>
      </c>
      <c r="I849" s="156" t="inlineStr">
        <is>
          <t>Muñequera De Doble Compartimento Wrangler Estampado Artístico Suroeste Negro</t>
        </is>
      </c>
      <c r="J849" s="156" t="inlineStr">
        <is>
          <t>Accesorios</t>
        </is>
      </c>
      <c r="K849" s="156" t="inlineStr">
        <is>
          <t>Bolsos</t>
        </is>
      </c>
      <c r="L849" s="156" t="inlineStr">
        <is>
          <t>Unisex</t>
        </is>
      </c>
      <c r="M849" s="156" t="inlineStr">
        <is>
          <t>Wrangler</t>
        </is>
      </c>
      <c r="N849" s="156" t="n"/>
      <c r="O849" s="156" t="inlineStr">
        <is>
          <t>Core</t>
        </is>
      </c>
      <c r="P849" s="156" t="inlineStr">
        <is>
          <t>Negro</t>
        </is>
      </c>
      <c r="Q849" s="156" t="n"/>
      <c r="R849" s="156" t="n"/>
      <c r="S849" s="156" t="n"/>
      <c r="T849" s="156" t="inlineStr">
        <is>
          <t>Muñequera De Doble Compartimento Wrangler. Modelo: Estampado Artístico Suroeste. Color: Negro. Talla única. Unisex. País de origen: México. Referencia: WG2211-W0051BK.</t>
        </is>
      </c>
      <c r="U849" s="156" t="inlineStr">
        <is>
          <t>México</t>
        </is>
      </c>
      <c r="V849" s="156" t="inlineStr">
        <is>
          <t>PZS</t>
        </is>
      </c>
      <c r="W849" s="51" t="inlineStr">
        <is>
          <t>53121601</t>
        </is>
      </c>
      <c r="X849" s="156" t="inlineStr">
        <is>
          <t>https://m-universal-unique-brands.odoo.com/web/image/product.product/11224/image_1920</t>
        </is>
      </c>
      <c r="Y849" s="54" t="n">
        <v>232.88</v>
      </c>
      <c r="Z849" s="54" t="n">
        <v>379</v>
      </c>
      <c r="AA849" s="55">
        <f>IF(AND(A849="", B849="", E849=""), "", IF(AB849="", "Válido", IF((LEN(AB849)-LEN(SUBSTITUTE(AB849,"; ","")))/2+1&gt;(LEN(AB849)-LEN(SUBSTITUTE(AB849,"[Aviso]","")))/7, "Con Incidencias", "Válido")))</f>
        <v/>
      </c>
      <c r="AB849" s="56">
        <f>IF(AND(A849="", B849="", E849=""), "", TEXTJOIN("; ", TRUE, IF(OR(TRIM(A849&amp;"")="", ISNUMBER(SEARCH("FALTA", A849))), "UPC faltante/inválido", ""), IF(AND(A849&lt;&gt;"", IFERROR(_xlfn.XMATCH(A849,$A$2:$A$1063,0,1)&lt;&gt;_xlfn.XMATCH(A849,$A$2:$A$1063,0,-1),FALSE)), "Código de barras duplicado", ""), IF(AND(E849&lt;&gt;"", COUNTIF($E$2:$E$1063, E849)&gt;1), "SKU duplicado", ""), IF(OR(J849="", J849=""), "[Aviso] División no capturada ()", IF(ISNA(MATCH(J849, Criterios!$A$123:$A$126, 0)), "División no válida", "")), IF(OR(K849="", K849=""), "[Aviso] Categoría no capturada ()", IF(ISNA(MATCH(K849, Criterios!$A$81:$A$120, 0)), "Categoría no válida", IF(AND(J849&lt;&gt;"", J849&lt;&gt;"", J849&lt;&gt;VLOOKUP(K849, Criterios!$A$81:$B$120, 2, FALSE)), "División no coincide con Categoría", ""))), IF(OR(L849="", L849=""), "[Aviso] Género no capturado ()", IF(ISNA(MATCH(L849, Criterios!$B$123:$B$127, 0)), "Género no válido", "")), IF(OR(N849="", N849=""), "[Aviso] Temporada no capturada ()", IF(ISNA(MATCH(N849, Criterios!$C$123:$C$128, 0)), "Temporada no válida", "")), IF(OR(O849="", O849=""), "[Aviso] Ciclo de vida no capturado ()", IF(ISNA(MATCH(O849, Criterios!$D$123:$D$124, 0)), "Ciclo de vida no válido", ""))))</f>
        <v/>
      </c>
      <c r="AC849" s="56" t="n"/>
      <c r="AD849" s="51" t="n"/>
      <c r="AE849" s="156" t="n"/>
      <c r="AF849" s="51" t="n"/>
      <c r="AG849" s="156" t="inlineStr">
        <is>
          <t>Nuevo – Carga Hoja2 01/10/2026</t>
        </is>
      </c>
      <c r="AH849" s="156" t="inlineStr">
        <is>
          <t>Alta 01/10/2026 desde Hoja2 (fila 878) | 01/10/2026: complementado desde Odoo Universal Unique Brands (match por código de barras): Enlace de imagen | 01/10/2026: Odoo Universal Unique Brands trae Marca «Montana West», Categoría «Carteras» — se conservó el valor de Productos</t>
        </is>
      </c>
      <c r="AI849" s="156" t="n"/>
      <c r="AJ849" s="156" t="n"/>
      <c r="AK849" s="155" t="inlineStr">
        <is>
          <t>Hoja2: fila 878 | Odoo: producto 11224 / plantilla 14659 | Odoo: producto 27387 / plantilla 34087</t>
        </is>
      </c>
      <c r="AL849" s="58" t="n"/>
      <c r="AM849" s="58" t="n"/>
      <c r="AN849" s="155" t="inlineStr">
        <is>
          <t>Odoo Universal Unique Brands</t>
        </is>
      </c>
      <c r="AO849" s="59" t="n"/>
      <c r="AP849" s="59" t="n"/>
      <c r="AQ849" s="59" t="n">
        <v>42</v>
      </c>
      <c r="AR849" s="155" t="inlineStr">
        <is>
          <t>Odoo Universal Unique Brands › Bodega 25 › Bodega 25/General: 36 | Odoo Universal Unique Brands › Bodega 25 › Bodega 25/General: 6</t>
        </is>
      </c>
    </row>
    <row r="850">
      <c r="A850" s="50" t="inlineStr">
        <is>
          <t>717019691609</t>
        </is>
      </c>
      <c r="B850" s="51" t="inlineStr">
        <is>
          <t>11225</t>
        </is>
      </c>
      <c r="C850" s="156" t="inlineStr">
        <is>
          <t>Wrangler</t>
        </is>
      </c>
      <c r="D850" s="156" t="inlineStr">
        <is>
          <t>WG2211-W0051BR</t>
        </is>
      </c>
      <c r="E850" s="156" t="inlineStr">
        <is>
          <t>WG2211-W0051BR</t>
        </is>
      </c>
      <c r="F850" s="156" t="inlineStr">
        <is>
          <t>Talla única</t>
        </is>
      </c>
      <c r="G850" s="156" t="inlineStr">
        <is>
          <t>One Size</t>
        </is>
      </c>
      <c r="H850" s="156" t="inlineStr">
        <is>
          <t>Wrangler</t>
        </is>
      </c>
      <c r="I850" s="156" t="inlineStr">
        <is>
          <t>Muñequera De Doble Compartimento Wrangler Estampado Artístico Suroeste Café</t>
        </is>
      </c>
      <c r="J850" s="156" t="inlineStr">
        <is>
          <t>Accesorios</t>
        </is>
      </c>
      <c r="K850" s="156" t="inlineStr">
        <is>
          <t>Bolsos</t>
        </is>
      </c>
      <c r="L850" s="156" t="inlineStr">
        <is>
          <t>Unisex</t>
        </is>
      </c>
      <c r="M850" s="156" t="inlineStr">
        <is>
          <t>Wrangler</t>
        </is>
      </c>
      <c r="N850" s="156" t="n"/>
      <c r="O850" s="156" t="inlineStr">
        <is>
          <t>Core</t>
        </is>
      </c>
      <c r="P850" s="156" t="inlineStr">
        <is>
          <t>Cafe</t>
        </is>
      </c>
      <c r="Q850" s="156" t="n"/>
      <c r="R850" s="156" t="n"/>
      <c r="S850" s="156" t="n"/>
      <c r="T850" s="156" t="inlineStr">
        <is>
          <t>Muñequera De Doble Compartimento Wrangler. Modelo: Estampado Artístico Suroeste. Color: Café. Talla única. Unisex. País de origen: México. Referencia: WG2211-W0051BR.</t>
        </is>
      </c>
      <c r="U850" s="156" t="inlineStr">
        <is>
          <t>México</t>
        </is>
      </c>
      <c r="V850" s="156" t="inlineStr">
        <is>
          <t>PZS</t>
        </is>
      </c>
      <c r="W850" s="51" t="inlineStr">
        <is>
          <t>53121601</t>
        </is>
      </c>
      <c r="X850" s="156" t="inlineStr">
        <is>
          <t>https://m-universal-unique-brands.odoo.com/web/image/product.product/11225/image_1920</t>
        </is>
      </c>
      <c r="Y850" s="54" t="n">
        <v>232.88</v>
      </c>
      <c r="Z850" s="54" t="n">
        <v>379</v>
      </c>
      <c r="AA850" s="55">
        <f>IF(AND(A850="", B850="", E850=""), "", IF(AB850="", "Válido", IF((LEN(AB850)-LEN(SUBSTITUTE(AB850,"; ","")))/2+1&gt;(LEN(AB850)-LEN(SUBSTITUTE(AB850,"[Aviso]","")))/7, "Con Incidencias", "Válido")))</f>
        <v/>
      </c>
      <c r="AB850" s="56">
        <f>IF(AND(A850="", B850="", E850=""), "", TEXTJOIN("; ", TRUE, IF(OR(TRIM(A850&amp;"")="", ISNUMBER(SEARCH("FALTA", A850))), "UPC faltante/inválido", ""), IF(AND(A850&lt;&gt;"", IFERROR(_xlfn.XMATCH(A850,$A$2:$A$1063,0,1)&lt;&gt;_xlfn.XMATCH(A850,$A$2:$A$1063,0,-1),FALSE)), "Código de barras duplicado", ""), IF(AND(E850&lt;&gt;"", COUNTIF($E$2:$E$1063, E850)&gt;1), "SKU duplicado", ""), IF(OR(J850="", J850=""), "[Aviso] División no capturada ()", IF(ISNA(MATCH(J850, Criterios!$A$123:$A$126, 0)), "División no válida", "")), IF(OR(K850="", K850=""), "[Aviso] Categoría no capturada ()", IF(ISNA(MATCH(K850, Criterios!$A$81:$A$120, 0)), "Categoría no válida", IF(AND(J850&lt;&gt;"", J850&lt;&gt;"", J850&lt;&gt;VLOOKUP(K850, Criterios!$A$81:$B$120, 2, FALSE)), "División no coincide con Categoría", ""))), IF(OR(L850="", L850=""), "[Aviso] Género no capturado ()", IF(ISNA(MATCH(L850, Criterios!$B$123:$B$127, 0)), "Género no válido", "")), IF(OR(N850="", N850=""), "[Aviso] Temporada no capturada ()", IF(ISNA(MATCH(N850, Criterios!$C$123:$C$128, 0)), "Temporada no válida", "")), IF(OR(O850="", O850=""), "[Aviso] Ciclo de vida no capturado ()", IF(ISNA(MATCH(O850, Criterios!$D$123:$D$124, 0)), "Ciclo de vida no válido", ""))))</f>
        <v/>
      </c>
      <c r="AC850" s="56" t="n"/>
      <c r="AD850" s="51" t="n"/>
      <c r="AE850" s="156" t="n"/>
      <c r="AF850" s="51" t="n"/>
      <c r="AG850" s="156" t="inlineStr">
        <is>
          <t>Nuevo – Carga Hoja2 01/10/2026</t>
        </is>
      </c>
      <c r="AH850" s="156" t="inlineStr">
        <is>
          <t>Alta 01/10/2026 desde Hoja2 (fila 879) | 01/10/2026: complementado desde Odoo Universal Unique Brands (match por código de barras): Enlace de imagen | 01/10/2026: Odoo Universal Unique Brands trae Marca «Montana West», Categoría «Carteras» — se conservó el valor de Productos</t>
        </is>
      </c>
      <c r="AI850" s="156" t="n"/>
      <c r="AJ850" s="156" t="n"/>
      <c r="AK850" s="155" t="inlineStr">
        <is>
          <t>Hoja2: fila 879 | Odoo: producto 11225 / plantilla 14660 | Odoo: producto 27388 / plantilla 34088</t>
        </is>
      </c>
      <c r="AL850" s="58" t="n"/>
      <c r="AM850" s="58" t="n"/>
      <c r="AN850" s="155" t="inlineStr">
        <is>
          <t>Odoo Universal Unique Brands</t>
        </is>
      </c>
      <c r="AO850" s="59" t="n"/>
      <c r="AP850" s="59" t="n"/>
      <c r="AQ850" s="59" t="n">
        <v>50</v>
      </c>
      <c r="AR850" s="155" t="inlineStr">
        <is>
          <t>Odoo Universal Unique Brands › Bodega 25 › Bodega 25/General: 44 | Odoo Universal Unique Brands › Bodega 25 › Bodega 25/General: 6</t>
        </is>
      </c>
    </row>
    <row r="851">
      <c r="A851" s="50" t="inlineStr">
        <is>
          <t>717019691630</t>
        </is>
      </c>
      <c r="B851" s="51" t="inlineStr">
        <is>
          <t>11223</t>
        </is>
      </c>
      <c r="C851" s="156" t="inlineStr">
        <is>
          <t>Wrangler</t>
        </is>
      </c>
      <c r="D851" s="156" t="inlineStr">
        <is>
          <t>WG2211-W0051GY</t>
        </is>
      </c>
      <c r="E851" s="156" t="inlineStr">
        <is>
          <t>WG2211-W0051GY</t>
        </is>
      </c>
      <c r="F851" s="156" t="inlineStr">
        <is>
          <t>Talla única</t>
        </is>
      </c>
      <c r="G851" s="156" t="inlineStr">
        <is>
          <t>One Size</t>
        </is>
      </c>
      <c r="H851" s="156" t="inlineStr">
        <is>
          <t>Wrangler</t>
        </is>
      </c>
      <c r="I851" s="156" t="inlineStr">
        <is>
          <t>Muñequera De Doble Compartimento Wrangler Estampado Artístico Suroeste</t>
        </is>
      </c>
      <c r="J851" s="156" t="inlineStr">
        <is>
          <t>Accesorios</t>
        </is>
      </c>
      <c r="K851" s="156" t="inlineStr">
        <is>
          <t>Carteras</t>
        </is>
      </c>
      <c r="L851" s="156" t="inlineStr">
        <is>
          <t>Unisex</t>
        </is>
      </c>
      <c r="M851" s="156" t="inlineStr">
        <is>
          <t>Wrangler</t>
        </is>
      </c>
      <c r="N851" s="156" t="n"/>
      <c r="O851" s="156" t="n"/>
      <c r="P851" s="156" t="inlineStr">
        <is>
          <t>Gris</t>
        </is>
      </c>
      <c r="Q851" s="156" t="n"/>
      <c r="R851" s="156" t="n"/>
      <c r="S851" s="156" t="n"/>
      <c r="T851" s="156" t="inlineStr">
        <is>
          <t>Muñequera De Doble Compartimento</t>
        </is>
      </c>
      <c r="U851" s="156" t="inlineStr">
        <is>
          <t>México</t>
        </is>
      </c>
      <c r="V851" s="156" t="inlineStr">
        <is>
          <t>PZS</t>
        </is>
      </c>
      <c r="W851" s="51" t="inlineStr">
        <is>
          <t>53121601</t>
        </is>
      </c>
      <c r="X851" s="156" t="inlineStr">
        <is>
          <t>https://m-universal-unique-brands.odoo.com/web/image/product.product/11223/image_1920</t>
        </is>
      </c>
      <c r="Y851" s="54" t="n">
        <v>232.88</v>
      </c>
      <c r="Z851" s="54" t="n">
        <v>379</v>
      </c>
      <c r="AA851" s="55">
        <f>IF(AND(A851="", B851="", E851=""), "", IF(AB851="", "Válido", IF((LEN(AB851)-LEN(SUBSTITUTE(AB851,"; ","")))/2+1&gt;(LEN(AB851)-LEN(SUBSTITUTE(AB851,"[Aviso]","")))/7, "Con Incidencias", "Válido")))</f>
        <v/>
      </c>
      <c r="AB851" s="56">
        <f>IF(AND(A851="", B851="", E851=""), "", TEXTJOIN("; ", TRUE, IF(OR(TRIM(A851&amp;"")="", ISNUMBER(SEARCH("FALTA", A851))), "UPC faltante/inválido", ""), IF(AND(A851&lt;&gt;"", IFERROR(_xlfn.XMATCH(A851,$A$2:$A$1063,0,1)&lt;&gt;_xlfn.XMATCH(A851,$A$2:$A$1063,0,-1),FALSE)), "Código de barras duplicado", ""), IF(AND(E851&lt;&gt;"", COUNTIF($E$2:$E$1063, E851)&gt;1), "SKU duplicado", ""), IF(OR(J851="", J851=""), "[Aviso] División no capturada ()", IF(ISNA(MATCH(J851, Criterios!$A$123:$A$126, 0)), "División no válida", "")), IF(OR(K851="", K851=""), "[Aviso] Categoría no capturada ()", IF(ISNA(MATCH(K851, Criterios!$A$81:$A$120, 0)), "Categoría no válida", IF(AND(J851&lt;&gt;"", J851&lt;&gt;"", J851&lt;&gt;VLOOKUP(K851, Criterios!$A$81:$B$120, 2, FALSE)), "División no coincide con Categoría", ""))), IF(OR(L851="", L851=""), "[Aviso] Género no capturado ()", IF(ISNA(MATCH(L851, Criterios!$B$123:$B$127, 0)), "Género no válido", "")), IF(OR(N851="", N851=""), "[Aviso] Temporada no capturada ()", IF(ISNA(MATCH(N851, Criterios!$C$123:$C$128, 0)), "Temporada no válida", "")), IF(OR(O851="", O851=""), "[Aviso] Ciclo de vida no capturado ()", IF(ISNA(MATCH(O851, Criterios!$D$123:$D$124, 0)), "Ciclo de vida no válido", ""))))</f>
        <v/>
      </c>
      <c r="AC851" s="56" t="n"/>
      <c r="AD851" s="51" t="n"/>
      <c r="AE851" s="156" t="n"/>
      <c r="AF851" s="51" t="n"/>
      <c r="AG851" s="156" t="inlineStr">
        <is>
          <t>Nuevo – Carga Hoja2 01/10/2026</t>
        </is>
      </c>
      <c r="AH851" s="156" t="inlineStr">
        <is>
          <t>Alta 01/10/2026 desde Hoja2 (fila 880) | 01/10/2026: complementado desde Odoo Universal Unique Brands (match por código de barras): WB Talla, WB Talla de EE. UU., WB Descripción larga, Enlace de imagen | Homologación G1522 06/10/2026: WB País de origen: «Mexico» → «México» (Corrección aplicada)</t>
        </is>
      </c>
      <c r="AI851" s="156" t="n"/>
      <c r="AJ851" s="156" t="n"/>
      <c r="AK851" s="155" t="inlineStr">
        <is>
          <t>Hoja2: fila 880 | Odoo: producto 11223 / plantilla 14658</t>
        </is>
      </c>
      <c r="AL851" s="58" t="n"/>
      <c r="AM851" s="58" t="n"/>
      <c r="AN851" s="155" t="inlineStr">
        <is>
          <t>Odoo Universal Unique Brands</t>
        </is>
      </c>
      <c r="AO851" s="59" t="n"/>
      <c r="AP851" s="59" t="n"/>
      <c r="AQ851" s="59" t="n">
        <v>29</v>
      </c>
      <c r="AR851" s="155" t="inlineStr">
        <is>
          <t>Odoo Universal Unique Brands › Bodega 25 › Bodega 25/General: 29</t>
        </is>
      </c>
    </row>
    <row r="852">
      <c r="A852" s="50" t="inlineStr">
        <is>
          <t>717019691692</t>
        </is>
      </c>
      <c r="B852" s="51" t="inlineStr">
        <is>
          <t>11217</t>
        </is>
      </c>
      <c r="C852" s="156" t="inlineStr">
        <is>
          <t>Wrangler</t>
        </is>
      </c>
      <c r="D852" s="156" t="inlineStr">
        <is>
          <t>WG2211-W0051JN</t>
        </is>
      </c>
      <c r="E852" s="156" t="inlineStr">
        <is>
          <t>WG2211-W0051JN</t>
        </is>
      </c>
      <c r="F852" s="156" t="inlineStr">
        <is>
          <t>Talla única</t>
        </is>
      </c>
      <c r="G852" s="156" t="inlineStr">
        <is>
          <t>One Size</t>
        </is>
      </c>
      <c r="H852" s="156" t="inlineStr">
        <is>
          <t>Wrangler</t>
        </is>
      </c>
      <c r="I852" s="156" t="inlineStr">
        <is>
          <t>Muñequera De Doble Compartimento Wrangler Estampado Artístico Suroeste Mezclilla</t>
        </is>
      </c>
      <c r="J852" s="156" t="inlineStr">
        <is>
          <t>Accesorios</t>
        </is>
      </c>
      <c r="K852" s="156" t="inlineStr">
        <is>
          <t>Carteras</t>
        </is>
      </c>
      <c r="L852" s="156" t="inlineStr">
        <is>
          <t>Unisex</t>
        </is>
      </c>
      <c r="M852" s="156" t="inlineStr">
        <is>
          <t>Wrangler</t>
        </is>
      </c>
      <c r="N852" s="156" t="n"/>
      <c r="O852" s="156" t="inlineStr">
        <is>
          <t>Core</t>
        </is>
      </c>
      <c r="P852" s="156" t="inlineStr">
        <is>
          <t>Varios</t>
        </is>
      </c>
      <c r="Q852" s="156" t="n"/>
      <c r="R852" s="156" t="n"/>
      <c r="S852" s="156" t="n"/>
      <c r="T852" s="156" t="inlineStr">
        <is>
          <t>Muñequera De Doble Compartimento Wrangler. Modelo: Estampado Artístico Suroeste. Color: Mezclilla. Talla única. Unisex. País de origen: México. Referencia: WG2211-W0051JN.</t>
        </is>
      </c>
      <c r="U852" s="156" t="inlineStr">
        <is>
          <t>México</t>
        </is>
      </c>
      <c r="V852" s="156" t="inlineStr">
        <is>
          <t>PZS</t>
        </is>
      </c>
      <c r="W852" s="51" t="inlineStr">
        <is>
          <t>53121700</t>
        </is>
      </c>
      <c r="X852" s="156" t="n"/>
      <c r="Y852" s="54" t="n">
        <v>232.88</v>
      </c>
      <c r="Z852" s="54" t="n">
        <v>379</v>
      </c>
      <c r="AA852" s="55">
        <f>IF(AND(A852="", B852="", E852=""), "", IF(AB852="", "Válido", IF((LEN(AB852)-LEN(SUBSTITUTE(AB852,"; ","")))/2+1&gt;(LEN(AB852)-LEN(SUBSTITUTE(AB852,"[Aviso]","")))/7, "Con Incidencias", "Válido")))</f>
        <v/>
      </c>
      <c r="AB852" s="56">
        <f>IF(AND(A852="", B852="", E852=""), "", TEXTJOIN("; ", TRUE, IF(OR(TRIM(A852&amp;"")="", ISNUMBER(SEARCH("FALTA", A852))), "UPC faltante/inválido", ""), IF(AND(A852&lt;&gt;"", IFERROR(_xlfn.XMATCH(A852,$A$2:$A$1063,0,1)&lt;&gt;_xlfn.XMATCH(A852,$A$2:$A$1063,0,-1),FALSE)), "Código de barras duplicado", ""), IF(AND(E852&lt;&gt;"", COUNTIF($E$2:$E$1063, E852)&gt;1), "SKU duplicado", ""), IF(OR(J852="", J852=""), "[Aviso] División no capturada ()", IF(ISNA(MATCH(J852, Criterios!$A$123:$A$126, 0)), "División no válida", "")), IF(OR(K852="", K852=""), "[Aviso] Categoría no capturada ()", IF(ISNA(MATCH(K852, Criterios!$A$81:$A$120, 0)), "Categoría no válida", IF(AND(J852&lt;&gt;"", J852&lt;&gt;"", J852&lt;&gt;VLOOKUP(K852, Criterios!$A$81:$B$120, 2, FALSE)), "División no coincide con Categoría", ""))), IF(OR(L852="", L852=""), "[Aviso] Género no capturado ()", IF(ISNA(MATCH(L852, Criterios!$B$123:$B$127, 0)), "Género no válido", "")), IF(OR(N852="", N852=""), "[Aviso] Temporada no capturada ()", IF(ISNA(MATCH(N852, Criterios!$C$123:$C$128, 0)), "Temporada no válida", "")), IF(OR(O852="", O852=""), "[Aviso] Ciclo de vida no capturado ()", IF(ISNA(MATCH(O852, Criterios!$D$123:$D$124, 0)), "Ciclo de vida no válido", ""))))</f>
        <v/>
      </c>
      <c r="AC852" s="56" t="n"/>
      <c r="AD852" s="51" t="n"/>
      <c r="AE852" s="156" t="n"/>
      <c r="AF852" s="51" t="n"/>
      <c r="AG852" s="156" t="inlineStr">
        <is>
          <t>Nuevo – Carga Hoja2 01/10/2026</t>
        </is>
      </c>
      <c r="AH852" s="156" t="inlineStr">
        <is>
          <t>Alta 01/10/2026 desde Hoja2 (fila 881) | 01/10/2026: Odoo Universal Unique Brands trae Marca «Montana West» — se conservó el valor de Productos</t>
        </is>
      </c>
      <c r="AI852" s="156" t="n"/>
      <c r="AJ852" s="156" t="n"/>
      <c r="AK852" s="155" t="inlineStr">
        <is>
          <t>Hoja2: fila 881 | Odoo: producto 11217 / plantilla 14652 | Odoo: producto 27390 / plantilla 34090</t>
        </is>
      </c>
      <c r="AL852" s="58" t="n"/>
      <c r="AM852" s="58" t="n"/>
      <c r="AN852" s="155" t="inlineStr">
        <is>
          <t>Odoo Universal Unique Brands</t>
        </is>
      </c>
      <c r="AO852" s="59" t="n"/>
      <c r="AP852" s="59" t="n"/>
      <c r="AQ852" s="59" t="n">
        <v>34</v>
      </c>
      <c r="AR852" s="155" t="inlineStr">
        <is>
          <t>Odoo Universal Unique Brands › Bodega 25 › Bodega 25/General: 28 | Odoo Universal Unique Brands › Bodega 25 › Bodega 25/General: 6</t>
        </is>
      </c>
    </row>
    <row r="853">
      <c r="A853" s="50" t="inlineStr">
        <is>
          <t>717019691456</t>
        </is>
      </c>
      <c r="B853" s="51" t="inlineStr">
        <is>
          <t>11204</t>
        </is>
      </c>
      <c r="C853" s="156" t="inlineStr">
        <is>
          <t>Wrangler</t>
        </is>
      </c>
      <c r="D853" s="156" t="inlineStr">
        <is>
          <t>WG2211-W006BR</t>
        </is>
      </c>
      <c r="E853" s="156" t="inlineStr">
        <is>
          <t>WG2211-W006BR</t>
        </is>
      </c>
      <c r="F853" s="156" t="inlineStr">
        <is>
          <t>Talla única</t>
        </is>
      </c>
      <c r="G853" s="156" t="inlineStr">
        <is>
          <t>One Size</t>
        </is>
      </c>
      <c r="H853" s="156" t="inlineStr">
        <is>
          <t>Wrangler</t>
        </is>
      </c>
      <c r="I853" s="156" t="inlineStr">
        <is>
          <t>Cartera Wrangler Estampado Artístico Suroeste Café</t>
        </is>
      </c>
      <c r="J853" s="156" t="inlineStr">
        <is>
          <t>Accesorios</t>
        </is>
      </c>
      <c r="K853" s="156" t="inlineStr">
        <is>
          <t>Bolsos</t>
        </is>
      </c>
      <c r="L853" s="156" t="inlineStr">
        <is>
          <t>Unisex</t>
        </is>
      </c>
      <c r="M853" s="156" t="inlineStr">
        <is>
          <t>Wrangler</t>
        </is>
      </c>
      <c r="N853" s="156" t="n"/>
      <c r="O853" s="156" t="inlineStr">
        <is>
          <t>Core</t>
        </is>
      </c>
      <c r="P853" s="156" t="inlineStr">
        <is>
          <t>Cafe</t>
        </is>
      </c>
      <c r="Q853" s="156" t="n"/>
      <c r="R853" s="156" t="n"/>
      <c r="S853" s="156" t="n"/>
      <c r="T853" s="156" t="inlineStr">
        <is>
          <t>Cartera Wrangler. Modelo: Estampado Artístico Suroeste. Color: Café. Talla única. Unisex. País de origen: México. Referencia: WG2211-W006BR.</t>
        </is>
      </c>
      <c r="U853" s="156" t="inlineStr">
        <is>
          <t>México</t>
        </is>
      </c>
      <c r="V853" s="156" t="inlineStr">
        <is>
          <t>PZS</t>
        </is>
      </c>
      <c r="W853" s="51" t="inlineStr">
        <is>
          <t>53121601</t>
        </is>
      </c>
      <c r="X853" s="156" t="inlineStr">
        <is>
          <t>https://m-universal-unique-brands.odoo.com/web/image/product.product/11204/image_1920</t>
        </is>
      </c>
      <c r="Y853" s="54" t="n">
        <v>276</v>
      </c>
      <c r="Z853" s="54" t="n">
        <v>449</v>
      </c>
      <c r="AA853" s="55">
        <f>IF(AND(A853="", B853="", E853=""), "", IF(AB853="", "Válido", IF((LEN(AB853)-LEN(SUBSTITUTE(AB853,"; ","")))/2+1&gt;(LEN(AB853)-LEN(SUBSTITUTE(AB853,"[Aviso]","")))/7, "Con Incidencias", "Válido")))</f>
        <v/>
      </c>
      <c r="AB853" s="56">
        <f>IF(AND(A853="", B853="", E853=""), "", TEXTJOIN("; ", TRUE, IF(OR(TRIM(A853&amp;"")="", ISNUMBER(SEARCH("FALTA", A853))), "UPC faltante/inválido", ""), IF(AND(A853&lt;&gt;"", IFERROR(_xlfn.XMATCH(A853,$A$2:$A$1063,0,1)&lt;&gt;_xlfn.XMATCH(A853,$A$2:$A$1063,0,-1),FALSE)), "Código de barras duplicado", ""), IF(AND(E853&lt;&gt;"", COUNTIF($E$2:$E$1063, E853)&gt;1), "SKU duplicado", ""), IF(OR(J853="", J853=""), "[Aviso] División no capturada ()", IF(ISNA(MATCH(J853, Criterios!$A$123:$A$126, 0)), "División no válida", "")), IF(OR(K853="", K853=""), "[Aviso] Categoría no capturada ()", IF(ISNA(MATCH(K853, Criterios!$A$81:$A$120, 0)), "Categoría no válida", IF(AND(J853&lt;&gt;"", J853&lt;&gt;"", J853&lt;&gt;VLOOKUP(K853, Criterios!$A$81:$B$120, 2, FALSE)), "División no coincide con Categoría", ""))), IF(OR(L853="", L853=""), "[Aviso] Género no capturado ()", IF(ISNA(MATCH(L853, Criterios!$B$123:$B$127, 0)), "Género no válido", "")), IF(OR(N853="", N853=""), "[Aviso] Temporada no capturada ()", IF(ISNA(MATCH(N853, Criterios!$C$123:$C$128, 0)), "Temporada no válida", "")), IF(OR(O853="", O853=""), "[Aviso] Ciclo de vida no capturado ()", IF(ISNA(MATCH(O853, Criterios!$D$123:$D$124, 0)), "Ciclo de vida no válido", ""))))</f>
        <v/>
      </c>
      <c r="AC853" s="56" t="n"/>
      <c r="AD853" s="51" t="n"/>
      <c r="AE853" s="156" t="n"/>
      <c r="AF853" s="51" t="n"/>
      <c r="AG853" s="156" t="inlineStr">
        <is>
          <t>Nuevo – Carga Hoja2 01/10/2026</t>
        </is>
      </c>
      <c r="AH853" s="156" t="inlineStr">
        <is>
          <t>Alta 01/10/2026 desde Hoja2 (fila 882) | 01/10/2026: complementado desde Odoo Universal Unique Brands (match por código de barras): Enlace de imagen | 01/10/2026: Odoo Universal Unique Brands trae Categoría «Carteras» — se conservó el valor de Productos | 01/10/2026: Odoo Universal Unique Brands trae Marca «Montana West», Categoría «Carteras» — se conservó el valor de Productos | Homologación G1522 06/10/2026: Validador Shopify: WB: precio con IVA no termina en 9</t>
        </is>
      </c>
      <c r="AI853" s="156" t="n"/>
      <c r="AJ853" s="156" t="n"/>
      <c r="AK853" s="155" t="inlineStr">
        <is>
          <t>Hoja2: fila 882 | Odoo: producto 11204 / plantilla 14639 | Odoo: producto 27392 / plantilla 34092</t>
        </is>
      </c>
      <c r="AL853" s="58" t="n"/>
      <c r="AM853" s="58" t="n"/>
      <c r="AN853" s="155" t="inlineStr">
        <is>
          <t>Odoo Universal Unique Brands</t>
        </is>
      </c>
      <c r="AO853" s="59" t="n"/>
      <c r="AP853" s="59" t="n"/>
      <c r="AQ853" s="59" t="n">
        <v>49</v>
      </c>
      <c r="AR853" s="155" t="inlineStr">
        <is>
          <t>Odoo Universal Unique Brands › Bodega 25 › Bodega 25/General: 43 | Odoo Universal Unique Brands › Bodega 25 › Bodega 25/General: 6</t>
        </is>
      </c>
    </row>
    <row r="854">
      <c r="A854" s="50" t="inlineStr">
        <is>
          <t>717019691487</t>
        </is>
      </c>
      <c r="B854" s="51" t="inlineStr">
        <is>
          <t>11205</t>
        </is>
      </c>
      <c r="C854" s="156" t="inlineStr">
        <is>
          <t>Wrangler</t>
        </is>
      </c>
      <c r="D854" s="156" t="inlineStr">
        <is>
          <t>WG2211-W006GY</t>
        </is>
      </c>
      <c r="E854" s="156" t="inlineStr">
        <is>
          <t>WG2211-W006GY</t>
        </is>
      </c>
      <c r="F854" s="156" t="inlineStr">
        <is>
          <t>Talla única</t>
        </is>
      </c>
      <c r="G854" s="156" t="inlineStr">
        <is>
          <t>One Size</t>
        </is>
      </c>
      <c r="H854" s="156" t="inlineStr">
        <is>
          <t>Wrangler</t>
        </is>
      </c>
      <c r="I854" s="156" t="inlineStr">
        <is>
          <t>Cartera Wrangler Estampado Artístico Suroeste</t>
        </is>
      </c>
      <c r="J854" s="156" t="inlineStr">
        <is>
          <t>Accesorios</t>
        </is>
      </c>
      <c r="K854" s="156" t="inlineStr">
        <is>
          <t>Bolsos</t>
        </is>
      </c>
      <c r="L854" s="156" t="inlineStr">
        <is>
          <t>Unisex</t>
        </is>
      </c>
      <c r="M854" s="156" t="inlineStr">
        <is>
          <t>Wrangler</t>
        </is>
      </c>
      <c r="N854" s="156" t="n"/>
      <c r="O854" s="156" t="n"/>
      <c r="P854" s="156" t="inlineStr">
        <is>
          <t>Gris</t>
        </is>
      </c>
      <c r="Q854" s="156" t="n"/>
      <c r="R854" s="156" t="n"/>
      <c r="S854" s="156" t="n"/>
      <c r="T854" s="156" t="inlineStr">
        <is>
          <t>Cartera</t>
        </is>
      </c>
      <c r="U854" s="156" t="inlineStr">
        <is>
          <t>México</t>
        </is>
      </c>
      <c r="V854" s="156" t="inlineStr">
        <is>
          <t>PZS</t>
        </is>
      </c>
      <c r="W854" s="51" t="inlineStr">
        <is>
          <t>53121601</t>
        </is>
      </c>
      <c r="X854" s="156" t="n"/>
      <c r="Y854" s="54" t="n">
        <v>276</v>
      </c>
      <c r="Z854" s="54" t="n">
        <v>449</v>
      </c>
      <c r="AA854" s="55">
        <f>IF(AND(A854="", B854="", E854=""), "", IF(AB854="", "Válido", IF((LEN(AB854)-LEN(SUBSTITUTE(AB854,"; ","")))/2+1&gt;(LEN(AB854)-LEN(SUBSTITUTE(AB854,"[Aviso]","")))/7, "Con Incidencias", "Válido")))</f>
        <v/>
      </c>
      <c r="AB854" s="56">
        <f>IF(AND(A854="", B854="", E854=""), "", TEXTJOIN("; ", TRUE, IF(OR(TRIM(A854&amp;"")="", ISNUMBER(SEARCH("FALTA", A854))), "UPC faltante/inválido", ""), IF(AND(A854&lt;&gt;"", IFERROR(_xlfn.XMATCH(A854,$A$2:$A$1063,0,1)&lt;&gt;_xlfn.XMATCH(A854,$A$2:$A$1063,0,-1),FALSE)), "Código de barras duplicado", ""), IF(AND(E854&lt;&gt;"", COUNTIF($E$2:$E$1063, E854)&gt;1), "SKU duplicado", ""), IF(OR(J854="", J854=""), "[Aviso] División no capturada ()", IF(ISNA(MATCH(J854, Criterios!$A$123:$A$126, 0)), "División no válida", "")), IF(OR(K854="", K854=""), "[Aviso] Categoría no capturada ()", IF(ISNA(MATCH(K854, Criterios!$A$81:$A$120, 0)), "Categoría no válida", IF(AND(J854&lt;&gt;"", J854&lt;&gt;"", J854&lt;&gt;VLOOKUP(K854, Criterios!$A$81:$B$120, 2, FALSE)), "División no coincide con Categoría", ""))), IF(OR(L854="", L854=""), "[Aviso] Género no capturado ()", IF(ISNA(MATCH(L854, Criterios!$B$123:$B$127, 0)), "Género no válido", "")), IF(OR(N854="", N854=""), "[Aviso] Temporada no capturada ()", IF(ISNA(MATCH(N854, Criterios!$C$123:$C$128, 0)), "Temporada no válida", "")), IF(OR(O854="", O854=""), "[Aviso] Ciclo de vida no capturado ()", IF(ISNA(MATCH(O854, Criterios!$D$123:$D$124, 0)), "Ciclo de vida no válido", ""))))</f>
        <v/>
      </c>
      <c r="AC854" s="56" t="n"/>
      <c r="AD854" s="51" t="n"/>
      <c r="AE854" s="156" t="n"/>
      <c r="AF854" s="51" t="n"/>
      <c r="AG854" s="156" t="inlineStr">
        <is>
          <t>Nuevo – Carga Hoja2 01/10/2026</t>
        </is>
      </c>
      <c r="AH854" s="156" t="inlineStr">
        <is>
          <t>Alta 01/10/2026 desde Hoja2 (fila 883) | 01/10/2026: complementado desde Odoo Universal Unique Brands (match por código de barras): WB Talla, WB Talla de EE. UU., WB Descripción larga | 01/10/2026: Odoo Universal Unique Brands trae Categoría «Carteras» — se conservó el valor de Productos | Homologación G1522 06/10/2026: WB País de origen: «Mexico» → «México» (Corrección aplicada) · Validador Shopify: WB: precio con IVA no termina en 9</t>
        </is>
      </c>
      <c r="AI854" s="156" t="n"/>
      <c r="AJ854" s="156" t="n"/>
      <c r="AK854" s="155" t="inlineStr">
        <is>
          <t>Hoja2: fila 883 | Odoo: producto 11205 / plantilla 14640</t>
        </is>
      </c>
      <c r="AL854" s="58" t="n"/>
      <c r="AM854" s="58" t="n"/>
      <c r="AN854" s="155" t="inlineStr">
        <is>
          <t>Odoo Universal Unique Brands</t>
        </is>
      </c>
      <c r="AO854" s="59" t="n"/>
      <c r="AP854" s="59" t="n"/>
      <c r="AQ854" s="59" t="n">
        <v>22</v>
      </c>
      <c r="AR854" s="155" t="inlineStr">
        <is>
          <t>Odoo Universal Unique Brands › Bodega 25 › Bodega 25/General: 22</t>
        </is>
      </c>
    </row>
    <row r="855">
      <c r="A855" s="50" t="inlineStr">
        <is>
          <t>717019691548</t>
        </is>
      </c>
      <c r="B855" s="51" t="inlineStr">
        <is>
          <t>11218</t>
        </is>
      </c>
      <c r="C855" s="156" t="inlineStr">
        <is>
          <t>Wrangler</t>
        </is>
      </c>
      <c r="D855" s="156" t="inlineStr">
        <is>
          <t>WG2211-W006JN</t>
        </is>
      </c>
      <c r="E855" s="156" t="inlineStr">
        <is>
          <t>WG2211-W006JN</t>
        </is>
      </c>
      <c r="F855" s="156" t="inlineStr">
        <is>
          <t>Talla única</t>
        </is>
      </c>
      <c r="G855" s="156" t="inlineStr">
        <is>
          <t>One Size</t>
        </is>
      </c>
      <c r="H855" s="156" t="inlineStr">
        <is>
          <t>Wrangler</t>
        </is>
      </c>
      <c r="I855" s="156" t="inlineStr">
        <is>
          <t>Cartera Wrangler Estampado Artístico Suroeste</t>
        </is>
      </c>
      <c r="J855" s="156" t="inlineStr">
        <is>
          <t>Accesorios</t>
        </is>
      </c>
      <c r="K855" s="156" t="inlineStr">
        <is>
          <t>Bolsos</t>
        </is>
      </c>
      <c r="L855" s="156" t="inlineStr">
        <is>
          <t>Unisex</t>
        </is>
      </c>
      <c r="M855" s="156" t="inlineStr">
        <is>
          <t>Wrangler</t>
        </is>
      </c>
      <c r="N855" s="156" t="n"/>
      <c r="O855" s="156" t="n"/>
      <c r="P855" s="156" t="inlineStr">
        <is>
          <t>Varios</t>
        </is>
      </c>
      <c r="Q855" s="156" t="n"/>
      <c r="R855" s="156" t="n"/>
      <c r="S855" s="156" t="n"/>
      <c r="T855" s="156" t="inlineStr">
        <is>
          <t>Cartera</t>
        </is>
      </c>
      <c r="U855" s="156" t="inlineStr">
        <is>
          <t>México</t>
        </is>
      </c>
      <c r="V855" s="156" t="inlineStr">
        <is>
          <t>PZS</t>
        </is>
      </c>
      <c r="W855" s="51" t="inlineStr">
        <is>
          <t>53121601</t>
        </is>
      </c>
      <c r="X855" s="156" t="inlineStr">
        <is>
          <t>https://m-universal-unique-brands.odoo.com/web/image/product.product/11218/image_1920</t>
        </is>
      </c>
      <c r="Y855" s="54" t="n">
        <v>276</v>
      </c>
      <c r="Z855" s="54" t="n">
        <v>449</v>
      </c>
      <c r="AA855" s="55">
        <f>IF(AND(A855="", B855="", E855=""), "", IF(AB855="", "Válido", IF((LEN(AB855)-LEN(SUBSTITUTE(AB855,"; ","")))/2+1&gt;(LEN(AB855)-LEN(SUBSTITUTE(AB855,"[Aviso]","")))/7, "Con Incidencias", "Válido")))</f>
        <v/>
      </c>
      <c r="AB855" s="56">
        <f>IF(AND(A855="", B855="", E855=""), "", TEXTJOIN("; ", TRUE, IF(OR(TRIM(A855&amp;"")="", ISNUMBER(SEARCH("FALTA", A855))), "UPC faltante/inválido", ""), IF(AND(A855&lt;&gt;"", IFERROR(_xlfn.XMATCH(A855,$A$2:$A$1063,0,1)&lt;&gt;_xlfn.XMATCH(A855,$A$2:$A$1063,0,-1),FALSE)), "Código de barras duplicado", ""), IF(AND(E855&lt;&gt;"", COUNTIF($E$2:$E$1063, E855)&gt;1), "SKU duplicado", ""), IF(OR(J855="", J855=""), "[Aviso] División no capturada ()", IF(ISNA(MATCH(J855, Criterios!$A$123:$A$126, 0)), "División no válida", "")), IF(OR(K855="", K855=""), "[Aviso] Categoría no capturada ()", IF(ISNA(MATCH(K855, Criterios!$A$81:$A$120, 0)), "Categoría no válida", IF(AND(J855&lt;&gt;"", J855&lt;&gt;"", J855&lt;&gt;VLOOKUP(K855, Criterios!$A$81:$B$120, 2, FALSE)), "División no coincide con Categoría", ""))), IF(OR(L855="", L855=""), "[Aviso] Género no capturado ()", IF(ISNA(MATCH(L855, Criterios!$B$123:$B$127, 0)), "Género no válido", "")), IF(OR(N855="", N855=""), "[Aviso] Temporada no capturada ()", IF(ISNA(MATCH(N855, Criterios!$C$123:$C$128, 0)), "Temporada no válida", "")), IF(OR(O855="", O855=""), "[Aviso] Ciclo de vida no capturado ()", IF(ISNA(MATCH(O855, Criterios!$D$123:$D$124, 0)), "Ciclo de vida no válido", ""))))</f>
        <v/>
      </c>
      <c r="AC855" s="56" t="n"/>
      <c r="AD855" s="51" t="n"/>
      <c r="AE855" s="156" t="n"/>
      <c r="AF855" s="51" t="n"/>
      <c r="AG855" s="156" t="inlineStr">
        <is>
          <t>Nuevo – Carga Hoja2 01/10/2026</t>
        </is>
      </c>
      <c r="AH855" s="156" t="inlineStr">
        <is>
          <t>Alta 01/10/2026 desde Hoja2 (fila 884) | 01/10/2026: complementado desde Odoo Universal Unique Brands (match por código de barras): WB Talla, WB Talla de EE. UU., WB Descripción larga, Enlace de imagen | 01/10/2026: Odoo Universal Unique Brands trae Categoría «Carteras» — se conservó el valor de Productos | Homologación G1522 06/10/2026: WB País de origen: «Mexico» → «México» (Corrección aplicada) · Validación G1522: WB SKU duplicado · Validador NetSuite / Odoo: V4: SKU repetido · Validador Shopify: V4: SKU repetido; WB: precio con IVA no termina en 9</t>
        </is>
      </c>
      <c r="AI855" s="156" t="n"/>
      <c r="AJ855" s="156" t="n"/>
      <c r="AK855" s="155" t="inlineStr">
        <is>
          <t>Hoja2: fila 884 | Odoo: producto 11218 / plantilla 14653</t>
        </is>
      </c>
      <c r="AL855" s="58" t="n"/>
      <c r="AM855" s="58" t="n"/>
      <c r="AN855" s="155" t="inlineStr">
        <is>
          <t>Odoo Universal Unique Brands</t>
        </is>
      </c>
      <c r="AO855" s="59" t="n"/>
      <c r="AP855" s="59" t="n"/>
      <c r="AQ855" s="59" t="n">
        <v>20</v>
      </c>
      <c r="AR855" s="155" t="inlineStr">
        <is>
          <t>Odoo Universal Unique Brands › Bodega 25 › Bodega 25/General: 20</t>
        </is>
      </c>
    </row>
    <row r="856">
      <c r="A856" s="50" t="inlineStr">
        <is>
          <t>717019713837</t>
        </is>
      </c>
      <c r="B856" s="51" t="inlineStr">
        <is>
          <t>13305</t>
        </is>
      </c>
      <c r="C856" s="156" t="inlineStr">
        <is>
          <t>Wrangler</t>
        </is>
      </c>
      <c r="D856" s="156" t="inlineStr">
        <is>
          <t>WG2212-8120BK</t>
        </is>
      </c>
      <c r="E856" s="156" t="inlineStr">
        <is>
          <t>WG2212-8120BK</t>
        </is>
      </c>
      <c r="F856" s="156" t="inlineStr">
        <is>
          <t>Talla única</t>
        </is>
      </c>
      <c r="G856" s="156" t="inlineStr">
        <is>
          <t>One Size</t>
        </is>
      </c>
      <c r="H856" s="156" t="inlineStr">
        <is>
          <t>Wrangler</t>
        </is>
      </c>
      <c r="I856" s="156" t="inlineStr">
        <is>
          <t>Bolsa Wrangler Negro</t>
        </is>
      </c>
      <c r="J856" s="156" t="inlineStr">
        <is>
          <t>Accesorios</t>
        </is>
      </c>
      <c r="K856" s="156" t="inlineStr">
        <is>
          <t>Bolsos</t>
        </is>
      </c>
      <c r="L856" s="156" t="inlineStr">
        <is>
          <t>Unisex</t>
        </is>
      </c>
      <c r="M856" s="156" t="inlineStr">
        <is>
          <t>Wrangler</t>
        </is>
      </c>
      <c r="N856" s="156" t="n"/>
      <c r="O856" s="156" t="inlineStr">
        <is>
          <t>Core</t>
        </is>
      </c>
      <c r="P856" s="156" t="inlineStr">
        <is>
          <t>Negro</t>
        </is>
      </c>
      <c r="Q856" s="156" t="n"/>
      <c r="R856" s="156" t="n"/>
      <c r="S856" s="156" t="n"/>
      <c r="T856" s="156" t="inlineStr">
        <is>
          <t>Bolsa Wrangler. Color: Negro. Talla única. Unisex. País de origen: México. Referencia: WG2212-8120BK.</t>
        </is>
      </c>
      <c r="U856" s="156" t="inlineStr">
        <is>
          <t>México</t>
        </is>
      </c>
      <c r="V856" s="156" t="inlineStr">
        <is>
          <t>PZS</t>
        </is>
      </c>
      <c r="W856" s="51" t="inlineStr">
        <is>
          <t>53121601</t>
        </is>
      </c>
      <c r="X856" s="156" t="n"/>
      <c r="Y856" s="54" t="n">
        <v>26</v>
      </c>
      <c r="Z856" s="54" t="n">
        <v>719</v>
      </c>
      <c r="AA856" s="55">
        <f>IF(AND(A856="", B856="", E856=""), "", IF(AB856="", "Válido", IF((LEN(AB856)-LEN(SUBSTITUTE(AB856,"; ","")))/2+1&gt;(LEN(AB856)-LEN(SUBSTITUTE(AB856,"[Aviso]","")))/7, "Con Incidencias", "Válido")))</f>
        <v/>
      </c>
      <c r="AB856" s="56">
        <f>IF(AND(A856="", B856="", E856=""), "", TEXTJOIN("; ", TRUE, IF(OR(TRIM(A856&amp;"")="", ISNUMBER(SEARCH("FALTA", A856))), "UPC faltante/inválido", ""), IF(AND(A856&lt;&gt;"", IFERROR(_xlfn.XMATCH(A856,$A$2:$A$1063,0,1)&lt;&gt;_xlfn.XMATCH(A856,$A$2:$A$1063,0,-1),FALSE)), "Código de barras duplicado", ""), IF(AND(E856&lt;&gt;"", COUNTIF($E$2:$E$1063, E856)&gt;1), "SKU duplicado", ""), IF(OR(J856="", J856=""), "[Aviso] División no capturada ()", IF(ISNA(MATCH(J856, Criterios!$A$123:$A$126, 0)), "División no válida", "")), IF(OR(K856="", K856=""), "[Aviso] Categoría no capturada ()", IF(ISNA(MATCH(K856, Criterios!$A$81:$A$120, 0)), "Categoría no válida", IF(AND(J856&lt;&gt;"", J856&lt;&gt;"", J856&lt;&gt;VLOOKUP(K856, Criterios!$A$81:$B$120, 2, FALSE)), "División no coincide con Categoría", ""))), IF(OR(L856="", L856=""), "[Aviso] Género no capturado ()", IF(ISNA(MATCH(L856, Criterios!$B$123:$B$127, 0)), "Género no válido", "")), IF(OR(N856="", N856=""), "[Aviso] Temporada no capturada ()", IF(ISNA(MATCH(N856, Criterios!$C$123:$C$128, 0)), "Temporada no válida", "")), IF(OR(O856="", O856=""), "[Aviso] Ciclo de vida no capturado ()", IF(ISNA(MATCH(O856, Criterios!$D$123:$D$124, 0)), "Ciclo de vida no válido", ""))))</f>
        <v/>
      </c>
      <c r="AC856" s="56" t="n"/>
      <c r="AD856" s="51" t="n"/>
      <c r="AE856" s="156" t="n"/>
      <c r="AF856" s="51" t="n"/>
      <c r="AG856" s="156" t="inlineStr">
        <is>
          <t>Nuevo – Carga Hoja2 01/10/2026</t>
        </is>
      </c>
      <c r="AH856" s="156" t="inlineStr">
        <is>
          <t>Alta 01/10/2026 desde Hoja2 (fila 885) | Homologación G1522 06/10/2026: Validador Shopify: WB: precio con IVA no termina en 9</t>
        </is>
      </c>
      <c r="AI856" s="156" t="n"/>
      <c r="AJ856" s="156" t="n"/>
      <c r="AK856" s="155" t="inlineStr">
        <is>
          <t>Hoja2: fila 885 | Odoo: producto 13305 / plantilla 16882</t>
        </is>
      </c>
      <c r="AL856" s="58" t="n"/>
      <c r="AM856" s="58" t="n"/>
      <c r="AN856" s="155" t="inlineStr">
        <is>
          <t>Odoo Universal Unique Brands</t>
        </is>
      </c>
      <c r="AO856" s="59" t="n"/>
      <c r="AP856" s="59" t="n"/>
      <c r="AQ856" s="59" t="n">
        <v>-3</v>
      </c>
      <c r="AR856" s="155" t="n"/>
    </row>
    <row r="857">
      <c r="A857" s="50" t="n"/>
      <c r="B857" s="51" t="inlineStr">
        <is>
          <t>11824</t>
        </is>
      </c>
      <c r="C857" s="156" t="inlineStr">
        <is>
          <t>Wrangler</t>
        </is>
      </c>
      <c r="D857" s="156" t="inlineStr">
        <is>
          <t>WG2212-8136BR</t>
        </is>
      </c>
      <c r="E857" s="156" t="inlineStr">
        <is>
          <t>WG2212-8136BR</t>
        </is>
      </c>
      <c r="F857" s="156" t="inlineStr">
        <is>
          <t>Talla única</t>
        </is>
      </c>
      <c r="G857" s="156" t="inlineStr">
        <is>
          <t>One Size</t>
        </is>
      </c>
      <c r="H857" s="156" t="inlineStr">
        <is>
          <t>Wrangler</t>
        </is>
      </c>
      <c r="I857" s="156" t="inlineStr">
        <is>
          <t>Bolsa Tipo Montura Wrangler Estampado Suroeste Café</t>
        </is>
      </c>
      <c r="J857" s="156" t="inlineStr">
        <is>
          <t>Accesorios</t>
        </is>
      </c>
      <c r="K857" s="156" t="inlineStr">
        <is>
          <t>Bolsos</t>
        </is>
      </c>
      <c r="L857" s="156" t="inlineStr">
        <is>
          <t>Unisex</t>
        </is>
      </c>
      <c r="M857" s="156" t="inlineStr">
        <is>
          <t>Wrangler</t>
        </is>
      </c>
      <c r="N857" s="156" t="n"/>
      <c r="O857" s="156" t="n"/>
      <c r="P857" s="156" t="inlineStr">
        <is>
          <t>Cafe</t>
        </is>
      </c>
      <c r="Q857" s="156" t="n"/>
      <c r="R857" s="156" t="n"/>
      <c r="S857" s="156" t="n"/>
      <c r="T857" s="156" t="n"/>
      <c r="U857" s="156" t="inlineStr">
        <is>
          <t>México</t>
        </is>
      </c>
      <c r="V857" s="156" t="inlineStr">
        <is>
          <t>PZS</t>
        </is>
      </c>
      <c r="W857" s="51" t="inlineStr">
        <is>
          <t>53121601</t>
        </is>
      </c>
      <c r="X857" s="156" t="n"/>
      <c r="Y857" s="54" t="n">
        <v>431.25</v>
      </c>
      <c r="Z857" s="54" t="n">
        <v>689</v>
      </c>
      <c r="AA857" s="55">
        <f>IF(AND(A857="", B857="", E857=""), "", IF(AB857="", "Válido", IF((LEN(AB857)-LEN(SUBSTITUTE(AB857,"; ","")))/2+1&gt;(LEN(AB857)-LEN(SUBSTITUTE(AB857,"[Aviso]","")))/7, "Con Incidencias", "Válido")))</f>
        <v/>
      </c>
      <c r="AB857" s="56">
        <f>IF(AND(A857="", B857="", E857=""), "", TEXTJOIN("; ", TRUE, IF(OR(TRIM(A857&amp;"")="", ISNUMBER(SEARCH("FALTA", A857))), "UPC faltante/inválido", ""), IF(AND(A857&lt;&gt;"", IFERROR(_xlfn.XMATCH(A857,$A$2:$A$1063,0,1)&lt;&gt;_xlfn.XMATCH(A857,$A$2:$A$1063,0,-1),FALSE)), "Código de barras duplicado", ""), IF(AND(E857&lt;&gt;"", COUNTIF($E$2:$E$1063, E857)&gt;1), "SKU duplicado", ""), IF(OR(J857="", J857=""), "[Aviso] División no capturada ()", IF(ISNA(MATCH(J857, Criterios!$A$123:$A$126, 0)), "División no válida", "")), IF(OR(K857="", K857=""), "[Aviso] Categoría no capturada ()", IF(ISNA(MATCH(K857, Criterios!$A$81:$A$120, 0)), "Categoría no válida", IF(AND(J857&lt;&gt;"", J857&lt;&gt;"", J857&lt;&gt;VLOOKUP(K857, Criterios!$A$81:$B$120, 2, FALSE)), "División no coincide con Categoría", ""))), IF(OR(L857="", L857=""), "[Aviso] Género no capturado ()", IF(ISNA(MATCH(L857, Criterios!$B$123:$B$127, 0)), "Género no válido", "")), IF(OR(N857="", N857=""), "[Aviso] Temporada no capturada ()", IF(ISNA(MATCH(N857, Criterios!$C$123:$C$128, 0)), "Temporada no válida", "")), IF(OR(O857="", O857=""), "[Aviso] Ciclo de vida no capturado ()", IF(ISNA(MATCH(O857, Criterios!$D$123:$D$124, 0)), "Ciclo de vida no válido", ""))))</f>
        <v/>
      </c>
      <c r="AC857" s="56" t="n"/>
      <c r="AD857" s="51" t="n"/>
      <c r="AE857" s="156" t="n"/>
      <c r="AF857" s="51" t="n"/>
      <c r="AG857" s="156" t="inlineStr">
        <is>
          <t>Nuevo – Carga Hoja2 01/10/2026</t>
        </is>
      </c>
      <c r="AH857" s="156" t="inlineStr">
        <is>
          <t>Alta 01/10/2026 desde Hoja2 (fila 886) | Homologación G1522 06/10/2026: WB País de origen: «Mexico» → «México» (Corrección aplicada) · WB Talla: «» → «Talla única» (Completado por regla) · WB Talla de EE. UU.: «» → «One Size» (Completado por regla) · WB SKU: Colisión de captura: mismo WB SKU pero estilo, talla o color distintos; corregir el valor equivocado (Requiere revisión) · Validación G1522: Código de barras faltante; WB SKU duplicado · Validador NetSuite / Odoo: V1: falta código de barras; V4: SKU repetido · Validador Shopify: V1: falta código de barras; V4: SKU repetido</t>
        </is>
      </c>
      <c r="AI857" s="156" t="n"/>
      <c r="AJ857" s="156" t="n"/>
      <c r="AK857" s="155" t="inlineStr">
        <is>
          <t>Hoja2: fila 886</t>
        </is>
      </c>
      <c r="AL857" s="58" t="n"/>
      <c r="AM857" s="58" t="n"/>
      <c r="AN857" s="155" t="n"/>
      <c r="AO857" s="59" t="n"/>
      <c r="AP857" s="59" t="n"/>
      <c r="AQ857" s="59" t="n"/>
      <c r="AR857" s="155" t="n"/>
    </row>
    <row r="858">
      <c r="A858" s="50" t="inlineStr">
        <is>
          <t>717325222283</t>
        </is>
      </c>
      <c r="B858" s="51" t="inlineStr">
        <is>
          <t>11358</t>
        </is>
      </c>
      <c r="C858" s="156" t="inlineStr">
        <is>
          <t>Wrangler</t>
        </is>
      </c>
      <c r="D858" s="156" t="inlineStr">
        <is>
          <t>WG2212-C012BR</t>
        </is>
      </c>
      <c r="E858" s="156" t="inlineStr">
        <is>
          <t>WG2212-C012BR</t>
        </is>
      </c>
      <c r="F858" s="156" t="inlineStr">
        <is>
          <t>Talla única</t>
        </is>
      </c>
      <c r="G858" s="156" t="inlineStr">
        <is>
          <t>One Size</t>
        </is>
      </c>
      <c r="H858" s="156" t="inlineStr">
        <is>
          <t>Wrangler</t>
        </is>
      </c>
      <c r="I858" s="156" t="inlineStr">
        <is>
          <t>Cartera Muñequera Cruzada Wrangler Estampado Suroeste Café</t>
        </is>
      </c>
      <c r="J858" s="156" t="inlineStr">
        <is>
          <t>Accesorios</t>
        </is>
      </c>
      <c r="K858" s="156" t="inlineStr">
        <is>
          <t>Bolsos</t>
        </is>
      </c>
      <c r="L858" s="156" t="inlineStr">
        <is>
          <t>Unisex</t>
        </is>
      </c>
      <c r="M858" s="156" t="inlineStr">
        <is>
          <t>Wrangler</t>
        </is>
      </c>
      <c r="N858" s="156" t="n"/>
      <c r="O858" s="156" t="inlineStr">
        <is>
          <t>Core</t>
        </is>
      </c>
      <c r="P858" s="156" t="inlineStr">
        <is>
          <t>Cafe</t>
        </is>
      </c>
      <c r="Q858" s="156" t="n"/>
      <c r="R858" s="156" t="n"/>
      <c r="S858" s="156" t="n"/>
      <c r="T858" s="156" t="inlineStr">
        <is>
          <t>Cartera Muñequera Cruzada Wrangler. Modelo: Estampado Suroeste. Color: Café. Talla única. Unisex. País de origen: México. Referencia: WG2212-C012BR.</t>
        </is>
      </c>
      <c r="U858" s="156" t="inlineStr">
        <is>
          <t>México</t>
        </is>
      </c>
      <c r="V858" s="156" t="inlineStr">
        <is>
          <t>PZS</t>
        </is>
      </c>
      <c r="W858" s="51" t="inlineStr">
        <is>
          <t>53121601</t>
        </is>
      </c>
      <c r="X858" s="156" t="inlineStr">
        <is>
          <t>https://m-universal-unique-brands.odoo.com/web/image/product.product/11358/image_1920</t>
        </is>
      </c>
      <c r="Y858" s="54" t="n">
        <v>310.5</v>
      </c>
      <c r="Z858" s="54" t="n">
        <v>499</v>
      </c>
      <c r="AA858" s="55">
        <f>IF(AND(A858="", B858="", E858=""), "", IF(AB858="", "Válido", IF((LEN(AB858)-LEN(SUBSTITUTE(AB858,"; ","")))/2+1&gt;(LEN(AB858)-LEN(SUBSTITUTE(AB858,"[Aviso]","")))/7, "Con Incidencias", "Válido")))</f>
        <v/>
      </c>
      <c r="AB858" s="56">
        <f>IF(AND(A858="", B858="", E858=""), "", TEXTJOIN("; ", TRUE, IF(OR(TRIM(A858&amp;"")="", ISNUMBER(SEARCH("FALTA", A858))), "UPC faltante/inválido", ""), IF(AND(A858&lt;&gt;"", IFERROR(_xlfn.XMATCH(A858,$A$2:$A$1063,0,1)&lt;&gt;_xlfn.XMATCH(A858,$A$2:$A$1063,0,-1),FALSE)), "Código de barras duplicado", ""), IF(AND(E858&lt;&gt;"", COUNTIF($E$2:$E$1063, E858)&gt;1), "SKU duplicado", ""), IF(OR(J858="", J858=""), "[Aviso] División no capturada ()", IF(ISNA(MATCH(J858, Criterios!$A$123:$A$126, 0)), "División no válida", "")), IF(OR(K858="", K858=""), "[Aviso] Categoría no capturada ()", IF(ISNA(MATCH(K858, Criterios!$A$81:$A$120, 0)), "Categoría no válida", IF(AND(J858&lt;&gt;"", J858&lt;&gt;"", J858&lt;&gt;VLOOKUP(K858, Criterios!$A$81:$B$120, 2, FALSE)), "División no coincide con Categoría", ""))), IF(OR(L858="", L858=""), "[Aviso] Género no capturado ()", IF(ISNA(MATCH(L858, Criterios!$B$123:$B$127, 0)), "Género no válido", "")), IF(OR(N858="", N858=""), "[Aviso] Temporada no capturada ()", IF(ISNA(MATCH(N858, Criterios!$C$123:$C$128, 0)), "Temporada no válida", "")), IF(OR(O858="", O858=""), "[Aviso] Ciclo de vida no capturado ()", IF(ISNA(MATCH(O858, Criterios!$D$123:$D$124, 0)), "Ciclo de vida no válido", ""))))</f>
        <v/>
      </c>
      <c r="AC858" s="56" t="n"/>
      <c r="AD858" s="51" t="n"/>
      <c r="AE858" s="156" t="n"/>
      <c r="AF858" s="51" t="n"/>
      <c r="AG858" s="156" t="inlineStr">
        <is>
          <t>Nuevo – Carga Hoja2 01/10/2026</t>
        </is>
      </c>
      <c r="AH858" s="156" t="inlineStr">
        <is>
          <t>Alta 01/10/2026 desde Hoja2 (fila 887) | 01/10/2026: complementado desde Odoo Universal Unique Brands (match por código de barras): Enlace de imagen | 01/10/2026: Odoo Universal Unique Brands trae Categoría «Carteras» — se conservó el valor de Productos | 01/10/2026: Odoo Universal Unique Brands trae Marca «Montana West» — se conservó el valor de Productos | Homologación G1522 06/10/2026: Validador Shopify: WB: precio con IVA no termina en 9</t>
        </is>
      </c>
      <c r="AI858" s="156" t="n"/>
      <c r="AJ858" s="156" t="n"/>
      <c r="AK858" s="155" t="inlineStr">
        <is>
          <t>Hoja2: fila 887 | Odoo: producto 11358 / plantilla 14793 | Odoo: producto 27400 / plantilla 34100</t>
        </is>
      </c>
      <c r="AL858" s="58" t="n"/>
      <c r="AM858" s="58" t="n"/>
      <c r="AN858" s="155" t="inlineStr">
        <is>
          <t>Odoo Universal Unique Brands</t>
        </is>
      </c>
      <c r="AO858" s="59" t="n"/>
      <c r="AP858" s="59" t="n"/>
      <c r="AQ858" s="59" t="n">
        <v>10</v>
      </c>
      <c r="AR858" s="155" t="inlineStr">
        <is>
          <t>Odoo Universal Unique Brands › Bodega 25 › Bodega 25/General: 4 | Odoo Universal Unique Brands › Bodega 25 › Bodega 25/General: 6</t>
        </is>
      </c>
    </row>
    <row r="859">
      <c r="A859" s="50" t="inlineStr">
        <is>
          <t>717019714551</t>
        </is>
      </c>
      <c r="B859" s="51" t="inlineStr">
        <is>
          <t>11361</t>
        </is>
      </c>
      <c r="C859" s="156" t="inlineStr">
        <is>
          <t>Wrangler</t>
        </is>
      </c>
      <c r="D859" s="156" t="inlineStr">
        <is>
          <t>WG2212-W0051BK</t>
        </is>
      </c>
      <c r="E859" s="156" t="inlineStr">
        <is>
          <t>WG2212-W0051BK</t>
        </is>
      </c>
      <c r="F859" s="156" t="inlineStr">
        <is>
          <t>Talla única</t>
        </is>
      </c>
      <c r="G859" s="156" t="inlineStr">
        <is>
          <t>One Size</t>
        </is>
      </c>
      <c r="H859" s="156" t="inlineStr">
        <is>
          <t>Wrangler</t>
        </is>
      </c>
      <c r="I859" s="156" t="inlineStr">
        <is>
          <t>Muñequera De Doble Compartimento Wrangler Estampado Artístico Suroeste Negro</t>
        </is>
      </c>
      <c r="J859" s="156" t="inlineStr">
        <is>
          <t>Accesorios</t>
        </is>
      </c>
      <c r="K859" s="156" t="inlineStr">
        <is>
          <t>Carteras</t>
        </is>
      </c>
      <c r="L859" s="156" t="inlineStr">
        <is>
          <t>Unisex</t>
        </is>
      </c>
      <c r="M859" s="156" t="inlineStr">
        <is>
          <t>Wrangler</t>
        </is>
      </c>
      <c r="N859" s="156" t="n"/>
      <c r="O859" s="156" t="inlineStr">
        <is>
          <t>Core</t>
        </is>
      </c>
      <c r="P859" s="156" t="inlineStr">
        <is>
          <t>Negro</t>
        </is>
      </c>
      <c r="Q859" s="156" t="n"/>
      <c r="R859" s="156" t="n"/>
      <c r="S859" s="156" t="n"/>
      <c r="T859" s="156" t="inlineStr">
        <is>
          <t>Muñequera De Doble Compartimento Wrangler. Modelo: Estampado Artístico Suroeste. Color: Negro. Talla única. Unisex. País de origen: México. Referencia: WG2212-W0051BK.</t>
        </is>
      </c>
      <c r="U859" s="156" t="inlineStr">
        <is>
          <t>México</t>
        </is>
      </c>
      <c r="V859" s="156" t="inlineStr">
        <is>
          <t>PZS</t>
        </is>
      </c>
      <c r="W859" s="51" t="inlineStr">
        <is>
          <t>53121700</t>
        </is>
      </c>
      <c r="X859" s="156" t="inlineStr">
        <is>
          <t>https://m-universal-unique-brands.odoo.com/web/image/product.product/11361/image_1920</t>
        </is>
      </c>
      <c r="Y859" s="54" t="n">
        <v>232.88</v>
      </c>
      <c r="Z859" s="54" t="n">
        <v>379</v>
      </c>
      <c r="AA859" s="55">
        <f>IF(AND(A859="", B859="", E859=""), "", IF(AB859="", "Válido", IF((LEN(AB859)-LEN(SUBSTITUTE(AB859,"; ","")))/2+1&gt;(LEN(AB859)-LEN(SUBSTITUTE(AB859,"[Aviso]","")))/7, "Con Incidencias", "Válido")))</f>
        <v/>
      </c>
      <c r="AB859" s="56">
        <f>IF(AND(A859="", B859="", E859=""), "", TEXTJOIN("; ", TRUE, IF(OR(TRIM(A859&amp;"")="", ISNUMBER(SEARCH("FALTA", A859))), "UPC faltante/inválido", ""), IF(AND(A859&lt;&gt;"", IFERROR(_xlfn.XMATCH(A859,$A$2:$A$1063,0,1)&lt;&gt;_xlfn.XMATCH(A859,$A$2:$A$1063,0,-1),FALSE)), "Código de barras duplicado", ""), IF(AND(E859&lt;&gt;"", COUNTIF($E$2:$E$1063, E859)&gt;1), "SKU duplicado", ""), IF(OR(J859="", J859=""), "[Aviso] División no capturada ()", IF(ISNA(MATCH(J859, Criterios!$A$123:$A$126, 0)), "División no válida", "")), IF(OR(K859="", K859=""), "[Aviso] Categoría no capturada ()", IF(ISNA(MATCH(K859, Criterios!$A$81:$A$120, 0)), "Categoría no válida", IF(AND(J859&lt;&gt;"", J859&lt;&gt;"", J859&lt;&gt;VLOOKUP(K859, Criterios!$A$81:$B$120, 2, FALSE)), "División no coincide con Categoría", ""))), IF(OR(L859="", L859=""), "[Aviso] Género no capturado ()", IF(ISNA(MATCH(L859, Criterios!$B$123:$B$127, 0)), "Género no válido", "")), IF(OR(N859="", N859=""), "[Aviso] Temporada no capturada ()", IF(ISNA(MATCH(N859, Criterios!$C$123:$C$128, 0)), "Temporada no válida", "")), IF(OR(O859="", O859=""), "[Aviso] Ciclo de vida no capturado ()", IF(ISNA(MATCH(O859, Criterios!$D$123:$D$124, 0)), "Ciclo de vida no válido", ""))))</f>
        <v/>
      </c>
      <c r="AC859" s="56" t="n"/>
      <c r="AD859" s="51" t="n"/>
      <c r="AE859" s="156" t="n"/>
      <c r="AF859" s="51" t="n"/>
      <c r="AG859" s="156" t="inlineStr">
        <is>
          <t>Nuevo – Carga Hoja2 01/10/2026</t>
        </is>
      </c>
      <c r="AH859" s="156" t="inlineStr">
        <is>
          <t>Alta 01/10/2026 desde Hoja2 (fila 888) | 01/10/2026: complementado desde Odoo Universal Unique Brands (match por código de barras): Enlace de imagen | 01/10/2026: Odoo Universal Unique Brands trae Marca «Montana West» — se conservó el valor de Productos</t>
        </is>
      </c>
      <c r="AI859" s="156" t="n"/>
      <c r="AJ859" s="156" t="n"/>
      <c r="AK859" s="155" t="inlineStr">
        <is>
          <t>Hoja2: fila 888 | Odoo: producto 11361 / plantilla 14796 | Odoo: producto 27401 / plantilla 34101</t>
        </is>
      </c>
      <c r="AL859" s="58" t="n"/>
      <c r="AM859" s="58" t="n"/>
      <c r="AN859" s="155" t="inlineStr">
        <is>
          <t>Odoo Universal Unique Brands</t>
        </is>
      </c>
      <c r="AO859" s="59" t="n"/>
      <c r="AP859" s="59" t="n"/>
      <c r="AQ859" s="59" t="n">
        <v>22</v>
      </c>
      <c r="AR859" s="155" t="inlineStr">
        <is>
          <t>Odoo Universal Unique Brands › Bodega 25 › Bodega 25/General: 16 | Odoo Universal Unique Brands › Bodega 25 › Bodega 25/General: 6</t>
        </is>
      </c>
    </row>
    <row r="860">
      <c r="A860" s="50" t="inlineStr">
        <is>
          <t>717019725410</t>
        </is>
      </c>
      <c r="B860" s="51" t="inlineStr">
        <is>
          <t>11340</t>
        </is>
      </c>
      <c r="C860" s="156" t="inlineStr">
        <is>
          <t>Wrangler</t>
        </is>
      </c>
      <c r="D860" s="156" t="inlineStr">
        <is>
          <t>WG2213-8120SBR</t>
        </is>
      </c>
      <c r="E860" s="156" t="inlineStr">
        <is>
          <t>WG2213-8120SBR</t>
        </is>
      </c>
      <c r="F860" s="156" t="inlineStr">
        <is>
          <t>Talla única</t>
        </is>
      </c>
      <c r="G860" s="156" t="inlineStr">
        <is>
          <t>One Size</t>
        </is>
      </c>
      <c r="H860" s="156" t="inlineStr">
        <is>
          <t>Wrangler</t>
        </is>
      </c>
      <c r="I860" s="156" t="inlineStr">
        <is>
          <t>Bolsa Tote Cruzada Wrangler Estampado Suroeste Doble Cara Café</t>
        </is>
      </c>
      <c r="J860" s="156" t="inlineStr">
        <is>
          <t>Accesorios</t>
        </is>
      </c>
      <c r="K860" s="156" t="inlineStr">
        <is>
          <t>Bolsos</t>
        </is>
      </c>
      <c r="L860" s="156" t="inlineStr">
        <is>
          <t>Unisex</t>
        </is>
      </c>
      <c r="M860" s="156" t="inlineStr">
        <is>
          <t>Wrangler</t>
        </is>
      </c>
      <c r="N860" s="156" t="inlineStr">
        <is>
          <t>FW26</t>
        </is>
      </c>
      <c r="O860" s="156" t="inlineStr">
        <is>
          <t>Seasonal</t>
        </is>
      </c>
      <c r="P860" s="156" t="inlineStr">
        <is>
          <t>Cafe</t>
        </is>
      </c>
      <c r="Q860" s="156" t="n"/>
      <c r="R860" s="156" t="n"/>
      <c r="S860" s="156" t="n"/>
      <c r="T860" s="156" t="inlineStr">
        <is>
          <t>Bolsa Tote Cruzada Wrangler. Modelo: Estampado Suroeste Doble Cara. Color: Café. Talla única. Unisex. País de origen: México. Referencia: WG2213-8120SBR.</t>
        </is>
      </c>
      <c r="U860" s="156" t="inlineStr">
        <is>
          <t>México</t>
        </is>
      </c>
      <c r="V860" s="156" t="inlineStr">
        <is>
          <t>PZS</t>
        </is>
      </c>
      <c r="W860" s="51" t="inlineStr">
        <is>
          <t>53121601</t>
        </is>
      </c>
      <c r="X860" s="156" t="inlineStr">
        <is>
          <t>https://m-universal-unique-brands.odoo.com/web/image/product.product/11340/image_1920</t>
        </is>
      </c>
      <c r="Y860" s="54" t="n">
        <v>364</v>
      </c>
      <c r="Z860" s="54" t="n">
        <v>724.5</v>
      </c>
      <c r="AA860" s="55">
        <f>IF(AND(A860="", B860="", E860=""), "", IF(AB860="", "Válido", IF((LEN(AB860)-LEN(SUBSTITUTE(AB860,"; ","")))/2+1&gt;(LEN(AB860)-LEN(SUBSTITUTE(AB860,"[Aviso]","")))/7, "Con Incidencias", "Válido")))</f>
        <v/>
      </c>
      <c r="AB860" s="56">
        <f>IF(AND(A860="", B860="", E860=""), "", TEXTJOIN("; ", TRUE, IF(OR(TRIM(A860&amp;"")="", ISNUMBER(SEARCH("FALTA", A860))), "UPC faltante/inválido", ""), IF(AND(A860&lt;&gt;"", IFERROR(_xlfn.XMATCH(A860,$A$2:$A$1063,0,1)&lt;&gt;_xlfn.XMATCH(A860,$A$2:$A$1063,0,-1),FALSE)), "Código de barras duplicado", ""), IF(AND(E860&lt;&gt;"", COUNTIF($E$2:$E$1063, E860)&gt;1), "SKU duplicado", ""), IF(OR(J860="", J860=""), "[Aviso] División no capturada ()", IF(ISNA(MATCH(J860, Criterios!$A$123:$A$126, 0)), "División no válida", "")), IF(OR(K860="", K860=""), "[Aviso] Categoría no capturada ()", IF(ISNA(MATCH(K860, Criterios!$A$81:$A$120, 0)), "Categoría no válida", IF(AND(J860&lt;&gt;"", J860&lt;&gt;"", J860&lt;&gt;VLOOKUP(K860, Criterios!$A$81:$B$120, 2, FALSE)), "División no coincide con Categoría", ""))), IF(OR(L860="", L860=""), "[Aviso] Género no capturado ()", IF(ISNA(MATCH(L860, Criterios!$B$123:$B$127, 0)), "Género no válido", "")), IF(OR(N860="", N860=""), "[Aviso] Temporada no capturada ()", IF(ISNA(MATCH(N860, Criterios!$C$123:$C$128, 0)), "Temporada no válida", "")), IF(OR(O860="", O860=""), "[Aviso] Ciclo de vida no capturado ()", IF(ISNA(MATCH(O860, Criterios!$D$123:$D$124, 0)), "Ciclo de vida no válido", ""))))</f>
        <v/>
      </c>
      <c r="AC860" s="56" t="n"/>
      <c r="AD860" s="51" t="n"/>
      <c r="AE860" s="156" t="n"/>
      <c r="AF860" s="51" t="n"/>
      <c r="AG860" s="156" t="inlineStr">
        <is>
          <t>Nuevo – Carga Hoja2 01/10/2026</t>
        </is>
      </c>
      <c r="AH860" s="156" t="inlineStr">
        <is>
          <t>Alta 01/10/2026 desde Hoja2 (fila 889)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60" s="156" t="n"/>
      <c r="AJ860" s="156" t="n"/>
      <c r="AK860" s="155" t="inlineStr">
        <is>
          <t>Hoja2: fila 889 | Odoo: producto 11340 / plantilla 14775 | Odoo: producto 27407 / plantilla 34107</t>
        </is>
      </c>
      <c r="AL860" s="58" t="n"/>
      <c r="AM860" s="58" t="n"/>
      <c r="AN860" s="155" t="inlineStr">
        <is>
          <t>Odoo Universal Unique Brands</t>
        </is>
      </c>
      <c r="AO860" s="59" t="n"/>
      <c r="AP860" s="59" t="n"/>
      <c r="AQ860" s="59" t="n">
        <v>145</v>
      </c>
      <c r="AR860" s="155" t="inlineStr">
        <is>
          <t>Odoo Universal Unique Brands › Bodega 25 › Bodega 25/General: 139 | Odoo Universal Unique Brands › Bodega 25 › Bodega 25/General: 6</t>
        </is>
      </c>
    </row>
    <row r="861">
      <c r="A861" s="50" t="inlineStr">
        <is>
          <t>717019732463</t>
        </is>
      </c>
      <c r="B861" s="51" t="inlineStr">
        <is>
          <t>30840</t>
        </is>
      </c>
      <c r="C861" s="156" t="inlineStr">
        <is>
          <t>Wrangler</t>
        </is>
      </c>
      <c r="D861" s="156" t="inlineStr">
        <is>
          <t>WG2213-8120SCF</t>
        </is>
      </c>
      <c r="E861" s="156" t="inlineStr">
        <is>
          <t>WG2213-8120SCF</t>
        </is>
      </c>
      <c r="F861" s="156" t="inlineStr">
        <is>
          <t>Talla única</t>
        </is>
      </c>
      <c r="G861" s="156" t="inlineStr">
        <is>
          <t>One Size</t>
        </is>
      </c>
      <c r="H861" s="156" t="inlineStr">
        <is>
          <t>Wrangler</t>
        </is>
      </c>
      <c r="I861" s="156" t="inlineStr">
        <is>
          <t>Bolsa Tote Cruzada Wrangler Estampado Suroeste Doble Cara Café Oscuro</t>
        </is>
      </c>
      <c r="J861" s="156" t="inlineStr">
        <is>
          <t>Accesorios</t>
        </is>
      </c>
      <c r="K861" s="156" t="inlineStr">
        <is>
          <t>Bolsos</t>
        </is>
      </c>
      <c r="L861" s="156" t="inlineStr">
        <is>
          <t>Unisex</t>
        </is>
      </c>
      <c r="M861" s="156" t="inlineStr">
        <is>
          <t>Wrangler</t>
        </is>
      </c>
      <c r="N861" s="156" t="inlineStr">
        <is>
          <t>FW26</t>
        </is>
      </c>
      <c r="O861" s="156" t="inlineStr">
        <is>
          <t>Seasonal</t>
        </is>
      </c>
      <c r="P861" s="156" t="inlineStr">
        <is>
          <t>Cafe</t>
        </is>
      </c>
      <c r="Q861" s="156" t="n"/>
      <c r="R861" s="156" t="n"/>
      <c r="S861" s="156" t="n"/>
      <c r="T861" s="156" t="inlineStr">
        <is>
          <t>Bolsa Tote Cruzada Wrangler. Modelo: Estampado Suroeste Doble Cara. Color: Café Oscuro. Talla única. Unisex. País de origen: México. Referencia: WG2213-8120SCF.</t>
        </is>
      </c>
      <c r="U861" s="156" t="inlineStr">
        <is>
          <t>México</t>
        </is>
      </c>
      <c r="V861" s="156" t="inlineStr">
        <is>
          <t>PZS</t>
        </is>
      </c>
      <c r="W861" s="51" t="inlineStr">
        <is>
          <t>53121601</t>
        </is>
      </c>
      <c r="X861" s="156" t="inlineStr">
        <is>
          <t>https://m-universal-unique-brands.odoo.com/web/image/product.product/11255/image_1920</t>
        </is>
      </c>
      <c r="Y861" s="54" t="n">
        <v>364</v>
      </c>
      <c r="Z861" s="54" t="n">
        <v>724.5</v>
      </c>
      <c r="AA861" s="55">
        <f>IF(AND(A861="", B861="", E861=""), "", IF(AB861="", "Válido", IF((LEN(AB861)-LEN(SUBSTITUTE(AB861,"; ","")))/2+1&gt;(LEN(AB861)-LEN(SUBSTITUTE(AB861,"[Aviso]","")))/7, "Con Incidencias", "Válido")))</f>
        <v/>
      </c>
      <c r="AB861" s="56">
        <f>IF(AND(A861="", B861="", E861=""), "", TEXTJOIN("; ", TRUE, IF(OR(TRIM(A861&amp;"")="", ISNUMBER(SEARCH("FALTA", A861))), "UPC faltante/inválido", ""), IF(AND(A861&lt;&gt;"", IFERROR(_xlfn.XMATCH(A861,$A$2:$A$1063,0,1)&lt;&gt;_xlfn.XMATCH(A861,$A$2:$A$1063,0,-1),FALSE)), "Código de barras duplicado", ""), IF(AND(E861&lt;&gt;"", COUNTIF($E$2:$E$1063, E861)&gt;1), "SKU duplicado", ""), IF(OR(J861="", J861=""), "[Aviso] División no capturada ()", IF(ISNA(MATCH(J861, Criterios!$A$123:$A$126, 0)), "División no válida", "")), IF(OR(K861="", K861=""), "[Aviso] Categoría no capturada ()", IF(ISNA(MATCH(K861, Criterios!$A$81:$A$120, 0)), "Categoría no válida", IF(AND(J861&lt;&gt;"", J861&lt;&gt;"", J861&lt;&gt;VLOOKUP(K861, Criterios!$A$81:$B$120, 2, FALSE)), "División no coincide con Categoría", ""))), IF(OR(L861="", L861=""), "[Aviso] Género no capturado ()", IF(ISNA(MATCH(L861, Criterios!$B$123:$B$127, 0)), "Género no válido", "")), IF(OR(N861="", N861=""), "[Aviso] Temporada no capturada ()", IF(ISNA(MATCH(N861, Criterios!$C$123:$C$128, 0)), "Temporada no válida", "")), IF(OR(O861="", O861=""), "[Aviso] Ciclo de vida no capturado ()", IF(ISNA(MATCH(O861, Criterios!$D$123:$D$124, 0)), "Ciclo de vida no válido", ""))))</f>
        <v/>
      </c>
      <c r="AC861" s="56" t="n"/>
      <c r="AD861" s="51" t="n"/>
      <c r="AE861" s="156" t="n"/>
      <c r="AF861" s="51" t="n"/>
      <c r="AG861" s="156" t="inlineStr">
        <is>
          <t>Nuevo – Carga Hoja2 01/10/2026</t>
        </is>
      </c>
      <c r="AH861" s="156" t="inlineStr">
        <is>
          <t>Alta 01/10/2026 desde Hoja2 (fila 890) | 01/10/2026: complementado desde Odoo Universal Unique Brands (match por SKU): Enlace de imagen | 01/10/2026: Odoo Universal Unique Brands trae Marca «Montana West» — se conservó el valor de Productos | Homologación G1522 06/10/2026: Validador Shopify: WB: precio con IVA no termina en 9</t>
        </is>
      </c>
      <c r="AI861" s="156" t="n"/>
      <c r="AJ861" s="156" t="n"/>
      <c r="AK861" s="155" t="inlineStr">
        <is>
          <t>Hoja2: fila 890 | Odoo: producto 11255 / plantilla 14690 | Odoo: producto 27408 / plantilla 34108 | Odoo: producto 30840 / plantilla 39596</t>
        </is>
      </c>
      <c r="AL861" s="58" t="n"/>
      <c r="AM861" s="58" t="n"/>
      <c r="AN861" s="155" t="inlineStr">
        <is>
          <t>Odoo Universal Unique Brands</t>
        </is>
      </c>
      <c r="AO861" s="59" t="n"/>
      <c r="AP861" s="59" t="n"/>
      <c r="AQ861" s="59" t="n">
        <v>52</v>
      </c>
      <c r="AR861" s="155" t="inlineStr">
        <is>
          <t>Odoo Universal Unique Brands › Bodega 25 › Bodega 25/General: 19 | Odoo Universal Unique Brands › Bodega 25 › Bodega 25/General: 5 | Odoo Universal Unique Brands › Bodega 25 › Bodega 25/General: 28</t>
        </is>
      </c>
    </row>
    <row r="862">
      <c r="A862" s="50" t="inlineStr">
        <is>
          <t>717019732227</t>
        </is>
      </c>
      <c r="B862" s="51" t="inlineStr">
        <is>
          <t>11341</t>
        </is>
      </c>
      <c r="C862" s="156" t="inlineStr">
        <is>
          <t>Wrangler</t>
        </is>
      </c>
      <c r="D862" s="156" t="inlineStr">
        <is>
          <t>WG2213-8120SDPK</t>
        </is>
      </c>
      <c r="E862" s="156" t="inlineStr">
        <is>
          <t>WG2213-8120SDPK</t>
        </is>
      </c>
      <c r="F862" s="156" t="inlineStr">
        <is>
          <t>Talla única</t>
        </is>
      </c>
      <c r="G862" s="156" t="inlineStr">
        <is>
          <t>One Size</t>
        </is>
      </c>
      <c r="H862" s="156" t="inlineStr">
        <is>
          <t>Wrangler</t>
        </is>
      </c>
      <c r="I862" s="156" t="inlineStr">
        <is>
          <t>Bolsa Tote Cruzada Wrangler Estampado Suroeste Doble Cara Rosa Oscuro</t>
        </is>
      </c>
      <c r="J862" s="156" t="inlineStr">
        <is>
          <t>Accesorios</t>
        </is>
      </c>
      <c r="K862" s="156" t="inlineStr">
        <is>
          <t>Bolsos</t>
        </is>
      </c>
      <c r="L862" s="156" t="inlineStr">
        <is>
          <t>Unisex</t>
        </is>
      </c>
      <c r="M862" s="156" t="inlineStr">
        <is>
          <t>Wrangler</t>
        </is>
      </c>
      <c r="N862" s="156" t="n"/>
      <c r="O862" s="156" t="inlineStr">
        <is>
          <t>Core</t>
        </is>
      </c>
      <c r="P862" s="156" t="inlineStr">
        <is>
          <t>Rosa</t>
        </is>
      </c>
      <c r="Q862" s="156" t="n"/>
      <c r="R862" s="156" t="n"/>
      <c r="S862" s="156" t="n"/>
      <c r="T862" s="156" t="inlineStr">
        <is>
          <t>Bolsa Tote Cruzada Wrangler. Modelo: Estampado Suroeste Doble Cara. Color: Rosa Oscuro. Talla única. Unisex. País de origen: México. Referencia: WG2213-8120SDPK.</t>
        </is>
      </c>
      <c r="U862" s="156" t="inlineStr">
        <is>
          <t>México</t>
        </is>
      </c>
      <c r="V862" s="156" t="inlineStr">
        <is>
          <t>PZS</t>
        </is>
      </c>
      <c r="W862" s="51" t="inlineStr">
        <is>
          <t>53121601</t>
        </is>
      </c>
      <c r="X862" s="156" t="inlineStr">
        <is>
          <t>https://m-universal-unique-brands.odoo.com/web/image/product.product/11341/image_1920</t>
        </is>
      </c>
      <c r="Y862" s="54" t="n">
        <v>448.5</v>
      </c>
      <c r="Z862" s="54" t="n">
        <v>719</v>
      </c>
      <c r="AA862" s="55">
        <f>IF(AND(A862="", B862="", E862=""), "", IF(AB862="", "Válido", IF((LEN(AB862)-LEN(SUBSTITUTE(AB862,"; ","")))/2+1&gt;(LEN(AB862)-LEN(SUBSTITUTE(AB862,"[Aviso]","")))/7, "Con Incidencias", "Válido")))</f>
        <v/>
      </c>
      <c r="AB862" s="56">
        <f>IF(AND(A862="", B862="", E862=""), "", TEXTJOIN("; ", TRUE, IF(OR(TRIM(A862&amp;"")="", ISNUMBER(SEARCH("FALTA", A862))), "UPC faltante/inválido", ""), IF(AND(A862&lt;&gt;"", IFERROR(_xlfn.XMATCH(A862,$A$2:$A$1063,0,1)&lt;&gt;_xlfn.XMATCH(A862,$A$2:$A$1063,0,-1),FALSE)), "Código de barras duplicado", ""), IF(AND(E862&lt;&gt;"", COUNTIF($E$2:$E$1063, E862)&gt;1), "SKU duplicado", ""), IF(OR(J862="", J862=""), "[Aviso] División no capturada ()", IF(ISNA(MATCH(J862, Criterios!$A$123:$A$126, 0)), "División no válida", "")), IF(OR(K862="", K862=""), "[Aviso] Categoría no capturada ()", IF(ISNA(MATCH(K862, Criterios!$A$81:$A$120, 0)), "Categoría no válida", IF(AND(J862&lt;&gt;"", J862&lt;&gt;"", J862&lt;&gt;VLOOKUP(K862, Criterios!$A$81:$B$120, 2, FALSE)), "División no coincide con Categoría", ""))), IF(OR(L862="", L862=""), "[Aviso] Género no capturado ()", IF(ISNA(MATCH(L862, Criterios!$B$123:$B$127, 0)), "Género no válido", "")), IF(OR(N862="", N862=""), "[Aviso] Temporada no capturada ()", IF(ISNA(MATCH(N862, Criterios!$C$123:$C$128, 0)), "Temporada no válida", "")), IF(OR(O862="", O862=""), "[Aviso] Ciclo de vida no capturado ()", IF(ISNA(MATCH(O862, Criterios!$D$123:$D$124, 0)), "Ciclo de vida no válido", ""))))</f>
        <v/>
      </c>
      <c r="AC862" s="56" t="n"/>
      <c r="AD862" s="51" t="n"/>
      <c r="AE862" s="156" t="n"/>
      <c r="AF862" s="51" t="n"/>
      <c r="AG862" s="156" t="inlineStr">
        <is>
          <t>Nuevo – Carga Hoja2 01/10/2026</t>
        </is>
      </c>
      <c r="AH862" s="156" t="inlineStr">
        <is>
          <t>Alta 01/10/2026 desde Hoja2 (fila 891)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62" s="156" t="n"/>
      <c r="AJ862" s="156" t="n"/>
      <c r="AK862" s="155" t="inlineStr">
        <is>
          <t>Hoja2: fila 891 | Odoo: producto 11341 / plantilla 14776 | Odoo: producto 27409 / plantilla 34109</t>
        </is>
      </c>
      <c r="AL862" s="58" t="n"/>
      <c r="AM862" s="58" t="n"/>
      <c r="AN862" s="155" t="inlineStr">
        <is>
          <t>Odoo Universal Unique Brands</t>
        </is>
      </c>
      <c r="AO862" s="59" t="n"/>
      <c r="AP862" s="59" t="n"/>
      <c r="AQ862" s="59" t="n">
        <v>96</v>
      </c>
      <c r="AR862" s="155" t="inlineStr">
        <is>
          <t>Odoo Universal Unique Brands › Bodega 25 › Bodega 25/General: 90 | Odoo Universal Unique Brands › Bodega 25 › Bodega 25/General: 6</t>
        </is>
      </c>
    </row>
    <row r="863">
      <c r="A863" s="50" t="inlineStr">
        <is>
          <t>717019732432</t>
        </is>
      </c>
      <c r="B863" s="51" t="inlineStr">
        <is>
          <t>11339</t>
        </is>
      </c>
      <c r="C863" s="156" t="inlineStr">
        <is>
          <t>Wrangler</t>
        </is>
      </c>
      <c r="D863" s="156" t="inlineStr">
        <is>
          <t>WG2213-8120SNY</t>
        </is>
      </c>
      <c r="E863" s="156" t="inlineStr">
        <is>
          <t>WG2213-8120SNY</t>
        </is>
      </c>
      <c r="F863" s="156" t="inlineStr">
        <is>
          <t>Talla única</t>
        </is>
      </c>
      <c r="G863" s="156" t="inlineStr">
        <is>
          <t>One Size</t>
        </is>
      </c>
      <c r="H863" s="156" t="inlineStr">
        <is>
          <t>Wrangler</t>
        </is>
      </c>
      <c r="I863" s="156" t="inlineStr">
        <is>
          <t>Bolsa Tote Cruzada Wrangler Estampado Suroeste Doble Cara Azul Marino</t>
        </is>
      </c>
      <c r="J863" s="156" t="inlineStr">
        <is>
          <t>Accesorios</t>
        </is>
      </c>
      <c r="K863" s="156" t="inlineStr">
        <is>
          <t>Bolsos</t>
        </is>
      </c>
      <c r="L863" s="156" t="inlineStr">
        <is>
          <t>Unisex</t>
        </is>
      </c>
      <c r="M863" s="156" t="inlineStr">
        <is>
          <t>Wrangler</t>
        </is>
      </c>
      <c r="N863" s="156" t="n"/>
      <c r="O863" s="156" t="inlineStr">
        <is>
          <t>Core</t>
        </is>
      </c>
      <c r="P863" s="156" t="inlineStr">
        <is>
          <t>Azul</t>
        </is>
      </c>
      <c r="Q863" s="156" t="n"/>
      <c r="R863" s="156" t="n"/>
      <c r="S863" s="156" t="n"/>
      <c r="T863" s="156" t="inlineStr">
        <is>
          <t>Bolsa Tote Cruzada Wrangler. Modelo: Estampado Suroeste Doble Cara. Color: Azul Marino. Talla única. Unisex. País de origen: México. Referencia: WG2213-8120SNY.</t>
        </is>
      </c>
      <c r="U863" s="156" t="inlineStr">
        <is>
          <t>México</t>
        </is>
      </c>
      <c r="V863" s="156" t="inlineStr">
        <is>
          <t>PZS</t>
        </is>
      </c>
      <c r="W863" s="51" t="inlineStr">
        <is>
          <t>53121601</t>
        </is>
      </c>
      <c r="X863" s="156" t="inlineStr">
        <is>
          <t>https://m-universal-unique-brands.odoo.com/web/image/product.product/11339/image_1920</t>
        </is>
      </c>
      <c r="Y863" s="54" t="n">
        <v>448.5</v>
      </c>
      <c r="Z863" s="54" t="n">
        <v>719</v>
      </c>
      <c r="AA863" s="55">
        <f>IF(AND(A863="", B863="", E863=""), "", IF(AB863="", "Válido", IF((LEN(AB863)-LEN(SUBSTITUTE(AB863,"; ","")))/2+1&gt;(LEN(AB863)-LEN(SUBSTITUTE(AB863,"[Aviso]","")))/7, "Con Incidencias", "Válido")))</f>
        <v/>
      </c>
      <c r="AB863" s="56">
        <f>IF(AND(A863="", B863="", E863=""), "", TEXTJOIN("; ", TRUE, IF(OR(TRIM(A863&amp;"")="", ISNUMBER(SEARCH("FALTA", A863))), "UPC faltante/inválido", ""), IF(AND(A863&lt;&gt;"", IFERROR(_xlfn.XMATCH(A863,$A$2:$A$1063,0,1)&lt;&gt;_xlfn.XMATCH(A863,$A$2:$A$1063,0,-1),FALSE)), "Código de barras duplicado", ""), IF(AND(E863&lt;&gt;"", COUNTIF($E$2:$E$1063, E863)&gt;1), "SKU duplicado", ""), IF(OR(J863="", J863=""), "[Aviso] División no capturada ()", IF(ISNA(MATCH(J863, Criterios!$A$123:$A$126, 0)), "División no válida", "")), IF(OR(K863="", K863=""), "[Aviso] Categoría no capturada ()", IF(ISNA(MATCH(K863, Criterios!$A$81:$A$120, 0)), "Categoría no válida", IF(AND(J863&lt;&gt;"", J863&lt;&gt;"", J863&lt;&gt;VLOOKUP(K863, Criterios!$A$81:$B$120, 2, FALSE)), "División no coincide con Categoría", ""))), IF(OR(L863="", L863=""), "[Aviso] Género no capturado ()", IF(ISNA(MATCH(L863, Criterios!$B$123:$B$127, 0)), "Género no válido", "")), IF(OR(N863="", N863=""), "[Aviso] Temporada no capturada ()", IF(ISNA(MATCH(N863, Criterios!$C$123:$C$128, 0)), "Temporada no válida", "")), IF(OR(O863="", O863=""), "[Aviso] Ciclo de vida no capturado ()", IF(ISNA(MATCH(O863, Criterios!$D$123:$D$124, 0)), "Ciclo de vida no válido", ""))))</f>
        <v/>
      </c>
      <c r="AC863" s="56" t="n"/>
      <c r="AD863" s="51" t="n"/>
      <c r="AE863" s="156" t="n"/>
      <c r="AF863" s="51" t="n"/>
      <c r="AG863" s="156" t="inlineStr">
        <is>
          <t>Nuevo – Carga Hoja2 01/10/2026</t>
        </is>
      </c>
      <c r="AH863" s="156" t="inlineStr">
        <is>
          <t>Alta 01/10/2026 desde Hoja2 (fila 892)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63" s="156" t="n"/>
      <c r="AJ863" s="156" t="n"/>
      <c r="AK863" s="155" t="inlineStr">
        <is>
          <t>Hoja2: fila 892 | Odoo: producto 11339 / plantilla 14774 | Odoo: producto 27410 / plantilla 34110</t>
        </is>
      </c>
      <c r="AL863" s="58" t="n"/>
      <c r="AM863" s="58" t="n"/>
      <c r="AN863" s="155" t="inlineStr">
        <is>
          <t>Odoo Universal Unique Brands</t>
        </is>
      </c>
      <c r="AO863" s="59" t="n"/>
      <c r="AP863" s="59" t="n"/>
      <c r="AQ863" s="59" t="n">
        <v>53</v>
      </c>
      <c r="AR863" s="155" t="inlineStr">
        <is>
          <t>Odoo Universal Unique Brands › Bodega 25 › Bodega 25/General: 47 | Odoo Universal Unique Brands › Bodega 25 › Bodega 25/General: 6</t>
        </is>
      </c>
    </row>
    <row r="864">
      <c r="A864" s="50" t="inlineStr">
        <is>
          <t>717325204760</t>
        </is>
      </c>
      <c r="B864" s="51" t="inlineStr">
        <is>
          <t>11482</t>
        </is>
      </c>
      <c r="C864" s="156" t="inlineStr">
        <is>
          <t>Wrangler</t>
        </is>
      </c>
      <c r="D864" s="156" t="inlineStr">
        <is>
          <t>WG2213-8866SBK</t>
        </is>
      </c>
      <c r="E864" s="156" t="inlineStr">
        <is>
          <t>WG2213-8866SBK</t>
        </is>
      </c>
      <c r="F864" s="156" t="inlineStr">
        <is>
          <t>Talla única</t>
        </is>
      </c>
      <c r="G864" s="156" t="inlineStr">
        <is>
          <t>One Size</t>
        </is>
      </c>
      <c r="H864" s="156" t="inlineStr">
        <is>
          <t>Wrangler</t>
        </is>
      </c>
      <c r="I864" s="156" t="inlineStr">
        <is>
          <t>Bolsa Tote Mini Cruzada Wrangler Estampado Suroeste Doble Cara Negro</t>
        </is>
      </c>
      <c r="J864" s="156" t="inlineStr">
        <is>
          <t>Accesorios</t>
        </is>
      </c>
      <c r="K864" s="156" t="inlineStr">
        <is>
          <t>Bolsos</t>
        </is>
      </c>
      <c r="L864" s="156" t="inlineStr">
        <is>
          <t>Unisex</t>
        </is>
      </c>
      <c r="M864" s="156" t="inlineStr">
        <is>
          <t>Wrangler</t>
        </is>
      </c>
      <c r="N864" s="156" t="n"/>
      <c r="O864" s="156" t="inlineStr">
        <is>
          <t>Core</t>
        </is>
      </c>
      <c r="P864" s="156" t="inlineStr">
        <is>
          <t>Negro</t>
        </is>
      </c>
      <c r="Q864" s="156" t="n"/>
      <c r="R864" s="156" t="n"/>
      <c r="S864" s="156" t="n"/>
      <c r="T864" s="156" t="inlineStr">
        <is>
          <t>Bolsa Tote Mini Cruzada Wrangler. Modelo: Estampado Suroeste Doble Cara. Color: Negro. Talla única. Unisex. País de origen: México. Referencia: WG2213-8866SBK.</t>
        </is>
      </c>
      <c r="U864" s="156" t="inlineStr">
        <is>
          <t>México</t>
        </is>
      </c>
      <c r="V864" s="156" t="inlineStr">
        <is>
          <t>PZS</t>
        </is>
      </c>
      <c r="W864" s="51" t="inlineStr">
        <is>
          <t>53121601</t>
        </is>
      </c>
      <c r="X864" s="156" t="inlineStr">
        <is>
          <t>https://m-universal-unique-brands.odoo.com/web/image/product.product/11482/image_1920</t>
        </is>
      </c>
      <c r="Y864" s="54" t="n">
        <v>310.5</v>
      </c>
      <c r="Z864" s="54" t="n">
        <v>499</v>
      </c>
      <c r="AA864" s="55">
        <f>IF(AND(A864="", B864="", E864=""), "", IF(AB864="", "Válido", IF((LEN(AB864)-LEN(SUBSTITUTE(AB864,"; ","")))/2+1&gt;(LEN(AB864)-LEN(SUBSTITUTE(AB864,"[Aviso]","")))/7, "Con Incidencias", "Válido")))</f>
        <v/>
      </c>
      <c r="AB864" s="56">
        <f>IF(AND(A864="", B864="", E864=""), "", TEXTJOIN("; ", TRUE, IF(OR(TRIM(A864&amp;"")="", ISNUMBER(SEARCH("FALTA", A864))), "UPC faltante/inválido", ""), IF(AND(A864&lt;&gt;"", IFERROR(_xlfn.XMATCH(A864,$A$2:$A$1063,0,1)&lt;&gt;_xlfn.XMATCH(A864,$A$2:$A$1063,0,-1),FALSE)), "Código de barras duplicado", ""), IF(AND(E864&lt;&gt;"", COUNTIF($E$2:$E$1063, E864)&gt;1), "SKU duplicado", ""), IF(OR(J864="", J864=""), "[Aviso] División no capturada ()", IF(ISNA(MATCH(J864, Criterios!$A$123:$A$126, 0)), "División no válida", "")), IF(OR(K864="", K864=""), "[Aviso] Categoría no capturada ()", IF(ISNA(MATCH(K864, Criterios!$A$81:$A$120, 0)), "Categoría no válida", IF(AND(J864&lt;&gt;"", J864&lt;&gt;"", J864&lt;&gt;VLOOKUP(K864, Criterios!$A$81:$B$120, 2, FALSE)), "División no coincide con Categoría", ""))), IF(OR(L864="", L864=""), "[Aviso] Género no capturado ()", IF(ISNA(MATCH(L864, Criterios!$B$123:$B$127, 0)), "Género no válido", "")), IF(OR(N864="", N864=""), "[Aviso] Temporada no capturada ()", IF(ISNA(MATCH(N864, Criterios!$C$123:$C$128, 0)), "Temporada no válida", "")), IF(OR(O864="", O864=""), "[Aviso] Ciclo de vida no capturado ()", IF(ISNA(MATCH(O864, Criterios!$D$123:$D$124, 0)), "Ciclo de vida no válido", ""))))</f>
        <v/>
      </c>
      <c r="AC864" s="56" t="n"/>
      <c r="AD864" s="51" t="n"/>
      <c r="AE864" s="156" t="n"/>
      <c r="AF864" s="51" t="n"/>
      <c r="AG864" s="156" t="inlineStr">
        <is>
          <t>Nuevo – Carga Hoja2 01/10/2026</t>
        </is>
      </c>
      <c r="AH864" s="156" t="inlineStr">
        <is>
          <t>Alta 01/10/2026 desde Hoja2 (fila 893)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64" s="156" t="n"/>
      <c r="AJ864" s="156" t="n"/>
      <c r="AK864" s="155" t="inlineStr">
        <is>
          <t>Hoja2: fila 893 | Odoo: producto 11482 / plantilla 14917 | Odoo: producto 27411 / plantilla 34111</t>
        </is>
      </c>
      <c r="AL864" s="58" t="n"/>
      <c r="AM864" s="58" t="n"/>
      <c r="AN864" s="155" t="inlineStr">
        <is>
          <t>Odoo Universal Unique Brands</t>
        </is>
      </c>
      <c r="AO864" s="59" t="n"/>
      <c r="AP864" s="59" t="n"/>
      <c r="AQ864" s="59" t="n">
        <v>12</v>
      </c>
      <c r="AR864" s="155" t="inlineStr">
        <is>
          <t>Odoo Universal Unique Brands › Bodega 25 › Bodega 25/General: 6 | Odoo Universal Unique Brands › Bodega 25 › Bodega 25/General: 6</t>
        </is>
      </c>
    </row>
    <row r="865">
      <c r="A865" s="50" t="inlineStr">
        <is>
          <t>717325204791</t>
        </is>
      </c>
      <c r="B865" s="51" t="inlineStr">
        <is>
          <t>14898</t>
        </is>
      </c>
      <c r="C865" s="156" t="inlineStr">
        <is>
          <t>Wrangler</t>
        </is>
      </c>
      <c r="D865" s="156" t="inlineStr">
        <is>
          <t>WG2213-8866SBR</t>
        </is>
      </c>
      <c r="E865" s="156" t="inlineStr">
        <is>
          <t>WG2213-8866SBR</t>
        </is>
      </c>
      <c r="F865" s="156" t="inlineStr">
        <is>
          <t>Talla única</t>
        </is>
      </c>
      <c r="G865" s="156" t="inlineStr">
        <is>
          <t>One Size</t>
        </is>
      </c>
      <c r="H865" s="156" t="inlineStr">
        <is>
          <t>Wrangler</t>
        </is>
      </c>
      <c r="I865" s="156" t="inlineStr">
        <is>
          <t>WG2213-8866SBR</t>
        </is>
      </c>
      <c r="J865" s="156" t="inlineStr">
        <is>
          <t>Accesorios</t>
        </is>
      </c>
      <c r="K865" s="156" t="inlineStr">
        <is>
          <t>Bolsos</t>
        </is>
      </c>
      <c r="L865" s="156" t="inlineStr">
        <is>
          <t>Unisex</t>
        </is>
      </c>
      <c r="M865" s="156" t="inlineStr">
        <is>
          <t>Wrangler</t>
        </is>
      </c>
      <c r="N865" s="156" t="n"/>
      <c r="O865" s="156" t="n"/>
      <c r="P865" s="156" t="inlineStr">
        <is>
          <t>Cafe</t>
        </is>
      </c>
      <c r="Q865" s="156" t="n"/>
      <c r="R865" s="156" t="n"/>
      <c r="S865" s="156" t="n"/>
      <c r="T865" s="156" t="n"/>
      <c r="U865" s="156" t="inlineStr">
        <is>
          <t>México</t>
        </is>
      </c>
      <c r="V865" s="156" t="inlineStr">
        <is>
          <t>PZS</t>
        </is>
      </c>
      <c r="W865" s="51" t="inlineStr">
        <is>
          <t>53121600</t>
        </is>
      </c>
      <c r="X865" s="156" t="n"/>
      <c r="Y865" s="54" t="n"/>
      <c r="Z865" s="54" t="n">
        <v>499</v>
      </c>
      <c r="AA865" s="55">
        <f>IF(AND(A865="", B865="", E865=""), "", IF(AB865="", "Válido", IF((LEN(AB865)-LEN(SUBSTITUTE(AB865,"; ","")))/2+1&gt;(LEN(AB865)-LEN(SUBSTITUTE(AB865,"[Aviso]","")))/7, "Con Incidencias", "Válido")))</f>
        <v/>
      </c>
      <c r="AB865" s="56">
        <f>IF(AND(A865="", B865="", E865=""), "", TEXTJOIN("; ", TRUE, IF(OR(TRIM(A865&amp;"")="", ISNUMBER(SEARCH("FALTA", A865))), "UPC faltante/inválido", ""), IF(AND(A865&lt;&gt;"", IFERROR(_xlfn.XMATCH(A865,$A$2:$A$1063,0,1)&lt;&gt;_xlfn.XMATCH(A865,$A$2:$A$1063,0,-1),FALSE)), "Código de barras duplicado", ""), IF(AND(E865&lt;&gt;"", COUNTIF($E$2:$E$1063, E865)&gt;1), "SKU duplicado", ""), IF(OR(J865="", J865=""), "[Aviso] División no capturada ()", IF(ISNA(MATCH(J865, Criterios!$A$123:$A$126, 0)), "División no válida", "")), IF(OR(K865="", K865=""), "[Aviso] Categoría no capturada ()", IF(ISNA(MATCH(K865, Criterios!$A$81:$A$120, 0)), "Categoría no válida", IF(AND(J865&lt;&gt;"", J865&lt;&gt;"", J865&lt;&gt;VLOOKUP(K865, Criterios!$A$81:$B$120, 2, FALSE)), "División no coincide con Categoría", ""))), IF(OR(L865="", L865=""), "[Aviso] Género no capturado ()", IF(ISNA(MATCH(L865, Criterios!$B$123:$B$127, 0)), "Género no válido", "")), IF(OR(N865="", N865=""), "[Aviso] Temporada no capturada ()", IF(ISNA(MATCH(N865, Criterios!$C$123:$C$128, 0)), "Temporada no válida", "")), IF(OR(O865="", O865=""), "[Aviso] Ciclo de vida no capturado ()", IF(ISNA(MATCH(O865, Criterios!$D$123:$D$124, 0)), "Ciclo de vida no válido", ""))))</f>
        <v/>
      </c>
      <c r="AC865" s="56" t="n"/>
      <c r="AD865" s="51" t="n"/>
      <c r="AE865" s="156" t="n"/>
      <c r="AF865" s="51" t="n"/>
      <c r="AG865" s="156" t="inlineStr">
        <is>
          <t>Nuevo – Carga Hoja2 01/10/2026</t>
        </is>
      </c>
      <c r="AH865" s="156" t="inlineStr">
        <is>
          <t>Alta 01/10/2026 desde Hoja2 (fila 894); Precio de compra en 0/vacío en origen | 01/10/2026: complementado desde Odoo Universal Unique Brands (match por código de barras): WB Talla, WB Talla de EE. UU. | Homologación G1522 06/10/2026: WB País de origen: «Mexico» → «México» (Corrección aplicada) · Validador Shopify: WB: precio con IVA no termina en 9</t>
        </is>
      </c>
      <c r="AI865" s="156" t="n"/>
      <c r="AJ865" s="156" t="n"/>
      <c r="AK865" s="155" t="inlineStr">
        <is>
          <t>Hoja2: fila 894 | Odoo: producto 14898 / plantilla 19251</t>
        </is>
      </c>
      <c r="AL865" s="58" t="n"/>
      <c r="AM865" s="58" t="n"/>
      <c r="AN865" s="155" t="inlineStr">
        <is>
          <t>Odoo Universal Unique Brands</t>
        </is>
      </c>
      <c r="AO865" s="59" t="n"/>
      <c r="AP865" s="59" t="n"/>
      <c r="AQ865" s="59" t="n">
        <v>0</v>
      </c>
      <c r="AR865" s="155" t="n"/>
    </row>
    <row r="866">
      <c r="A866" s="50" t="inlineStr">
        <is>
          <t>717325204807</t>
        </is>
      </c>
      <c r="B866" s="51" t="inlineStr">
        <is>
          <t>11483</t>
        </is>
      </c>
      <c r="C866" s="156" t="inlineStr">
        <is>
          <t>Wrangler</t>
        </is>
      </c>
      <c r="D866" s="156" t="inlineStr">
        <is>
          <t>WG2213-8866SCF</t>
        </is>
      </c>
      <c r="E866" s="156" t="inlineStr">
        <is>
          <t>WG2213-8866SCF</t>
        </is>
      </c>
      <c r="F866" s="156" t="inlineStr">
        <is>
          <t>Talla única</t>
        </is>
      </c>
      <c r="G866" s="156" t="inlineStr">
        <is>
          <t>One Size</t>
        </is>
      </c>
      <c r="H866" s="156" t="inlineStr">
        <is>
          <t>Wrangler</t>
        </is>
      </c>
      <c r="I866" s="156" t="inlineStr">
        <is>
          <t>Bolsa Tote Mini Cruzada Wrangler Estampado Suroeste Doble Cara Café Oscuro</t>
        </is>
      </c>
      <c r="J866" s="156" t="inlineStr">
        <is>
          <t>Accesorios</t>
        </is>
      </c>
      <c r="K866" s="156" t="inlineStr">
        <is>
          <t>Bolsos</t>
        </is>
      </c>
      <c r="L866" s="156" t="inlineStr">
        <is>
          <t>Unisex</t>
        </is>
      </c>
      <c r="M866" s="156" t="inlineStr">
        <is>
          <t>Wrangler</t>
        </is>
      </c>
      <c r="N866" s="156" t="n"/>
      <c r="O866" s="156" t="inlineStr">
        <is>
          <t>Core</t>
        </is>
      </c>
      <c r="P866" s="156" t="inlineStr">
        <is>
          <t>Cafe</t>
        </is>
      </c>
      <c r="Q866" s="156" t="n"/>
      <c r="R866" s="156" t="n"/>
      <c r="S866" s="156" t="n"/>
      <c r="T866" s="156" t="inlineStr">
        <is>
          <t>Bolsa Tote Mini Cruzada Wrangler. Modelo: Estampado Suroeste Doble Cara. Color: Café Oscuro. Talla única. Unisex. País de origen: México. Referencia: WG2213-8866SCF.</t>
        </is>
      </c>
      <c r="U866" s="156" t="inlineStr">
        <is>
          <t>México</t>
        </is>
      </c>
      <c r="V866" s="156" t="inlineStr">
        <is>
          <t>PZS</t>
        </is>
      </c>
      <c r="W866" s="51" t="inlineStr">
        <is>
          <t>53121601</t>
        </is>
      </c>
      <c r="X866" s="156" t="inlineStr">
        <is>
          <t>https://m-universal-unique-brands.odoo.com/web/image/product.product/11483/image_1920</t>
        </is>
      </c>
      <c r="Y866" s="54" t="n">
        <v>310.5</v>
      </c>
      <c r="Z866" s="54" t="n">
        <v>499</v>
      </c>
      <c r="AA866" s="55">
        <f>IF(AND(A866="", B866="", E866=""), "", IF(AB866="", "Válido", IF((LEN(AB866)-LEN(SUBSTITUTE(AB866,"; ","")))/2+1&gt;(LEN(AB866)-LEN(SUBSTITUTE(AB866,"[Aviso]","")))/7, "Con Incidencias", "Válido")))</f>
        <v/>
      </c>
      <c r="AB866" s="56">
        <f>IF(AND(A866="", B866="", E866=""), "", TEXTJOIN("; ", TRUE, IF(OR(TRIM(A866&amp;"")="", ISNUMBER(SEARCH("FALTA", A866))), "UPC faltante/inválido", ""), IF(AND(A866&lt;&gt;"", IFERROR(_xlfn.XMATCH(A866,$A$2:$A$1063,0,1)&lt;&gt;_xlfn.XMATCH(A866,$A$2:$A$1063,0,-1),FALSE)), "Código de barras duplicado", ""), IF(AND(E866&lt;&gt;"", COUNTIF($E$2:$E$1063, E866)&gt;1), "SKU duplicado", ""), IF(OR(J866="", J866=""), "[Aviso] División no capturada ()", IF(ISNA(MATCH(J866, Criterios!$A$123:$A$126, 0)), "División no válida", "")), IF(OR(K866="", K866=""), "[Aviso] Categoría no capturada ()", IF(ISNA(MATCH(K866, Criterios!$A$81:$A$120, 0)), "Categoría no válida", IF(AND(J866&lt;&gt;"", J866&lt;&gt;"", J866&lt;&gt;VLOOKUP(K866, Criterios!$A$81:$B$120, 2, FALSE)), "División no coincide con Categoría", ""))), IF(OR(L866="", L866=""), "[Aviso] Género no capturado ()", IF(ISNA(MATCH(L866, Criterios!$B$123:$B$127, 0)), "Género no válido", "")), IF(OR(N866="", N866=""), "[Aviso] Temporada no capturada ()", IF(ISNA(MATCH(N866, Criterios!$C$123:$C$128, 0)), "Temporada no válida", "")), IF(OR(O866="", O866=""), "[Aviso] Ciclo de vida no capturado ()", IF(ISNA(MATCH(O866, Criterios!$D$123:$D$124, 0)), "Ciclo de vida no válido", ""))))</f>
        <v/>
      </c>
      <c r="AC866" s="56" t="n"/>
      <c r="AD866" s="51" t="n"/>
      <c r="AE866" s="156" t="n"/>
      <c r="AF866" s="51" t="n"/>
      <c r="AG866" s="156" t="inlineStr">
        <is>
          <t>Nuevo – Carga Hoja2 01/10/2026</t>
        </is>
      </c>
      <c r="AH866" s="156" t="inlineStr">
        <is>
          <t>Alta 01/10/2026 desde Hoja2 (fila 895)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66" s="156" t="n"/>
      <c r="AJ866" s="156" t="n"/>
      <c r="AK866" s="155" t="inlineStr">
        <is>
          <t>Hoja2: fila 895 | Odoo: producto 11483 / plantilla 14918 | Odoo: producto 27412 / plantilla 34112</t>
        </is>
      </c>
      <c r="AL866" s="58" t="n"/>
      <c r="AM866" s="58" t="n"/>
      <c r="AN866" s="155" t="inlineStr">
        <is>
          <t>Odoo Universal Unique Brands</t>
        </is>
      </c>
      <c r="AO866" s="59" t="n"/>
      <c r="AP866" s="59" t="n"/>
      <c r="AQ866" s="59" t="n">
        <v>61</v>
      </c>
      <c r="AR866" s="155" t="inlineStr">
        <is>
          <t>Odoo Universal Unique Brands › Bodega 25 › Bodega 25/General: 43 | Odoo Universal Unique Brands › Bodega 25 › Bodega 25/General: 18</t>
        </is>
      </c>
    </row>
    <row r="867">
      <c r="A867" s="50" t="inlineStr">
        <is>
          <t>717019732401</t>
        </is>
      </c>
      <c r="B867" s="51" t="inlineStr">
        <is>
          <t>14907</t>
        </is>
      </c>
      <c r="C867" s="156" t="inlineStr">
        <is>
          <t>Wrangler</t>
        </is>
      </c>
      <c r="D867" s="156" t="inlineStr">
        <is>
          <t>WG2213-W0051DPK</t>
        </is>
      </c>
      <c r="E867" s="156" t="inlineStr">
        <is>
          <t>WG2213-W0051DPK</t>
        </is>
      </c>
      <c r="F867" s="156" t="inlineStr">
        <is>
          <t>Talla única</t>
        </is>
      </c>
      <c r="G867" s="156" t="inlineStr">
        <is>
          <t>One Size</t>
        </is>
      </c>
      <c r="H867" s="156" t="inlineStr">
        <is>
          <t>Wrangler</t>
        </is>
      </c>
      <c r="I867" s="156" t="inlineStr">
        <is>
          <t>Cartera Wrangler Rosa Oscuro</t>
        </is>
      </c>
      <c r="J867" s="156" t="inlineStr">
        <is>
          <t>Accesorios</t>
        </is>
      </c>
      <c r="K867" s="156" t="inlineStr">
        <is>
          <t>Carteras</t>
        </is>
      </c>
      <c r="L867" s="156" t="inlineStr">
        <is>
          <t>Unisex</t>
        </is>
      </c>
      <c r="M867" s="156" t="inlineStr">
        <is>
          <t>Wrangler</t>
        </is>
      </c>
      <c r="N867" s="156" t="n"/>
      <c r="O867" s="156" t="inlineStr">
        <is>
          <t>Core</t>
        </is>
      </c>
      <c r="P867" s="156" t="inlineStr">
        <is>
          <t>Rosa</t>
        </is>
      </c>
      <c r="Q867" s="156" t="n"/>
      <c r="R867" s="156" t="n"/>
      <c r="S867" s="156" t="n"/>
      <c r="T867" s="156" t="inlineStr">
        <is>
          <t>Cartera Wrangler. Color: Rosa Oscuro. Talla única. Unisex. País de origen: México. Referencia: WG2213-W0051DPK.</t>
        </is>
      </c>
      <c r="U867" s="156" t="inlineStr">
        <is>
          <t>México</t>
        </is>
      </c>
      <c r="V867" s="156" t="inlineStr">
        <is>
          <t>PZS</t>
        </is>
      </c>
      <c r="W867" s="51" t="inlineStr">
        <is>
          <t>53121700</t>
        </is>
      </c>
      <c r="X867" s="156" t="n"/>
      <c r="Y867" s="54" t="n">
        <v>13.5</v>
      </c>
      <c r="Z867" s="54" t="n">
        <v>379</v>
      </c>
      <c r="AA867" s="55">
        <f>IF(AND(A867="", B867="", E867=""), "", IF(AB867="", "Válido", IF((LEN(AB867)-LEN(SUBSTITUTE(AB867,"; ","")))/2+1&gt;(LEN(AB867)-LEN(SUBSTITUTE(AB867,"[Aviso]","")))/7, "Con Incidencias", "Válido")))</f>
        <v/>
      </c>
      <c r="AB867" s="56">
        <f>IF(AND(A867="", B867="", E867=""), "", TEXTJOIN("; ", TRUE, IF(OR(TRIM(A867&amp;"")="", ISNUMBER(SEARCH("FALTA", A867))), "UPC faltante/inválido", ""), IF(AND(A867&lt;&gt;"", IFERROR(_xlfn.XMATCH(A867,$A$2:$A$1063,0,1)&lt;&gt;_xlfn.XMATCH(A867,$A$2:$A$1063,0,-1),FALSE)), "Código de barras duplicado", ""), IF(AND(E867&lt;&gt;"", COUNTIF($E$2:$E$1063, E867)&gt;1), "SKU duplicado", ""), IF(OR(J867="", J867=""), "[Aviso] División no capturada ()", IF(ISNA(MATCH(J867, Criterios!$A$123:$A$126, 0)), "División no válida", "")), IF(OR(K867="", K867=""), "[Aviso] Categoría no capturada ()", IF(ISNA(MATCH(K867, Criterios!$A$81:$A$120, 0)), "Categoría no válida", IF(AND(J867&lt;&gt;"", J867&lt;&gt;"", J867&lt;&gt;VLOOKUP(K867, Criterios!$A$81:$B$120, 2, FALSE)), "División no coincide con Categoría", ""))), IF(OR(L867="", L867=""), "[Aviso] Género no capturado ()", IF(ISNA(MATCH(L867, Criterios!$B$123:$B$127, 0)), "Género no válido", "")), IF(OR(N867="", N867=""), "[Aviso] Temporada no capturada ()", IF(ISNA(MATCH(N867, Criterios!$C$123:$C$128, 0)), "Temporada no válida", "")), IF(OR(O867="", O867=""), "[Aviso] Ciclo de vida no capturado ()", IF(ISNA(MATCH(O867, Criterios!$D$123:$D$124, 0)), "Ciclo de vida no válido", ""))))</f>
        <v/>
      </c>
      <c r="AC867" s="56" t="n"/>
      <c r="AD867" s="51" t="n"/>
      <c r="AE867" s="156" t="n"/>
      <c r="AF867" s="51" t="n"/>
      <c r="AG867" s="156" t="inlineStr">
        <is>
          <t>Nuevo – Carga Hoja2 01/10/2026</t>
        </is>
      </c>
      <c r="AH867" s="156" t="inlineStr">
        <is>
          <t>Alta 01/10/2026 desde Hoja2 (fila 896) | 01/10/2026: Odoo Universal Unique Brands trae Marca «Montana West» — se conservó el valor de Productos | Homologación G1522 06/10/2026: Validación G1522: [Aviso] Precio de compra posiblemente en USD</t>
        </is>
      </c>
      <c r="AI867" s="156" t="n"/>
      <c r="AJ867" s="156" t="n"/>
      <c r="AK867" s="155" t="inlineStr">
        <is>
          <t>Hoja2: fila 896 | Odoo: producto 14907 / plantilla 19260 | Odoo: producto 27415 / plantilla 34115</t>
        </is>
      </c>
      <c r="AL867" s="58" t="n"/>
      <c r="AM867" s="58" t="n"/>
      <c r="AN867" s="155" t="inlineStr">
        <is>
          <t>Odoo Universal Unique Brands</t>
        </is>
      </c>
      <c r="AO867" s="59" t="n"/>
      <c r="AP867" s="59" t="n"/>
      <c r="AQ867" s="59" t="n">
        <v>-5</v>
      </c>
      <c r="AR867" s="155" t="n"/>
    </row>
    <row r="868">
      <c r="A868" s="50" t="inlineStr">
        <is>
          <t>717019732258</t>
        </is>
      </c>
      <c r="B868" s="51" t="inlineStr">
        <is>
          <t>11455</t>
        </is>
      </c>
      <c r="C868" s="156" t="inlineStr">
        <is>
          <t>Wrangler</t>
        </is>
      </c>
      <c r="D868" s="156" t="inlineStr">
        <is>
          <t>WG2213-W006BK</t>
        </is>
      </c>
      <c r="E868" s="156" t="inlineStr">
        <is>
          <t>WG2213-W006BK</t>
        </is>
      </c>
      <c r="F868" s="156" t="inlineStr">
        <is>
          <t>Talla única</t>
        </is>
      </c>
      <c r="G868" s="156" t="inlineStr">
        <is>
          <t>One Size</t>
        </is>
      </c>
      <c r="H868" s="156" t="inlineStr">
        <is>
          <t>Wrangler</t>
        </is>
      </c>
      <c r="I868" s="156" t="inlineStr">
        <is>
          <t>Cartera Wrangler Estampado Artístico Suroeste Negro</t>
        </is>
      </c>
      <c r="J868" s="156" t="inlineStr">
        <is>
          <t>Accesorios</t>
        </is>
      </c>
      <c r="K868" s="156" t="inlineStr">
        <is>
          <t>Carteras</t>
        </is>
      </c>
      <c r="L868" s="156" t="inlineStr">
        <is>
          <t>Unisex</t>
        </is>
      </c>
      <c r="M868" s="156" t="inlineStr">
        <is>
          <t>Wrangler</t>
        </is>
      </c>
      <c r="N868" s="156" t="n"/>
      <c r="O868" s="156" t="inlineStr">
        <is>
          <t>Core</t>
        </is>
      </c>
      <c r="P868" s="156" t="inlineStr">
        <is>
          <t>Negro</t>
        </is>
      </c>
      <c r="Q868" s="156" t="n"/>
      <c r="R868" s="156" t="n"/>
      <c r="S868" s="156" t="n"/>
      <c r="T868" s="156" t="inlineStr">
        <is>
          <t>Cartera Wrangler. Modelo: Estampado Artístico Suroeste. Color: Negro. Talla única. Unisex. País de origen: México. Referencia: WG2213-W006BK.</t>
        </is>
      </c>
      <c r="U868" s="156" t="inlineStr">
        <is>
          <t>México</t>
        </is>
      </c>
      <c r="V868" s="156" t="inlineStr">
        <is>
          <t>PZS</t>
        </is>
      </c>
      <c r="W868" s="51" t="inlineStr">
        <is>
          <t>53121700</t>
        </is>
      </c>
      <c r="X868" s="156" t="inlineStr">
        <is>
          <t>https://m-universal-unique-brands.odoo.com/web/image/product.product/11455/image_1920</t>
        </is>
      </c>
      <c r="Y868" s="54" t="n">
        <v>276</v>
      </c>
      <c r="Z868" s="54" t="n">
        <v>449</v>
      </c>
      <c r="AA868" s="55">
        <f>IF(AND(A868="", B868="", E868=""), "", IF(AB868="", "Válido", IF((LEN(AB868)-LEN(SUBSTITUTE(AB868,"; ","")))/2+1&gt;(LEN(AB868)-LEN(SUBSTITUTE(AB868,"[Aviso]","")))/7, "Con Incidencias", "Válido")))</f>
        <v/>
      </c>
      <c r="AB868" s="56">
        <f>IF(AND(A868="", B868="", E868=""), "", TEXTJOIN("; ", TRUE, IF(OR(TRIM(A868&amp;"")="", ISNUMBER(SEARCH("FALTA", A868))), "UPC faltante/inválido", ""), IF(AND(A868&lt;&gt;"", IFERROR(_xlfn.XMATCH(A868,$A$2:$A$1063,0,1)&lt;&gt;_xlfn.XMATCH(A868,$A$2:$A$1063,0,-1),FALSE)), "Código de barras duplicado", ""), IF(AND(E868&lt;&gt;"", COUNTIF($E$2:$E$1063, E868)&gt;1), "SKU duplicado", ""), IF(OR(J868="", J868=""), "[Aviso] División no capturada ()", IF(ISNA(MATCH(J868, Criterios!$A$123:$A$126, 0)), "División no válida", "")), IF(OR(K868="", K868=""), "[Aviso] Categoría no capturada ()", IF(ISNA(MATCH(K868, Criterios!$A$81:$A$120, 0)), "Categoría no válida", IF(AND(J868&lt;&gt;"", J868&lt;&gt;"", J868&lt;&gt;VLOOKUP(K868, Criterios!$A$81:$B$120, 2, FALSE)), "División no coincide con Categoría", ""))), IF(OR(L868="", L868=""), "[Aviso] Género no capturado ()", IF(ISNA(MATCH(L868, Criterios!$B$123:$B$127, 0)), "Género no válido", "")), IF(OR(N868="", N868=""), "[Aviso] Temporada no capturada ()", IF(ISNA(MATCH(N868, Criterios!$C$123:$C$128, 0)), "Temporada no válida", "")), IF(OR(O868="", O868=""), "[Aviso] Ciclo de vida no capturado ()", IF(ISNA(MATCH(O868, Criterios!$D$123:$D$124, 0)), "Ciclo de vida no válido", ""))))</f>
        <v/>
      </c>
      <c r="AC868" s="56" t="n"/>
      <c r="AD868" s="51" t="n"/>
      <c r="AE868" s="156" t="n"/>
      <c r="AF868" s="51" t="n"/>
      <c r="AG868" s="156" t="inlineStr">
        <is>
          <t>Nuevo – Carga Hoja2 01/10/2026</t>
        </is>
      </c>
      <c r="AH868" s="156" t="inlineStr">
        <is>
          <t>Alta 01/10/2026 desde Hoja2 (fila 897)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68" s="156" t="n"/>
      <c r="AJ868" s="156" t="n"/>
      <c r="AK868" s="155" t="inlineStr">
        <is>
          <t>Hoja2: fila 897 | Odoo: producto 11455 / plantilla 14890 | Odoo: producto 27416 / plantilla 34116</t>
        </is>
      </c>
      <c r="AL868" s="58" t="n"/>
      <c r="AM868" s="58" t="n"/>
      <c r="AN868" s="155" t="inlineStr">
        <is>
          <t>Odoo Universal Unique Brands</t>
        </is>
      </c>
      <c r="AO868" s="59" t="n"/>
      <c r="AP868" s="59" t="n"/>
      <c r="AQ868" s="59" t="n">
        <v>16</v>
      </c>
      <c r="AR868" s="155" t="inlineStr">
        <is>
          <t>Odoo Universal Unique Brands › Bodega 25 › Bodega 25/General: 10 | Odoo Universal Unique Brands › Bodega 25 › Bodega 25/General: 6</t>
        </is>
      </c>
    </row>
    <row r="869">
      <c r="A869" s="50" t="inlineStr">
        <is>
          <t>717019732289</t>
        </is>
      </c>
      <c r="B869" s="51" t="inlineStr">
        <is>
          <t>11343</t>
        </is>
      </c>
      <c r="C869" s="156" t="inlineStr">
        <is>
          <t>Wrangler</t>
        </is>
      </c>
      <c r="D869" s="156" t="inlineStr">
        <is>
          <t>WG2213-W006BR</t>
        </is>
      </c>
      <c r="E869" s="156" t="inlineStr">
        <is>
          <t>WG2213-W006BR</t>
        </is>
      </c>
      <c r="F869" s="156" t="inlineStr">
        <is>
          <t>Talla única</t>
        </is>
      </c>
      <c r="G869" s="156" t="inlineStr">
        <is>
          <t>One Size</t>
        </is>
      </c>
      <c r="H869" s="156" t="inlineStr">
        <is>
          <t>Wrangler</t>
        </is>
      </c>
      <c r="I869" s="156" t="inlineStr">
        <is>
          <t>Cartera Wrangler Estampado Artístico Suroeste Café</t>
        </is>
      </c>
      <c r="J869" s="156" t="inlineStr">
        <is>
          <t>Accesorios</t>
        </is>
      </c>
      <c r="K869" s="156" t="inlineStr">
        <is>
          <t>Carteras</t>
        </is>
      </c>
      <c r="L869" s="156" t="inlineStr">
        <is>
          <t>Unisex</t>
        </is>
      </c>
      <c r="M869" s="156" t="inlineStr">
        <is>
          <t>Wrangler</t>
        </is>
      </c>
      <c r="N869" s="156" t="n"/>
      <c r="O869" s="156" t="inlineStr">
        <is>
          <t>Core</t>
        </is>
      </c>
      <c r="P869" s="156" t="inlineStr">
        <is>
          <t>Cafe</t>
        </is>
      </c>
      <c r="Q869" s="156" t="n"/>
      <c r="R869" s="156" t="n"/>
      <c r="S869" s="156" t="n"/>
      <c r="T869" s="156" t="inlineStr">
        <is>
          <t>Cartera Wrangler. Modelo: Estampado Artístico Suroeste. Color: Café. Talla única. Unisex. País de origen: México. Referencia: WG2213-W006BR.</t>
        </is>
      </c>
      <c r="U869" s="156" t="inlineStr">
        <is>
          <t>México</t>
        </is>
      </c>
      <c r="V869" s="156" t="inlineStr">
        <is>
          <t>PZS</t>
        </is>
      </c>
      <c r="W869" s="51" t="inlineStr">
        <is>
          <t>53121700</t>
        </is>
      </c>
      <c r="X869" s="156" t="inlineStr">
        <is>
          <t>https://m-universal-unique-brands.odoo.com/web/image/product.product/11343/image_1920</t>
        </is>
      </c>
      <c r="Y869" s="54" t="n">
        <v>276</v>
      </c>
      <c r="Z869" s="54" t="n">
        <v>449</v>
      </c>
      <c r="AA869" s="55">
        <f>IF(AND(A869="", B869="", E869=""), "", IF(AB869="", "Válido", IF((LEN(AB869)-LEN(SUBSTITUTE(AB869,"; ","")))/2+1&gt;(LEN(AB869)-LEN(SUBSTITUTE(AB869,"[Aviso]","")))/7, "Con Incidencias", "Válido")))</f>
        <v/>
      </c>
      <c r="AB869" s="56">
        <f>IF(AND(A869="", B869="", E869=""), "", TEXTJOIN("; ", TRUE, IF(OR(TRIM(A869&amp;"")="", ISNUMBER(SEARCH("FALTA", A869))), "UPC faltante/inválido", ""), IF(AND(A869&lt;&gt;"", IFERROR(_xlfn.XMATCH(A869,$A$2:$A$1063,0,1)&lt;&gt;_xlfn.XMATCH(A869,$A$2:$A$1063,0,-1),FALSE)), "Código de barras duplicado", ""), IF(AND(E869&lt;&gt;"", COUNTIF($E$2:$E$1063, E869)&gt;1), "SKU duplicado", ""), IF(OR(J869="", J869=""), "[Aviso] División no capturada ()", IF(ISNA(MATCH(J869, Criterios!$A$123:$A$126, 0)), "División no válida", "")), IF(OR(K869="", K869=""), "[Aviso] Categoría no capturada ()", IF(ISNA(MATCH(K869, Criterios!$A$81:$A$120, 0)), "Categoría no válida", IF(AND(J869&lt;&gt;"", J869&lt;&gt;"", J869&lt;&gt;VLOOKUP(K869, Criterios!$A$81:$B$120, 2, FALSE)), "División no coincide con Categoría", ""))), IF(OR(L869="", L869=""), "[Aviso] Género no capturado ()", IF(ISNA(MATCH(L869, Criterios!$B$123:$B$127, 0)), "Género no válido", "")), IF(OR(N869="", N869=""), "[Aviso] Temporada no capturada ()", IF(ISNA(MATCH(N869, Criterios!$C$123:$C$128, 0)), "Temporada no válida", "")), IF(OR(O869="", O869=""), "[Aviso] Ciclo de vida no capturado ()", IF(ISNA(MATCH(O869, Criterios!$D$123:$D$124, 0)), "Ciclo de vida no válido", ""))))</f>
        <v/>
      </c>
      <c r="AC869" s="56" t="n"/>
      <c r="AD869" s="51" t="n"/>
      <c r="AE869" s="156" t="n"/>
      <c r="AF869" s="51" t="n"/>
      <c r="AG869" s="156" t="inlineStr">
        <is>
          <t>Nuevo – Carga Hoja2 01/10/2026</t>
        </is>
      </c>
      <c r="AH869" s="156" t="inlineStr">
        <is>
          <t>Alta 01/10/2026 desde Hoja2 (fila 898)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69" s="156" t="n"/>
      <c r="AJ869" s="156" t="n"/>
      <c r="AK869" s="155" t="inlineStr">
        <is>
          <t>Hoja2: fila 898 | Odoo: producto 11343 / plantilla 14778 | Odoo: producto 27417 / plantilla 34117</t>
        </is>
      </c>
      <c r="AL869" s="58" t="n"/>
      <c r="AM869" s="58" t="n"/>
      <c r="AN869" s="155" t="inlineStr">
        <is>
          <t>Odoo Universal Unique Brands</t>
        </is>
      </c>
      <c r="AO869" s="59" t="n"/>
      <c r="AP869" s="59" t="n"/>
      <c r="AQ869" s="59" t="n">
        <v>42</v>
      </c>
      <c r="AR869" s="155" t="inlineStr">
        <is>
          <t>Odoo Universal Unique Brands › Bodega 25 › Bodega 25/General: 24 | Odoo Universal Unique Brands › Bodega 25 › Bodega 25/General: 18</t>
        </is>
      </c>
    </row>
    <row r="870">
      <c r="A870" s="50" t="inlineStr">
        <is>
          <t>717019732524</t>
        </is>
      </c>
      <c r="B870" s="51" t="inlineStr">
        <is>
          <t>11454</t>
        </is>
      </c>
      <c r="C870" s="156" t="inlineStr">
        <is>
          <t>Wrangler</t>
        </is>
      </c>
      <c r="D870" s="156" t="inlineStr">
        <is>
          <t>WG2213-W006CF</t>
        </is>
      </c>
      <c r="E870" s="156" t="inlineStr">
        <is>
          <t>WG2213-W006CF</t>
        </is>
      </c>
      <c r="F870" s="156" t="inlineStr">
        <is>
          <t>Talla única</t>
        </is>
      </c>
      <c r="G870" s="156" t="inlineStr">
        <is>
          <t>One Size</t>
        </is>
      </c>
      <c r="H870" s="156" t="inlineStr">
        <is>
          <t>Wrangler</t>
        </is>
      </c>
      <c r="I870" s="156" t="inlineStr">
        <is>
          <t>Cartera Wrangler Estampado Artístico Suroeste Café Oscuro</t>
        </is>
      </c>
      <c r="J870" s="156" t="inlineStr">
        <is>
          <t>Accesorios</t>
        </is>
      </c>
      <c r="K870" s="156" t="inlineStr">
        <is>
          <t>Carteras</t>
        </is>
      </c>
      <c r="L870" s="156" t="inlineStr">
        <is>
          <t>Unisex</t>
        </is>
      </c>
      <c r="M870" s="156" t="inlineStr">
        <is>
          <t>Wrangler</t>
        </is>
      </c>
      <c r="N870" s="156" t="n"/>
      <c r="O870" s="156" t="inlineStr">
        <is>
          <t>Core</t>
        </is>
      </c>
      <c r="P870" s="156" t="inlineStr">
        <is>
          <t>Cafe</t>
        </is>
      </c>
      <c r="Q870" s="156" t="n"/>
      <c r="R870" s="156" t="n"/>
      <c r="S870" s="156" t="n"/>
      <c r="T870" s="156" t="inlineStr">
        <is>
          <t>Cartera Wrangler. Modelo: Estampado Artístico Suroeste. Color: Café Oscuro. Talla única. Unisex. País de origen: México. Referencia: WG2213-W006CF.</t>
        </is>
      </c>
      <c r="U870" s="156" t="inlineStr">
        <is>
          <t>México</t>
        </is>
      </c>
      <c r="V870" s="156" t="inlineStr">
        <is>
          <t>PZS</t>
        </is>
      </c>
      <c r="W870" s="51" t="inlineStr">
        <is>
          <t>53121700</t>
        </is>
      </c>
      <c r="X870" s="156" t="inlineStr">
        <is>
          <t>https://m-universal-unique-brands.odoo.com/web/image/product.product/11454/image_1920</t>
        </is>
      </c>
      <c r="Y870" s="54" t="n">
        <v>276</v>
      </c>
      <c r="Z870" s="54" t="n">
        <v>449</v>
      </c>
      <c r="AA870" s="55">
        <f>IF(AND(A870="", B870="", E870=""), "", IF(AB870="", "Válido", IF((LEN(AB870)-LEN(SUBSTITUTE(AB870,"; ","")))/2+1&gt;(LEN(AB870)-LEN(SUBSTITUTE(AB870,"[Aviso]","")))/7, "Con Incidencias", "Válido")))</f>
        <v/>
      </c>
      <c r="AB870" s="56">
        <f>IF(AND(A870="", B870="", E870=""), "", TEXTJOIN("; ", TRUE, IF(OR(TRIM(A870&amp;"")="", ISNUMBER(SEARCH("FALTA", A870))), "UPC faltante/inválido", ""), IF(AND(A870&lt;&gt;"", IFERROR(_xlfn.XMATCH(A870,$A$2:$A$1063,0,1)&lt;&gt;_xlfn.XMATCH(A870,$A$2:$A$1063,0,-1),FALSE)), "Código de barras duplicado", ""), IF(AND(E870&lt;&gt;"", COUNTIF($E$2:$E$1063, E870)&gt;1), "SKU duplicado", ""), IF(OR(J870="", J870=""), "[Aviso] División no capturada ()", IF(ISNA(MATCH(J870, Criterios!$A$123:$A$126, 0)), "División no válida", "")), IF(OR(K870="", K870=""), "[Aviso] Categoría no capturada ()", IF(ISNA(MATCH(K870, Criterios!$A$81:$A$120, 0)), "Categoría no válida", IF(AND(J870&lt;&gt;"", J870&lt;&gt;"", J870&lt;&gt;VLOOKUP(K870, Criterios!$A$81:$B$120, 2, FALSE)), "División no coincide con Categoría", ""))), IF(OR(L870="", L870=""), "[Aviso] Género no capturado ()", IF(ISNA(MATCH(L870, Criterios!$B$123:$B$127, 0)), "Género no válido", "")), IF(OR(N870="", N870=""), "[Aviso] Temporada no capturada ()", IF(ISNA(MATCH(N870, Criterios!$C$123:$C$128, 0)), "Temporada no válida", "")), IF(OR(O870="", O870=""), "[Aviso] Ciclo de vida no capturado ()", IF(ISNA(MATCH(O870, Criterios!$D$123:$D$124, 0)), "Ciclo de vida no válido", ""))))</f>
        <v/>
      </c>
      <c r="AC870" s="56" t="n"/>
      <c r="AD870" s="51" t="n"/>
      <c r="AE870" s="156" t="n"/>
      <c r="AF870" s="51" t="n"/>
      <c r="AG870" s="156" t="inlineStr">
        <is>
          <t>Nuevo – Carga Hoja2 01/10/2026</t>
        </is>
      </c>
      <c r="AH870" s="156" t="inlineStr">
        <is>
          <t>Alta 01/10/2026 desde Hoja2 (fila 899)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70" s="156" t="n"/>
      <c r="AJ870" s="156" t="n"/>
      <c r="AK870" s="155" t="inlineStr">
        <is>
          <t>Hoja2: fila 899 | Odoo: producto 11454 / plantilla 14889 | Odoo: producto 27418 / plantilla 34118</t>
        </is>
      </c>
      <c r="AL870" s="58" t="n"/>
      <c r="AM870" s="58" t="n"/>
      <c r="AN870" s="155" t="inlineStr">
        <is>
          <t>Odoo Universal Unique Brands</t>
        </is>
      </c>
      <c r="AO870" s="59" t="n"/>
      <c r="AP870" s="59" t="n"/>
      <c r="AQ870" s="59" t="n">
        <v>54</v>
      </c>
      <c r="AR870" s="155" t="inlineStr">
        <is>
          <t>Odoo Universal Unique Brands › Bodega 25 › Bodega 25/General: 42 | Odoo Universal Unique Brands › Bodega 25 › Bodega 25/General: 12</t>
        </is>
      </c>
    </row>
    <row r="871">
      <c r="A871" s="50" t="inlineStr">
        <is>
          <t>717019732319</t>
        </is>
      </c>
      <c r="B871" s="51" t="inlineStr">
        <is>
          <t>11344</t>
        </is>
      </c>
      <c r="C871" s="156" t="inlineStr">
        <is>
          <t>Wrangler</t>
        </is>
      </c>
      <c r="D871" s="156" t="inlineStr">
        <is>
          <t>WG2213-W006DPK</t>
        </is>
      </c>
      <c r="E871" s="156" t="inlineStr">
        <is>
          <t>WG2213-W006DPK</t>
        </is>
      </c>
      <c r="F871" s="156" t="inlineStr">
        <is>
          <t>Talla única</t>
        </is>
      </c>
      <c r="G871" s="156" t="inlineStr">
        <is>
          <t>One Size</t>
        </is>
      </c>
      <c r="H871" s="156" t="inlineStr">
        <is>
          <t>Wrangler</t>
        </is>
      </c>
      <c r="I871" s="156" t="inlineStr">
        <is>
          <t>Cartera Wrangler Estampado Artístico Suroeste Rosa Oscuro</t>
        </is>
      </c>
      <c r="J871" s="156" t="inlineStr">
        <is>
          <t>Accesorios</t>
        </is>
      </c>
      <c r="K871" s="156" t="inlineStr">
        <is>
          <t>Carteras</t>
        </is>
      </c>
      <c r="L871" s="156" t="inlineStr">
        <is>
          <t>Unisex</t>
        </is>
      </c>
      <c r="M871" s="156" t="inlineStr">
        <is>
          <t>Wrangler</t>
        </is>
      </c>
      <c r="N871" s="156" t="n"/>
      <c r="O871" s="156" t="inlineStr">
        <is>
          <t>Core</t>
        </is>
      </c>
      <c r="P871" s="156" t="inlineStr">
        <is>
          <t>Rosa</t>
        </is>
      </c>
      <c r="Q871" s="156" t="n"/>
      <c r="R871" s="156" t="n"/>
      <c r="S871" s="156" t="n"/>
      <c r="T871" s="156" t="inlineStr">
        <is>
          <t>Cartera Wrangler. Modelo: Estampado Artístico Suroeste. Color: Rosa Oscuro. Talla única. Unisex. País de origen: México. Referencia: WG2213-W006DPK.</t>
        </is>
      </c>
      <c r="U871" s="156" t="inlineStr">
        <is>
          <t>México</t>
        </is>
      </c>
      <c r="V871" s="156" t="inlineStr">
        <is>
          <t>PZS</t>
        </is>
      </c>
      <c r="W871" s="51" t="inlineStr">
        <is>
          <t>53121700</t>
        </is>
      </c>
      <c r="X871" s="156" t="inlineStr">
        <is>
          <t>https://m-universal-unique-brands.odoo.com/web/image/product.product/11344/image_1920</t>
        </is>
      </c>
      <c r="Y871" s="54" t="n">
        <v>276</v>
      </c>
      <c r="Z871" s="54" t="n">
        <v>449</v>
      </c>
      <c r="AA871" s="55">
        <f>IF(AND(A871="", B871="", E871=""), "", IF(AB871="", "Válido", IF((LEN(AB871)-LEN(SUBSTITUTE(AB871,"; ","")))/2+1&gt;(LEN(AB871)-LEN(SUBSTITUTE(AB871,"[Aviso]","")))/7, "Con Incidencias", "Válido")))</f>
        <v/>
      </c>
      <c r="AB871" s="56">
        <f>IF(AND(A871="", B871="", E871=""), "", TEXTJOIN("; ", TRUE, IF(OR(TRIM(A871&amp;"")="", ISNUMBER(SEARCH("FALTA", A871))), "UPC faltante/inválido", ""), IF(AND(A871&lt;&gt;"", IFERROR(_xlfn.XMATCH(A871,$A$2:$A$1063,0,1)&lt;&gt;_xlfn.XMATCH(A871,$A$2:$A$1063,0,-1),FALSE)), "Código de barras duplicado", ""), IF(AND(E871&lt;&gt;"", COUNTIF($E$2:$E$1063, E871)&gt;1), "SKU duplicado", ""), IF(OR(J871="", J871=""), "[Aviso] División no capturada ()", IF(ISNA(MATCH(J871, Criterios!$A$123:$A$126, 0)), "División no válida", "")), IF(OR(K871="", K871=""), "[Aviso] Categoría no capturada ()", IF(ISNA(MATCH(K871, Criterios!$A$81:$A$120, 0)), "Categoría no válida", IF(AND(J871&lt;&gt;"", J871&lt;&gt;"", J871&lt;&gt;VLOOKUP(K871, Criterios!$A$81:$B$120, 2, FALSE)), "División no coincide con Categoría", ""))), IF(OR(L871="", L871=""), "[Aviso] Género no capturado ()", IF(ISNA(MATCH(L871, Criterios!$B$123:$B$127, 0)), "Género no válido", "")), IF(OR(N871="", N871=""), "[Aviso] Temporada no capturada ()", IF(ISNA(MATCH(N871, Criterios!$C$123:$C$128, 0)), "Temporada no válida", "")), IF(OR(O871="", O871=""), "[Aviso] Ciclo de vida no capturado ()", IF(ISNA(MATCH(O871, Criterios!$D$123:$D$124, 0)), "Ciclo de vida no válido", ""))))</f>
        <v/>
      </c>
      <c r="AC871" s="56" t="n"/>
      <c r="AD871" s="51" t="n"/>
      <c r="AE871" s="156" t="n"/>
      <c r="AF871" s="51" t="n"/>
      <c r="AG871" s="156" t="inlineStr">
        <is>
          <t>Nuevo – Carga Hoja2 01/10/2026</t>
        </is>
      </c>
      <c r="AH871" s="156" t="inlineStr">
        <is>
          <t>Alta 01/10/2026 desde Hoja2 (fila 900) | 01/10/2026: complementado desde Odoo Universal Unique Brands (match por código de barras): Enlace de imagen | Homologación G1522 06/10/2026: Validador Shopify: WB: precio con IVA no termina en 9</t>
        </is>
      </c>
      <c r="AI871" s="156" t="n"/>
      <c r="AJ871" s="156" t="n"/>
      <c r="AK871" s="155" t="inlineStr">
        <is>
          <t>Hoja2: fila 900 | Odoo: producto 11344 / plantilla 14779</t>
        </is>
      </c>
      <c r="AL871" s="58" t="n"/>
      <c r="AM871" s="58" t="n"/>
      <c r="AN871" s="155" t="inlineStr">
        <is>
          <t>Odoo Universal Unique Brands</t>
        </is>
      </c>
      <c r="AO871" s="59" t="n"/>
      <c r="AP871" s="59" t="n"/>
      <c r="AQ871" s="59" t="n">
        <v>5</v>
      </c>
      <c r="AR871" s="155" t="inlineStr">
        <is>
          <t>Odoo Universal Unique Brands › Bodega 25 › Bodega 25/General: 5</t>
        </is>
      </c>
    </row>
    <row r="872">
      <c r="A872" s="50" t="inlineStr">
        <is>
          <t>717019732494</t>
        </is>
      </c>
      <c r="B872" s="51" t="inlineStr">
        <is>
          <t>11342</t>
        </is>
      </c>
      <c r="C872" s="156" t="inlineStr">
        <is>
          <t>Wrangler</t>
        </is>
      </c>
      <c r="D872" s="156" t="inlineStr">
        <is>
          <t>WG2213-W006NY</t>
        </is>
      </c>
      <c r="E872" s="156" t="inlineStr">
        <is>
          <t>WG2213-W006NY</t>
        </is>
      </c>
      <c r="F872" s="156" t="inlineStr">
        <is>
          <t>Talla única</t>
        </is>
      </c>
      <c r="G872" s="156" t="inlineStr">
        <is>
          <t>One Size</t>
        </is>
      </c>
      <c r="H872" s="156" t="inlineStr">
        <is>
          <t>Wrangler</t>
        </is>
      </c>
      <c r="I872" s="156" t="inlineStr">
        <is>
          <t>Cartera Wrangler Estampado Artístico Suroeste Azul Marino</t>
        </is>
      </c>
      <c r="J872" s="156" t="inlineStr">
        <is>
          <t>Accesorios</t>
        </is>
      </c>
      <c r="K872" s="156" t="inlineStr">
        <is>
          <t>Carteras</t>
        </is>
      </c>
      <c r="L872" s="156" t="inlineStr">
        <is>
          <t>Unisex</t>
        </is>
      </c>
      <c r="M872" s="156" t="inlineStr">
        <is>
          <t>Wrangler</t>
        </is>
      </c>
      <c r="N872" s="156" t="n"/>
      <c r="O872" s="156" t="inlineStr">
        <is>
          <t>Core</t>
        </is>
      </c>
      <c r="P872" s="156" t="inlineStr">
        <is>
          <t>Azul</t>
        </is>
      </c>
      <c r="Q872" s="156" t="n"/>
      <c r="R872" s="156" t="n"/>
      <c r="S872" s="156" t="n"/>
      <c r="T872" s="156" t="inlineStr">
        <is>
          <t>Cartera Wrangler. Modelo: Estampado Artístico Suroeste. Color: Azul Marino. Talla única. Unisex. País de origen: México. Referencia: WG2213-W006NY.</t>
        </is>
      </c>
      <c r="U872" s="156" t="inlineStr">
        <is>
          <t>México</t>
        </is>
      </c>
      <c r="V872" s="156" t="inlineStr">
        <is>
          <t>PZS</t>
        </is>
      </c>
      <c r="W872" s="51" t="inlineStr">
        <is>
          <t>53121700</t>
        </is>
      </c>
      <c r="X872" s="156" t="inlineStr">
        <is>
          <t>https://m-universal-unique-brands.odoo.com/web/image/product.product/11342/image_1920</t>
        </is>
      </c>
      <c r="Y872" s="54" t="n">
        <v>276</v>
      </c>
      <c r="Z872" s="54" t="n">
        <v>449</v>
      </c>
      <c r="AA872" s="55">
        <f>IF(AND(A872="", B872="", E872=""), "", IF(AB872="", "Válido", IF((LEN(AB872)-LEN(SUBSTITUTE(AB872,"; ","")))/2+1&gt;(LEN(AB872)-LEN(SUBSTITUTE(AB872,"[Aviso]","")))/7, "Con Incidencias", "Válido")))</f>
        <v/>
      </c>
      <c r="AB872" s="56">
        <f>IF(AND(A872="", B872="", E872=""), "", TEXTJOIN("; ", TRUE, IF(OR(TRIM(A872&amp;"")="", ISNUMBER(SEARCH("FALTA", A872))), "UPC faltante/inválido", ""), IF(AND(A872&lt;&gt;"", IFERROR(_xlfn.XMATCH(A872,$A$2:$A$1063,0,1)&lt;&gt;_xlfn.XMATCH(A872,$A$2:$A$1063,0,-1),FALSE)), "Código de barras duplicado", ""), IF(AND(E872&lt;&gt;"", COUNTIF($E$2:$E$1063, E872)&gt;1), "SKU duplicado", ""), IF(OR(J872="", J872=""), "[Aviso] División no capturada ()", IF(ISNA(MATCH(J872, Criterios!$A$123:$A$126, 0)), "División no válida", "")), IF(OR(K872="", K872=""), "[Aviso] Categoría no capturada ()", IF(ISNA(MATCH(K872, Criterios!$A$81:$A$120, 0)), "Categoría no válida", IF(AND(J872&lt;&gt;"", J872&lt;&gt;"", J872&lt;&gt;VLOOKUP(K872, Criterios!$A$81:$B$120, 2, FALSE)), "División no coincide con Categoría", ""))), IF(OR(L872="", L872=""), "[Aviso] Género no capturado ()", IF(ISNA(MATCH(L872, Criterios!$B$123:$B$127, 0)), "Género no válido", "")), IF(OR(N872="", N872=""), "[Aviso] Temporada no capturada ()", IF(ISNA(MATCH(N872, Criterios!$C$123:$C$128, 0)), "Temporada no válida", "")), IF(OR(O872="", O872=""), "[Aviso] Ciclo de vida no capturado ()", IF(ISNA(MATCH(O872, Criterios!$D$123:$D$124, 0)), "Ciclo de vida no válido", ""))))</f>
        <v/>
      </c>
      <c r="AC872" s="56" t="n"/>
      <c r="AD872" s="51" t="n"/>
      <c r="AE872" s="156" t="n"/>
      <c r="AF872" s="51" t="n"/>
      <c r="AG872" s="156" t="inlineStr">
        <is>
          <t>Nuevo – Carga Hoja2 01/10/2026</t>
        </is>
      </c>
      <c r="AH872" s="156" t="inlineStr">
        <is>
          <t>Alta 01/10/2026 desde Hoja2 (fila 901)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72" s="156" t="n"/>
      <c r="AJ872" s="156" t="n"/>
      <c r="AK872" s="155" t="inlineStr">
        <is>
          <t>Hoja2: fila 901 | Odoo: producto 11342 / plantilla 14777 | Odoo: producto 27419 / plantilla 34119</t>
        </is>
      </c>
      <c r="AL872" s="58" t="n"/>
      <c r="AM872" s="58" t="n"/>
      <c r="AN872" s="155" t="inlineStr">
        <is>
          <t>Odoo Universal Unique Brands</t>
        </is>
      </c>
      <c r="AO872" s="59" t="n"/>
      <c r="AP872" s="59" t="n"/>
      <c r="AQ872" s="59" t="n">
        <v>22</v>
      </c>
      <c r="AR872" s="155" t="inlineStr">
        <is>
          <t>Odoo Universal Unique Brands › Bodega 25 › Bodega 25/General: 16 | Odoo Universal Unique Brands › Bodega 25 › Bodega 25/General: 6</t>
        </is>
      </c>
    </row>
    <row r="873">
      <c r="A873" s="50" t="inlineStr">
        <is>
          <t>717019702701</t>
        </is>
      </c>
      <c r="B873" s="51" t="inlineStr">
        <is>
          <t>11501</t>
        </is>
      </c>
      <c r="C873" s="156" t="inlineStr">
        <is>
          <t>Wrangler</t>
        </is>
      </c>
      <c r="D873" s="156" t="inlineStr">
        <is>
          <t>WG2214-210BK</t>
        </is>
      </c>
      <c r="E873" s="156" t="inlineStr">
        <is>
          <t>WG2214-210BK</t>
        </is>
      </c>
      <c r="F873" s="156" t="inlineStr">
        <is>
          <t>Talla única</t>
        </is>
      </c>
      <c r="G873" s="156" t="inlineStr">
        <is>
          <t>One Size</t>
        </is>
      </c>
      <c r="H873" s="156" t="inlineStr">
        <is>
          <t>Wrangler</t>
        </is>
      </c>
      <c r="I873" s="156" t="inlineStr">
        <is>
          <t>Bolsa Sling Wrangler Bordada Suroeste</t>
        </is>
      </c>
      <c r="J873" s="156" t="inlineStr">
        <is>
          <t>Accesorios</t>
        </is>
      </c>
      <c r="K873" s="156" t="inlineStr">
        <is>
          <t>Bolsos</t>
        </is>
      </c>
      <c r="L873" s="156" t="inlineStr">
        <is>
          <t>Unisex</t>
        </is>
      </c>
      <c r="M873" s="156" t="inlineStr">
        <is>
          <t>Wrangler</t>
        </is>
      </c>
      <c r="N873" s="156" t="n"/>
      <c r="O873" s="156" t="n"/>
      <c r="P873" s="156" t="inlineStr">
        <is>
          <t>Negro</t>
        </is>
      </c>
      <c r="Q873" s="156" t="n"/>
      <c r="R873" s="156" t="n"/>
      <c r="S873" s="156" t="n"/>
      <c r="T873" s="156" t="inlineStr">
        <is>
          <t>Bolsa Sling</t>
        </is>
      </c>
      <c r="U873" s="156" t="inlineStr">
        <is>
          <t>México</t>
        </is>
      </c>
      <c r="V873" s="156" t="inlineStr">
        <is>
          <t>PZS</t>
        </is>
      </c>
      <c r="W873" s="51" t="inlineStr">
        <is>
          <t>53121601</t>
        </is>
      </c>
      <c r="X873" s="156" t="inlineStr">
        <is>
          <t>https://m-universal-unique-brands.odoo.com/web/image/product.product/11501/image_1920</t>
        </is>
      </c>
      <c r="Y873" s="54" t="n">
        <v>310.5</v>
      </c>
      <c r="Z873" s="54" t="n">
        <v>499</v>
      </c>
      <c r="AA873" s="55">
        <f>IF(AND(A873="", B873="", E873=""), "", IF(AB873="", "Válido", IF((LEN(AB873)-LEN(SUBSTITUTE(AB873,"; ","")))/2+1&gt;(LEN(AB873)-LEN(SUBSTITUTE(AB873,"[Aviso]","")))/7, "Con Incidencias", "Válido")))</f>
        <v/>
      </c>
      <c r="AB873" s="56">
        <f>IF(AND(A873="", B873="", E873=""), "", TEXTJOIN("; ", TRUE, IF(OR(TRIM(A873&amp;"")="", ISNUMBER(SEARCH("FALTA", A873))), "UPC faltante/inválido", ""), IF(AND(A873&lt;&gt;"", IFERROR(_xlfn.XMATCH(A873,$A$2:$A$1063,0,1)&lt;&gt;_xlfn.XMATCH(A873,$A$2:$A$1063,0,-1),FALSE)), "Código de barras duplicado", ""), IF(AND(E873&lt;&gt;"", COUNTIF($E$2:$E$1063, E873)&gt;1), "SKU duplicado", ""), IF(OR(J873="", J873=""), "[Aviso] División no capturada ()", IF(ISNA(MATCH(J873, Criterios!$A$123:$A$126, 0)), "División no válida", "")), IF(OR(K873="", K873=""), "[Aviso] Categoría no capturada ()", IF(ISNA(MATCH(K873, Criterios!$A$81:$A$120, 0)), "Categoría no válida", IF(AND(J873&lt;&gt;"", J873&lt;&gt;"", J873&lt;&gt;VLOOKUP(K873, Criterios!$A$81:$B$120, 2, FALSE)), "División no coincide con Categoría", ""))), IF(OR(L873="", L873=""), "[Aviso] Género no capturado ()", IF(ISNA(MATCH(L873, Criterios!$B$123:$B$127, 0)), "Género no válido", "")), IF(OR(N873="", N873=""), "[Aviso] Temporada no capturada ()", IF(ISNA(MATCH(N873, Criterios!$C$123:$C$128, 0)), "Temporada no válida", "")), IF(OR(O873="", O873=""), "[Aviso] Ciclo de vida no capturado ()", IF(ISNA(MATCH(O873, Criterios!$D$123:$D$124, 0)), "Ciclo de vida no válido", ""))))</f>
        <v/>
      </c>
      <c r="AC873" s="56" t="n"/>
      <c r="AD873" s="51" t="n"/>
      <c r="AE873" s="156" t="n"/>
      <c r="AF873" s="51" t="n"/>
      <c r="AG873" s="156" t="inlineStr">
        <is>
          <t>Nuevo – Carga Hoja2 01/10/2026</t>
        </is>
      </c>
      <c r="AH873" s="156" t="inlineStr">
        <is>
          <t>Alta 01/10/2026 desde Hoja2 (fila 902)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873" s="156" t="n"/>
      <c r="AJ873" s="156" t="n"/>
      <c r="AK873" s="155" t="inlineStr">
        <is>
          <t>Hoja2: fila 902 | Odoo: producto 11501 / plantilla 14936</t>
        </is>
      </c>
      <c r="AL873" s="58" t="n"/>
      <c r="AM873" s="58" t="n"/>
      <c r="AN873" s="155" t="inlineStr">
        <is>
          <t>Odoo Universal Unique Brands</t>
        </is>
      </c>
      <c r="AO873" s="59" t="n"/>
      <c r="AP873" s="59" t="n"/>
      <c r="AQ873" s="59" t="n">
        <v>6</v>
      </c>
      <c r="AR873" s="155" t="inlineStr">
        <is>
          <t>Odoo Universal Unique Brands › Bodega 25 › Bodega 25/General: 6</t>
        </is>
      </c>
    </row>
    <row r="874">
      <c r="A874" s="50" t="inlineStr">
        <is>
          <t>717325232022</t>
        </is>
      </c>
      <c r="B874" s="51" t="inlineStr">
        <is>
          <t>22047</t>
        </is>
      </c>
      <c r="C874" s="156" t="inlineStr">
        <is>
          <t>Wrangler</t>
        </is>
      </c>
      <c r="D874" s="156" t="inlineStr">
        <is>
          <t>WG224-W070BK</t>
        </is>
      </c>
      <c r="E874" s="156" t="inlineStr">
        <is>
          <t>WG224-W070BK</t>
        </is>
      </c>
      <c r="F874" s="156" t="inlineStr">
        <is>
          <t>Talla única</t>
        </is>
      </c>
      <c r="G874" s="156" t="inlineStr">
        <is>
          <t>One Size</t>
        </is>
      </c>
      <c r="H874" s="156" t="inlineStr">
        <is>
          <t>Wrangler</t>
        </is>
      </c>
      <c r="I874" s="156" t="inlineStr">
        <is>
          <t>Tarjetero Wrangler Piel De Vaca Genuina Con Pelo Floral Grabada Negro</t>
        </is>
      </c>
      <c r="J874" s="156" t="inlineStr">
        <is>
          <t>Accesorios</t>
        </is>
      </c>
      <c r="K874" s="156" t="inlineStr">
        <is>
          <t>Carteras</t>
        </is>
      </c>
      <c r="L874" s="156" t="inlineStr">
        <is>
          <t>Unisex</t>
        </is>
      </c>
      <c r="M874" s="156" t="inlineStr">
        <is>
          <t>Wrangler</t>
        </is>
      </c>
      <c r="N874" s="156" t="inlineStr">
        <is>
          <t>SS26</t>
        </is>
      </c>
      <c r="O874" s="156" t="inlineStr">
        <is>
          <t>Core</t>
        </is>
      </c>
      <c r="P874" s="156" t="inlineStr">
        <is>
          <t>Negro</t>
        </is>
      </c>
      <c r="Q874" s="156" t="n"/>
      <c r="R874" s="156" t="n"/>
      <c r="S874" s="156" t="n"/>
      <c r="T874" s="156" t="inlineStr">
        <is>
          <t>Tarjetero Wrangler. Modelo: Piel De Vaca Genuina Con Pelo Floral Grabada. Color: Negro. Talla única. Unisex. País de origen: México. Referencia: WG224-W070BK.</t>
        </is>
      </c>
      <c r="U874" s="156" t="inlineStr">
        <is>
          <t>México</t>
        </is>
      </c>
      <c r="V874" s="156" t="inlineStr">
        <is>
          <t>PZS</t>
        </is>
      </c>
      <c r="W874" s="51" t="inlineStr">
        <is>
          <t>53121700</t>
        </is>
      </c>
      <c r="X874" s="156" t="n"/>
      <c r="Y874" s="54" t="n">
        <v>10.5</v>
      </c>
      <c r="Z874" s="54" t="n">
        <v>299</v>
      </c>
      <c r="AA874" s="55">
        <f>IF(AND(A874="", B874="", E874=""), "", IF(AB874="", "Válido", IF((LEN(AB874)-LEN(SUBSTITUTE(AB874,"; ","")))/2+1&gt;(LEN(AB874)-LEN(SUBSTITUTE(AB874,"[Aviso]","")))/7, "Con Incidencias", "Válido")))</f>
        <v/>
      </c>
      <c r="AB874" s="56">
        <f>IF(AND(A874="", B874="", E874=""), "", TEXTJOIN("; ", TRUE, IF(OR(TRIM(A874&amp;"")="", ISNUMBER(SEARCH("FALTA", A874))), "UPC faltante/inválido", ""), IF(AND(A874&lt;&gt;"", IFERROR(_xlfn.XMATCH(A874,$A$2:$A$1063,0,1)&lt;&gt;_xlfn.XMATCH(A874,$A$2:$A$1063,0,-1),FALSE)), "Código de barras duplicado", ""), IF(AND(E874&lt;&gt;"", COUNTIF($E$2:$E$1063, E874)&gt;1), "SKU duplicado", ""), IF(OR(J874="", J874=""), "[Aviso] División no capturada ()", IF(ISNA(MATCH(J874, Criterios!$A$123:$A$126, 0)), "División no válida", "")), IF(OR(K874="", K874=""), "[Aviso] Categoría no capturada ()", IF(ISNA(MATCH(K874, Criterios!$A$81:$A$120, 0)), "Categoría no válida", IF(AND(J874&lt;&gt;"", J874&lt;&gt;"", J874&lt;&gt;VLOOKUP(K874, Criterios!$A$81:$B$120, 2, FALSE)), "División no coincide con Categoría", ""))), IF(OR(L874="", L874=""), "[Aviso] Género no capturado ()", IF(ISNA(MATCH(L874, Criterios!$B$123:$B$127, 0)), "Género no válido", "")), IF(OR(N874="", N874=""), "[Aviso] Temporada no capturada ()", IF(ISNA(MATCH(N874, Criterios!$C$123:$C$128, 0)), "Temporada no válida", "")), IF(OR(O874="", O874=""), "[Aviso] Ciclo de vida no capturado ()", IF(ISNA(MATCH(O874, Criterios!$D$123:$D$124, 0)), "Ciclo de vida no válido", ""))))</f>
        <v/>
      </c>
      <c r="AC874" s="56" t="n"/>
      <c r="AD874" s="51" t="n"/>
      <c r="AE874" s="156" t="n"/>
      <c r="AF874" s="51" t="n"/>
      <c r="AG874" s="156" t="inlineStr">
        <is>
          <t>Nuevo – Carga Hoja2 01/10/2026</t>
        </is>
      </c>
      <c r="AH874" s="156" t="inlineStr">
        <is>
          <t>Alta 01/10/2026 desde Hoja2 (fila 903) | 01/10/2026: complementado desde Odoo Universal Unique Brands (match por código de barras): WB Temporada | Homologación G1522 06/10/2026: Validación G1522: [Aviso] Precio de compra posiblemente en USD · Validador Shopify: WB: precio con IVA no termina en 9</t>
        </is>
      </c>
      <c r="AI874" s="156" t="n"/>
      <c r="AJ874" s="156" t="n"/>
      <c r="AK874" s="155" t="inlineStr">
        <is>
          <t>Hoja2: fila 903 | Odoo: producto 22047 / plantilla 28190</t>
        </is>
      </c>
      <c r="AL874" s="58" t="n"/>
      <c r="AM874" s="58" t="n"/>
      <c r="AN874" s="155" t="inlineStr">
        <is>
          <t>Odoo Universal Unique Brands</t>
        </is>
      </c>
      <c r="AO874" s="59" t="n"/>
      <c r="AP874" s="59" t="n"/>
      <c r="AQ874" s="59" t="n">
        <v>2</v>
      </c>
      <c r="AR874" s="155" t="inlineStr">
        <is>
          <t>Odoo Universal Unique Brands › Bodega 25 › Bodega 25/General: 2</t>
        </is>
      </c>
    </row>
    <row r="875">
      <c r="A875" s="50" t="inlineStr">
        <is>
          <t>717325232077</t>
        </is>
      </c>
      <c r="B875" s="51" t="inlineStr">
        <is>
          <t>22048</t>
        </is>
      </c>
      <c r="C875" s="156" t="inlineStr">
        <is>
          <t>Wrangler</t>
        </is>
      </c>
      <c r="D875" s="156" t="inlineStr">
        <is>
          <t>WG224-W070TN</t>
        </is>
      </c>
      <c r="E875" s="156" t="inlineStr">
        <is>
          <t>WG224-W070TN</t>
        </is>
      </c>
      <c r="F875" s="156" t="inlineStr">
        <is>
          <t>Talla única</t>
        </is>
      </c>
      <c r="G875" s="156" t="inlineStr">
        <is>
          <t>One Size</t>
        </is>
      </c>
      <c r="H875" s="156" t="inlineStr">
        <is>
          <t>Wrangler</t>
        </is>
      </c>
      <c r="I875" s="156" t="inlineStr">
        <is>
          <t>Tarjetero Wrangler Piel De Vaca Genuina Con Pelo Floral Grabada Camel</t>
        </is>
      </c>
      <c r="J875" s="156" t="inlineStr">
        <is>
          <t>Accesorios</t>
        </is>
      </c>
      <c r="K875" s="156" t="inlineStr">
        <is>
          <t>Carteras</t>
        </is>
      </c>
      <c r="L875" s="156" t="inlineStr">
        <is>
          <t>Unisex</t>
        </is>
      </c>
      <c r="M875" s="156" t="inlineStr">
        <is>
          <t>Wrangler</t>
        </is>
      </c>
      <c r="N875" s="156" t="inlineStr">
        <is>
          <t>SS26</t>
        </is>
      </c>
      <c r="O875" s="156" t="inlineStr">
        <is>
          <t>Core</t>
        </is>
      </c>
      <c r="P875" s="156" t="inlineStr">
        <is>
          <t>Beige</t>
        </is>
      </c>
      <c r="Q875" s="156" t="n"/>
      <c r="R875" s="156" t="n"/>
      <c r="S875" s="156" t="n"/>
      <c r="T875" s="156" t="inlineStr">
        <is>
          <t>Tarjetero Wrangler. Modelo: Piel De Vaca Genuina Con Pelo Floral Grabada. Color: Camel. Talla única. Unisex. País de origen: México. Referencia: WG224-W070TN.</t>
        </is>
      </c>
      <c r="U875" s="156" t="inlineStr">
        <is>
          <t>México</t>
        </is>
      </c>
      <c r="V875" s="156" t="inlineStr">
        <is>
          <t>PZS</t>
        </is>
      </c>
      <c r="W875" s="51" t="inlineStr">
        <is>
          <t>53121700</t>
        </is>
      </c>
      <c r="X875" s="156" t="inlineStr">
        <is>
          <t>https://m-universal-unique-brands.odoo.com/web/image/product.product/22048/image_1920</t>
        </is>
      </c>
      <c r="Y875" s="54" t="n">
        <v>10.5</v>
      </c>
      <c r="Z875" s="54" t="n">
        <v>639</v>
      </c>
      <c r="AA875" s="55">
        <f>IF(AND(A875="", B875="", E875=""), "", IF(AB875="", "Válido", IF((LEN(AB875)-LEN(SUBSTITUTE(AB875,"; ","")))/2+1&gt;(LEN(AB875)-LEN(SUBSTITUTE(AB875,"[Aviso]","")))/7, "Con Incidencias", "Válido")))</f>
        <v/>
      </c>
      <c r="AB875" s="56">
        <f>IF(AND(A875="", B875="", E875=""), "", TEXTJOIN("; ", TRUE, IF(OR(TRIM(A875&amp;"")="", ISNUMBER(SEARCH("FALTA", A875))), "UPC faltante/inválido", ""), IF(AND(A875&lt;&gt;"", IFERROR(_xlfn.XMATCH(A875,$A$2:$A$1063,0,1)&lt;&gt;_xlfn.XMATCH(A875,$A$2:$A$1063,0,-1),FALSE)), "Código de barras duplicado", ""), IF(AND(E875&lt;&gt;"", COUNTIF($E$2:$E$1063, E875)&gt;1), "SKU duplicado", ""), IF(OR(J875="", J875=""), "[Aviso] División no capturada ()", IF(ISNA(MATCH(J875, Criterios!$A$123:$A$126, 0)), "División no válida", "")), IF(OR(K875="", K875=""), "[Aviso] Categoría no capturada ()", IF(ISNA(MATCH(K875, Criterios!$A$81:$A$120, 0)), "Categoría no válida", IF(AND(J875&lt;&gt;"", J875&lt;&gt;"", J875&lt;&gt;VLOOKUP(K875, Criterios!$A$81:$B$120, 2, FALSE)), "División no coincide con Categoría", ""))), IF(OR(L875="", L875=""), "[Aviso] Género no capturado ()", IF(ISNA(MATCH(L875, Criterios!$B$123:$B$127, 0)), "Género no válido", "")), IF(OR(N875="", N875=""), "[Aviso] Temporada no capturada ()", IF(ISNA(MATCH(N875, Criterios!$C$123:$C$128, 0)), "Temporada no válida", "")), IF(OR(O875="", O875=""), "[Aviso] Ciclo de vida no capturado ()", IF(ISNA(MATCH(O875, Criterios!$D$123:$D$124, 0)), "Ciclo de vida no válido", ""))))</f>
        <v/>
      </c>
      <c r="AC875" s="56" t="n"/>
      <c r="AD875" s="51" t="n"/>
      <c r="AE875" s="156" t="n"/>
      <c r="AF875" s="51" t="n"/>
      <c r="AG875" s="156" t="inlineStr">
        <is>
          <t>Nuevo – Carga Hoja2 01/10/2026</t>
        </is>
      </c>
      <c r="AH875" s="156" t="inlineStr">
        <is>
          <t>Alta 01/10/2026 desde Hoja2 (fila 904) | 01/10/2026: complementado desde Odoo Universal Unique Brands (match por código de barras): WB Temporada, Enlace de imagen | Homologación G1522 06/10/2026: Validación G1522: [Aviso] Precio de compra posiblemente en USD · Validador Shopify: WB: precio con IVA no termina en 9</t>
        </is>
      </c>
      <c r="AI875" s="156" t="n"/>
      <c r="AJ875" s="156" t="n"/>
      <c r="AK875" s="155" t="inlineStr">
        <is>
          <t>Hoja2: fila 904 | Odoo: producto 22048 / plantilla 28191</t>
        </is>
      </c>
      <c r="AL875" s="58" t="n"/>
      <c r="AM875" s="58" t="n"/>
      <c r="AN875" s="155" t="inlineStr">
        <is>
          <t>Odoo Universal Unique Brands</t>
        </is>
      </c>
      <c r="AO875" s="59" t="n"/>
      <c r="AP875" s="59" t="n"/>
      <c r="AQ875" s="59" t="n">
        <v>7</v>
      </c>
      <c r="AR875" s="155" t="inlineStr">
        <is>
          <t>Odoo Universal Unique Brands › Bodega 25 › Bodega 25/General: 7</t>
        </is>
      </c>
    </row>
    <row r="876">
      <c r="A876" s="50" t="inlineStr">
        <is>
          <t>717325226533</t>
        </is>
      </c>
      <c r="B876" s="51" t="inlineStr">
        <is>
          <t>14897</t>
        </is>
      </c>
      <c r="C876" s="156" t="inlineStr">
        <is>
          <t>Wrangler</t>
        </is>
      </c>
      <c r="D876" s="156" t="inlineStr">
        <is>
          <t>WG225-8120BR</t>
        </is>
      </c>
      <c r="E876" s="156" t="inlineStr">
        <is>
          <t>WG225-8120BR</t>
        </is>
      </c>
      <c r="F876" s="156" t="inlineStr">
        <is>
          <t>Talla única</t>
        </is>
      </c>
      <c r="G876" s="156" t="inlineStr">
        <is>
          <t>One Size</t>
        </is>
      </c>
      <c r="H876" s="156" t="inlineStr">
        <is>
          <t>Wrangler</t>
        </is>
      </c>
      <c r="I876" s="156" t="inlineStr">
        <is>
          <t>WG225-8120BR</t>
        </is>
      </c>
      <c r="J876" s="156" t="inlineStr">
        <is>
          <t>Accesorios</t>
        </is>
      </c>
      <c r="K876" s="156" t="inlineStr">
        <is>
          <t>Bolsos</t>
        </is>
      </c>
      <c r="L876" s="156" t="inlineStr">
        <is>
          <t>Unisex</t>
        </is>
      </c>
      <c r="M876" s="156" t="inlineStr">
        <is>
          <t>Wrangler</t>
        </is>
      </c>
      <c r="N876" s="156" t="n"/>
      <c r="O876" s="156" t="n"/>
      <c r="P876" s="156" t="inlineStr">
        <is>
          <t>Cafe</t>
        </is>
      </c>
      <c r="Q876" s="156" t="n"/>
      <c r="R876" s="156" t="n"/>
      <c r="S876" s="156" t="n"/>
      <c r="T876" s="156" t="n"/>
      <c r="U876" s="156" t="inlineStr">
        <is>
          <t>México</t>
        </is>
      </c>
      <c r="V876" s="156" t="inlineStr">
        <is>
          <t>PZS</t>
        </is>
      </c>
      <c r="W876" s="51" t="inlineStr">
        <is>
          <t>53121600</t>
        </is>
      </c>
      <c r="X876" s="156" t="n"/>
      <c r="Y876" s="54" t="n"/>
      <c r="Z876" s="54" t="n">
        <v>579</v>
      </c>
      <c r="AA876" s="55">
        <f>IF(AND(A876="", B876="", E876=""), "", IF(AB876="", "Válido", IF((LEN(AB876)-LEN(SUBSTITUTE(AB876,"; ","")))/2+1&gt;(LEN(AB876)-LEN(SUBSTITUTE(AB876,"[Aviso]","")))/7, "Con Incidencias", "Válido")))</f>
        <v/>
      </c>
      <c r="AB876" s="56">
        <f>IF(AND(A876="", B876="", E876=""), "", TEXTJOIN("; ", TRUE, IF(OR(TRIM(A876&amp;"")="", ISNUMBER(SEARCH("FALTA", A876))), "UPC faltante/inválido", ""), IF(AND(A876&lt;&gt;"", IFERROR(_xlfn.XMATCH(A876,$A$2:$A$1063,0,1)&lt;&gt;_xlfn.XMATCH(A876,$A$2:$A$1063,0,-1),FALSE)), "Código de barras duplicado", ""), IF(AND(E876&lt;&gt;"", COUNTIF($E$2:$E$1063, E876)&gt;1), "SKU duplicado", ""), IF(OR(J876="", J876=""), "[Aviso] División no capturada ()", IF(ISNA(MATCH(J876, Criterios!$A$123:$A$126, 0)), "División no válida", "")), IF(OR(K876="", K876=""), "[Aviso] Categoría no capturada ()", IF(ISNA(MATCH(K876, Criterios!$A$81:$A$120, 0)), "Categoría no válida", IF(AND(J876&lt;&gt;"", J876&lt;&gt;"", J876&lt;&gt;VLOOKUP(K876, Criterios!$A$81:$B$120, 2, FALSE)), "División no coincide con Categoría", ""))), IF(OR(L876="", L876=""), "[Aviso] Género no capturado ()", IF(ISNA(MATCH(L876, Criterios!$B$123:$B$127, 0)), "Género no válido", "")), IF(OR(N876="", N876=""), "[Aviso] Temporada no capturada ()", IF(ISNA(MATCH(N876, Criterios!$C$123:$C$128, 0)), "Temporada no válida", "")), IF(OR(O876="", O876=""), "[Aviso] Ciclo de vida no capturado ()", IF(ISNA(MATCH(O876, Criterios!$D$123:$D$124, 0)), "Ciclo de vida no válido", ""))))</f>
        <v/>
      </c>
      <c r="AC876" s="56" t="n"/>
      <c r="AD876" s="51" t="n"/>
      <c r="AE876" s="156" t="n"/>
      <c r="AF876" s="51" t="n"/>
      <c r="AG876" s="156" t="inlineStr">
        <is>
          <t>Nuevo – Carga Hoja2 01/10/2026</t>
        </is>
      </c>
      <c r="AH876" s="156" t="inlineStr">
        <is>
          <t>Alta 01/10/2026 desde Hoja2 (fila 905); Precio de compra en 0/vacío en origen | 01/10/2026: complementado desde Odoo Universal Unique Brands (match por código de barras): WB Talla, WB Talla de EE. UU. | Homologación G1522 06/10/2026: WB País de origen: «Mexico» → «México» (Corrección aplicada) · Validador Shopify: WB: precio con IVA no termina en 9</t>
        </is>
      </c>
      <c r="AI876" s="156" t="n"/>
      <c r="AJ876" s="156" t="n"/>
      <c r="AK876" s="155" t="inlineStr">
        <is>
          <t>Hoja2: fila 905 | Odoo: producto 14897 / plantilla 19250</t>
        </is>
      </c>
      <c r="AL876" s="58" t="n"/>
      <c r="AM876" s="58" t="n"/>
      <c r="AN876" s="155" t="inlineStr">
        <is>
          <t>Odoo Universal Unique Brands</t>
        </is>
      </c>
      <c r="AO876" s="59" t="n"/>
      <c r="AP876" s="59" t="n"/>
      <c r="AQ876" s="59" t="n">
        <v>0</v>
      </c>
      <c r="AR876" s="155" t="n"/>
    </row>
    <row r="877">
      <c r="A877" s="50" t="inlineStr">
        <is>
          <t>717325226526</t>
        </is>
      </c>
      <c r="B877" s="51" t="inlineStr">
        <is>
          <t>11819</t>
        </is>
      </c>
      <c r="C877" s="156" t="inlineStr">
        <is>
          <t>Wrangler</t>
        </is>
      </c>
      <c r="D877" s="156" t="inlineStr">
        <is>
          <t>WG225-8120TN</t>
        </is>
      </c>
      <c r="E877" s="156" t="inlineStr">
        <is>
          <t>WG225-8120TN</t>
        </is>
      </c>
      <c r="F877" s="156" t="inlineStr">
        <is>
          <t>Talla única</t>
        </is>
      </c>
      <c r="G877" s="156" t="inlineStr">
        <is>
          <t>One Size</t>
        </is>
      </c>
      <c r="H877" s="156" t="inlineStr">
        <is>
          <t>Wrangler</t>
        </is>
      </c>
      <c r="I877" s="156" t="inlineStr">
        <is>
          <t>Bolsa Tote Cruzada Wrangler Estampado Grabado Patrón Azteca Con Compartimento Oculto Camel</t>
        </is>
      </c>
      <c r="J877" s="156" t="inlineStr">
        <is>
          <t>Accesorios</t>
        </is>
      </c>
      <c r="K877" s="156" t="inlineStr">
        <is>
          <t>Bolsos</t>
        </is>
      </c>
      <c r="L877" s="156" t="inlineStr">
        <is>
          <t>Unisex</t>
        </is>
      </c>
      <c r="M877" s="156" t="inlineStr">
        <is>
          <t>Wrangler</t>
        </is>
      </c>
      <c r="N877" s="156" t="n"/>
      <c r="O877" s="156" t="n"/>
      <c r="P877" s="156" t="inlineStr">
        <is>
          <t>Beige</t>
        </is>
      </c>
      <c r="Q877" s="156" t="n"/>
      <c r="R877" s="156" t="n"/>
      <c r="S877" s="156" t="n"/>
      <c r="T877" s="156" t="inlineStr">
        <is>
          <t>Bolsa Tote Cruzada</t>
        </is>
      </c>
      <c r="U877" s="156" t="inlineStr">
        <is>
          <t>México</t>
        </is>
      </c>
      <c r="V877" s="156" t="inlineStr">
        <is>
          <t>PZS</t>
        </is>
      </c>
      <c r="W877" s="51" t="inlineStr">
        <is>
          <t>53121601</t>
        </is>
      </c>
      <c r="X877" s="156" t="n"/>
      <c r="Y877" s="54" t="n">
        <v>362.25</v>
      </c>
      <c r="Z877" s="54" t="n">
        <v>809</v>
      </c>
      <c r="AA877" s="55">
        <f>IF(AND(A877="", B877="", E877=""), "", IF(AB877="", "Válido", IF((LEN(AB877)-LEN(SUBSTITUTE(AB877,"; ","")))/2+1&gt;(LEN(AB877)-LEN(SUBSTITUTE(AB877,"[Aviso]","")))/7, "Con Incidencias", "Válido")))</f>
        <v/>
      </c>
      <c r="AB877" s="56">
        <f>IF(AND(A877="", B877="", E877=""), "", TEXTJOIN("; ", TRUE, IF(OR(TRIM(A877&amp;"")="", ISNUMBER(SEARCH("FALTA", A877))), "UPC faltante/inválido", ""), IF(AND(A877&lt;&gt;"", IFERROR(_xlfn.XMATCH(A877,$A$2:$A$1063,0,1)&lt;&gt;_xlfn.XMATCH(A877,$A$2:$A$1063,0,-1),FALSE)), "Código de barras duplicado", ""), IF(AND(E877&lt;&gt;"", COUNTIF($E$2:$E$1063, E877)&gt;1), "SKU duplicado", ""), IF(OR(J877="", J877=""), "[Aviso] División no capturada ()", IF(ISNA(MATCH(J877, Criterios!$A$123:$A$126, 0)), "División no válida", "")), IF(OR(K877="", K877=""), "[Aviso] Categoría no capturada ()", IF(ISNA(MATCH(K877, Criterios!$A$81:$A$120, 0)), "Categoría no válida", IF(AND(J877&lt;&gt;"", J877&lt;&gt;"", J877&lt;&gt;VLOOKUP(K877, Criterios!$A$81:$B$120, 2, FALSE)), "División no coincide con Categoría", ""))), IF(OR(L877="", L877=""), "[Aviso] Género no capturado ()", IF(ISNA(MATCH(L877, Criterios!$B$123:$B$127, 0)), "Género no válido", "")), IF(OR(N877="", N877=""), "[Aviso] Temporada no capturada ()", IF(ISNA(MATCH(N877, Criterios!$C$123:$C$128, 0)), "Temporada no válida", "")), IF(OR(O877="", O877=""), "[Aviso] Ciclo de vida no capturado ()", IF(ISNA(MATCH(O877, Criterios!$D$123:$D$124, 0)), "Ciclo de vida no válido", ""))))</f>
        <v/>
      </c>
      <c r="AC877" s="56" t="n"/>
      <c r="AD877" s="51" t="n"/>
      <c r="AE877" s="156" t="n"/>
      <c r="AF877" s="51" t="n"/>
      <c r="AG877" s="156" t="inlineStr">
        <is>
          <t>Nuevo – Carga Hoja2 01/10/2026</t>
        </is>
      </c>
      <c r="AH877" s="156" t="inlineStr">
        <is>
          <t>Alta 01/10/2026 desde Hoja2 (fila 906)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877" s="156" t="n"/>
      <c r="AJ877" s="156" t="n"/>
      <c r="AK877" s="155" t="inlineStr">
        <is>
          <t>Hoja2: fila 906 | Odoo: producto 11819 / plantilla 15254</t>
        </is>
      </c>
      <c r="AL877" s="58" t="n"/>
      <c r="AM877" s="58" t="n"/>
      <c r="AN877" s="155" t="inlineStr">
        <is>
          <t>Odoo Universal Unique Brands</t>
        </is>
      </c>
      <c r="AO877" s="59" t="n"/>
      <c r="AP877" s="59" t="n"/>
      <c r="AQ877" s="59" t="n">
        <v>14</v>
      </c>
      <c r="AR877" s="155" t="inlineStr">
        <is>
          <t>Odoo Universal Unique Brands › Bodega 25 › Bodega 25/General: 14</t>
        </is>
      </c>
    </row>
    <row r="878">
      <c r="A878" s="50" t="inlineStr">
        <is>
          <t>717690433970</t>
        </is>
      </c>
      <c r="B878" s="51" t="inlineStr">
        <is>
          <t>11281</t>
        </is>
      </c>
      <c r="C878" s="156" t="inlineStr">
        <is>
          <t>Wrangler</t>
        </is>
      </c>
      <c r="D878" s="156" t="inlineStr">
        <is>
          <t>WG226-8120BG</t>
        </is>
      </c>
      <c r="E878" s="156" t="inlineStr">
        <is>
          <t>WG226-8120BG</t>
        </is>
      </c>
      <c r="F878" s="156" t="inlineStr">
        <is>
          <t>Talla única</t>
        </is>
      </c>
      <c r="G878" s="156" t="inlineStr">
        <is>
          <t>One Size</t>
        </is>
      </c>
      <c r="H878" s="156" t="inlineStr">
        <is>
          <t>Wrangler</t>
        </is>
      </c>
      <c r="I878" s="156" t="inlineStr">
        <is>
          <t>Bolsa Tote Cruzada Wrangler Estampado Grabado Patrón Azteca Con Compartimento Oculto</t>
        </is>
      </c>
      <c r="J878" s="156" t="inlineStr">
        <is>
          <t>Accesorios</t>
        </is>
      </c>
      <c r="K878" s="156" t="inlineStr">
        <is>
          <t>Bolsos</t>
        </is>
      </c>
      <c r="L878" s="156" t="inlineStr">
        <is>
          <t>Unisex</t>
        </is>
      </c>
      <c r="M878" s="156" t="inlineStr">
        <is>
          <t>Wrangler</t>
        </is>
      </c>
      <c r="N878" s="156" t="n"/>
      <c r="O878" s="156" t="n"/>
      <c r="P878" s="156" t="inlineStr">
        <is>
          <t>Beige</t>
        </is>
      </c>
      <c r="Q878" s="156" t="n"/>
      <c r="R878" s="156" t="n"/>
      <c r="S878" s="156" t="n"/>
      <c r="T878" s="156" t="inlineStr">
        <is>
          <t>Bolsa Tote Cruzada</t>
        </is>
      </c>
      <c r="U878" s="156" t="inlineStr">
        <is>
          <t>México</t>
        </is>
      </c>
      <c r="V878" s="156" t="inlineStr">
        <is>
          <t>PZS</t>
        </is>
      </c>
      <c r="W878" s="51" t="inlineStr">
        <is>
          <t>53121601</t>
        </is>
      </c>
      <c r="X878" s="156" t="inlineStr">
        <is>
          <t>https://m-universal-unique-brands.odoo.com/web/image/product.product/11281/image_1920</t>
        </is>
      </c>
      <c r="Y878" s="54" t="n">
        <v>500.25</v>
      </c>
      <c r="Z878" s="54" t="n">
        <v>809</v>
      </c>
      <c r="AA878" s="55">
        <f>IF(AND(A878="", B878="", E878=""), "", IF(AB878="", "Válido", IF((LEN(AB878)-LEN(SUBSTITUTE(AB878,"; ","")))/2+1&gt;(LEN(AB878)-LEN(SUBSTITUTE(AB878,"[Aviso]","")))/7, "Con Incidencias", "Válido")))</f>
        <v/>
      </c>
      <c r="AB878" s="56">
        <f>IF(AND(A878="", B878="", E878=""), "", TEXTJOIN("; ", TRUE, IF(OR(TRIM(A878&amp;"")="", ISNUMBER(SEARCH("FALTA", A878))), "UPC faltante/inválido", ""), IF(AND(A878&lt;&gt;"", IFERROR(_xlfn.XMATCH(A878,$A$2:$A$1063,0,1)&lt;&gt;_xlfn.XMATCH(A878,$A$2:$A$1063,0,-1),FALSE)), "Código de barras duplicado", ""), IF(AND(E878&lt;&gt;"", COUNTIF($E$2:$E$1063, E878)&gt;1), "SKU duplicado", ""), IF(OR(J878="", J878=""), "[Aviso] División no capturada ()", IF(ISNA(MATCH(J878, Criterios!$A$123:$A$126, 0)), "División no válida", "")), IF(OR(K878="", K878=""), "[Aviso] Categoría no capturada ()", IF(ISNA(MATCH(K878, Criterios!$A$81:$A$120, 0)), "Categoría no válida", IF(AND(J878&lt;&gt;"", J878&lt;&gt;"", J878&lt;&gt;VLOOKUP(K878, Criterios!$A$81:$B$120, 2, FALSE)), "División no coincide con Categoría", ""))), IF(OR(L878="", L878=""), "[Aviso] Género no capturado ()", IF(ISNA(MATCH(L878, Criterios!$B$123:$B$127, 0)), "Género no válido", "")), IF(OR(N878="", N878=""), "[Aviso] Temporada no capturada ()", IF(ISNA(MATCH(N878, Criterios!$C$123:$C$128, 0)), "Temporada no válida", "")), IF(OR(O878="", O878=""), "[Aviso] Ciclo de vida no capturado ()", IF(ISNA(MATCH(O878, Criterios!$D$123:$D$124, 0)), "Ciclo de vida no válido", ""))))</f>
        <v/>
      </c>
      <c r="AC878" s="56" t="n"/>
      <c r="AD878" s="51" t="n"/>
      <c r="AE878" s="156" t="n"/>
      <c r="AF878" s="51" t="n"/>
      <c r="AG878" s="156" t="inlineStr">
        <is>
          <t>Nuevo – Carga Hoja2 01/10/2026</t>
        </is>
      </c>
      <c r="AH878" s="156" t="inlineStr">
        <is>
          <t>Alta 01/10/2026 desde Hoja2 (fila 907)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878" s="156" t="n"/>
      <c r="AJ878" s="156" t="n"/>
      <c r="AK878" s="155" t="inlineStr">
        <is>
          <t>Hoja2: fila 907 | Odoo: producto 11281 / plantilla 14716</t>
        </is>
      </c>
      <c r="AL878" s="58" t="n"/>
      <c r="AM878" s="58" t="n"/>
      <c r="AN878" s="155" t="inlineStr">
        <is>
          <t>Odoo Universal Unique Brands</t>
        </is>
      </c>
      <c r="AO878" s="59" t="n"/>
      <c r="AP878" s="59" t="n"/>
      <c r="AQ878" s="59" t="n">
        <v>55</v>
      </c>
      <c r="AR878" s="155" t="inlineStr">
        <is>
          <t>Odoo Universal Unique Brands › Bodega 25 › Bodega 25/General: 55</t>
        </is>
      </c>
    </row>
    <row r="879">
      <c r="A879" s="50" t="n"/>
      <c r="B879" s="51" t="inlineStr">
        <is>
          <t>11822</t>
        </is>
      </c>
      <c r="C879" s="156" t="inlineStr">
        <is>
          <t>Wrangler</t>
        </is>
      </c>
      <c r="D879" s="156" t="inlineStr">
        <is>
          <t>WG226-8120BK</t>
        </is>
      </c>
      <c r="E879" s="156" t="inlineStr">
        <is>
          <t>WG226-8120BK</t>
        </is>
      </c>
      <c r="F879" s="156" t="inlineStr">
        <is>
          <t>Talla única</t>
        </is>
      </c>
      <c r="G879" s="156" t="inlineStr">
        <is>
          <t>One Size</t>
        </is>
      </c>
      <c r="H879" s="156" t="inlineStr">
        <is>
          <t>Wrangler</t>
        </is>
      </c>
      <c r="I879" s="156" t="inlineStr">
        <is>
          <t>Bolsa Tote Cruzada Wrangler Estampado Grabado Patrón Azteca Con Compartimento Oculto Negro</t>
        </is>
      </c>
      <c r="J879" s="156" t="inlineStr">
        <is>
          <t>Accesorios</t>
        </is>
      </c>
      <c r="K879" s="156" t="inlineStr">
        <is>
          <t>Bolsos</t>
        </is>
      </c>
      <c r="L879" s="156" t="inlineStr">
        <is>
          <t>Unisex</t>
        </is>
      </c>
      <c r="M879" s="156" t="inlineStr">
        <is>
          <t>Wrangler</t>
        </is>
      </c>
      <c r="N879" s="156" t="n"/>
      <c r="O879" s="156" t="n"/>
      <c r="P879" s="156" t="inlineStr">
        <is>
          <t>Negro</t>
        </is>
      </c>
      <c r="Q879" s="156" t="n"/>
      <c r="R879" s="156" t="n"/>
      <c r="S879" s="156" t="n"/>
      <c r="T879" s="156" t="inlineStr">
        <is>
          <t>Bolsa Tote Cruzada</t>
        </is>
      </c>
      <c r="U879" s="156" t="inlineStr">
        <is>
          <t>México</t>
        </is>
      </c>
      <c r="V879" s="156" t="inlineStr">
        <is>
          <t>PZS</t>
        </is>
      </c>
      <c r="W879" s="51" t="inlineStr">
        <is>
          <t>53121601</t>
        </is>
      </c>
      <c r="X879" s="156" t="n"/>
      <c r="Y879" s="54" t="n">
        <v>500.25</v>
      </c>
      <c r="Z879" s="54" t="n">
        <v>809</v>
      </c>
      <c r="AA879" s="55">
        <f>IF(AND(A879="", B879="", E879=""), "", IF(AB879="", "Válido", IF((LEN(AB879)-LEN(SUBSTITUTE(AB879,"; ","")))/2+1&gt;(LEN(AB879)-LEN(SUBSTITUTE(AB879,"[Aviso]","")))/7, "Con Incidencias", "Válido")))</f>
        <v/>
      </c>
      <c r="AB879" s="56">
        <f>IF(AND(A879="", B879="", E879=""), "", TEXTJOIN("; ", TRUE, IF(OR(TRIM(A879&amp;"")="", ISNUMBER(SEARCH("FALTA", A879))), "UPC faltante/inválido", ""), IF(AND(A879&lt;&gt;"", IFERROR(_xlfn.XMATCH(A879,$A$2:$A$1063,0,1)&lt;&gt;_xlfn.XMATCH(A879,$A$2:$A$1063,0,-1),FALSE)), "Código de barras duplicado", ""), IF(AND(E879&lt;&gt;"", COUNTIF($E$2:$E$1063, E879)&gt;1), "SKU duplicado", ""), IF(OR(J879="", J879=""), "[Aviso] División no capturada ()", IF(ISNA(MATCH(J879, Criterios!$A$123:$A$126, 0)), "División no válida", "")), IF(OR(K879="", K879=""), "[Aviso] Categoría no capturada ()", IF(ISNA(MATCH(K879, Criterios!$A$81:$A$120, 0)), "Categoría no válida", IF(AND(J879&lt;&gt;"", J879&lt;&gt;"", J879&lt;&gt;VLOOKUP(K879, Criterios!$A$81:$B$120, 2, FALSE)), "División no coincide con Categoría", ""))), IF(OR(L879="", L879=""), "[Aviso] Género no capturado ()", IF(ISNA(MATCH(L879, Criterios!$B$123:$B$127, 0)), "Género no válido", "")), IF(OR(N879="", N879=""), "[Aviso] Temporada no capturada ()", IF(ISNA(MATCH(N879, Criterios!$C$123:$C$128, 0)), "Temporada no válida", "")), IF(OR(O879="", O879=""), "[Aviso] Ciclo de vida no capturado ()", IF(ISNA(MATCH(O879, Criterios!$D$123:$D$124, 0)), "Ciclo de vida no válido", ""))))</f>
        <v/>
      </c>
      <c r="AC879" s="56" t="n"/>
      <c r="AD879" s="51" t="n"/>
      <c r="AE879" s="156" t="n"/>
      <c r="AF879" s="51" t="n"/>
      <c r="AG879" s="156" t="inlineStr">
        <is>
          <t>Nuevo – Carga Hoja2 01/10/2026</t>
        </is>
      </c>
      <c r="AH879" s="156" t="inlineStr">
        <is>
          <t>Alta 01/10/2026 desde Hoja2 (fila 908) | 01/10/2026: complementado desde Odoo Universal Unique Brands (match por SKU): WB Talla, WB Talla de EE. UU., WB Descripción larga | Homologación G1522 06/10/2026: WB País de origen: «Mexico» → «México» (Corrección aplicada) · Validación G1522: Código de barras faltante · Validador NetSuite / Odoo: V1: falta código de barras · Validador Shopify: V1: falta código de barras; WB: precio con IVA no termina en 9</t>
        </is>
      </c>
      <c r="AI879" s="156" t="n"/>
      <c r="AJ879" s="156" t="n"/>
      <c r="AK879" s="155" t="inlineStr">
        <is>
          <t>Hoja2: fila 908 | Odoo: producto 11822 / plantilla 15257</t>
        </is>
      </c>
      <c r="AL879" s="58" t="n"/>
      <c r="AM879" s="58" t="n"/>
      <c r="AN879" s="155" t="inlineStr">
        <is>
          <t>Odoo Universal Unique Brands</t>
        </is>
      </c>
      <c r="AO879" s="59" t="n"/>
      <c r="AP879" s="59" t="n"/>
      <c r="AQ879" s="59" t="n">
        <v>189</v>
      </c>
      <c r="AR879" s="155" t="inlineStr">
        <is>
          <t>Odoo Universal Unique Brands › Bodega 25 › Bodega 25/General: 189</t>
        </is>
      </c>
    </row>
    <row r="880">
      <c r="A880" s="50" t="inlineStr">
        <is>
          <t>717690433956</t>
        </is>
      </c>
      <c r="B880" s="51" t="inlineStr">
        <is>
          <t>11283</t>
        </is>
      </c>
      <c r="C880" s="156" t="inlineStr">
        <is>
          <t>Wrangler</t>
        </is>
      </c>
      <c r="D880" s="156" t="inlineStr">
        <is>
          <t>WG226-8120DPK</t>
        </is>
      </c>
      <c r="E880" s="156" t="inlineStr">
        <is>
          <t>WG226-8120DPK</t>
        </is>
      </c>
      <c r="F880" s="156" t="inlineStr">
        <is>
          <t>Talla única</t>
        </is>
      </c>
      <c r="G880" s="156" t="inlineStr">
        <is>
          <t>One Size</t>
        </is>
      </c>
      <c r="H880" s="156" t="inlineStr">
        <is>
          <t>Wrangler</t>
        </is>
      </c>
      <c r="I880" s="156" t="inlineStr">
        <is>
          <t>Bolsa Tote Cruzada Wrangler Estampado Grabado Patrón Azteca Con Compartimento Oculto</t>
        </is>
      </c>
      <c r="J880" s="156" t="inlineStr">
        <is>
          <t>Accesorios</t>
        </is>
      </c>
      <c r="K880" s="156" t="inlineStr">
        <is>
          <t>Bolsos</t>
        </is>
      </c>
      <c r="L880" s="156" t="inlineStr">
        <is>
          <t>Unisex</t>
        </is>
      </c>
      <c r="M880" s="156" t="inlineStr">
        <is>
          <t>Wrangler</t>
        </is>
      </c>
      <c r="N880" s="156" t="n"/>
      <c r="O880" s="156" t="n"/>
      <c r="P880" s="156" t="inlineStr">
        <is>
          <t>Rosa</t>
        </is>
      </c>
      <c r="Q880" s="156" t="n"/>
      <c r="R880" s="156" t="n"/>
      <c r="S880" s="156" t="n"/>
      <c r="T880" s="156" t="inlineStr">
        <is>
          <t>Bolsa Tote Cruzada</t>
        </is>
      </c>
      <c r="U880" s="156" t="inlineStr">
        <is>
          <t>México</t>
        </is>
      </c>
      <c r="V880" s="156" t="inlineStr">
        <is>
          <t>PZS</t>
        </is>
      </c>
      <c r="W880" s="51" t="inlineStr">
        <is>
          <t>53121601</t>
        </is>
      </c>
      <c r="X880" s="156" t="n"/>
      <c r="Y880" s="54" t="n">
        <v>500.25</v>
      </c>
      <c r="Z880" s="54" t="n">
        <v>809</v>
      </c>
      <c r="AA880" s="55">
        <f>IF(AND(A880="", B880="", E880=""), "", IF(AB880="", "Válido", IF((LEN(AB880)-LEN(SUBSTITUTE(AB880,"; ","")))/2+1&gt;(LEN(AB880)-LEN(SUBSTITUTE(AB880,"[Aviso]","")))/7, "Con Incidencias", "Válido")))</f>
        <v/>
      </c>
      <c r="AB880" s="56">
        <f>IF(AND(A880="", B880="", E880=""), "", TEXTJOIN("; ", TRUE, IF(OR(TRIM(A880&amp;"")="", ISNUMBER(SEARCH("FALTA", A880))), "UPC faltante/inválido", ""), IF(AND(A880&lt;&gt;"", IFERROR(_xlfn.XMATCH(A880,$A$2:$A$1063,0,1)&lt;&gt;_xlfn.XMATCH(A880,$A$2:$A$1063,0,-1),FALSE)), "Código de barras duplicado", ""), IF(AND(E880&lt;&gt;"", COUNTIF($E$2:$E$1063, E880)&gt;1), "SKU duplicado", ""), IF(OR(J880="", J880=""), "[Aviso] División no capturada ()", IF(ISNA(MATCH(J880, Criterios!$A$123:$A$126, 0)), "División no válida", "")), IF(OR(K880="", K880=""), "[Aviso] Categoría no capturada ()", IF(ISNA(MATCH(K880, Criterios!$A$81:$A$120, 0)), "Categoría no válida", IF(AND(J880&lt;&gt;"", J880&lt;&gt;"", J880&lt;&gt;VLOOKUP(K880, Criterios!$A$81:$B$120, 2, FALSE)), "División no coincide con Categoría", ""))), IF(OR(L880="", L880=""), "[Aviso] Género no capturado ()", IF(ISNA(MATCH(L880, Criterios!$B$123:$B$127, 0)), "Género no válido", "")), IF(OR(N880="", N880=""), "[Aviso] Temporada no capturada ()", IF(ISNA(MATCH(N880, Criterios!$C$123:$C$128, 0)), "Temporada no válida", "")), IF(OR(O880="", O880=""), "[Aviso] Ciclo de vida no capturado ()", IF(ISNA(MATCH(O880, Criterios!$D$123:$D$124, 0)), "Ciclo de vida no válido", ""))))</f>
        <v/>
      </c>
      <c r="AC880" s="56" t="n"/>
      <c r="AD880" s="51" t="n"/>
      <c r="AE880" s="156" t="n"/>
      <c r="AF880" s="51" t="n"/>
      <c r="AG880" s="156" t="inlineStr">
        <is>
          <t>Nuevo – Carga Hoja2 01/10/2026</t>
        </is>
      </c>
      <c r="AH880" s="156" t="inlineStr">
        <is>
          <t>Alta 01/10/2026 desde Hoja2 (fila 909)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880" s="156" t="n"/>
      <c r="AJ880" s="156" t="n"/>
      <c r="AK880" s="155" t="inlineStr">
        <is>
          <t>Hoja2: fila 909 | Odoo: producto 11283 / plantilla 14718</t>
        </is>
      </c>
      <c r="AL880" s="58" t="n"/>
      <c r="AM880" s="58" t="n"/>
      <c r="AN880" s="155" t="inlineStr">
        <is>
          <t>Odoo Universal Unique Brands</t>
        </is>
      </c>
      <c r="AO880" s="59" t="n"/>
      <c r="AP880" s="59" t="n"/>
      <c r="AQ880" s="59" t="n">
        <v>17</v>
      </c>
      <c r="AR880" s="155" t="inlineStr">
        <is>
          <t>Odoo Universal Unique Brands › Bodega 25 › Bodega 25/General: 17</t>
        </is>
      </c>
    </row>
    <row r="881">
      <c r="A881" s="50" t="inlineStr">
        <is>
          <t>717690429218</t>
        </is>
      </c>
      <c r="B881" s="51" t="inlineStr">
        <is>
          <t>22151</t>
        </is>
      </c>
      <c r="C881" s="156" t="inlineStr">
        <is>
          <t>Wrangler</t>
        </is>
      </c>
      <c r="D881" s="156" t="inlineStr">
        <is>
          <t>WG226-8605DPK</t>
        </is>
      </c>
      <c r="E881" s="156" t="inlineStr">
        <is>
          <t>WG226-8605DPK</t>
        </is>
      </c>
      <c r="F881" s="156" t="inlineStr">
        <is>
          <t>Talla única</t>
        </is>
      </c>
      <c r="G881" s="156" t="inlineStr">
        <is>
          <t>One Size</t>
        </is>
      </c>
      <c r="H881" s="156" t="inlineStr">
        <is>
          <t>Wrangler</t>
        </is>
      </c>
      <c r="I881" s="156" t="inlineStr">
        <is>
          <t>Bolsa Tote Cruzada Wrangler Estampado Grabado Patrón Azteca Rosa Oscuro</t>
        </is>
      </c>
      <c r="J881" s="156" t="inlineStr">
        <is>
          <t>Accesorios</t>
        </is>
      </c>
      <c r="K881" s="156" t="inlineStr">
        <is>
          <t>Bolsos</t>
        </is>
      </c>
      <c r="L881" s="156" t="inlineStr">
        <is>
          <t>Unisex</t>
        </is>
      </c>
      <c r="M881" s="156" t="inlineStr">
        <is>
          <t>Wrangler</t>
        </is>
      </c>
      <c r="N881" s="156" t="n"/>
      <c r="O881" s="156" t="n"/>
      <c r="P881" s="156" t="inlineStr">
        <is>
          <t>Rosa</t>
        </is>
      </c>
      <c r="Q881" s="156" t="n"/>
      <c r="R881" s="156" t="n"/>
      <c r="S881" s="156" t="n"/>
      <c r="T881" s="156" t="inlineStr">
        <is>
          <t>Bolsa Tote Cruzada</t>
        </is>
      </c>
      <c r="U881" s="156" t="inlineStr">
        <is>
          <t>México</t>
        </is>
      </c>
      <c r="V881" s="156" t="inlineStr">
        <is>
          <t>PZS</t>
        </is>
      </c>
      <c r="W881" s="51" t="inlineStr">
        <is>
          <t>53121601</t>
        </is>
      </c>
      <c r="X881" s="156" t="n"/>
      <c r="Y881" s="54" t="n">
        <v>21</v>
      </c>
      <c r="Z881" s="54" t="n">
        <v>799</v>
      </c>
      <c r="AA881" s="55">
        <f>IF(AND(A881="", B881="", E881=""), "", IF(AB881="", "Válido", IF((LEN(AB881)-LEN(SUBSTITUTE(AB881,"; ","")))/2+1&gt;(LEN(AB881)-LEN(SUBSTITUTE(AB881,"[Aviso]","")))/7, "Con Incidencias", "Válido")))</f>
        <v/>
      </c>
      <c r="AB881" s="56">
        <f>IF(AND(A881="", B881="", E881=""), "", TEXTJOIN("; ", TRUE, IF(OR(TRIM(A881&amp;"")="", ISNUMBER(SEARCH("FALTA", A881))), "UPC faltante/inválido", ""), IF(AND(A881&lt;&gt;"", IFERROR(_xlfn.XMATCH(A881,$A$2:$A$1063,0,1)&lt;&gt;_xlfn.XMATCH(A881,$A$2:$A$1063,0,-1),FALSE)), "Código de barras duplicado", ""), IF(AND(E881&lt;&gt;"", COUNTIF($E$2:$E$1063, E881)&gt;1), "SKU duplicado", ""), IF(OR(J881="", J881=""), "[Aviso] División no capturada ()", IF(ISNA(MATCH(J881, Criterios!$A$123:$A$126, 0)), "División no válida", "")), IF(OR(K881="", K881=""), "[Aviso] Categoría no capturada ()", IF(ISNA(MATCH(K881, Criterios!$A$81:$A$120, 0)), "Categoría no válida", IF(AND(J881&lt;&gt;"", J881&lt;&gt;"", J881&lt;&gt;VLOOKUP(K881, Criterios!$A$81:$B$120, 2, FALSE)), "División no coincide con Categoría", ""))), IF(OR(L881="", L881=""), "[Aviso] Género no capturado ()", IF(ISNA(MATCH(L881, Criterios!$B$123:$B$127, 0)), "Género no válido", "")), IF(OR(N881="", N881=""), "[Aviso] Temporada no capturada ()", IF(ISNA(MATCH(N881, Criterios!$C$123:$C$128, 0)), "Temporada no válida", "")), IF(OR(O881="", O881=""), "[Aviso] Ciclo de vida no capturado ()", IF(ISNA(MATCH(O881, Criterios!$D$123:$D$124, 0)), "Ciclo de vida no válido", ""))))</f>
        <v/>
      </c>
      <c r="AC881" s="56" t="n"/>
      <c r="AD881" s="51" t="n"/>
      <c r="AE881" s="156" t="n"/>
      <c r="AF881" s="51" t="n"/>
      <c r="AG881" s="156" t="inlineStr">
        <is>
          <t>Nuevo – Carga Hoja2 01/10/2026</t>
        </is>
      </c>
      <c r="AH881" s="156" t="inlineStr">
        <is>
          <t>Alta 01/10/2026 desde Hoja2 (fila 910)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881" s="156" t="n"/>
      <c r="AJ881" s="156" t="n"/>
      <c r="AK881" s="155" t="inlineStr">
        <is>
          <t>Hoja2: fila 910 | Odoo: producto 22151 / plantilla 28294</t>
        </is>
      </c>
      <c r="AL881" s="58" t="n"/>
      <c r="AM881" s="58" t="n"/>
      <c r="AN881" s="155" t="inlineStr">
        <is>
          <t>Odoo Universal Unique Brands</t>
        </is>
      </c>
      <c r="AO881" s="59" t="n"/>
      <c r="AP881" s="59" t="n"/>
      <c r="AQ881" s="59" t="n">
        <v>-8</v>
      </c>
      <c r="AR881" s="155" t="n"/>
    </row>
    <row r="882">
      <c r="A882" s="50" t="inlineStr">
        <is>
          <t>717690434021</t>
        </is>
      </c>
      <c r="B882" s="51" t="inlineStr">
        <is>
          <t>11256</t>
        </is>
      </c>
      <c r="C882" s="156" t="inlineStr">
        <is>
          <t>Wrangler</t>
        </is>
      </c>
      <c r="D882" s="156" t="inlineStr">
        <is>
          <t>WG226-W069BG</t>
        </is>
      </c>
      <c r="E882" s="156" t="inlineStr">
        <is>
          <t>WG226-W069BG</t>
        </is>
      </c>
      <c r="F882" s="156" t="inlineStr">
        <is>
          <t>Talla única</t>
        </is>
      </c>
      <c r="G882" s="156" t="inlineStr">
        <is>
          <t>One Size</t>
        </is>
      </c>
      <c r="H882" s="156" t="inlineStr">
        <is>
          <t>Wrangler</t>
        </is>
      </c>
      <c r="I882" s="156" t="inlineStr">
        <is>
          <t>Cartera Tarjetero Wrangler Estampado Azteca Beige</t>
        </is>
      </c>
      <c r="J882" s="156" t="inlineStr">
        <is>
          <t>Accesorios</t>
        </is>
      </c>
      <c r="K882" s="156" t="inlineStr">
        <is>
          <t>Carteras</t>
        </is>
      </c>
      <c r="L882" s="156" t="inlineStr">
        <is>
          <t>Unisex</t>
        </is>
      </c>
      <c r="M882" s="156" t="inlineStr">
        <is>
          <t>Wrangler</t>
        </is>
      </c>
      <c r="N882" s="156" t="n"/>
      <c r="O882" s="156" t="inlineStr">
        <is>
          <t>Core</t>
        </is>
      </c>
      <c r="P882" s="156" t="inlineStr">
        <is>
          <t>Beige</t>
        </is>
      </c>
      <c r="Q882" s="156" t="n"/>
      <c r="R882" s="156" t="n"/>
      <c r="S882" s="156" t="n"/>
      <c r="T882" s="156" t="inlineStr">
        <is>
          <t>Cartera Tarjetero Wrangler. Modelo: Estampado Azteca. Color: Beige. Talla única. Unisex. País de origen: México. Referencia: WG226-W069BG.</t>
        </is>
      </c>
      <c r="U882" s="156" t="inlineStr">
        <is>
          <t>México</t>
        </is>
      </c>
      <c r="V882" s="156" t="inlineStr">
        <is>
          <t>PZS</t>
        </is>
      </c>
      <c r="W882" s="51" t="inlineStr">
        <is>
          <t>53121700</t>
        </is>
      </c>
      <c r="X882" s="156" t="inlineStr">
        <is>
          <t>https://m-universal-unique-brands.odoo.com/web/image/product.product/11256/image_1920</t>
        </is>
      </c>
      <c r="Y882" s="54" t="n">
        <v>215.63</v>
      </c>
      <c r="Z882" s="54" t="n">
        <v>349</v>
      </c>
      <c r="AA882" s="55">
        <f>IF(AND(A882="", B882="", E882=""), "", IF(AB882="", "Válido", IF((LEN(AB882)-LEN(SUBSTITUTE(AB882,"; ","")))/2+1&gt;(LEN(AB882)-LEN(SUBSTITUTE(AB882,"[Aviso]","")))/7, "Con Incidencias", "Válido")))</f>
        <v/>
      </c>
      <c r="AB882" s="56">
        <f>IF(AND(A882="", B882="", E882=""), "", TEXTJOIN("; ", TRUE, IF(OR(TRIM(A882&amp;"")="", ISNUMBER(SEARCH("FALTA", A882))), "UPC faltante/inválido", ""), IF(AND(A882&lt;&gt;"", IFERROR(_xlfn.XMATCH(A882,$A$2:$A$1063,0,1)&lt;&gt;_xlfn.XMATCH(A882,$A$2:$A$1063,0,-1),FALSE)), "Código de barras duplicado", ""), IF(AND(E882&lt;&gt;"", COUNTIF($E$2:$E$1063, E882)&gt;1), "SKU duplicado", ""), IF(OR(J882="", J882=""), "[Aviso] División no capturada ()", IF(ISNA(MATCH(J882, Criterios!$A$123:$A$126, 0)), "División no válida", "")), IF(OR(K882="", K882=""), "[Aviso] Categoría no capturada ()", IF(ISNA(MATCH(K882, Criterios!$A$81:$A$120, 0)), "Categoría no válida", IF(AND(J882&lt;&gt;"", J882&lt;&gt;"", J882&lt;&gt;VLOOKUP(K882, Criterios!$A$81:$B$120, 2, FALSE)), "División no coincide con Categoría", ""))), IF(OR(L882="", L882=""), "[Aviso] Género no capturado ()", IF(ISNA(MATCH(L882, Criterios!$B$123:$B$127, 0)), "Género no válido", "")), IF(OR(N882="", N882=""), "[Aviso] Temporada no capturada ()", IF(ISNA(MATCH(N882, Criterios!$C$123:$C$128, 0)), "Temporada no válida", "")), IF(OR(O882="", O882=""), "[Aviso] Ciclo de vida no capturado ()", IF(ISNA(MATCH(O882, Criterios!$D$123:$D$124, 0)), "Ciclo de vida no válido", ""))))</f>
        <v/>
      </c>
      <c r="AC882" s="56" t="n"/>
      <c r="AD882" s="51" t="n"/>
      <c r="AE882" s="156" t="n"/>
      <c r="AF882" s="51" t="n"/>
      <c r="AG882" s="156" t="inlineStr">
        <is>
          <t>Nuevo – Carga Hoja2 01/10/2026</t>
        </is>
      </c>
      <c r="AH882" s="156" t="inlineStr">
        <is>
          <t>Alta 01/10/2026 desde Hoja2 (fila 911)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82" s="156" t="n"/>
      <c r="AJ882" s="156" t="n"/>
      <c r="AK882" s="155" t="inlineStr">
        <is>
          <t>Hoja2: fila 911 | Odoo: producto 11256 / plantilla 14691 | Odoo: producto 27429 / plantilla 34129</t>
        </is>
      </c>
      <c r="AL882" s="58" t="n"/>
      <c r="AM882" s="58" t="n"/>
      <c r="AN882" s="155" t="inlineStr">
        <is>
          <t>Odoo Universal Unique Brands</t>
        </is>
      </c>
      <c r="AO882" s="59" t="n"/>
      <c r="AP882" s="59" t="n"/>
      <c r="AQ882" s="59" t="n">
        <v>50</v>
      </c>
      <c r="AR882" s="155" t="inlineStr">
        <is>
          <t>Odoo Universal Unique Brands › Bodega 25 › Bodega 25/General: 44 | Odoo Universal Unique Brands › Bodega 25 › Bodega 25/General: 6</t>
        </is>
      </c>
    </row>
    <row r="883">
      <c r="A883" s="50" t="inlineStr">
        <is>
          <t>717690433994</t>
        </is>
      </c>
      <c r="B883" s="51" t="inlineStr">
        <is>
          <t>13304</t>
        </is>
      </c>
      <c r="C883" s="156" t="inlineStr">
        <is>
          <t>Wrangler</t>
        </is>
      </c>
      <c r="D883" s="156" t="inlineStr">
        <is>
          <t>WG226-W069BR</t>
        </is>
      </c>
      <c r="E883" s="156" t="inlineStr">
        <is>
          <t>WG226-W069BR</t>
        </is>
      </c>
      <c r="F883" s="156" t="inlineStr">
        <is>
          <t>Talla única</t>
        </is>
      </c>
      <c r="G883" s="156" t="inlineStr">
        <is>
          <t>One Size</t>
        </is>
      </c>
      <c r="H883" s="156" t="inlineStr">
        <is>
          <t>Wrangler</t>
        </is>
      </c>
      <c r="I883" s="156" t="inlineStr">
        <is>
          <t>Cartera Tarjetero Wrangler Estampado Azteca Café</t>
        </is>
      </c>
      <c r="J883" s="156" t="inlineStr">
        <is>
          <t>Accesorios</t>
        </is>
      </c>
      <c r="K883" s="156" t="inlineStr">
        <is>
          <t>Carteras</t>
        </is>
      </c>
      <c r="L883" s="156" t="inlineStr">
        <is>
          <t>Unisex</t>
        </is>
      </c>
      <c r="M883" s="156" t="inlineStr">
        <is>
          <t>Wrangler</t>
        </is>
      </c>
      <c r="N883" s="156" t="n"/>
      <c r="O883" s="156" t="inlineStr">
        <is>
          <t>Core</t>
        </is>
      </c>
      <c r="P883" s="156" t="inlineStr">
        <is>
          <t>Cafe</t>
        </is>
      </c>
      <c r="Q883" s="156" t="n"/>
      <c r="R883" s="156" t="n"/>
      <c r="S883" s="156" t="n"/>
      <c r="T883" s="156" t="inlineStr">
        <is>
          <t>Cartera Tarjetero Wrangler. Modelo: Estampado Azteca. Color: Café. Talla única. Unisex. País de origen: México. Referencia: WG226-W069BR.</t>
        </is>
      </c>
      <c r="U883" s="156" t="inlineStr">
        <is>
          <t>México</t>
        </is>
      </c>
      <c r="V883" s="156" t="inlineStr">
        <is>
          <t>PZS</t>
        </is>
      </c>
      <c r="W883" s="51" t="inlineStr">
        <is>
          <t>53121700</t>
        </is>
      </c>
      <c r="X883" s="156" t="n"/>
      <c r="Y883" s="54" t="n">
        <v>12.5</v>
      </c>
      <c r="Z883" s="54" t="n">
        <v>349</v>
      </c>
      <c r="AA883" s="55">
        <f>IF(AND(A883="", B883="", E883=""), "", IF(AB883="", "Válido", IF((LEN(AB883)-LEN(SUBSTITUTE(AB883,"; ","")))/2+1&gt;(LEN(AB883)-LEN(SUBSTITUTE(AB883,"[Aviso]","")))/7, "Con Incidencias", "Válido")))</f>
        <v/>
      </c>
      <c r="AB883" s="56">
        <f>IF(AND(A883="", B883="", E883=""), "", TEXTJOIN("; ", TRUE, IF(OR(TRIM(A883&amp;"")="", ISNUMBER(SEARCH("FALTA", A883))), "UPC faltante/inválido", ""), IF(AND(A883&lt;&gt;"", IFERROR(_xlfn.XMATCH(A883,$A$2:$A$1063,0,1)&lt;&gt;_xlfn.XMATCH(A883,$A$2:$A$1063,0,-1),FALSE)), "Código de barras duplicado", ""), IF(AND(E883&lt;&gt;"", COUNTIF($E$2:$E$1063, E883)&gt;1), "SKU duplicado", ""), IF(OR(J883="", J883=""), "[Aviso] División no capturada ()", IF(ISNA(MATCH(J883, Criterios!$A$123:$A$126, 0)), "División no válida", "")), IF(OR(K883="", K883=""), "[Aviso] Categoría no capturada ()", IF(ISNA(MATCH(K883, Criterios!$A$81:$A$120, 0)), "Categoría no válida", IF(AND(J883&lt;&gt;"", J883&lt;&gt;"", J883&lt;&gt;VLOOKUP(K883, Criterios!$A$81:$B$120, 2, FALSE)), "División no coincide con Categoría", ""))), IF(OR(L883="", L883=""), "[Aviso] Género no capturado ()", IF(ISNA(MATCH(L883, Criterios!$B$123:$B$127, 0)), "Género no válido", "")), IF(OR(N883="", N883=""), "[Aviso] Temporada no capturada ()", IF(ISNA(MATCH(N883, Criterios!$C$123:$C$128, 0)), "Temporada no válida", "")), IF(OR(O883="", O883=""), "[Aviso] Ciclo de vida no capturado ()", IF(ISNA(MATCH(O883, Criterios!$D$123:$D$124, 0)), "Ciclo de vida no válido", ""))))</f>
        <v/>
      </c>
      <c r="AC883" s="56" t="n"/>
      <c r="AD883" s="51" t="n"/>
      <c r="AE883" s="156" t="n"/>
      <c r="AF883" s="51" t="n"/>
      <c r="AG883" s="156" t="inlineStr">
        <is>
          <t>Nuevo – Carga Hoja2 01/10/2026</t>
        </is>
      </c>
      <c r="AH883" s="156" t="inlineStr">
        <is>
          <t>Alta 01/10/2026 desde Hoja2 (fila 912) | 01/10/2026: Odoo Universal Unique Brands trae Marca «Montana West» — se conservó el valor de Productos | Homologación G1522 06/10/2026: Validación G1522: [Aviso] Precio de compra posiblemente en USD · Validador Shopify: WB: precio con IVA no termina en 9</t>
        </is>
      </c>
      <c r="AI883" s="156" t="n"/>
      <c r="AJ883" s="156" t="n"/>
      <c r="AK883" s="155" t="inlineStr">
        <is>
          <t>Hoja2: fila 912 | Odoo: producto 13304 / plantilla 16881 | Odoo: producto 27431 / plantilla 34131</t>
        </is>
      </c>
      <c r="AL883" s="58" t="n"/>
      <c r="AM883" s="58" t="n"/>
      <c r="AN883" s="155" t="inlineStr">
        <is>
          <t>Odoo Universal Unique Brands</t>
        </is>
      </c>
      <c r="AO883" s="59" t="n"/>
      <c r="AP883" s="59" t="n"/>
      <c r="AQ883" s="59" t="n">
        <v>54</v>
      </c>
      <c r="AR883" s="155" t="inlineStr">
        <is>
          <t>Odoo Universal Unique Brands › Bodega 25 › Bodega 25/General: 58</t>
        </is>
      </c>
    </row>
    <row r="884">
      <c r="A884" s="50" t="inlineStr">
        <is>
          <t>717690434014</t>
        </is>
      </c>
      <c r="B884" s="51" t="inlineStr">
        <is>
          <t>11829</t>
        </is>
      </c>
      <c r="C884" s="156" t="inlineStr">
        <is>
          <t>Wrangler</t>
        </is>
      </c>
      <c r="D884" s="156" t="inlineStr">
        <is>
          <t>WG226-W069TN</t>
        </is>
      </c>
      <c r="E884" s="156" t="inlineStr">
        <is>
          <t>WG226-W069TN</t>
        </is>
      </c>
      <c r="F884" s="156" t="inlineStr">
        <is>
          <t>Talla única</t>
        </is>
      </c>
      <c r="G884" s="156" t="inlineStr">
        <is>
          <t>One Size</t>
        </is>
      </c>
      <c r="H884" s="156" t="inlineStr">
        <is>
          <t>Wrangler</t>
        </is>
      </c>
      <c r="I884" s="156" t="inlineStr">
        <is>
          <t>Cartera Tarjetero Wrangler Estampado Azteca Camel</t>
        </is>
      </c>
      <c r="J884" s="156" t="inlineStr">
        <is>
          <t>Accesorios</t>
        </is>
      </c>
      <c r="K884" s="156" t="inlineStr">
        <is>
          <t>Carteras</t>
        </is>
      </c>
      <c r="L884" s="156" t="inlineStr">
        <is>
          <t>Unisex</t>
        </is>
      </c>
      <c r="M884" s="156" t="inlineStr">
        <is>
          <t>Wrangler</t>
        </is>
      </c>
      <c r="N884" s="156" t="n"/>
      <c r="O884" s="156" t="inlineStr">
        <is>
          <t>Core</t>
        </is>
      </c>
      <c r="P884" s="156" t="inlineStr">
        <is>
          <t>Beige</t>
        </is>
      </c>
      <c r="Q884" s="156" t="n"/>
      <c r="R884" s="156" t="n"/>
      <c r="S884" s="156" t="n"/>
      <c r="T884" s="156" t="inlineStr">
        <is>
          <t>Cartera Tarjetero Wrangler. Modelo: Estampado Azteca. Color: Camel. Talla única. Unisex. País de origen: México. Referencia: WG226-W069TN.</t>
        </is>
      </c>
      <c r="U884" s="156" t="inlineStr">
        <is>
          <t>México</t>
        </is>
      </c>
      <c r="V884" s="156" t="inlineStr">
        <is>
          <t>PZS</t>
        </is>
      </c>
      <c r="W884" s="51" t="inlineStr">
        <is>
          <t>53121700</t>
        </is>
      </c>
      <c r="X884" s="156" t="n"/>
      <c r="Y884" s="54" t="n">
        <v>215.63</v>
      </c>
      <c r="Z884" s="54" t="n">
        <v>349</v>
      </c>
      <c r="AA884" s="55">
        <f>IF(AND(A884="", B884="", E884=""), "", IF(AB884="", "Válido", IF((LEN(AB884)-LEN(SUBSTITUTE(AB884,"; ","")))/2+1&gt;(LEN(AB884)-LEN(SUBSTITUTE(AB884,"[Aviso]","")))/7, "Con Incidencias", "Válido")))</f>
        <v/>
      </c>
      <c r="AB884" s="56">
        <f>IF(AND(A884="", B884="", E884=""), "", TEXTJOIN("; ", TRUE, IF(OR(TRIM(A884&amp;"")="", ISNUMBER(SEARCH("FALTA", A884))), "UPC faltante/inválido", ""), IF(AND(A884&lt;&gt;"", IFERROR(_xlfn.XMATCH(A884,$A$2:$A$1063,0,1)&lt;&gt;_xlfn.XMATCH(A884,$A$2:$A$1063,0,-1),FALSE)), "Código de barras duplicado", ""), IF(AND(E884&lt;&gt;"", COUNTIF($E$2:$E$1063, E884)&gt;1), "SKU duplicado", ""), IF(OR(J884="", J884=""), "[Aviso] División no capturada ()", IF(ISNA(MATCH(J884, Criterios!$A$123:$A$126, 0)), "División no válida", "")), IF(OR(K884="", K884=""), "[Aviso] Categoría no capturada ()", IF(ISNA(MATCH(K884, Criterios!$A$81:$A$120, 0)), "Categoría no válida", IF(AND(J884&lt;&gt;"", J884&lt;&gt;"", J884&lt;&gt;VLOOKUP(K884, Criterios!$A$81:$B$120, 2, FALSE)), "División no coincide con Categoría", ""))), IF(OR(L884="", L884=""), "[Aviso] Género no capturado ()", IF(ISNA(MATCH(L884, Criterios!$B$123:$B$127, 0)), "Género no válido", "")), IF(OR(N884="", N884=""), "[Aviso] Temporada no capturada ()", IF(ISNA(MATCH(N884, Criterios!$C$123:$C$128, 0)), "Temporada no válida", "")), IF(OR(O884="", O884=""), "[Aviso] Ciclo de vida no capturado ()", IF(ISNA(MATCH(O884, Criterios!$D$123:$D$124, 0)), "Ciclo de vida no válido", ""))))</f>
        <v/>
      </c>
      <c r="AC884" s="56" t="n"/>
      <c r="AD884" s="51" t="n"/>
      <c r="AE884" s="156" t="n"/>
      <c r="AF884" s="51" t="n"/>
      <c r="AG884" s="156" t="inlineStr">
        <is>
          <t>Nuevo – Carga Hoja2 01/10/2026</t>
        </is>
      </c>
      <c r="AH884" s="156" t="inlineStr">
        <is>
          <t>Alta 01/10/2026 desde Hoja2 (fila 914) | 01/10/2026: Odoo Universal Unique Brands trae Marca «Montana West» — se conservó el valor de Productos | Homologación G1522 06/10/2026: Validador Shopify: WB: precio con IVA no termina en 9</t>
        </is>
      </c>
      <c r="AI884" s="156" t="n"/>
      <c r="AJ884" s="156" t="n"/>
      <c r="AK884" s="155" t="inlineStr">
        <is>
          <t>Hoja2: fila 914 | Odoo: producto 11829 / plantilla 15264 | Odoo: producto 27433 / plantilla 34133</t>
        </is>
      </c>
      <c r="AL884" s="58" t="n"/>
      <c r="AM884" s="58" t="n"/>
      <c r="AN884" s="155" t="inlineStr">
        <is>
          <t>Odoo Universal Unique Brands</t>
        </is>
      </c>
      <c r="AO884" s="59" t="n"/>
      <c r="AP884" s="59" t="n"/>
      <c r="AQ884" s="59" t="n">
        <v>86</v>
      </c>
      <c r="AR884" s="155" t="inlineStr">
        <is>
          <t>Odoo Universal Unique Brands › Bodega 25 › Bodega 25/General: 85 | Odoo Universal Unique Brands › Bodega 25 › Bodega 25/General: 1</t>
        </is>
      </c>
    </row>
    <row r="885">
      <c r="A885" s="50" t="inlineStr">
        <is>
          <t>717690433840</t>
        </is>
      </c>
      <c r="B885" s="51" t="inlineStr">
        <is>
          <t>11236</t>
        </is>
      </c>
      <c r="C885" s="156" t="inlineStr">
        <is>
          <t>Wrangler</t>
        </is>
      </c>
      <c r="D885" s="156" t="inlineStr">
        <is>
          <t>WG226G-8119BK</t>
        </is>
      </c>
      <c r="E885" s="156" t="inlineStr">
        <is>
          <t>WG226G-8119BK</t>
        </is>
      </c>
      <c r="F885" s="156" t="inlineStr">
        <is>
          <t>Talla única</t>
        </is>
      </c>
      <c r="G885" s="156" t="inlineStr">
        <is>
          <t>One Size</t>
        </is>
      </c>
      <c r="H885" s="156" t="inlineStr">
        <is>
          <t>Wrangler</t>
        </is>
      </c>
      <c r="I885" s="156" t="inlineStr">
        <is>
          <t>Bolsa Tote Grande Wrangler Estampado Grabado Patrón Azteca Con Compartimento Oculto Negro</t>
        </is>
      </c>
      <c r="J885" s="156" t="inlineStr">
        <is>
          <t>Accesorios</t>
        </is>
      </c>
      <c r="K885" s="156" t="inlineStr">
        <is>
          <t>Bolsos</t>
        </is>
      </c>
      <c r="L885" s="156" t="inlineStr">
        <is>
          <t>Unisex</t>
        </is>
      </c>
      <c r="M885" s="156" t="inlineStr">
        <is>
          <t>Wrangler</t>
        </is>
      </c>
      <c r="N885" s="156" t="n"/>
      <c r="O885" s="156" t="inlineStr">
        <is>
          <t>Core</t>
        </is>
      </c>
      <c r="P885" s="156" t="inlineStr">
        <is>
          <t>Negro</t>
        </is>
      </c>
      <c r="Q885" s="156" t="n"/>
      <c r="R885" s="156" t="n"/>
      <c r="S885" s="156" t="n"/>
      <c r="T885" s="156" t="inlineStr">
        <is>
          <t>Bolsa Tote Grande Wrangler. Modelo: Estampado Grabado Patrón Azteca Con Compartimento Oculto. Color: Negro. Talla única. Unisex. País de origen: México. Referencia: WG226G-8119BK.</t>
        </is>
      </c>
      <c r="U885" s="156" t="inlineStr">
        <is>
          <t>México</t>
        </is>
      </c>
      <c r="V885" s="156" t="inlineStr">
        <is>
          <t>PZS</t>
        </is>
      </c>
      <c r="W885" s="51" t="inlineStr">
        <is>
          <t>53121601</t>
        </is>
      </c>
      <c r="X885" s="156" t="inlineStr">
        <is>
          <t>https://m-universal-unique-brands.odoo.com/web/image/product.product/11236/image_1920</t>
        </is>
      </c>
      <c r="Y885" s="54" t="n">
        <v>552</v>
      </c>
      <c r="Z885" s="54" t="n">
        <v>889</v>
      </c>
      <c r="AA885" s="55">
        <f>IF(AND(A885="", B885="", E885=""), "", IF(AB885="", "Válido", IF((LEN(AB885)-LEN(SUBSTITUTE(AB885,"; ","")))/2+1&gt;(LEN(AB885)-LEN(SUBSTITUTE(AB885,"[Aviso]","")))/7, "Con Incidencias", "Válido")))</f>
        <v/>
      </c>
      <c r="AB885" s="56">
        <f>IF(AND(A885="", B885="", E885=""), "", TEXTJOIN("; ", TRUE, IF(OR(TRIM(A885&amp;"")="", ISNUMBER(SEARCH("FALTA", A885))), "UPC faltante/inválido", ""), IF(AND(A885&lt;&gt;"", IFERROR(_xlfn.XMATCH(A885,$A$2:$A$1063,0,1)&lt;&gt;_xlfn.XMATCH(A885,$A$2:$A$1063,0,-1),FALSE)), "Código de barras duplicado", ""), IF(AND(E885&lt;&gt;"", COUNTIF($E$2:$E$1063, E885)&gt;1), "SKU duplicado", ""), IF(OR(J885="", J885=""), "[Aviso] División no capturada ()", IF(ISNA(MATCH(J885, Criterios!$A$123:$A$126, 0)), "División no válida", "")), IF(OR(K885="", K885=""), "[Aviso] Categoría no capturada ()", IF(ISNA(MATCH(K885, Criterios!$A$81:$A$120, 0)), "Categoría no válida", IF(AND(J885&lt;&gt;"", J885&lt;&gt;"", J885&lt;&gt;VLOOKUP(K885, Criterios!$A$81:$B$120, 2, FALSE)), "División no coincide con Categoría", ""))), IF(OR(L885="", L885=""), "[Aviso] Género no capturado ()", IF(ISNA(MATCH(L885, Criterios!$B$123:$B$127, 0)), "Género no válido", "")), IF(OR(N885="", N885=""), "[Aviso] Temporada no capturada ()", IF(ISNA(MATCH(N885, Criterios!$C$123:$C$128, 0)), "Temporada no válida", "")), IF(OR(O885="", O885=""), "[Aviso] Ciclo de vida no capturado ()", IF(ISNA(MATCH(O885, Criterios!$D$123:$D$124, 0)), "Ciclo de vida no válido", ""))))</f>
        <v/>
      </c>
      <c r="AC885" s="56" t="n"/>
      <c r="AD885" s="51" t="n"/>
      <c r="AE885" s="156" t="n"/>
      <c r="AF885" s="51" t="n"/>
      <c r="AG885" s="156" t="inlineStr">
        <is>
          <t>Nuevo – Carga Hoja2 01/10/2026</t>
        </is>
      </c>
      <c r="AH885" s="156" t="inlineStr">
        <is>
          <t>Alta 01/10/2026 desde Hoja2 (fila 915) | 01/10/2026: complementado desde Odoo Universal Unique Brands (match por código de barras): Enlace de imagen | Homologación G1522 06/10/2026: Validador Shopify: WB: precio con IVA no termina en 9</t>
        </is>
      </c>
      <c r="AI885" s="156" t="n"/>
      <c r="AJ885" s="156" t="n"/>
      <c r="AK885" s="155" t="inlineStr">
        <is>
          <t>Hoja2: fila 915 | Odoo: producto 11236 / plantilla 14671</t>
        </is>
      </c>
      <c r="AL885" s="58" t="n"/>
      <c r="AM885" s="58" t="n"/>
      <c r="AN885" s="155" t="inlineStr">
        <is>
          <t>Odoo Universal Unique Brands</t>
        </is>
      </c>
      <c r="AO885" s="59" t="n"/>
      <c r="AP885" s="59" t="n"/>
      <c r="AQ885" s="59" t="n">
        <v>8</v>
      </c>
      <c r="AR885" s="155" t="inlineStr">
        <is>
          <t>Odoo Universal Unique Brands › Bodega 25 › Bodega 25/General: 8</t>
        </is>
      </c>
    </row>
    <row r="886">
      <c r="A886" s="50" t="inlineStr">
        <is>
          <t>717690433857</t>
        </is>
      </c>
      <c r="B886" s="51" t="inlineStr">
        <is>
          <t>11235</t>
        </is>
      </c>
      <c r="C886" s="156" t="inlineStr">
        <is>
          <t>Wrangler</t>
        </is>
      </c>
      <c r="D886" s="156" t="inlineStr">
        <is>
          <t>WG226G-8119BR</t>
        </is>
      </c>
      <c r="E886" s="156" t="inlineStr">
        <is>
          <t>WG226G-8119BR</t>
        </is>
      </c>
      <c r="F886" s="156" t="inlineStr">
        <is>
          <t>Talla única</t>
        </is>
      </c>
      <c r="G886" s="156" t="inlineStr">
        <is>
          <t>One Size</t>
        </is>
      </c>
      <c r="H886" s="156" t="inlineStr">
        <is>
          <t>Wrangler</t>
        </is>
      </c>
      <c r="I886" s="156" t="inlineStr">
        <is>
          <t>Bolsa Tote Grande Wrangler Estampado Grabado Patrón Azteca Vintage Con Compartimento Oculto</t>
        </is>
      </c>
      <c r="J886" s="156" t="inlineStr">
        <is>
          <t>Accesorios</t>
        </is>
      </c>
      <c r="K886" s="156" t="inlineStr">
        <is>
          <t>Bolsos</t>
        </is>
      </c>
      <c r="L886" s="156" t="inlineStr">
        <is>
          <t>Unisex</t>
        </is>
      </c>
      <c r="M886" s="156" t="inlineStr">
        <is>
          <t>Wrangler</t>
        </is>
      </c>
      <c r="N886" s="156" t="n"/>
      <c r="O886" s="156" t="n"/>
      <c r="P886" s="156" t="inlineStr">
        <is>
          <t>Cafe</t>
        </is>
      </c>
      <c r="Q886" s="156" t="n"/>
      <c r="R886" s="156" t="n"/>
      <c r="S886" s="156" t="n"/>
      <c r="T886" s="156" t="inlineStr">
        <is>
          <t>Bolsa Tote Grande</t>
        </is>
      </c>
      <c r="U886" s="156" t="inlineStr">
        <is>
          <t>México</t>
        </is>
      </c>
      <c r="V886" s="156" t="inlineStr">
        <is>
          <t>PZS</t>
        </is>
      </c>
      <c r="W886" s="51" t="inlineStr">
        <is>
          <t>53121601</t>
        </is>
      </c>
      <c r="X886" s="156" t="inlineStr">
        <is>
          <t>https://m-universal-unique-brands.odoo.com/web/image/product.product/11235/image_1920</t>
        </is>
      </c>
      <c r="Y886" s="54" t="n">
        <v>552</v>
      </c>
      <c r="Z886" s="54" t="n">
        <v>889</v>
      </c>
      <c r="AA886" s="55">
        <f>IF(AND(A886="", B886="", E886=""), "", IF(AB886="", "Válido", IF((LEN(AB886)-LEN(SUBSTITUTE(AB886,"; ","")))/2+1&gt;(LEN(AB886)-LEN(SUBSTITUTE(AB886,"[Aviso]","")))/7, "Con Incidencias", "Válido")))</f>
        <v/>
      </c>
      <c r="AB886" s="56">
        <f>IF(AND(A886="", B886="", E886=""), "", TEXTJOIN("; ", TRUE, IF(OR(TRIM(A886&amp;"")="", ISNUMBER(SEARCH("FALTA", A886))), "UPC faltante/inválido", ""), IF(AND(A886&lt;&gt;"", IFERROR(_xlfn.XMATCH(A886,$A$2:$A$1063,0,1)&lt;&gt;_xlfn.XMATCH(A886,$A$2:$A$1063,0,-1),FALSE)), "Código de barras duplicado", ""), IF(AND(E886&lt;&gt;"", COUNTIF($E$2:$E$1063, E886)&gt;1), "SKU duplicado", ""), IF(OR(J886="", J886=""), "[Aviso] División no capturada ()", IF(ISNA(MATCH(J886, Criterios!$A$123:$A$126, 0)), "División no válida", "")), IF(OR(K886="", K886=""), "[Aviso] Categoría no capturada ()", IF(ISNA(MATCH(K886, Criterios!$A$81:$A$120, 0)), "Categoría no válida", IF(AND(J886&lt;&gt;"", J886&lt;&gt;"", J886&lt;&gt;VLOOKUP(K886, Criterios!$A$81:$B$120, 2, FALSE)), "División no coincide con Categoría", ""))), IF(OR(L886="", L886=""), "[Aviso] Género no capturado ()", IF(ISNA(MATCH(L886, Criterios!$B$123:$B$127, 0)), "Género no válido", "")), IF(OR(N886="", N886=""), "[Aviso] Temporada no capturada ()", IF(ISNA(MATCH(N886, Criterios!$C$123:$C$128, 0)), "Temporada no válida", "")), IF(OR(O886="", O886=""), "[Aviso] Ciclo de vida no capturado ()", IF(ISNA(MATCH(O886, Criterios!$D$123:$D$124, 0)), "Ciclo de vida no válido", ""))))</f>
        <v/>
      </c>
      <c r="AC886" s="56" t="n"/>
      <c r="AD886" s="51" t="n"/>
      <c r="AE886" s="156" t="n"/>
      <c r="AF886" s="51" t="n"/>
      <c r="AG886" s="156" t="inlineStr">
        <is>
          <t>Nuevo – Carga Hoja2 01/10/2026</t>
        </is>
      </c>
      <c r="AH886" s="156" t="inlineStr">
        <is>
          <t>Alta 01/10/2026 desde Hoja2 (fila 916)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886" s="156" t="n"/>
      <c r="AJ886" s="156" t="n"/>
      <c r="AK886" s="155" t="inlineStr">
        <is>
          <t>Hoja2: fila 916 | Odoo: producto 11235 / plantilla 14670</t>
        </is>
      </c>
      <c r="AL886" s="58" t="n"/>
      <c r="AM886" s="58" t="n"/>
      <c r="AN886" s="155" t="inlineStr">
        <is>
          <t>Odoo Universal Unique Brands</t>
        </is>
      </c>
      <c r="AO886" s="59" t="n"/>
      <c r="AP886" s="59" t="n"/>
      <c r="AQ886" s="59" t="n">
        <v>40</v>
      </c>
      <c r="AR886" s="155" t="inlineStr">
        <is>
          <t>Odoo Universal Unique Brands › Bodega 25 › Bodega 25/General: 40</t>
        </is>
      </c>
    </row>
    <row r="887">
      <c r="A887" s="50" t="inlineStr">
        <is>
          <t>717690432164</t>
        </is>
      </c>
      <c r="B887" s="51" t="inlineStr">
        <is>
          <t>11834</t>
        </is>
      </c>
      <c r="C887" s="156" t="inlineStr">
        <is>
          <t>Wrangler</t>
        </is>
      </c>
      <c r="D887" s="156" t="inlineStr">
        <is>
          <t>WG233-2001BR</t>
        </is>
      </c>
      <c r="E887" s="156" t="inlineStr">
        <is>
          <t>WG233-2001BR</t>
        </is>
      </c>
      <c r="F887" s="156" t="inlineStr">
        <is>
          <t>Talla única</t>
        </is>
      </c>
      <c r="G887" s="156" t="inlineStr">
        <is>
          <t>One Size</t>
        </is>
      </c>
      <c r="H887" s="156" t="inlineStr">
        <is>
          <t>Wrangler</t>
        </is>
      </c>
      <c r="I887" s="156" t="inlineStr">
        <is>
          <t>Bolsa Hobo Grande Cruzada Wrangler Bordada Azteca Con Flecos Café</t>
        </is>
      </c>
      <c r="J887" s="156" t="inlineStr">
        <is>
          <t>Accesorios</t>
        </is>
      </c>
      <c r="K887" s="156" t="inlineStr">
        <is>
          <t>Bolsos</t>
        </is>
      </c>
      <c r="L887" s="156" t="inlineStr">
        <is>
          <t>Unisex</t>
        </is>
      </c>
      <c r="M887" s="156" t="inlineStr">
        <is>
          <t>Wrangler</t>
        </is>
      </c>
      <c r="N887" s="156" t="n"/>
      <c r="O887" s="156" t="inlineStr">
        <is>
          <t>Core</t>
        </is>
      </c>
      <c r="P887" s="156" t="inlineStr">
        <is>
          <t>Cafe</t>
        </is>
      </c>
      <c r="Q887" s="156" t="n"/>
      <c r="R887" s="156" t="n"/>
      <c r="S887" s="156" t="n"/>
      <c r="T887" s="156" t="inlineStr">
        <is>
          <t>Bolsa Hobo Grande Cruzada Wrangler. Modelo: Bordada Azteca Con Flecos. Color: Café. Talla única. Unisex. País de origen: México. Referencia: WG233-2001BR.</t>
        </is>
      </c>
      <c r="U887" s="156" t="inlineStr">
        <is>
          <t>México</t>
        </is>
      </c>
      <c r="V887" s="156" t="inlineStr">
        <is>
          <t>PZS</t>
        </is>
      </c>
      <c r="W887" s="51" t="inlineStr">
        <is>
          <t>53121601</t>
        </is>
      </c>
      <c r="X887" s="156" t="n"/>
      <c r="Y887" s="54" t="n">
        <v>483</v>
      </c>
      <c r="Z887" s="54" t="n">
        <v>779</v>
      </c>
      <c r="AA887" s="55">
        <f>IF(AND(A887="", B887="", E887=""), "", IF(AB887="", "Válido", IF((LEN(AB887)-LEN(SUBSTITUTE(AB887,"; ","")))/2+1&gt;(LEN(AB887)-LEN(SUBSTITUTE(AB887,"[Aviso]","")))/7, "Con Incidencias", "Válido")))</f>
        <v/>
      </c>
      <c r="AB887" s="56">
        <f>IF(AND(A887="", B887="", E887=""), "", TEXTJOIN("; ", TRUE, IF(OR(TRIM(A887&amp;"")="", ISNUMBER(SEARCH("FALTA", A887))), "UPC faltante/inválido", ""), IF(AND(A887&lt;&gt;"", IFERROR(_xlfn.XMATCH(A887,$A$2:$A$1063,0,1)&lt;&gt;_xlfn.XMATCH(A887,$A$2:$A$1063,0,-1),FALSE)), "Código de barras duplicado", ""), IF(AND(E887&lt;&gt;"", COUNTIF($E$2:$E$1063, E887)&gt;1), "SKU duplicado", ""), IF(OR(J887="", J887=""), "[Aviso] División no capturada ()", IF(ISNA(MATCH(J887, Criterios!$A$123:$A$126, 0)), "División no válida", "")), IF(OR(K887="", K887=""), "[Aviso] Categoría no capturada ()", IF(ISNA(MATCH(K887, Criterios!$A$81:$A$120, 0)), "Categoría no válida", IF(AND(J887&lt;&gt;"", J887&lt;&gt;"", J887&lt;&gt;VLOOKUP(K887, Criterios!$A$81:$B$120, 2, FALSE)), "División no coincide con Categoría", ""))), IF(OR(L887="", L887=""), "[Aviso] Género no capturado ()", IF(ISNA(MATCH(L887, Criterios!$B$123:$B$127, 0)), "Género no válido", "")), IF(OR(N887="", N887=""), "[Aviso] Temporada no capturada ()", IF(ISNA(MATCH(N887, Criterios!$C$123:$C$128, 0)), "Temporada no válida", "")), IF(OR(O887="", O887=""), "[Aviso] Ciclo de vida no capturado ()", IF(ISNA(MATCH(O887, Criterios!$D$123:$D$124, 0)), "Ciclo de vida no válido", ""))))</f>
        <v/>
      </c>
      <c r="AC887" s="56" t="n"/>
      <c r="AD887" s="51" t="n"/>
      <c r="AE887" s="156" t="n"/>
      <c r="AF887" s="51" t="n"/>
      <c r="AG887" s="156" t="inlineStr">
        <is>
          <t>Nuevo – Carga Hoja2 01/10/2026</t>
        </is>
      </c>
      <c r="AH887" s="156" t="inlineStr">
        <is>
          <t>Alta 01/10/2026 desde Hoja2 (fila 917) | Homologación G1522 06/10/2026: Validador Shopify: WB: precio con IVA no termina en 9</t>
        </is>
      </c>
      <c r="AI887" s="156" t="n"/>
      <c r="AJ887" s="156" t="n"/>
      <c r="AK887" s="155" t="inlineStr">
        <is>
          <t>Hoja2: fila 917 | Odoo: producto 11834 / plantilla 15269</t>
        </is>
      </c>
      <c r="AL887" s="58" t="n"/>
      <c r="AM887" s="58" t="n"/>
      <c r="AN887" s="155" t="inlineStr">
        <is>
          <t>Odoo Universal Unique Brands</t>
        </is>
      </c>
      <c r="AO887" s="59" t="n"/>
      <c r="AP887" s="59" t="n"/>
      <c r="AQ887" s="59" t="n">
        <v>19</v>
      </c>
      <c r="AR887" s="155" t="inlineStr">
        <is>
          <t>Odoo Universal Unique Brands › Bodega 25 › Bodega 25/General: 19</t>
        </is>
      </c>
    </row>
    <row r="888">
      <c r="A888" s="50" t="inlineStr">
        <is>
          <t>717690431976</t>
        </is>
      </c>
      <c r="B888" s="51" t="inlineStr">
        <is>
          <t>11291</t>
        </is>
      </c>
      <c r="C888" s="156" t="inlineStr">
        <is>
          <t>Wrangler</t>
        </is>
      </c>
      <c r="D888" s="156" t="inlineStr">
        <is>
          <t>WG233-2002BR</t>
        </is>
      </c>
      <c r="E888" s="156" t="inlineStr">
        <is>
          <t>WG233-2002BR</t>
        </is>
      </c>
      <c r="F888" s="156" t="inlineStr">
        <is>
          <t>Talla única</t>
        </is>
      </c>
      <c r="G888" s="156" t="inlineStr">
        <is>
          <t>One Size</t>
        </is>
      </c>
      <c r="H888" s="156" t="inlineStr">
        <is>
          <t>Wrangler</t>
        </is>
      </c>
      <c r="I888" s="156" t="inlineStr">
        <is>
          <t>Bolsa Tote Wrangler Bordada Azteca Grande Café</t>
        </is>
      </c>
      <c r="J888" s="156" t="inlineStr">
        <is>
          <t>Accesorios</t>
        </is>
      </c>
      <c r="K888" s="156" t="inlineStr">
        <is>
          <t>Bolsos</t>
        </is>
      </c>
      <c r="L888" s="156" t="inlineStr">
        <is>
          <t>Unisex</t>
        </is>
      </c>
      <c r="M888" s="156" t="inlineStr">
        <is>
          <t>Wrangler</t>
        </is>
      </c>
      <c r="N888" s="156" t="n"/>
      <c r="O888" s="156" t="inlineStr">
        <is>
          <t>Core</t>
        </is>
      </c>
      <c r="P888" s="156" t="inlineStr">
        <is>
          <t>Cafe</t>
        </is>
      </c>
      <c r="Q888" s="156" t="n"/>
      <c r="R888" s="156" t="n"/>
      <c r="S888" s="156" t="n"/>
      <c r="T888" s="156" t="inlineStr">
        <is>
          <t>Bolsa Tote Wrangler. Modelo: Bordada Azteca Grande. Color: Café. Talla única. Unisex. País de origen: México. Referencia: WG233-2002BR.</t>
        </is>
      </c>
      <c r="U888" s="156" t="inlineStr">
        <is>
          <t>México</t>
        </is>
      </c>
      <c r="V888" s="156" t="inlineStr">
        <is>
          <t>PZS</t>
        </is>
      </c>
      <c r="W888" s="51" t="inlineStr">
        <is>
          <t>53121601</t>
        </is>
      </c>
      <c r="X888" s="156" t="inlineStr">
        <is>
          <t>https://m-universal-unique-brands.odoo.com/web/image/product.product/11291/image_1920</t>
        </is>
      </c>
      <c r="Y888" s="54" t="n">
        <v>517.5</v>
      </c>
      <c r="Z888" s="54" t="n">
        <v>829</v>
      </c>
      <c r="AA888" s="55">
        <f>IF(AND(A888="", B888="", E888=""), "", IF(AB888="", "Válido", IF((LEN(AB888)-LEN(SUBSTITUTE(AB888,"; ","")))/2+1&gt;(LEN(AB888)-LEN(SUBSTITUTE(AB888,"[Aviso]","")))/7, "Con Incidencias", "Válido")))</f>
        <v/>
      </c>
      <c r="AB888" s="56">
        <f>IF(AND(A888="", B888="", E888=""), "", TEXTJOIN("; ", TRUE, IF(OR(TRIM(A888&amp;"")="", ISNUMBER(SEARCH("FALTA", A888))), "UPC faltante/inválido", ""), IF(AND(A888&lt;&gt;"", IFERROR(_xlfn.XMATCH(A888,$A$2:$A$1063,0,1)&lt;&gt;_xlfn.XMATCH(A888,$A$2:$A$1063,0,-1),FALSE)), "Código de barras duplicado", ""), IF(AND(E888&lt;&gt;"", COUNTIF($E$2:$E$1063, E888)&gt;1), "SKU duplicado", ""), IF(OR(J888="", J888=""), "[Aviso] División no capturada ()", IF(ISNA(MATCH(J888, Criterios!$A$123:$A$126, 0)), "División no válida", "")), IF(OR(K888="", K888=""), "[Aviso] Categoría no capturada ()", IF(ISNA(MATCH(K888, Criterios!$A$81:$A$120, 0)), "Categoría no válida", IF(AND(J888&lt;&gt;"", J888&lt;&gt;"", J888&lt;&gt;VLOOKUP(K888, Criterios!$A$81:$B$120, 2, FALSE)), "División no coincide con Categoría", ""))), IF(OR(L888="", L888=""), "[Aviso] Género no capturado ()", IF(ISNA(MATCH(L888, Criterios!$B$123:$B$127, 0)), "Género no válido", "")), IF(OR(N888="", N888=""), "[Aviso] Temporada no capturada ()", IF(ISNA(MATCH(N888, Criterios!$C$123:$C$128, 0)), "Temporada no válida", "")), IF(OR(O888="", O888=""), "[Aviso] Ciclo de vida no capturado ()", IF(ISNA(MATCH(O888, Criterios!$D$123:$D$124, 0)), "Ciclo de vida no válido", ""))))</f>
        <v/>
      </c>
      <c r="AC888" s="56" t="n"/>
      <c r="AD888" s="51" t="n"/>
      <c r="AE888" s="156" t="n"/>
      <c r="AF888" s="51" t="n"/>
      <c r="AG888" s="156" t="inlineStr">
        <is>
          <t>Nuevo – Carga Hoja2 01/10/2026</t>
        </is>
      </c>
      <c r="AH888" s="156" t="inlineStr">
        <is>
          <t>Alta 01/10/2026 desde Hoja2 (fila 918)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88" s="156" t="n"/>
      <c r="AJ888" s="156" t="n"/>
      <c r="AK888" s="155" t="inlineStr">
        <is>
          <t>Hoja2: fila 918 | Odoo: producto 11291 / plantilla 14726 | Odoo: producto 27440 / plantilla 34140</t>
        </is>
      </c>
      <c r="AL888" s="58" t="n"/>
      <c r="AM888" s="58" t="n"/>
      <c r="AN888" s="155" t="inlineStr">
        <is>
          <t>Odoo Universal Unique Brands</t>
        </is>
      </c>
      <c r="AO888" s="59" t="n"/>
      <c r="AP888" s="59" t="n"/>
      <c r="AQ888" s="59" t="n">
        <v>24</v>
      </c>
      <c r="AR888" s="155" t="inlineStr">
        <is>
          <t>Odoo Universal Unique Brands › Bodega 25 › Bodega 25/General: 18 | Odoo Universal Unique Brands › Bodega 25 › Bodega 25/General: 6</t>
        </is>
      </c>
    </row>
    <row r="889">
      <c r="A889" s="50" t="inlineStr">
        <is>
          <t>717690432126</t>
        </is>
      </c>
      <c r="B889" s="51" t="inlineStr">
        <is>
          <t>11872</t>
        </is>
      </c>
      <c r="C889" s="156" t="inlineStr">
        <is>
          <t>Wrangler</t>
        </is>
      </c>
      <c r="D889" s="156" t="inlineStr">
        <is>
          <t>WG233-2009BG</t>
        </is>
      </c>
      <c r="E889" s="156" t="inlineStr">
        <is>
          <t>WG233-2009BG</t>
        </is>
      </c>
      <c r="F889" s="156" t="inlineStr">
        <is>
          <t>Talla única</t>
        </is>
      </c>
      <c r="G889" s="156" t="inlineStr">
        <is>
          <t>One Size</t>
        </is>
      </c>
      <c r="H889" s="156" t="inlineStr">
        <is>
          <t>Wrangler</t>
        </is>
      </c>
      <c r="I889" s="156" t="inlineStr">
        <is>
          <t>Bolsa Tote Cruzada Wrangler Bordada Azteca Beige</t>
        </is>
      </c>
      <c r="J889" s="156" t="inlineStr">
        <is>
          <t>Accesorios</t>
        </is>
      </c>
      <c r="K889" s="156" t="inlineStr">
        <is>
          <t>Bolsos</t>
        </is>
      </c>
      <c r="L889" s="156" t="inlineStr">
        <is>
          <t>Unisex</t>
        </is>
      </c>
      <c r="M889" s="156" t="inlineStr">
        <is>
          <t>Wrangler</t>
        </is>
      </c>
      <c r="N889" s="156" t="n"/>
      <c r="O889" s="156" t="inlineStr">
        <is>
          <t>Core</t>
        </is>
      </c>
      <c r="P889" s="156" t="inlineStr">
        <is>
          <t>Beige</t>
        </is>
      </c>
      <c r="Q889" s="156" t="n"/>
      <c r="R889" s="156" t="n"/>
      <c r="S889" s="156" t="n"/>
      <c r="T889" s="156" t="inlineStr">
        <is>
          <t>Bolsa Tote Cruzada Wrangler. Modelo: Bordada Azteca. Color: Beige. Talla única. Unisex. País de origen: México. Referencia: WG233-2009BG.</t>
        </is>
      </c>
      <c r="U889" s="156" t="inlineStr">
        <is>
          <t>México</t>
        </is>
      </c>
      <c r="V889" s="156" t="inlineStr">
        <is>
          <t>PZS</t>
        </is>
      </c>
      <c r="W889" s="51" t="inlineStr">
        <is>
          <t>53121601</t>
        </is>
      </c>
      <c r="X889" s="156" t="n"/>
      <c r="Y889" s="54" t="n">
        <v>483</v>
      </c>
      <c r="Z889" s="54" t="n">
        <v>779</v>
      </c>
      <c r="AA889" s="55">
        <f>IF(AND(A889="", B889="", E889=""), "", IF(AB889="", "Válido", IF((LEN(AB889)-LEN(SUBSTITUTE(AB889,"; ","")))/2+1&gt;(LEN(AB889)-LEN(SUBSTITUTE(AB889,"[Aviso]","")))/7, "Con Incidencias", "Válido")))</f>
        <v/>
      </c>
      <c r="AB889" s="56">
        <f>IF(AND(A889="", B889="", E889=""), "", TEXTJOIN("; ", TRUE, IF(OR(TRIM(A889&amp;"")="", ISNUMBER(SEARCH("FALTA", A889))), "UPC faltante/inválido", ""), IF(AND(A889&lt;&gt;"", IFERROR(_xlfn.XMATCH(A889,$A$2:$A$1063,0,1)&lt;&gt;_xlfn.XMATCH(A889,$A$2:$A$1063,0,-1),FALSE)), "Código de barras duplicado", ""), IF(AND(E889&lt;&gt;"", COUNTIF($E$2:$E$1063, E889)&gt;1), "SKU duplicado", ""), IF(OR(J889="", J889=""), "[Aviso] División no capturada ()", IF(ISNA(MATCH(J889, Criterios!$A$123:$A$126, 0)), "División no válida", "")), IF(OR(K889="", K889=""), "[Aviso] Categoría no capturada ()", IF(ISNA(MATCH(K889, Criterios!$A$81:$A$120, 0)), "Categoría no válida", IF(AND(J889&lt;&gt;"", J889&lt;&gt;"", J889&lt;&gt;VLOOKUP(K889, Criterios!$A$81:$B$120, 2, FALSE)), "División no coincide con Categoría", ""))), IF(OR(L889="", L889=""), "[Aviso] Género no capturado ()", IF(ISNA(MATCH(L889, Criterios!$B$123:$B$127, 0)), "Género no válido", "")), IF(OR(N889="", N889=""), "[Aviso] Temporada no capturada ()", IF(ISNA(MATCH(N889, Criterios!$C$123:$C$128, 0)), "Temporada no válida", "")), IF(OR(O889="", O889=""), "[Aviso] Ciclo de vida no capturado ()", IF(ISNA(MATCH(O889, Criterios!$D$123:$D$124, 0)), "Ciclo de vida no válido", ""))))</f>
        <v/>
      </c>
      <c r="AC889" s="56" t="n"/>
      <c r="AD889" s="51" t="n"/>
      <c r="AE889" s="156" t="n"/>
      <c r="AF889" s="51" t="n"/>
      <c r="AG889" s="156" t="inlineStr">
        <is>
          <t>Nuevo – Carga Hoja2 01/10/2026</t>
        </is>
      </c>
      <c r="AH889" s="156" t="inlineStr">
        <is>
          <t>Alta 01/10/2026 desde Hoja2 (fila 919) | Homologación G1522 06/10/2026: Validador Shopify: WB: precio con IVA no termina en 9</t>
        </is>
      </c>
      <c r="AI889" s="156" t="n"/>
      <c r="AJ889" s="156" t="n"/>
      <c r="AK889" s="155" t="inlineStr">
        <is>
          <t>Hoja2: fila 919 | Odoo: producto 11872 / plantilla 15307</t>
        </is>
      </c>
      <c r="AL889" s="58" t="n"/>
      <c r="AM889" s="58" t="n"/>
      <c r="AN889" s="155" t="inlineStr">
        <is>
          <t>Odoo Universal Unique Brands</t>
        </is>
      </c>
      <c r="AO889" s="59" t="n"/>
      <c r="AP889" s="59" t="n"/>
      <c r="AQ889" s="59" t="n">
        <v>14</v>
      </c>
      <c r="AR889" s="155" t="inlineStr">
        <is>
          <t>Odoo Universal Unique Brands › Bodega 25 › Bodega 25/General: 14</t>
        </is>
      </c>
    </row>
    <row r="890">
      <c r="A890" s="50" t="inlineStr">
        <is>
          <t>717690432072</t>
        </is>
      </c>
      <c r="B890" s="51" t="inlineStr">
        <is>
          <t>11288</t>
        </is>
      </c>
      <c r="C890" s="156" t="inlineStr">
        <is>
          <t>Wrangler</t>
        </is>
      </c>
      <c r="D890" s="156" t="inlineStr">
        <is>
          <t>WG233-2009BK</t>
        </is>
      </c>
      <c r="E890" s="156" t="inlineStr">
        <is>
          <t>WG233-2009BK</t>
        </is>
      </c>
      <c r="F890" s="156" t="inlineStr">
        <is>
          <t>Talla única</t>
        </is>
      </c>
      <c r="G890" s="156" t="inlineStr">
        <is>
          <t>One Size</t>
        </is>
      </c>
      <c r="H890" s="156" t="inlineStr">
        <is>
          <t>Wrangler</t>
        </is>
      </c>
      <c r="I890" s="156" t="inlineStr">
        <is>
          <t>Bolsa Tote Cruzada Wrangler Bordada Azteca Negro</t>
        </is>
      </c>
      <c r="J890" s="156" t="inlineStr">
        <is>
          <t>Accesorios</t>
        </is>
      </c>
      <c r="K890" s="156" t="inlineStr">
        <is>
          <t>Bolsos</t>
        </is>
      </c>
      <c r="L890" s="156" t="inlineStr">
        <is>
          <t>Unisex</t>
        </is>
      </c>
      <c r="M890" s="156" t="inlineStr">
        <is>
          <t>Wrangler</t>
        </is>
      </c>
      <c r="N890" s="156" t="n"/>
      <c r="O890" s="156" t="inlineStr">
        <is>
          <t>Core</t>
        </is>
      </c>
      <c r="P890" s="156" t="inlineStr">
        <is>
          <t>Negro</t>
        </is>
      </c>
      <c r="Q890" s="156" t="n"/>
      <c r="R890" s="156" t="n"/>
      <c r="S890" s="156" t="n"/>
      <c r="T890" s="156" t="inlineStr">
        <is>
          <t>Bolsa Tote Cruzada Wrangler. Modelo: Bordada Azteca. Color: Negro. Talla única. Unisex. País de origen: México. Referencia: WG233-2009BK.</t>
        </is>
      </c>
      <c r="U890" s="156" t="inlineStr">
        <is>
          <t>México</t>
        </is>
      </c>
      <c r="V890" s="156" t="inlineStr">
        <is>
          <t>PZS</t>
        </is>
      </c>
      <c r="W890" s="51" t="inlineStr">
        <is>
          <t>53121601</t>
        </is>
      </c>
      <c r="X890" s="156" t="inlineStr">
        <is>
          <t>https://m-universal-unique-brands.odoo.com/web/image/product.product/11288/image_1920</t>
        </is>
      </c>
      <c r="Y890" s="54" t="n">
        <v>483</v>
      </c>
      <c r="Z890" s="54" t="n">
        <v>779</v>
      </c>
      <c r="AA890" s="55">
        <f>IF(AND(A890="", B890="", E890=""), "", IF(AB890="", "Válido", IF((LEN(AB890)-LEN(SUBSTITUTE(AB890,"; ","")))/2+1&gt;(LEN(AB890)-LEN(SUBSTITUTE(AB890,"[Aviso]","")))/7, "Con Incidencias", "Válido")))</f>
        <v/>
      </c>
      <c r="AB890" s="56">
        <f>IF(AND(A890="", B890="", E890=""), "", TEXTJOIN("; ", TRUE, IF(OR(TRIM(A890&amp;"")="", ISNUMBER(SEARCH("FALTA", A890))), "UPC faltante/inválido", ""), IF(AND(A890&lt;&gt;"", IFERROR(_xlfn.XMATCH(A890,$A$2:$A$1063,0,1)&lt;&gt;_xlfn.XMATCH(A890,$A$2:$A$1063,0,-1),FALSE)), "Código de barras duplicado", ""), IF(AND(E890&lt;&gt;"", COUNTIF($E$2:$E$1063, E890)&gt;1), "SKU duplicado", ""), IF(OR(J890="", J890=""), "[Aviso] División no capturada ()", IF(ISNA(MATCH(J890, Criterios!$A$123:$A$126, 0)), "División no válida", "")), IF(OR(K890="", K890=""), "[Aviso] Categoría no capturada ()", IF(ISNA(MATCH(K890, Criterios!$A$81:$A$120, 0)), "Categoría no válida", IF(AND(J890&lt;&gt;"", J890&lt;&gt;"", J890&lt;&gt;VLOOKUP(K890, Criterios!$A$81:$B$120, 2, FALSE)), "División no coincide con Categoría", ""))), IF(OR(L890="", L890=""), "[Aviso] Género no capturado ()", IF(ISNA(MATCH(L890, Criterios!$B$123:$B$127, 0)), "Género no válido", "")), IF(OR(N890="", N890=""), "[Aviso] Temporada no capturada ()", IF(ISNA(MATCH(N890, Criterios!$C$123:$C$128, 0)), "Temporada no válida", "")), IF(OR(O890="", O890=""), "[Aviso] Ciclo de vida no capturado ()", IF(ISNA(MATCH(O890, Criterios!$D$123:$D$124, 0)), "Ciclo de vida no válido", ""))))</f>
        <v/>
      </c>
      <c r="AC890" s="56" t="n"/>
      <c r="AD890" s="51" t="n"/>
      <c r="AE890" s="156" t="n"/>
      <c r="AF890" s="51" t="n"/>
      <c r="AG890" s="156" t="inlineStr">
        <is>
          <t>Nuevo – Carga Hoja2 01/10/2026</t>
        </is>
      </c>
      <c r="AH890" s="156" t="inlineStr">
        <is>
          <t>Alta 01/10/2026 desde Hoja2 (fila 920)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90" s="156" t="n"/>
      <c r="AJ890" s="156" t="n"/>
      <c r="AK890" s="155" t="inlineStr">
        <is>
          <t>Hoja2: fila 920 | Odoo: producto 11288 / plantilla 14723 | Odoo: producto 27441 / plantilla 34141</t>
        </is>
      </c>
      <c r="AL890" s="58" t="n"/>
      <c r="AM890" s="58" t="n"/>
      <c r="AN890" s="155" t="inlineStr">
        <is>
          <t>Odoo Universal Unique Brands</t>
        </is>
      </c>
      <c r="AO890" s="59" t="n"/>
      <c r="AP890" s="59" t="n"/>
      <c r="AQ890" s="59" t="n">
        <v>58</v>
      </c>
      <c r="AR890" s="155" t="inlineStr">
        <is>
          <t>Odoo Universal Unique Brands › Bodega 25 › Bodega 25/General: 52 | Odoo Universal Unique Brands › Bodega 25 › Bodega 25/General: 6</t>
        </is>
      </c>
    </row>
    <row r="891">
      <c r="A891" s="50" t="inlineStr">
        <is>
          <t>717690432300</t>
        </is>
      </c>
      <c r="B891" s="51" t="inlineStr">
        <is>
          <t>11206</t>
        </is>
      </c>
      <c r="C891" s="156" t="inlineStr">
        <is>
          <t>Wrangler</t>
        </is>
      </c>
      <c r="D891" s="156" t="inlineStr">
        <is>
          <t>WG233-3027BG</t>
        </is>
      </c>
      <c r="E891" s="156" t="inlineStr">
        <is>
          <t>WG233-3027BG</t>
        </is>
      </c>
      <c r="F891" s="156" t="inlineStr">
        <is>
          <t>Talla única</t>
        </is>
      </c>
      <c r="G891" s="156" t="inlineStr">
        <is>
          <t>One Size</t>
        </is>
      </c>
      <c r="H891" s="156" t="inlineStr">
        <is>
          <t>Wrangler</t>
        </is>
      </c>
      <c r="I891" s="156" t="inlineStr">
        <is>
          <t>Bolsa Hobo Wrangler Bordada Azteca Grande Beige</t>
        </is>
      </c>
      <c r="J891" s="156" t="inlineStr">
        <is>
          <t>Accesorios</t>
        </is>
      </c>
      <c r="K891" s="156" t="inlineStr">
        <is>
          <t>Bolsos</t>
        </is>
      </c>
      <c r="L891" s="156" t="inlineStr">
        <is>
          <t>Unisex</t>
        </is>
      </c>
      <c r="M891" s="156" t="inlineStr">
        <is>
          <t>Wrangler</t>
        </is>
      </c>
      <c r="N891" s="156" t="n"/>
      <c r="O891" s="156" t="inlineStr">
        <is>
          <t>Core</t>
        </is>
      </c>
      <c r="P891" s="156" t="inlineStr">
        <is>
          <t>Beige</t>
        </is>
      </c>
      <c r="Q891" s="156" t="n"/>
      <c r="R891" s="156" t="n"/>
      <c r="S891" s="156" t="n"/>
      <c r="T891" s="156" t="inlineStr">
        <is>
          <t>Bolsa Hobo Wrangler. Modelo: Bordada Azteca Grande. Color: Beige. Talla única. Unisex. País de origen: México. Referencia: WG233-3027BG.</t>
        </is>
      </c>
      <c r="U891" s="156" t="inlineStr">
        <is>
          <t>México</t>
        </is>
      </c>
      <c r="V891" s="156" t="inlineStr">
        <is>
          <t>PZS</t>
        </is>
      </c>
      <c r="W891" s="51" t="inlineStr">
        <is>
          <t>53121601</t>
        </is>
      </c>
      <c r="X891" s="156" t="inlineStr">
        <is>
          <t>https://m-universal-unique-brands.odoo.com/web/image/product.product/11206/image_1920</t>
        </is>
      </c>
      <c r="Y891" s="54" t="n">
        <v>483</v>
      </c>
      <c r="Z891" s="54" t="n">
        <v>779</v>
      </c>
      <c r="AA891" s="55">
        <f>IF(AND(A891="", B891="", E891=""), "", IF(AB891="", "Válido", IF((LEN(AB891)-LEN(SUBSTITUTE(AB891,"; ","")))/2+1&gt;(LEN(AB891)-LEN(SUBSTITUTE(AB891,"[Aviso]","")))/7, "Con Incidencias", "Válido")))</f>
        <v/>
      </c>
      <c r="AB891" s="56">
        <f>IF(AND(A891="", B891="", E891=""), "", TEXTJOIN("; ", TRUE, IF(OR(TRIM(A891&amp;"")="", ISNUMBER(SEARCH("FALTA", A891))), "UPC faltante/inválido", ""), IF(AND(A891&lt;&gt;"", IFERROR(_xlfn.XMATCH(A891,$A$2:$A$1063,0,1)&lt;&gt;_xlfn.XMATCH(A891,$A$2:$A$1063,0,-1),FALSE)), "Código de barras duplicado", ""), IF(AND(E891&lt;&gt;"", COUNTIF($E$2:$E$1063, E891)&gt;1), "SKU duplicado", ""), IF(OR(J891="", J891=""), "[Aviso] División no capturada ()", IF(ISNA(MATCH(J891, Criterios!$A$123:$A$126, 0)), "División no válida", "")), IF(OR(K891="", K891=""), "[Aviso] Categoría no capturada ()", IF(ISNA(MATCH(K891, Criterios!$A$81:$A$120, 0)), "Categoría no válida", IF(AND(J891&lt;&gt;"", J891&lt;&gt;"", J891&lt;&gt;VLOOKUP(K891, Criterios!$A$81:$B$120, 2, FALSE)), "División no coincide con Categoría", ""))), IF(OR(L891="", L891=""), "[Aviso] Género no capturado ()", IF(ISNA(MATCH(L891, Criterios!$B$123:$B$127, 0)), "Género no válido", "")), IF(OR(N891="", N891=""), "[Aviso] Temporada no capturada ()", IF(ISNA(MATCH(N891, Criterios!$C$123:$C$128, 0)), "Temporada no válida", "")), IF(OR(O891="", O891=""), "[Aviso] Ciclo de vida no capturado ()", IF(ISNA(MATCH(O891, Criterios!$D$123:$D$124, 0)), "Ciclo de vida no válido", ""))))</f>
        <v/>
      </c>
      <c r="AC891" s="56" t="n"/>
      <c r="AD891" s="51" t="n"/>
      <c r="AE891" s="156" t="n"/>
      <c r="AF891" s="51" t="n"/>
      <c r="AG891" s="156" t="inlineStr">
        <is>
          <t>Nuevo – Carga Hoja2 01/10/2026</t>
        </is>
      </c>
      <c r="AH891" s="156" t="inlineStr">
        <is>
          <t>Alta 01/10/2026 desde Hoja2 (fila 921)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891" s="156" t="n"/>
      <c r="AJ891" s="156" t="n"/>
      <c r="AK891" s="155" t="inlineStr">
        <is>
          <t>Hoja2: fila 921 | Odoo: producto 11206 / plantilla 14641 | Odoo: producto 27445 / plantilla 34145</t>
        </is>
      </c>
      <c r="AL891" s="58" t="n"/>
      <c r="AM891" s="58" t="n"/>
      <c r="AN891" s="155" t="inlineStr">
        <is>
          <t>Odoo Universal Unique Brands</t>
        </is>
      </c>
      <c r="AO891" s="59" t="n"/>
      <c r="AP891" s="59" t="n"/>
      <c r="AQ891" s="59" t="n">
        <v>27</v>
      </c>
      <c r="AR891" s="155" t="inlineStr">
        <is>
          <t>Odoo Universal Unique Brands › Bodega 25 › Bodega 25/General: 22 | Odoo Universal Unique Brands › Bodega 25 › Bodega 25/General: 5</t>
        </is>
      </c>
    </row>
    <row r="892">
      <c r="A892" s="50" t="inlineStr">
        <is>
          <t>717690431860</t>
        </is>
      </c>
      <c r="B892" s="51" t="inlineStr">
        <is>
          <t>11472</t>
        </is>
      </c>
      <c r="C892" s="156" t="inlineStr">
        <is>
          <t>Wrangler</t>
        </is>
      </c>
      <c r="D892" s="156" t="inlineStr">
        <is>
          <t>WG233-W018BR</t>
        </is>
      </c>
      <c r="E892" s="156" t="inlineStr">
        <is>
          <t>WG233-W018BR</t>
        </is>
      </c>
      <c r="F892" s="156" t="inlineStr">
        <is>
          <t>Talla única</t>
        </is>
      </c>
      <c r="G892" s="156" t="inlineStr">
        <is>
          <t>One Size</t>
        </is>
      </c>
      <c r="H892" s="156" t="inlineStr">
        <is>
          <t>Wrangler</t>
        </is>
      </c>
      <c r="I892" s="156" t="inlineStr">
        <is>
          <t>Cartera Cruzada Wrangler Bordada Azteca Con Flecos Café</t>
        </is>
      </c>
      <c r="J892" s="156" t="inlineStr">
        <is>
          <t>Accesorios</t>
        </is>
      </c>
      <c r="K892" s="156" t="inlineStr">
        <is>
          <t>Carteras</t>
        </is>
      </c>
      <c r="L892" s="156" t="inlineStr">
        <is>
          <t>Unisex</t>
        </is>
      </c>
      <c r="M892" s="156" t="inlineStr">
        <is>
          <t>Wrangler</t>
        </is>
      </c>
      <c r="N892" s="156" t="n"/>
      <c r="O892" s="156" t="inlineStr">
        <is>
          <t>Core</t>
        </is>
      </c>
      <c r="P892" s="156" t="inlineStr">
        <is>
          <t>Cafe</t>
        </is>
      </c>
      <c r="Q892" s="156" t="n"/>
      <c r="R892" s="156" t="n"/>
      <c r="S892" s="156" t="n"/>
      <c r="T892" s="156" t="inlineStr">
        <is>
          <t>Cartera Cruzada Wrangler. Modelo: Bordada Azteca Con Flecos. Color: Café. Talla única. Unisex. País de origen: México. Referencia: WG233-W018BR.</t>
        </is>
      </c>
      <c r="U892" s="156" t="inlineStr">
        <is>
          <t>México</t>
        </is>
      </c>
      <c r="V892" s="156" t="inlineStr">
        <is>
          <t>PZS</t>
        </is>
      </c>
      <c r="W892" s="51" t="inlineStr">
        <is>
          <t>53121700</t>
        </is>
      </c>
      <c r="X892" s="156" t="n"/>
      <c r="Y892" s="54" t="n">
        <v>258.75</v>
      </c>
      <c r="Z892" s="54" t="n">
        <v>419</v>
      </c>
      <c r="AA892" s="55">
        <f>IF(AND(A892="", B892="", E892=""), "", IF(AB892="", "Válido", IF((LEN(AB892)-LEN(SUBSTITUTE(AB892,"; ","")))/2+1&gt;(LEN(AB892)-LEN(SUBSTITUTE(AB892,"[Aviso]","")))/7, "Con Incidencias", "Válido")))</f>
        <v/>
      </c>
      <c r="AB892" s="56">
        <f>IF(AND(A892="", B892="", E892=""), "", TEXTJOIN("; ", TRUE, IF(OR(TRIM(A892&amp;"")="", ISNUMBER(SEARCH("FALTA", A892))), "UPC faltante/inválido", ""), IF(AND(A892&lt;&gt;"", IFERROR(_xlfn.XMATCH(A892,$A$2:$A$1063,0,1)&lt;&gt;_xlfn.XMATCH(A892,$A$2:$A$1063,0,-1),FALSE)), "Código de barras duplicado", ""), IF(AND(E892&lt;&gt;"", COUNTIF($E$2:$E$1063, E892)&gt;1), "SKU duplicado", ""), IF(OR(J892="", J892=""), "[Aviso] División no capturada ()", IF(ISNA(MATCH(J892, Criterios!$A$123:$A$126, 0)), "División no válida", "")), IF(OR(K892="", K892=""), "[Aviso] Categoría no capturada ()", IF(ISNA(MATCH(K892, Criterios!$A$81:$A$120, 0)), "Categoría no válida", IF(AND(J892&lt;&gt;"", J892&lt;&gt;"", J892&lt;&gt;VLOOKUP(K892, Criterios!$A$81:$B$120, 2, FALSE)), "División no coincide con Categoría", ""))), IF(OR(L892="", L892=""), "[Aviso] Género no capturado ()", IF(ISNA(MATCH(L892, Criterios!$B$123:$B$127, 0)), "Género no válido", "")), IF(OR(N892="", N892=""), "[Aviso] Temporada no capturada ()", IF(ISNA(MATCH(N892, Criterios!$C$123:$C$128, 0)), "Temporada no válida", "")), IF(OR(O892="", O892=""), "[Aviso] Ciclo de vida no capturado ()", IF(ISNA(MATCH(O892, Criterios!$D$123:$D$124, 0)), "Ciclo de vida no válido", ""))))</f>
        <v/>
      </c>
      <c r="AC892" s="56" t="n"/>
      <c r="AD892" s="51" t="n"/>
      <c r="AE892" s="156" t="n"/>
      <c r="AF892" s="51" t="n"/>
      <c r="AG892" s="156" t="inlineStr">
        <is>
          <t>Nuevo – Carga Hoja2 01/10/2026</t>
        </is>
      </c>
      <c r="AH892" s="156" t="inlineStr">
        <is>
          <t>Alta 01/10/2026 desde Hoja2 (fila 922) | 01/10/2026: Odoo Universal Unique Brands trae Marca «Montana West» — se conservó el valor de Productos | Homologación G1522 06/10/2026: Validador Shopify: WB: precio con IVA no termina en 9</t>
        </is>
      </c>
      <c r="AI892" s="156" t="n"/>
      <c r="AJ892" s="156" t="n"/>
      <c r="AK892" s="155" t="inlineStr">
        <is>
          <t>Hoja2: fila 922 | Odoo: producto 11472 / plantilla 14907 | Odoo: producto 27455 / plantilla 34155</t>
        </is>
      </c>
      <c r="AL892" s="58" t="n"/>
      <c r="AM892" s="58" t="n"/>
      <c r="AN892" s="155" t="inlineStr">
        <is>
          <t>Odoo Universal Unique Brands</t>
        </is>
      </c>
      <c r="AO892" s="59" t="n"/>
      <c r="AP892" s="59" t="n"/>
      <c r="AQ892" s="59" t="n">
        <v>37</v>
      </c>
      <c r="AR892" s="155" t="inlineStr">
        <is>
          <t>Odoo Universal Unique Brands › Bodega 25 › Bodega 25/General: 44</t>
        </is>
      </c>
    </row>
    <row r="893">
      <c r="A893" s="50" t="inlineStr">
        <is>
          <t>717690431877</t>
        </is>
      </c>
      <c r="B893" s="51" t="inlineStr">
        <is>
          <t>11290</t>
        </is>
      </c>
      <c r="C893" s="156" t="inlineStr">
        <is>
          <t>Wrangler</t>
        </is>
      </c>
      <c r="D893" s="156" t="inlineStr">
        <is>
          <t>WG233-W018LBR</t>
        </is>
      </c>
      <c r="E893" s="156" t="inlineStr">
        <is>
          <t>WG233-W018LBR</t>
        </is>
      </c>
      <c r="F893" s="156" t="inlineStr">
        <is>
          <t>Talla única</t>
        </is>
      </c>
      <c r="G893" s="156" t="inlineStr">
        <is>
          <t>One Size</t>
        </is>
      </c>
      <c r="H893" s="156" t="inlineStr">
        <is>
          <t>Wrangler</t>
        </is>
      </c>
      <c r="I893" s="156" t="inlineStr">
        <is>
          <t>Cartera Cruzada Wrangler Bordada Azteca Con Flecos</t>
        </is>
      </c>
      <c r="J893" s="156" t="inlineStr">
        <is>
          <t>Accesorios</t>
        </is>
      </c>
      <c r="K893" s="156" t="inlineStr">
        <is>
          <t>Carteras</t>
        </is>
      </c>
      <c r="L893" s="156" t="inlineStr">
        <is>
          <t>Unisex</t>
        </is>
      </c>
      <c r="M893" s="156" t="inlineStr">
        <is>
          <t>Wrangler</t>
        </is>
      </c>
      <c r="N893" s="156" t="n"/>
      <c r="O893" s="156" t="n"/>
      <c r="P893" s="156" t="inlineStr">
        <is>
          <t>Cafe</t>
        </is>
      </c>
      <c r="Q893" s="156" t="n"/>
      <c r="R893" s="156" t="n"/>
      <c r="S893" s="156" t="n"/>
      <c r="T893" s="156" t="inlineStr">
        <is>
          <t>Cartera Cruzada</t>
        </is>
      </c>
      <c r="U893" s="156" t="inlineStr">
        <is>
          <t>México</t>
        </is>
      </c>
      <c r="V893" s="156" t="inlineStr">
        <is>
          <t>PZS</t>
        </is>
      </c>
      <c r="W893" s="51" t="inlineStr">
        <is>
          <t>53121700</t>
        </is>
      </c>
      <c r="X893" s="156" t="n"/>
      <c r="Y893" s="54" t="n">
        <v>258.75</v>
      </c>
      <c r="Z893" s="54" t="n">
        <v>419</v>
      </c>
      <c r="AA893" s="55">
        <f>IF(AND(A893="", B893="", E893=""), "", IF(AB893="", "Válido", IF((LEN(AB893)-LEN(SUBSTITUTE(AB893,"; ","")))/2+1&gt;(LEN(AB893)-LEN(SUBSTITUTE(AB893,"[Aviso]","")))/7, "Con Incidencias", "Válido")))</f>
        <v/>
      </c>
      <c r="AB893" s="56">
        <f>IF(AND(A893="", B893="", E893=""), "", TEXTJOIN("; ", TRUE, IF(OR(TRIM(A893&amp;"")="", ISNUMBER(SEARCH("FALTA", A893))), "UPC faltante/inválido", ""), IF(AND(A893&lt;&gt;"", IFERROR(_xlfn.XMATCH(A893,$A$2:$A$1063,0,1)&lt;&gt;_xlfn.XMATCH(A893,$A$2:$A$1063,0,-1),FALSE)), "Código de barras duplicado", ""), IF(AND(E893&lt;&gt;"", COUNTIF($E$2:$E$1063, E893)&gt;1), "SKU duplicado", ""), IF(OR(J893="", J893=""), "[Aviso] División no capturada ()", IF(ISNA(MATCH(J893, Criterios!$A$123:$A$126, 0)), "División no válida", "")), IF(OR(K893="", K893=""), "[Aviso] Categoría no capturada ()", IF(ISNA(MATCH(K893, Criterios!$A$81:$A$120, 0)), "Categoría no válida", IF(AND(J893&lt;&gt;"", J893&lt;&gt;"", J893&lt;&gt;VLOOKUP(K893, Criterios!$A$81:$B$120, 2, FALSE)), "División no coincide con Categoría", ""))), IF(OR(L893="", L893=""), "[Aviso] Género no capturado ()", IF(ISNA(MATCH(L893, Criterios!$B$123:$B$127, 0)), "Género no válido", "")), IF(OR(N893="", N893=""), "[Aviso] Temporada no capturada ()", IF(ISNA(MATCH(N893, Criterios!$C$123:$C$128, 0)), "Temporada no válida", "")), IF(OR(O893="", O893=""), "[Aviso] Ciclo de vida no capturado ()", IF(ISNA(MATCH(O893, Criterios!$D$123:$D$124, 0)), "Ciclo de vida no válido", ""))))</f>
        <v/>
      </c>
      <c r="AC893" s="56" t="n"/>
      <c r="AD893" s="51" t="n"/>
      <c r="AE893" s="156" t="n"/>
      <c r="AF893" s="51" t="n"/>
      <c r="AG893" s="156" t="inlineStr">
        <is>
          <t>Nuevo – Carga Hoja2 01/10/2026</t>
        </is>
      </c>
      <c r="AH893" s="156" t="inlineStr">
        <is>
          <t>Alta 01/10/2026 desde Hoja2 (fila 923)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893" s="156" t="n"/>
      <c r="AJ893" s="156" t="n"/>
      <c r="AK893" s="155" t="inlineStr">
        <is>
          <t>Hoja2: fila 923 | Odoo: producto 11290 / plantilla 14725</t>
        </is>
      </c>
      <c r="AL893" s="58" t="n"/>
      <c r="AM893" s="58" t="n"/>
      <c r="AN893" s="155" t="inlineStr">
        <is>
          <t>Odoo Universal Unique Brands</t>
        </is>
      </c>
      <c r="AO893" s="59" t="n"/>
      <c r="AP893" s="59" t="n"/>
      <c r="AQ893" s="59" t="n">
        <v>1</v>
      </c>
      <c r="AR893" s="155" t="inlineStr">
        <is>
          <t>Odoo Universal Unique Brands › Bodega 25 › Bodega 25/General: 1</t>
        </is>
      </c>
    </row>
    <row r="894">
      <c r="A894" s="50" t="inlineStr">
        <is>
          <t>717690435455</t>
        </is>
      </c>
      <c r="B894" s="51" t="inlineStr">
        <is>
          <t>22200</t>
        </is>
      </c>
      <c r="C894" s="156" t="inlineStr">
        <is>
          <t>Wrangler</t>
        </is>
      </c>
      <c r="D894" s="156" t="inlineStr">
        <is>
          <t>WG239-9182BG</t>
        </is>
      </c>
      <c r="E894" s="156" t="inlineStr">
        <is>
          <t>WG239-9182BG</t>
        </is>
      </c>
      <c r="F894" s="156" t="inlineStr">
        <is>
          <t>Talla única</t>
        </is>
      </c>
      <c r="G894" s="156" t="inlineStr">
        <is>
          <t>One Size</t>
        </is>
      </c>
      <c r="H894" s="156" t="inlineStr">
        <is>
          <t>Wrangler</t>
        </is>
      </c>
      <c r="I894" s="156" t="inlineStr">
        <is>
          <t>Bolsa Hobo Wrangler Con Flecos Grabada Beige</t>
        </is>
      </c>
      <c r="J894" s="156" t="inlineStr">
        <is>
          <t>Accesorios</t>
        </is>
      </c>
      <c r="K894" s="156" t="inlineStr">
        <is>
          <t>Bolsos</t>
        </is>
      </c>
      <c r="L894" s="156" t="inlineStr">
        <is>
          <t>Unisex</t>
        </is>
      </c>
      <c r="M894" s="156" t="inlineStr">
        <is>
          <t>Wrangler</t>
        </is>
      </c>
      <c r="N894" s="156" t="n"/>
      <c r="O894" s="156" t="n"/>
      <c r="P894" s="156" t="inlineStr">
        <is>
          <t>Beige</t>
        </is>
      </c>
      <c r="Q894" s="156" t="n"/>
      <c r="R894" s="156" t="n"/>
      <c r="S894" s="156" t="n"/>
      <c r="T894" s="156" t="inlineStr">
        <is>
          <t>Bolsa Hobo</t>
        </is>
      </c>
      <c r="U894" s="156" t="inlineStr">
        <is>
          <t>México</t>
        </is>
      </c>
      <c r="V894" s="156" t="inlineStr">
        <is>
          <t>PZS</t>
        </is>
      </c>
      <c r="W894" s="51" t="inlineStr">
        <is>
          <t>53121601</t>
        </is>
      </c>
      <c r="X894" s="156" t="inlineStr">
        <is>
          <t>https://m-universal-unique-brands.odoo.com/web/image/product.product/22200/image_1920</t>
        </is>
      </c>
      <c r="Y894" s="54" t="n"/>
      <c r="Z894" s="54" t="n">
        <v>1</v>
      </c>
      <c r="AA894" s="55">
        <f>IF(AND(A894="", B894="", E894=""), "", IF(AB894="", "Válido", IF((LEN(AB894)-LEN(SUBSTITUTE(AB894,"; ","")))/2+1&gt;(LEN(AB894)-LEN(SUBSTITUTE(AB894,"[Aviso]","")))/7, "Con Incidencias", "Válido")))</f>
        <v/>
      </c>
      <c r="AB894" s="56">
        <f>IF(AND(A894="", B894="", E894=""), "", TEXTJOIN("; ", TRUE, IF(OR(TRIM(A894&amp;"")="", ISNUMBER(SEARCH("FALTA", A894))), "UPC faltante/inválido", ""), IF(AND(A894&lt;&gt;"", IFERROR(_xlfn.XMATCH(A894,$A$2:$A$1063,0,1)&lt;&gt;_xlfn.XMATCH(A894,$A$2:$A$1063,0,-1),FALSE)), "Código de barras duplicado", ""), IF(AND(E894&lt;&gt;"", COUNTIF($E$2:$E$1063, E894)&gt;1), "SKU duplicado", ""), IF(OR(J894="", J894=""), "[Aviso] División no capturada ()", IF(ISNA(MATCH(J894, Criterios!$A$123:$A$126, 0)), "División no válida", "")), IF(OR(K894="", K894=""), "[Aviso] Categoría no capturada ()", IF(ISNA(MATCH(K894, Criterios!$A$81:$A$120, 0)), "Categoría no válida", IF(AND(J894&lt;&gt;"", J894&lt;&gt;"", J894&lt;&gt;VLOOKUP(K894, Criterios!$A$81:$B$120, 2, FALSE)), "División no coincide con Categoría", ""))), IF(OR(L894="", L894=""), "[Aviso] Género no capturado ()", IF(ISNA(MATCH(L894, Criterios!$B$123:$B$127, 0)), "Género no válido", "")), IF(OR(N894="", N894=""), "[Aviso] Temporada no capturada ()", IF(ISNA(MATCH(N894, Criterios!$C$123:$C$128, 0)), "Temporada no válida", "")), IF(OR(O894="", O894=""), "[Aviso] Ciclo de vida no capturado ()", IF(ISNA(MATCH(O894, Criterios!$D$123:$D$124, 0)), "Ciclo de vida no válido", ""))))</f>
        <v/>
      </c>
      <c r="AC894" s="56" t="n"/>
      <c r="AD894" s="51" t="n"/>
      <c r="AE894" s="156" t="n"/>
      <c r="AF894" s="51" t="n"/>
      <c r="AG894" s="156" t="inlineStr">
        <is>
          <t>Nuevo – Carga Hoja2 01/10/2026</t>
        </is>
      </c>
      <c r="AH894" s="156" t="inlineStr">
        <is>
          <t>Alta 01/10/2026 desde Hoja2 (fila 924); Precio de compra en 0/vacío en origen; Precio de venta = 1 en origen (posible precio de prueba): validar | 01/10/2026: complementado desde Odoo Universal Unique Brands (match por código de barras): WB Talla, WB Talla de EE. UU., WB Descripción larga, Enlace de imagen | Homologación G1522 06/10/2026: WB País de origen: «Mexico» → «México» (Corrección aplicada) · Validador Shopify: WB: precio con IVA no termina en 9</t>
        </is>
      </c>
      <c r="AI894" s="156" t="n"/>
      <c r="AJ894" s="156" t="n"/>
      <c r="AK894" s="155" t="inlineStr">
        <is>
          <t>Hoja2: fila 924 | Odoo: producto 22200 / plantilla 28343</t>
        </is>
      </c>
      <c r="AL894" s="58" t="n"/>
      <c r="AM894" s="58" t="n"/>
      <c r="AN894" s="155" t="inlineStr">
        <is>
          <t>Odoo Universal Unique Brands</t>
        </is>
      </c>
      <c r="AO894" s="59" t="n"/>
      <c r="AP894" s="59" t="n"/>
      <c r="AQ894" s="59" t="n">
        <v>0</v>
      </c>
      <c r="AR894" s="155" t="n"/>
    </row>
    <row r="895">
      <c r="A895" s="50" t="inlineStr">
        <is>
          <t>717690435400</t>
        </is>
      </c>
      <c r="B895" s="51" t="inlineStr">
        <is>
          <t>22179</t>
        </is>
      </c>
      <c r="C895" s="156" t="inlineStr">
        <is>
          <t>Wrangler</t>
        </is>
      </c>
      <c r="D895" s="156" t="inlineStr">
        <is>
          <t>WG239-9182BR</t>
        </is>
      </c>
      <c r="E895" s="156" t="inlineStr">
        <is>
          <t>WG239-9182BR</t>
        </is>
      </c>
      <c r="F895" s="156" t="inlineStr">
        <is>
          <t>Talla única</t>
        </is>
      </c>
      <c r="G895" s="156" t="inlineStr">
        <is>
          <t>One Size</t>
        </is>
      </c>
      <c r="H895" s="156" t="inlineStr">
        <is>
          <t>Wrangler</t>
        </is>
      </c>
      <c r="I895" s="156" t="inlineStr">
        <is>
          <t>Bolsa Hobo Wrangler Con Flecos Floral Grabada Café</t>
        </is>
      </c>
      <c r="J895" s="156" t="inlineStr">
        <is>
          <t>Accesorios</t>
        </is>
      </c>
      <c r="K895" s="156" t="inlineStr">
        <is>
          <t>Bolsos</t>
        </is>
      </c>
      <c r="L895" s="156" t="inlineStr">
        <is>
          <t>Unisex</t>
        </is>
      </c>
      <c r="M895" s="156" t="inlineStr">
        <is>
          <t>Wrangler</t>
        </is>
      </c>
      <c r="N895" s="156" t="n"/>
      <c r="O895" s="156" t="n"/>
      <c r="P895" s="156" t="inlineStr">
        <is>
          <t>Cafe</t>
        </is>
      </c>
      <c r="Q895" s="156" t="n"/>
      <c r="R895" s="156" t="n"/>
      <c r="S895" s="156" t="n"/>
      <c r="T895" s="156" t="inlineStr">
        <is>
          <t>Bolsa Hobo</t>
        </is>
      </c>
      <c r="U895" s="156" t="inlineStr">
        <is>
          <t>México</t>
        </is>
      </c>
      <c r="V895" s="156" t="inlineStr">
        <is>
          <t>PZS</t>
        </is>
      </c>
      <c r="W895" s="51" t="inlineStr">
        <is>
          <t>53121601</t>
        </is>
      </c>
      <c r="X895" s="156" t="n"/>
      <c r="Y895" s="54" t="n">
        <v>21.75</v>
      </c>
      <c r="Z895" s="54" t="n">
        <v>839</v>
      </c>
      <c r="AA895" s="55">
        <f>IF(AND(A895="", B895="", E895=""), "", IF(AB895="", "Válido", IF((LEN(AB895)-LEN(SUBSTITUTE(AB895,"; ","")))/2+1&gt;(LEN(AB895)-LEN(SUBSTITUTE(AB895,"[Aviso]","")))/7, "Con Incidencias", "Válido")))</f>
        <v/>
      </c>
      <c r="AB895" s="56">
        <f>IF(AND(A895="", B895="", E895=""), "", TEXTJOIN("; ", TRUE, IF(OR(TRIM(A895&amp;"")="", ISNUMBER(SEARCH("FALTA", A895))), "UPC faltante/inválido", ""), IF(AND(A895&lt;&gt;"", IFERROR(_xlfn.XMATCH(A895,$A$2:$A$1063,0,1)&lt;&gt;_xlfn.XMATCH(A895,$A$2:$A$1063,0,-1),FALSE)), "Código de barras duplicado", ""), IF(AND(E895&lt;&gt;"", COUNTIF($E$2:$E$1063, E895)&gt;1), "SKU duplicado", ""), IF(OR(J895="", J895=""), "[Aviso] División no capturada ()", IF(ISNA(MATCH(J895, Criterios!$A$123:$A$126, 0)), "División no válida", "")), IF(OR(K895="", K895=""), "[Aviso] Categoría no capturada ()", IF(ISNA(MATCH(K895, Criterios!$A$81:$A$120, 0)), "Categoría no válida", IF(AND(J895&lt;&gt;"", J895&lt;&gt;"", J895&lt;&gt;VLOOKUP(K895, Criterios!$A$81:$B$120, 2, FALSE)), "División no coincide con Categoría", ""))), IF(OR(L895="", L895=""), "[Aviso] Género no capturado ()", IF(ISNA(MATCH(L895, Criterios!$B$123:$B$127, 0)), "Género no válido", "")), IF(OR(N895="", N895=""), "[Aviso] Temporada no capturada ()", IF(ISNA(MATCH(N895, Criterios!$C$123:$C$128, 0)), "Temporada no válida", "")), IF(OR(O895="", O895=""), "[Aviso] Ciclo de vida no capturado ()", IF(ISNA(MATCH(O895, Criterios!$D$123:$D$124, 0)), "Ciclo de vida no válido", ""))))</f>
        <v/>
      </c>
      <c r="AC895" s="56" t="n"/>
      <c r="AD895" s="51" t="n"/>
      <c r="AE895" s="156" t="n"/>
      <c r="AF895" s="51" t="n"/>
      <c r="AG895" s="156" t="inlineStr">
        <is>
          <t>Nuevo – Carga Hoja2 01/10/2026</t>
        </is>
      </c>
      <c r="AH895" s="156" t="inlineStr">
        <is>
          <t>Alta 01/10/2026 desde Hoja2 (fila 925)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895" s="156" t="n"/>
      <c r="AJ895" s="156" t="n"/>
      <c r="AK895" s="155" t="inlineStr">
        <is>
          <t>Hoja2: fila 925 | Odoo: producto 22179 / plantilla 28322</t>
        </is>
      </c>
      <c r="AL895" s="58" t="n"/>
      <c r="AM895" s="58" t="n"/>
      <c r="AN895" s="155" t="inlineStr">
        <is>
          <t>Odoo Universal Unique Brands</t>
        </is>
      </c>
      <c r="AO895" s="59" t="n"/>
      <c r="AP895" s="59" t="n"/>
      <c r="AQ895" s="59" t="n">
        <v>1</v>
      </c>
      <c r="AR895" s="155" t="inlineStr">
        <is>
          <t>Odoo Universal Unique Brands › Bodega 25 › Bodega 25/General: 1</t>
        </is>
      </c>
    </row>
    <row r="896">
      <c r="A896" s="50" t="inlineStr">
        <is>
          <t>717690435417</t>
        </is>
      </c>
      <c r="B896" s="51" t="inlineStr">
        <is>
          <t>22180</t>
        </is>
      </c>
      <c r="C896" s="156" t="inlineStr">
        <is>
          <t>Wrangler</t>
        </is>
      </c>
      <c r="D896" s="156" t="inlineStr">
        <is>
          <t>WG239-9182CF</t>
        </is>
      </c>
      <c r="E896" s="156" t="inlineStr">
        <is>
          <t>WG239-9182CF</t>
        </is>
      </c>
      <c r="F896" s="156" t="inlineStr">
        <is>
          <t>Talla única</t>
        </is>
      </c>
      <c r="G896" s="156" t="inlineStr">
        <is>
          <t>One Size</t>
        </is>
      </c>
      <c r="H896" s="156" t="inlineStr">
        <is>
          <t>Wrangler</t>
        </is>
      </c>
      <c r="I896" s="156" t="inlineStr">
        <is>
          <t>Bolsa Hobo Wrangler Con Flecos Floral Grabada Café Oscuro</t>
        </is>
      </c>
      <c r="J896" s="156" t="inlineStr">
        <is>
          <t>Accesorios</t>
        </is>
      </c>
      <c r="K896" s="156" t="inlineStr">
        <is>
          <t>Bolsos</t>
        </is>
      </c>
      <c r="L896" s="156" t="inlineStr">
        <is>
          <t>Unisex</t>
        </is>
      </c>
      <c r="M896" s="156" t="inlineStr">
        <is>
          <t>Wrangler</t>
        </is>
      </c>
      <c r="N896" s="156" t="n"/>
      <c r="O896" s="156" t="n"/>
      <c r="P896" s="156" t="inlineStr">
        <is>
          <t>Cafe</t>
        </is>
      </c>
      <c r="Q896" s="156" t="n"/>
      <c r="R896" s="156" t="n"/>
      <c r="S896" s="156" t="n"/>
      <c r="T896" s="156" t="inlineStr">
        <is>
          <t>Bolsa Hobo</t>
        </is>
      </c>
      <c r="U896" s="156" t="inlineStr">
        <is>
          <t>México</t>
        </is>
      </c>
      <c r="V896" s="156" t="inlineStr">
        <is>
          <t>PZS</t>
        </is>
      </c>
      <c r="W896" s="51" t="inlineStr">
        <is>
          <t>53121601</t>
        </is>
      </c>
      <c r="X896" s="156" t="n"/>
      <c r="Y896" s="54" t="n">
        <v>16.5</v>
      </c>
      <c r="Z896" s="54" t="n">
        <v>639</v>
      </c>
      <c r="AA896" s="55">
        <f>IF(AND(A896="", B896="", E896=""), "", IF(AB896="", "Válido", IF((LEN(AB896)-LEN(SUBSTITUTE(AB896,"; ","")))/2+1&gt;(LEN(AB896)-LEN(SUBSTITUTE(AB896,"[Aviso]","")))/7, "Con Incidencias", "Válido")))</f>
        <v/>
      </c>
      <c r="AB896" s="56">
        <f>IF(AND(A896="", B896="", E896=""), "", TEXTJOIN("; ", TRUE, IF(OR(TRIM(A896&amp;"")="", ISNUMBER(SEARCH("FALTA", A896))), "UPC faltante/inválido", ""), IF(AND(A896&lt;&gt;"", IFERROR(_xlfn.XMATCH(A896,$A$2:$A$1063,0,1)&lt;&gt;_xlfn.XMATCH(A896,$A$2:$A$1063,0,-1),FALSE)), "Código de barras duplicado", ""), IF(AND(E896&lt;&gt;"", COUNTIF($E$2:$E$1063, E896)&gt;1), "SKU duplicado", ""), IF(OR(J896="", J896=""), "[Aviso] División no capturada ()", IF(ISNA(MATCH(J896, Criterios!$A$123:$A$126, 0)), "División no válida", "")), IF(OR(K896="", K896=""), "[Aviso] Categoría no capturada ()", IF(ISNA(MATCH(K896, Criterios!$A$81:$A$120, 0)), "Categoría no válida", IF(AND(J896&lt;&gt;"", J896&lt;&gt;"", J896&lt;&gt;VLOOKUP(K896, Criterios!$A$81:$B$120, 2, FALSE)), "División no coincide con Categoría", ""))), IF(OR(L896="", L896=""), "[Aviso] Género no capturado ()", IF(ISNA(MATCH(L896, Criterios!$B$123:$B$127, 0)), "Género no válido", "")), IF(OR(N896="", N896=""), "[Aviso] Temporada no capturada ()", IF(ISNA(MATCH(N896, Criterios!$C$123:$C$128, 0)), "Temporada no válida", "")), IF(OR(O896="", O896=""), "[Aviso] Ciclo de vida no capturado ()", IF(ISNA(MATCH(O896, Criterios!$D$123:$D$124, 0)), "Ciclo de vida no válido", ""))))</f>
        <v/>
      </c>
      <c r="AC896" s="56" t="n"/>
      <c r="AD896" s="51" t="n"/>
      <c r="AE896" s="156" t="n"/>
      <c r="AF896" s="51" t="n"/>
      <c r="AG896" s="156" t="inlineStr">
        <is>
          <t>Nuevo – Carga Hoja2 01/10/2026</t>
        </is>
      </c>
      <c r="AH896" s="156" t="inlineStr">
        <is>
          <t>Alta 01/10/2026 desde Hoja2 (fila 926) | 01/10/2026: complementado desde Odoo Universal Unique Brands (match por código de barras): WB Talla, WB Talla de EE. UU., WB Descripción larga | Homologación G1522 06/10/2026: WB País de origen: «Mexico» → «México» (Corrección aplicada) · Validación G1522: [Aviso] Precio de compra posiblemente en USD · Validador Shopify: WB: precio con IVA no termina en 9</t>
        </is>
      </c>
      <c r="AI896" s="156" t="n"/>
      <c r="AJ896" s="156" t="n"/>
      <c r="AK896" s="155" t="inlineStr">
        <is>
          <t>Hoja2: fila 926 | Odoo: producto 22180 / plantilla 28323</t>
        </is>
      </c>
      <c r="AL896" s="58" t="n"/>
      <c r="AM896" s="58" t="n"/>
      <c r="AN896" s="155" t="inlineStr">
        <is>
          <t>Odoo Universal Unique Brands</t>
        </is>
      </c>
      <c r="AO896" s="59" t="n"/>
      <c r="AP896" s="59" t="n"/>
      <c r="AQ896" s="59" t="n">
        <v>1</v>
      </c>
      <c r="AR896" s="155" t="inlineStr">
        <is>
          <t>Odoo Universal Unique Brands › Bodega 25 › Bodega 25/General: 1</t>
        </is>
      </c>
    </row>
    <row r="897">
      <c r="A897" s="50" t="inlineStr">
        <is>
          <t>717690435509</t>
        </is>
      </c>
      <c r="B897" s="51" t="inlineStr">
        <is>
          <t>22049</t>
        </is>
      </c>
      <c r="C897" s="156" t="inlineStr">
        <is>
          <t>Wrangler</t>
        </is>
      </c>
      <c r="D897" s="156" t="inlineStr">
        <is>
          <t>WG239-9182JN</t>
        </is>
      </c>
      <c r="E897" s="156" t="inlineStr">
        <is>
          <t>WG239-9182JN</t>
        </is>
      </c>
      <c r="F897" s="156" t="inlineStr">
        <is>
          <t>Talla única</t>
        </is>
      </c>
      <c r="G897" s="156" t="inlineStr">
        <is>
          <t>One Size</t>
        </is>
      </c>
      <c r="H897" s="156" t="inlineStr">
        <is>
          <t>Wrangler</t>
        </is>
      </c>
      <c r="I897" s="156" t="inlineStr">
        <is>
          <t>Bolsa Hobo Wrangler Con Flecos Grabada Mezclilla</t>
        </is>
      </c>
      <c r="J897" s="156" t="inlineStr">
        <is>
          <t>Accesorios</t>
        </is>
      </c>
      <c r="K897" s="156" t="inlineStr">
        <is>
          <t>Bolsos</t>
        </is>
      </c>
      <c r="L897" s="156" t="inlineStr">
        <is>
          <t>Unisex</t>
        </is>
      </c>
      <c r="M897" s="156" t="inlineStr">
        <is>
          <t>Wrangler</t>
        </is>
      </c>
      <c r="N897" s="156" t="n"/>
      <c r="O897" s="156" t="inlineStr">
        <is>
          <t>Core</t>
        </is>
      </c>
      <c r="P897" s="156" t="inlineStr">
        <is>
          <t>Varios</t>
        </is>
      </c>
      <c r="Q897" s="156" t="n"/>
      <c r="R897" s="156" t="n"/>
      <c r="S897" s="156" t="n"/>
      <c r="T897" s="156" t="inlineStr">
        <is>
          <t>Bolsa Hobo Wrangler. Modelo: Con Flecos Grabada. Color: Mezclilla. Talla única. Unisex. País de origen: México. Referencia: WG239-9182JN.</t>
        </is>
      </c>
      <c r="U897" s="156" t="inlineStr">
        <is>
          <t>México</t>
        </is>
      </c>
      <c r="V897" s="156" t="inlineStr">
        <is>
          <t>PZS</t>
        </is>
      </c>
      <c r="W897" s="51" t="inlineStr">
        <is>
          <t>53121601</t>
        </is>
      </c>
      <c r="X897" s="156" t="inlineStr">
        <is>
          <t>https://m-universal-unique-brands.odoo.com/web/image/product.product/22049/image_1920</t>
        </is>
      </c>
      <c r="Y897" s="54" t="n">
        <v>22</v>
      </c>
      <c r="Z897" s="54" t="n">
        <v>1279</v>
      </c>
      <c r="AA897" s="55">
        <f>IF(AND(A897="", B897="", E897=""), "", IF(AB897="", "Válido", IF((LEN(AB897)-LEN(SUBSTITUTE(AB897,"; ","")))/2+1&gt;(LEN(AB897)-LEN(SUBSTITUTE(AB897,"[Aviso]","")))/7, "Con Incidencias", "Válido")))</f>
        <v/>
      </c>
      <c r="AB897" s="56">
        <f>IF(AND(A897="", B897="", E897=""), "", TEXTJOIN("; ", TRUE, IF(OR(TRIM(A897&amp;"")="", ISNUMBER(SEARCH("FALTA", A897))), "UPC faltante/inválido", ""), IF(AND(A897&lt;&gt;"", IFERROR(_xlfn.XMATCH(A897,$A$2:$A$1063,0,1)&lt;&gt;_xlfn.XMATCH(A897,$A$2:$A$1063,0,-1),FALSE)), "Código de barras duplicado", ""), IF(AND(E897&lt;&gt;"", COUNTIF($E$2:$E$1063, E897)&gt;1), "SKU duplicado", ""), IF(OR(J897="", J897=""), "[Aviso] División no capturada ()", IF(ISNA(MATCH(J897, Criterios!$A$123:$A$126, 0)), "División no válida", "")), IF(OR(K897="", K897=""), "[Aviso] Categoría no capturada ()", IF(ISNA(MATCH(K897, Criterios!$A$81:$A$120, 0)), "Categoría no válida", IF(AND(J897&lt;&gt;"", J897&lt;&gt;"", J897&lt;&gt;VLOOKUP(K897, Criterios!$A$81:$B$120, 2, FALSE)), "División no coincide con Categoría", ""))), IF(OR(L897="", L897=""), "[Aviso] Género no capturado ()", IF(ISNA(MATCH(L897, Criterios!$B$123:$B$127, 0)), "Género no válido", "")), IF(OR(N897="", N897=""), "[Aviso] Temporada no capturada ()", IF(ISNA(MATCH(N897, Criterios!$C$123:$C$128, 0)), "Temporada no válida", "")), IF(OR(O897="", O897=""), "[Aviso] Ciclo de vida no capturado ()", IF(ISNA(MATCH(O897, Criterios!$D$123:$D$124, 0)), "Ciclo de vida no válido", ""))))</f>
        <v/>
      </c>
      <c r="AC897" s="56" t="n"/>
      <c r="AD897" s="51" t="n"/>
      <c r="AE897" s="156" t="n"/>
      <c r="AF897" s="51" t="n"/>
      <c r="AG897" s="156" t="inlineStr">
        <is>
          <t>Nuevo – Carga Hoja2 01/10/2026</t>
        </is>
      </c>
      <c r="AH897" s="156" t="inlineStr">
        <is>
          <t>Alta 01/10/2026 desde Hoja2 (fila 927) | 01/10/2026: complementado desde Odoo Universal Unique Brands (match por código de barras): Enlace de imagen | Homologación G1522 06/10/2026: Validador Shopify: WB: precio con IVA no termina en 9</t>
        </is>
      </c>
      <c r="AI897" s="156" t="n"/>
      <c r="AJ897" s="156" t="n"/>
      <c r="AK897" s="155" t="inlineStr">
        <is>
          <t>Hoja2: fila 927 | Odoo: producto 22049 / plantilla 28192</t>
        </is>
      </c>
      <c r="AL897" s="58" t="n"/>
      <c r="AM897" s="58" t="n"/>
      <c r="AN897" s="155" t="inlineStr">
        <is>
          <t>Odoo Universal Unique Brands</t>
        </is>
      </c>
      <c r="AO897" s="59" t="n"/>
      <c r="AP897" s="59" t="n"/>
      <c r="AQ897" s="59" t="n">
        <v>-2</v>
      </c>
      <c r="AR897" s="155" t="n"/>
    </row>
    <row r="898">
      <c r="A898" s="50" t="inlineStr">
        <is>
          <t>717690435493</t>
        </is>
      </c>
      <c r="B898" s="51" t="inlineStr">
        <is>
          <t>22050</t>
        </is>
      </c>
      <c r="C898" s="156" t="inlineStr">
        <is>
          <t>Wrangler</t>
        </is>
      </c>
      <c r="D898" s="156" t="inlineStr">
        <is>
          <t>WG239-9182KH</t>
        </is>
      </c>
      <c r="E898" s="156" t="inlineStr">
        <is>
          <t>WG239-9182KH</t>
        </is>
      </c>
      <c r="F898" s="156" t="inlineStr">
        <is>
          <t>Talla única</t>
        </is>
      </c>
      <c r="G898" s="156" t="inlineStr">
        <is>
          <t>One Size</t>
        </is>
      </c>
      <c r="H898" s="156" t="inlineStr">
        <is>
          <t>Wrangler</t>
        </is>
      </c>
      <c r="I898" s="156" t="inlineStr">
        <is>
          <t>Bolsa Hobo Wrangler Con Flecos Grabada Caqui</t>
        </is>
      </c>
      <c r="J898" s="156" t="inlineStr">
        <is>
          <t>Accesorios</t>
        </is>
      </c>
      <c r="K898" s="156" t="inlineStr">
        <is>
          <t>Bolsos</t>
        </is>
      </c>
      <c r="L898" s="156" t="inlineStr">
        <is>
          <t>Unisex</t>
        </is>
      </c>
      <c r="M898" s="156" t="inlineStr">
        <is>
          <t>Wrangler</t>
        </is>
      </c>
      <c r="N898" s="156" t="n"/>
      <c r="O898" s="156" t="inlineStr">
        <is>
          <t>Core</t>
        </is>
      </c>
      <c r="P898" s="156" t="inlineStr">
        <is>
          <t>Beige</t>
        </is>
      </c>
      <c r="Q898" s="156" t="n"/>
      <c r="R898" s="156" t="n"/>
      <c r="S898" s="156" t="n"/>
      <c r="T898" s="156" t="inlineStr">
        <is>
          <t>Bolsa Hobo Wrangler. Modelo: Con Flecos Grabada. Color: Caqui. Talla única. Unisex. País de origen: México. Referencia: WG239-9182KH.</t>
        </is>
      </c>
      <c r="U898" s="156" t="inlineStr">
        <is>
          <t>México</t>
        </is>
      </c>
      <c r="V898" s="156" t="inlineStr">
        <is>
          <t>PZS</t>
        </is>
      </c>
      <c r="W898" s="51" t="inlineStr">
        <is>
          <t>53121601</t>
        </is>
      </c>
      <c r="X898" s="156" t="inlineStr">
        <is>
          <t>https://m-universal-unique-brands.odoo.com/web/image/product.product/22050/image_1920</t>
        </is>
      </c>
      <c r="Y898" s="54" t="n">
        <v>22</v>
      </c>
      <c r="Z898" s="54" t="n">
        <v>1279</v>
      </c>
      <c r="AA898" s="55">
        <f>IF(AND(A898="", B898="", E898=""), "", IF(AB898="", "Válido", IF((LEN(AB898)-LEN(SUBSTITUTE(AB898,"; ","")))/2+1&gt;(LEN(AB898)-LEN(SUBSTITUTE(AB898,"[Aviso]","")))/7, "Con Incidencias", "Válido")))</f>
        <v/>
      </c>
      <c r="AB898" s="56">
        <f>IF(AND(A898="", B898="", E898=""), "", TEXTJOIN("; ", TRUE, IF(OR(TRIM(A898&amp;"")="", ISNUMBER(SEARCH("FALTA", A898))), "UPC faltante/inválido", ""), IF(AND(A898&lt;&gt;"", IFERROR(_xlfn.XMATCH(A898,$A$2:$A$1063,0,1)&lt;&gt;_xlfn.XMATCH(A898,$A$2:$A$1063,0,-1),FALSE)), "Código de barras duplicado", ""), IF(AND(E898&lt;&gt;"", COUNTIF($E$2:$E$1063, E898)&gt;1), "SKU duplicado", ""), IF(OR(J898="", J898=""), "[Aviso] División no capturada ()", IF(ISNA(MATCH(J898, Criterios!$A$123:$A$126, 0)), "División no válida", "")), IF(OR(K898="", K898=""), "[Aviso] Categoría no capturada ()", IF(ISNA(MATCH(K898, Criterios!$A$81:$A$120, 0)), "Categoría no válida", IF(AND(J898&lt;&gt;"", J898&lt;&gt;"", J898&lt;&gt;VLOOKUP(K898, Criterios!$A$81:$B$120, 2, FALSE)), "División no coincide con Categoría", ""))), IF(OR(L898="", L898=""), "[Aviso] Género no capturado ()", IF(ISNA(MATCH(L898, Criterios!$B$123:$B$127, 0)), "Género no válido", "")), IF(OR(N898="", N898=""), "[Aviso] Temporada no capturada ()", IF(ISNA(MATCH(N898, Criterios!$C$123:$C$128, 0)), "Temporada no válida", "")), IF(OR(O898="", O898=""), "[Aviso] Ciclo de vida no capturado ()", IF(ISNA(MATCH(O898, Criterios!$D$123:$D$124, 0)), "Ciclo de vida no válido", ""))))</f>
        <v/>
      </c>
      <c r="AC898" s="56" t="n"/>
      <c r="AD898" s="51" t="n"/>
      <c r="AE898" s="156" t="n"/>
      <c r="AF898" s="51" t="n"/>
      <c r="AG898" s="156" t="inlineStr">
        <is>
          <t>Nuevo – Carga Hoja2 01/10/2026</t>
        </is>
      </c>
      <c r="AH898" s="156" t="inlineStr">
        <is>
          <t>Alta 01/10/2026 desde Hoja2 (fila 928) | 01/10/2026: complementado desde Odoo Universal Unique Brands (match por código de barras): Enlace de imagen | Homologación G1522 06/10/2026: Validador Shopify: WB: precio con IVA no termina en 9</t>
        </is>
      </c>
      <c r="AI898" s="156" t="n"/>
      <c r="AJ898" s="156" t="n"/>
      <c r="AK898" s="155" t="inlineStr">
        <is>
          <t>Hoja2: fila 928 | Odoo: producto 22050 / plantilla 28193</t>
        </is>
      </c>
      <c r="AL898" s="58" t="n"/>
      <c r="AM898" s="58" t="n"/>
      <c r="AN898" s="155" t="inlineStr">
        <is>
          <t>Odoo Universal Unique Brands</t>
        </is>
      </c>
      <c r="AO898" s="59" t="n"/>
      <c r="AP898" s="59" t="n"/>
      <c r="AQ898" s="59" t="n">
        <v>-2</v>
      </c>
      <c r="AR898" s="155" t="n"/>
    </row>
    <row r="899">
      <c r="A899" s="50" t="inlineStr">
        <is>
          <t>717690434243</t>
        </is>
      </c>
      <c r="B899" s="51" t="inlineStr">
        <is>
          <t>22165</t>
        </is>
      </c>
      <c r="C899" s="156" t="inlineStr">
        <is>
          <t>Wrangler</t>
        </is>
      </c>
      <c r="D899" s="156" t="inlineStr">
        <is>
          <t>WG241-2022CF</t>
        </is>
      </c>
      <c r="E899" s="156" t="inlineStr">
        <is>
          <t>WG241-2022CF</t>
        </is>
      </c>
      <c r="F899" s="156" t="inlineStr">
        <is>
          <t>Talla única</t>
        </is>
      </c>
      <c r="G899" s="156" t="inlineStr">
        <is>
          <t>One Size</t>
        </is>
      </c>
      <c r="H899" s="156" t="inlineStr">
        <is>
          <t>Wrangler</t>
        </is>
      </c>
      <c r="I899" s="156" t="inlineStr">
        <is>
          <t>Bolsa Hobo Cruzada Wrangler Con Flecos Y Hebilla Café Oscuro</t>
        </is>
      </c>
      <c r="J899" s="156" t="inlineStr">
        <is>
          <t>Accesorios</t>
        </is>
      </c>
      <c r="K899" s="156" t="inlineStr">
        <is>
          <t>Bolsos</t>
        </is>
      </c>
      <c r="L899" s="156" t="inlineStr">
        <is>
          <t>Unisex</t>
        </is>
      </c>
      <c r="M899" s="156" t="inlineStr">
        <is>
          <t>Wrangler</t>
        </is>
      </c>
      <c r="N899" s="156" t="n"/>
      <c r="O899" s="156" t="inlineStr">
        <is>
          <t>Core</t>
        </is>
      </c>
      <c r="P899" s="156" t="inlineStr">
        <is>
          <t>Cafe</t>
        </is>
      </c>
      <c r="Q899" s="156" t="n"/>
      <c r="R899" s="156" t="n"/>
      <c r="S899" s="156" t="n"/>
      <c r="T899" s="156" t="inlineStr">
        <is>
          <t>Bolsa Hobo Cruzada Wrangler. Modelo: Con Flecos Y Hebilla. Color: Café Oscuro. Talla única. Unisex. País de origen: México. Referencia: WG241-2022CF.</t>
        </is>
      </c>
      <c r="U899" s="156" t="inlineStr">
        <is>
          <t>México</t>
        </is>
      </c>
      <c r="V899" s="156" t="inlineStr">
        <is>
          <t>PZS</t>
        </is>
      </c>
      <c r="W899" s="51" t="inlineStr">
        <is>
          <t>53121601</t>
        </is>
      </c>
      <c r="X899" s="156" t="n"/>
      <c r="Y899" s="54" t="n">
        <v>22.5</v>
      </c>
      <c r="Z899" s="54" t="n">
        <v>839</v>
      </c>
      <c r="AA899" s="55">
        <f>IF(AND(A899="", B899="", E899=""), "", IF(AB899="", "Válido", IF((LEN(AB899)-LEN(SUBSTITUTE(AB899,"; ","")))/2+1&gt;(LEN(AB899)-LEN(SUBSTITUTE(AB899,"[Aviso]","")))/7, "Con Incidencias", "Válido")))</f>
        <v/>
      </c>
      <c r="AB899" s="56">
        <f>IF(AND(A899="", B899="", E899=""), "", TEXTJOIN("; ", TRUE, IF(OR(TRIM(A899&amp;"")="", ISNUMBER(SEARCH("FALTA", A899))), "UPC faltante/inválido", ""), IF(AND(A899&lt;&gt;"", IFERROR(_xlfn.XMATCH(A899,$A$2:$A$1063,0,1)&lt;&gt;_xlfn.XMATCH(A899,$A$2:$A$1063,0,-1),FALSE)), "Código de barras duplicado", ""), IF(AND(E899&lt;&gt;"", COUNTIF($E$2:$E$1063, E899)&gt;1), "SKU duplicado", ""), IF(OR(J899="", J899=""), "[Aviso] División no capturada ()", IF(ISNA(MATCH(J899, Criterios!$A$123:$A$126, 0)), "División no válida", "")), IF(OR(K899="", K899=""), "[Aviso] Categoría no capturada ()", IF(ISNA(MATCH(K899, Criterios!$A$81:$A$120, 0)), "Categoría no válida", IF(AND(J899&lt;&gt;"", J899&lt;&gt;"", J899&lt;&gt;VLOOKUP(K899, Criterios!$A$81:$B$120, 2, FALSE)), "División no coincide con Categoría", ""))), IF(OR(L899="", L899=""), "[Aviso] Género no capturado ()", IF(ISNA(MATCH(L899, Criterios!$B$123:$B$127, 0)), "Género no válido", "")), IF(OR(N899="", N899=""), "[Aviso] Temporada no capturada ()", IF(ISNA(MATCH(N899, Criterios!$C$123:$C$128, 0)), "Temporada no válida", "")), IF(OR(O899="", O899=""), "[Aviso] Ciclo de vida no capturado ()", IF(ISNA(MATCH(O899, Criterios!$D$123:$D$124, 0)), "Ciclo de vida no válido", ""))))</f>
        <v/>
      </c>
      <c r="AC899" s="56" t="n"/>
      <c r="AD899" s="51" t="n"/>
      <c r="AE899" s="156" t="n"/>
      <c r="AF899" s="51" t="n"/>
      <c r="AG899" s="156" t="inlineStr">
        <is>
          <t>Nuevo – Carga Hoja2 01/10/2026</t>
        </is>
      </c>
      <c r="AH899" s="156" t="inlineStr">
        <is>
          <t>Alta 01/10/2026 desde Hoja2 (fila 929) | 01/10/2026: Odoo Universal Unique Brands trae Categoría «Hebillas» — se conservó el valor de Productos | Homologación G1522 06/10/2026: Validador Shopify: WB: precio con IVA no termina en 9</t>
        </is>
      </c>
      <c r="AI899" s="156" t="n"/>
      <c r="AJ899" s="156" t="n"/>
      <c r="AK899" s="155" t="inlineStr">
        <is>
          <t>Hoja2: fila 929 | Odoo: producto 22165 / plantilla 28308</t>
        </is>
      </c>
      <c r="AL899" s="58" t="n"/>
      <c r="AM899" s="58" t="n"/>
      <c r="AN899" s="155" t="inlineStr">
        <is>
          <t>Odoo Universal Unique Brands</t>
        </is>
      </c>
      <c r="AO899" s="59" t="n"/>
      <c r="AP899" s="59" t="n"/>
      <c r="AQ899" s="59" t="n">
        <v>-16</v>
      </c>
      <c r="AR899" s="155" t="n"/>
    </row>
    <row r="900">
      <c r="A900" s="50" t="inlineStr">
        <is>
          <t>717690457815</t>
        </is>
      </c>
      <c r="B900" s="51" t="inlineStr">
        <is>
          <t>22169</t>
        </is>
      </c>
      <c r="C900" s="156" t="inlineStr">
        <is>
          <t>Wrangler</t>
        </is>
      </c>
      <c r="D900" s="156" t="inlineStr">
        <is>
          <t>WG252-8012BK</t>
        </is>
      </c>
      <c r="E900" s="156" t="inlineStr">
        <is>
          <t>WG252-8012BK</t>
        </is>
      </c>
      <c r="F900" s="156" t="inlineStr">
        <is>
          <t>Talla única</t>
        </is>
      </c>
      <c r="G900" s="156" t="inlineStr">
        <is>
          <t>One Size</t>
        </is>
      </c>
      <c r="H900" s="156" t="inlineStr">
        <is>
          <t>Wrangler</t>
        </is>
      </c>
      <c r="I900" s="156" t="inlineStr">
        <is>
          <t>Bolsa Tote Ancha Cruzada Wrangler Piel De Vaca Genuina Con Pelo Negro</t>
        </is>
      </c>
      <c r="J900" s="156" t="inlineStr">
        <is>
          <t>Accesorios</t>
        </is>
      </c>
      <c r="K900" s="156" t="inlineStr">
        <is>
          <t>Bolsos</t>
        </is>
      </c>
      <c r="L900" s="156" t="inlineStr">
        <is>
          <t>Unisex</t>
        </is>
      </c>
      <c r="M900" s="156" t="inlineStr">
        <is>
          <t>Wrangler</t>
        </is>
      </c>
      <c r="N900" s="156" t="n"/>
      <c r="O900" s="156" t="n"/>
      <c r="P900" s="156" t="inlineStr">
        <is>
          <t>Negro</t>
        </is>
      </c>
      <c r="Q900" s="156" t="n"/>
      <c r="R900" s="156" t="n"/>
      <c r="S900" s="156" t="n"/>
      <c r="T900" s="156" t="inlineStr">
        <is>
          <t>Bolsa Tote Ancha Cruzada</t>
        </is>
      </c>
      <c r="U900" s="156" t="inlineStr">
        <is>
          <t>México</t>
        </is>
      </c>
      <c r="V900" s="156" t="inlineStr">
        <is>
          <t>PZS</t>
        </is>
      </c>
      <c r="W900" s="51" t="inlineStr">
        <is>
          <t>53121601</t>
        </is>
      </c>
      <c r="X900" s="156" t="n"/>
      <c r="Y900" s="54" t="n">
        <v>21.75</v>
      </c>
      <c r="Z900" s="54" t="n">
        <v>839</v>
      </c>
      <c r="AA900" s="55">
        <f>IF(AND(A900="", B900="", E900=""), "", IF(AB900="", "Válido", IF((LEN(AB900)-LEN(SUBSTITUTE(AB900,"; ","")))/2+1&gt;(LEN(AB900)-LEN(SUBSTITUTE(AB900,"[Aviso]","")))/7, "Con Incidencias", "Válido")))</f>
        <v/>
      </c>
      <c r="AB900" s="56">
        <f>IF(AND(A900="", B900="", E900=""), "", TEXTJOIN("; ", TRUE, IF(OR(TRIM(A900&amp;"")="", ISNUMBER(SEARCH("FALTA", A900))), "UPC faltante/inválido", ""), IF(AND(A900&lt;&gt;"", IFERROR(_xlfn.XMATCH(A900,$A$2:$A$1063,0,1)&lt;&gt;_xlfn.XMATCH(A900,$A$2:$A$1063,0,-1),FALSE)), "Código de barras duplicado", ""), IF(AND(E900&lt;&gt;"", COUNTIF($E$2:$E$1063, E900)&gt;1), "SKU duplicado", ""), IF(OR(J900="", J900=""), "[Aviso] División no capturada ()", IF(ISNA(MATCH(J900, Criterios!$A$123:$A$126, 0)), "División no válida", "")), IF(OR(K900="", K900=""), "[Aviso] Categoría no capturada ()", IF(ISNA(MATCH(K900, Criterios!$A$81:$A$120, 0)), "Categoría no válida", IF(AND(J900&lt;&gt;"", J900&lt;&gt;"", J900&lt;&gt;VLOOKUP(K900, Criterios!$A$81:$B$120, 2, FALSE)), "División no coincide con Categoría", ""))), IF(OR(L900="", L900=""), "[Aviso] Género no capturado ()", IF(ISNA(MATCH(L900, Criterios!$B$123:$B$127, 0)), "Género no válido", "")), IF(OR(N900="", N900=""), "[Aviso] Temporada no capturada ()", IF(ISNA(MATCH(N900, Criterios!$C$123:$C$128, 0)), "Temporada no válida", "")), IF(OR(O900="", O900=""), "[Aviso] Ciclo de vida no capturado ()", IF(ISNA(MATCH(O900, Criterios!$D$123:$D$124, 0)), "Ciclo de vida no válido", ""))))</f>
        <v/>
      </c>
      <c r="AC900" s="56" t="n"/>
      <c r="AD900" s="51" t="n"/>
      <c r="AE900" s="156" t="n"/>
      <c r="AF900" s="51" t="n"/>
      <c r="AG900" s="156" t="inlineStr">
        <is>
          <t>Nuevo – Carga Hoja2 01/10/2026</t>
        </is>
      </c>
      <c r="AH900" s="156" t="inlineStr">
        <is>
          <t>Alta 01/10/2026 desde Hoja2 (fila 930)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900" s="156" t="n"/>
      <c r="AJ900" s="156" t="n"/>
      <c r="AK900" s="155" t="inlineStr">
        <is>
          <t>Hoja2: fila 930 | Odoo: producto 22169 / plantilla 28312</t>
        </is>
      </c>
      <c r="AL900" s="58" t="n"/>
      <c r="AM900" s="58" t="n"/>
      <c r="AN900" s="155" t="inlineStr">
        <is>
          <t>Odoo Universal Unique Brands</t>
        </is>
      </c>
      <c r="AO900" s="59" t="n"/>
      <c r="AP900" s="59" t="n"/>
      <c r="AQ900" s="59" t="n">
        <v>-1</v>
      </c>
      <c r="AR900" s="155" t="n"/>
    </row>
    <row r="901">
      <c r="A901" s="50" t="inlineStr">
        <is>
          <t>717690457792</t>
        </is>
      </c>
      <c r="B901" s="51" t="inlineStr">
        <is>
          <t>22168</t>
        </is>
      </c>
      <c r="C901" s="156" t="inlineStr">
        <is>
          <t>Wrangler</t>
        </is>
      </c>
      <c r="D901" s="156" t="inlineStr">
        <is>
          <t>WG252-8014BR</t>
        </is>
      </c>
      <c r="E901" s="156" t="inlineStr">
        <is>
          <t>WG252-8014BR</t>
        </is>
      </c>
      <c r="F901" s="156" t="inlineStr">
        <is>
          <t>Talla única</t>
        </is>
      </c>
      <c r="G901" s="156" t="inlineStr">
        <is>
          <t>One Size</t>
        </is>
      </c>
      <c r="H901" s="156" t="inlineStr">
        <is>
          <t>Wrangler</t>
        </is>
      </c>
      <c r="I901" s="156" t="inlineStr">
        <is>
          <t>Bolsa Tote Cruzada Wrangler Piel De Vaca Genuina Con Pelo Café</t>
        </is>
      </c>
      <c r="J901" s="156" t="inlineStr">
        <is>
          <t>Accesorios</t>
        </is>
      </c>
      <c r="K901" s="156" t="inlineStr">
        <is>
          <t>Bolsos</t>
        </is>
      </c>
      <c r="L901" s="156" t="inlineStr">
        <is>
          <t>Unisex</t>
        </is>
      </c>
      <c r="M901" s="156" t="inlineStr">
        <is>
          <t>Wrangler</t>
        </is>
      </c>
      <c r="N901" s="156" t="n"/>
      <c r="O901" s="156" t="inlineStr">
        <is>
          <t>Core</t>
        </is>
      </c>
      <c r="P901" s="156" t="inlineStr">
        <is>
          <t>Cafe</t>
        </is>
      </c>
      <c r="Q901" s="156" t="n"/>
      <c r="R901" s="156" t="n"/>
      <c r="S901" s="156" t="n"/>
      <c r="T901" s="156" t="inlineStr">
        <is>
          <t>Bolsa Tote Cruzada Wrangler. Modelo: Piel De Vaca Genuina Con Pelo. Color: Café. Talla única. Unisex. País de origen: México. Referencia: WG252-8014BR.</t>
        </is>
      </c>
      <c r="U901" s="156" t="inlineStr">
        <is>
          <t>México</t>
        </is>
      </c>
      <c r="V901" s="156" t="inlineStr">
        <is>
          <t>PZS</t>
        </is>
      </c>
      <c r="W901" s="51" t="inlineStr">
        <is>
          <t>53121601</t>
        </is>
      </c>
      <c r="X901" s="156" t="n"/>
      <c r="Y901" s="54" t="n">
        <v>30</v>
      </c>
      <c r="Z901" s="54" t="n">
        <v>1119</v>
      </c>
      <c r="AA901" s="55">
        <f>IF(AND(A901="", B901="", E901=""), "", IF(AB901="", "Válido", IF((LEN(AB901)-LEN(SUBSTITUTE(AB901,"; ","")))/2+1&gt;(LEN(AB901)-LEN(SUBSTITUTE(AB901,"[Aviso]","")))/7, "Con Incidencias", "Válido")))</f>
        <v/>
      </c>
      <c r="AB901" s="56">
        <f>IF(AND(A901="", B901="", E901=""), "", TEXTJOIN("; ", TRUE, IF(OR(TRIM(A901&amp;"")="", ISNUMBER(SEARCH("FALTA", A901))), "UPC faltante/inválido", ""), IF(AND(A901&lt;&gt;"", IFERROR(_xlfn.XMATCH(A901,$A$2:$A$1063,0,1)&lt;&gt;_xlfn.XMATCH(A901,$A$2:$A$1063,0,-1),FALSE)), "Código de barras duplicado", ""), IF(AND(E901&lt;&gt;"", COUNTIF($E$2:$E$1063, E901)&gt;1), "SKU duplicado", ""), IF(OR(J901="", J901=""), "[Aviso] División no capturada ()", IF(ISNA(MATCH(J901, Criterios!$A$123:$A$126, 0)), "División no válida", "")), IF(OR(K901="", K901=""), "[Aviso] Categoría no capturada ()", IF(ISNA(MATCH(K901, Criterios!$A$81:$A$120, 0)), "Categoría no válida", IF(AND(J901&lt;&gt;"", J901&lt;&gt;"", J901&lt;&gt;VLOOKUP(K901, Criterios!$A$81:$B$120, 2, FALSE)), "División no coincide con Categoría", ""))), IF(OR(L901="", L901=""), "[Aviso] Género no capturado ()", IF(ISNA(MATCH(L901, Criterios!$B$123:$B$127, 0)), "Género no válido", "")), IF(OR(N901="", N901=""), "[Aviso] Temporada no capturada ()", IF(ISNA(MATCH(N901, Criterios!$C$123:$C$128, 0)), "Temporada no válida", "")), IF(OR(O901="", O901=""), "[Aviso] Ciclo de vida no capturado ()", IF(ISNA(MATCH(O901, Criterios!$D$123:$D$124, 0)), "Ciclo de vida no válido", ""))))</f>
        <v/>
      </c>
      <c r="AC901" s="56" t="n"/>
      <c r="AD901" s="51" t="n"/>
      <c r="AE901" s="156" t="n"/>
      <c r="AF901" s="51" t="n"/>
      <c r="AG901" s="156" t="inlineStr">
        <is>
          <t>Nuevo – Carga Hoja2 01/10/2026</t>
        </is>
      </c>
      <c r="AH901" s="156" t="inlineStr">
        <is>
          <t>Alta 01/10/2026 desde Hoja2 (fila 931) | Homologación G1522 06/10/2026: Validador Shopify: WB: precio con IVA no termina en 9</t>
        </is>
      </c>
      <c r="AI901" s="156" t="n"/>
      <c r="AJ901" s="156" t="n"/>
      <c r="AK901" s="155" t="inlineStr">
        <is>
          <t>Hoja2: fila 931 | Odoo: producto 22168 / plantilla 28311</t>
        </is>
      </c>
      <c r="AL901" s="58" t="n"/>
      <c r="AM901" s="58" t="n"/>
      <c r="AN901" s="155" t="inlineStr">
        <is>
          <t>Odoo Universal Unique Brands</t>
        </is>
      </c>
      <c r="AO901" s="59" t="n"/>
      <c r="AP901" s="59" t="n"/>
      <c r="AQ901" s="59" t="n">
        <v>7</v>
      </c>
      <c r="AR901" s="155" t="inlineStr">
        <is>
          <t>Odoo Universal Unique Brands › Bodega 25 › Bodega 25/General: 7</t>
        </is>
      </c>
    </row>
    <row r="902">
      <c r="A902" s="50" t="inlineStr">
        <is>
          <t>717690457877</t>
        </is>
      </c>
      <c r="B902" s="51" t="inlineStr">
        <is>
          <t>30073</t>
        </is>
      </c>
      <c r="C902" s="156" t="inlineStr">
        <is>
          <t>Wrangler</t>
        </is>
      </c>
      <c r="D902" s="156" t="inlineStr">
        <is>
          <t>WG252-C012BK</t>
        </is>
      </c>
      <c r="E902" s="156" t="inlineStr">
        <is>
          <t>WG252-C012BK</t>
        </is>
      </c>
      <c r="F902" s="156" t="inlineStr">
        <is>
          <t>Talla única</t>
        </is>
      </c>
      <c r="G902" s="156" t="inlineStr">
        <is>
          <t>One Size</t>
        </is>
      </c>
      <c r="H902" s="156" t="inlineStr">
        <is>
          <t>Wrangler</t>
        </is>
      </c>
      <c r="I902" s="156" t="inlineStr">
        <is>
          <t>Cartera Muñequera Bolsa Cruzada Wrangler Piel De Vaca Genuina Negro</t>
        </is>
      </c>
      <c r="J902" s="156" t="inlineStr">
        <is>
          <t>Accesorios</t>
        </is>
      </c>
      <c r="K902" s="156" t="inlineStr">
        <is>
          <t>Carteras</t>
        </is>
      </c>
      <c r="L902" s="156" t="inlineStr">
        <is>
          <t>Unisex</t>
        </is>
      </c>
      <c r="M902" s="156" t="inlineStr">
        <is>
          <t>Wrangler</t>
        </is>
      </c>
      <c r="N902" s="156" t="inlineStr">
        <is>
          <t>FW26</t>
        </is>
      </c>
      <c r="O902" s="156" t="inlineStr">
        <is>
          <t>Seasonal</t>
        </is>
      </c>
      <c r="P902" s="156" t="inlineStr">
        <is>
          <t>Negro</t>
        </is>
      </c>
      <c r="Q902" s="156" t="n"/>
      <c r="R902" s="156" t="n"/>
      <c r="S902" s="156" t="n"/>
      <c r="T902" s="156" t="inlineStr">
        <is>
          <t>Cartera Muñequera Bolsa Cruzada Wrangler. Modelo: Piel De Vaca Genuina. Color: Negro. Talla única. Unisex. País de origen: México. Referencia: WG252-C012BK.</t>
        </is>
      </c>
      <c r="U902" s="156" t="inlineStr">
        <is>
          <t>México</t>
        </is>
      </c>
      <c r="V902" s="156" t="inlineStr">
        <is>
          <t>PZS</t>
        </is>
      </c>
      <c r="W902" s="51" t="inlineStr">
        <is>
          <t>53121700</t>
        </is>
      </c>
      <c r="X902" s="156" t="n"/>
      <c r="Y902" s="54" t="n">
        <v>280</v>
      </c>
      <c r="Z902" s="54" t="n">
        <v>549.5</v>
      </c>
      <c r="AA902" s="55">
        <f>IF(AND(A902="", B902="", E902=""), "", IF(AB902="", "Válido", IF((LEN(AB902)-LEN(SUBSTITUTE(AB902,"; ","")))/2+1&gt;(LEN(AB902)-LEN(SUBSTITUTE(AB902,"[Aviso]","")))/7, "Con Incidencias", "Válido")))</f>
        <v/>
      </c>
      <c r="AB902" s="56">
        <f>IF(AND(A902="", B902="", E902=""), "", TEXTJOIN("; ", TRUE, IF(OR(TRIM(A902&amp;"")="", ISNUMBER(SEARCH("FALTA", A902))), "UPC faltante/inválido", ""), IF(AND(A902&lt;&gt;"", IFERROR(_xlfn.XMATCH(A902,$A$2:$A$1063,0,1)&lt;&gt;_xlfn.XMATCH(A902,$A$2:$A$1063,0,-1),FALSE)), "Código de barras duplicado", ""), IF(AND(E902&lt;&gt;"", COUNTIF($E$2:$E$1063, E902)&gt;1), "SKU duplicado", ""), IF(OR(J902="", J902=""), "[Aviso] División no capturada ()", IF(ISNA(MATCH(J902, Criterios!$A$123:$A$126, 0)), "División no válida", "")), IF(OR(K902="", K902=""), "[Aviso] Categoría no capturada ()", IF(ISNA(MATCH(K902, Criterios!$A$81:$A$120, 0)), "Categoría no válida", IF(AND(J902&lt;&gt;"", J902&lt;&gt;"", J902&lt;&gt;VLOOKUP(K902, Criterios!$A$81:$B$120, 2, FALSE)), "División no coincide con Categoría", ""))), IF(OR(L902="", L902=""), "[Aviso] Género no capturado ()", IF(ISNA(MATCH(L902, Criterios!$B$123:$B$127, 0)), "Género no válido", "")), IF(OR(N902="", N902=""), "[Aviso] Temporada no capturada ()", IF(ISNA(MATCH(N902, Criterios!$C$123:$C$128, 0)), "Temporada no válida", "")), IF(OR(O902="", O902=""), "[Aviso] Ciclo de vida no capturado ()", IF(ISNA(MATCH(O902, Criterios!$D$123:$D$124, 0)), "Ciclo de vida no válido", ""))))</f>
        <v/>
      </c>
      <c r="AC902" s="56" t="n"/>
      <c r="AD902" s="51" t="n"/>
      <c r="AE902" s="156" t="n"/>
      <c r="AF902" s="51" t="n"/>
      <c r="AG902" s="156" t="inlineStr">
        <is>
          <t>Nuevo – Carga Hoja2 01/10/2026</t>
        </is>
      </c>
      <c r="AH902" s="156" t="inlineStr">
        <is>
          <t>Alta 01/10/2026 desde Hoja2 (fila 932) | Homologación G1522 06/10/2026: Validador Shopify: WB: precio con IVA no termina en 9</t>
        </is>
      </c>
      <c r="AI902" s="156" t="n"/>
      <c r="AJ902" s="156" t="n"/>
      <c r="AK902" s="155" t="inlineStr">
        <is>
          <t>Hoja2: fila 932 | Odoo: producto 30073 / plantilla 38829</t>
        </is>
      </c>
      <c r="AL902" s="58" t="n"/>
      <c r="AM902" s="58" t="n"/>
      <c r="AN902" s="155" t="inlineStr">
        <is>
          <t>Odoo Universal Unique Brands</t>
        </is>
      </c>
      <c r="AO902" s="59" t="n"/>
      <c r="AP902" s="59" t="n"/>
      <c r="AQ902" s="59" t="n">
        <v>7</v>
      </c>
      <c r="AR902" s="155" t="inlineStr">
        <is>
          <t>Odoo Universal Unique Brands › Bodega 25 › Bodega 25/General: 7</t>
        </is>
      </c>
    </row>
    <row r="903">
      <c r="A903" s="50" t="inlineStr">
        <is>
          <t>717690457891</t>
        </is>
      </c>
      <c r="B903" s="51" t="inlineStr">
        <is>
          <t>30056</t>
        </is>
      </c>
      <c r="C903" s="156" t="inlineStr">
        <is>
          <t>Wrangler</t>
        </is>
      </c>
      <c r="D903" s="156" t="inlineStr">
        <is>
          <t>WG252-C012BR</t>
        </is>
      </c>
      <c r="E903" s="156" t="inlineStr">
        <is>
          <t>WG252-C012BR</t>
        </is>
      </c>
      <c r="F903" s="156" t="inlineStr">
        <is>
          <t>Talla única</t>
        </is>
      </c>
      <c r="G903" s="156" t="inlineStr">
        <is>
          <t>One Size</t>
        </is>
      </c>
      <c r="H903" s="156" t="inlineStr">
        <is>
          <t>Wrangler</t>
        </is>
      </c>
      <c r="I903" s="156" t="inlineStr">
        <is>
          <t>Cartera Muñequera Bolsa Cruzada Wrangler Piel De Vaca Genuina Café</t>
        </is>
      </c>
      <c r="J903" s="156" t="inlineStr">
        <is>
          <t>Accesorios</t>
        </is>
      </c>
      <c r="K903" s="156" t="inlineStr">
        <is>
          <t>Carteras</t>
        </is>
      </c>
      <c r="L903" s="156" t="inlineStr">
        <is>
          <t>Unisex</t>
        </is>
      </c>
      <c r="M903" s="156" t="inlineStr">
        <is>
          <t>Wrangler</t>
        </is>
      </c>
      <c r="N903" s="156" t="inlineStr">
        <is>
          <t>FW26</t>
        </is>
      </c>
      <c r="O903" s="156" t="inlineStr">
        <is>
          <t>Seasonal</t>
        </is>
      </c>
      <c r="P903" s="156" t="inlineStr">
        <is>
          <t>Cafe</t>
        </is>
      </c>
      <c r="Q903" s="156" t="n"/>
      <c r="R903" s="156" t="n"/>
      <c r="S903" s="156" t="n"/>
      <c r="T903" s="156" t="inlineStr">
        <is>
          <t>Cartera Muñequera Bolsa Cruzada Wrangler. Modelo: Piel De Vaca Genuina. Color: Café. Talla única. Unisex. País de origen: México. Referencia: WG252-C012BR.</t>
        </is>
      </c>
      <c r="U903" s="156" t="inlineStr">
        <is>
          <t>México</t>
        </is>
      </c>
      <c r="V903" s="156" t="inlineStr">
        <is>
          <t>PZS</t>
        </is>
      </c>
      <c r="W903" s="51" t="inlineStr">
        <is>
          <t>53121700</t>
        </is>
      </c>
      <c r="X903" s="156" t="n"/>
      <c r="Y903" s="54" t="n">
        <v>280</v>
      </c>
      <c r="Z903" s="54" t="n">
        <v>549.5</v>
      </c>
      <c r="AA903" s="55">
        <f>IF(AND(A903="", B903="", E903=""), "", IF(AB903="", "Válido", IF((LEN(AB903)-LEN(SUBSTITUTE(AB903,"; ","")))/2+1&gt;(LEN(AB903)-LEN(SUBSTITUTE(AB903,"[Aviso]","")))/7, "Con Incidencias", "Válido")))</f>
        <v/>
      </c>
      <c r="AB903" s="56">
        <f>IF(AND(A903="", B903="", E903=""), "", TEXTJOIN("; ", TRUE, IF(OR(TRIM(A903&amp;"")="", ISNUMBER(SEARCH("FALTA", A903))), "UPC faltante/inválido", ""), IF(AND(A903&lt;&gt;"", IFERROR(_xlfn.XMATCH(A903,$A$2:$A$1063,0,1)&lt;&gt;_xlfn.XMATCH(A903,$A$2:$A$1063,0,-1),FALSE)), "Código de barras duplicado", ""), IF(AND(E903&lt;&gt;"", COUNTIF($E$2:$E$1063, E903)&gt;1), "SKU duplicado", ""), IF(OR(J903="", J903=""), "[Aviso] División no capturada ()", IF(ISNA(MATCH(J903, Criterios!$A$123:$A$126, 0)), "División no válida", "")), IF(OR(K903="", K903=""), "[Aviso] Categoría no capturada ()", IF(ISNA(MATCH(K903, Criterios!$A$81:$A$120, 0)), "Categoría no válida", IF(AND(J903&lt;&gt;"", J903&lt;&gt;"", J903&lt;&gt;VLOOKUP(K903, Criterios!$A$81:$B$120, 2, FALSE)), "División no coincide con Categoría", ""))), IF(OR(L903="", L903=""), "[Aviso] Género no capturado ()", IF(ISNA(MATCH(L903, Criterios!$B$123:$B$127, 0)), "Género no válido", "")), IF(OR(N903="", N903=""), "[Aviso] Temporada no capturada ()", IF(ISNA(MATCH(N903, Criterios!$C$123:$C$128, 0)), "Temporada no válida", "")), IF(OR(O903="", O903=""), "[Aviso] Ciclo de vida no capturado ()", IF(ISNA(MATCH(O903, Criterios!$D$123:$D$124, 0)), "Ciclo de vida no válido", ""))))</f>
        <v/>
      </c>
      <c r="AC903" s="56" t="n"/>
      <c r="AD903" s="51" t="n"/>
      <c r="AE903" s="156" t="n"/>
      <c r="AF903" s="51" t="n"/>
      <c r="AG903" s="156" t="inlineStr">
        <is>
          <t>Nuevo – Carga Hoja2 01/10/2026</t>
        </is>
      </c>
      <c r="AH903" s="156" t="inlineStr">
        <is>
          <t>Alta 01/10/2026 desde Hoja2 (fila 933) | Homologación G1522 06/10/2026: Validador Shopify: WB: precio con IVA no termina en 9</t>
        </is>
      </c>
      <c r="AI903" s="156" t="n"/>
      <c r="AJ903" s="156" t="n"/>
      <c r="AK903" s="155" t="inlineStr">
        <is>
          <t>Hoja2: fila 933 | Odoo: producto 30056 / plantilla 38812</t>
        </is>
      </c>
      <c r="AL903" s="58" t="n"/>
      <c r="AM903" s="58" t="n"/>
      <c r="AN903" s="155" t="inlineStr">
        <is>
          <t>Odoo Universal Unique Brands</t>
        </is>
      </c>
      <c r="AO903" s="59" t="n"/>
      <c r="AP903" s="59" t="n"/>
      <c r="AQ903" s="59" t="n">
        <v>3</v>
      </c>
      <c r="AR903" s="155" t="inlineStr">
        <is>
          <t>Odoo Universal Unique Brands › Bodega 25 › Bodega 25/General: 3</t>
        </is>
      </c>
    </row>
    <row r="904">
      <c r="A904" s="50" t="inlineStr">
        <is>
          <t>717690457884</t>
        </is>
      </c>
      <c r="B904" s="51" t="inlineStr">
        <is>
          <t>22170</t>
        </is>
      </c>
      <c r="C904" s="156" t="inlineStr">
        <is>
          <t>Wrangler</t>
        </is>
      </c>
      <c r="D904" s="156" t="inlineStr">
        <is>
          <t>WG252-C012TN</t>
        </is>
      </c>
      <c r="E904" s="156" t="inlineStr">
        <is>
          <t>WG252-C012TN</t>
        </is>
      </c>
      <c r="F904" s="156" t="inlineStr">
        <is>
          <t>Talla única</t>
        </is>
      </c>
      <c r="G904" s="156" t="inlineStr">
        <is>
          <t>One Size</t>
        </is>
      </c>
      <c r="H904" s="156" t="inlineStr">
        <is>
          <t>Wrangler</t>
        </is>
      </c>
      <c r="I904" s="156" t="inlineStr">
        <is>
          <t>Cartera Muñequera Cruzada Wrangler Piel De Vaca Genuina Camel</t>
        </is>
      </c>
      <c r="J904" s="156" t="inlineStr">
        <is>
          <t>Accesorios</t>
        </is>
      </c>
      <c r="K904" s="156" t="inlineStr">
        <is>
          <t>Bolsos</t>
        </is>
      </c>
      <c r="L904" s="156" t="inlineStr">
        <is>
          <t>Unisex</t>
        </is>
      </c>
      <c r="M904" s="156" t="inlineStr">
        <is>
          <t>Wrangler</t>
        </is>
      </c>
      <c r="N904" s="156" t="n"/>
      <c r="O904" s="156" t="inlineStr">
        <is>
          <t>Core</t>
        </is>
      </c>
      <c r="P904" s="156" t="inlineStr">
        <is>
          <t>Beige</t>
        </is>
      </c>
      <c r="Q904" s="156" t="n"/>
      <c r="R904" s="156" t="n"/>
      <c r="S904" s="156" t="n"/>
      <c r="T904" s="156" t="inlineStr">
        <is>
          <t>Cartera Muñequera Cruzada Wrangler. Modelo: Piel De Vaca Genuina. Color: Camel. Talla única. Unisex. País de origen: México. Referencia: WG252-C012TN.</t>
        </is>
      </c>
      <c r="U904" s="156" t="inlineStr">
        <is>
          <t>México</t>
        </is>
      </c>
      <c r="V904" s="156" t="inlineStr">
        <is>
          <t>PZS</t>
        </is>
      </c>
      <c r="W904" s="51" t="inlineStr">
        <is>
          <t>53121601</t>
        </is>
      </c>
      <c r="X904" s="156" t="n"/>
      <c r="Y904" s="54" t="n">
        <v>28.5</v>
      </c>
      <c r="Z904" s="54" t="n">
        <v>1079</v>
      </c>
      <c r="AA904" s="55">
        <f>IF(AND(A904="", B904="", E904=""), "", IF(AB904="", "Válido", IF((LEN(AB904)-LEN(SUBSTITUTE(AB904,"; ","")))/2+1&gt;(LEN(AB904)-LEN(SUBSTITUTE(AB904,"[Aviso]","")))/7, "Con Incidencias", "Válido")))</f>
        <v/>
      </c>
      <c r="AB904" s="56">
        <f>IF(AND(A904="", B904="", E904=""), "", TEXTJOIN("; ", TRUE, IF(OR(TRIM(A904&amp;"")="", ISNUMBER(SEARCH("FALTA", A904))), "UPC faltante/inválido", ""), IF(AND(A904&lt;&gt;"", IFERROR(_xlfn.XMATCH(A904,$A$2:$A$1063,0,1)&lt;&gt;_xlfn.XMATCH(A904,$A$2:$A$1063,0,-1),FALSE)), "Código de barras duplicado", ""), IF(AND(E904&lt;&gt;"", COUNTIF($E$2:$E$1063, E904)&gt;1), "SKU duplicado", ""), IF(OR(J904="", J904=""), "[Aviso] División no capturada ()", IF(ISNA(MATCH(J904, Criterios!$A$123:$A$126, 0)), "División no válida", "")), IF(OR(K904="", K904=""), "[Aviso] Categoría no capturada ()", IF(ISNA(MATCH(K904, Criterios!$A$81:$A$120, 0)), "Categoría no válida", IF(AND(J904&lt;&gt;"", J904&lt;&gt;"", J904&lt;&gt;VLOOKUP(K904, Criterios!$A$81:$B$120, 2, FALSE)), "División no coincide con Categoría", ""))), IF(OR(L904="", L904=""), "[Aviso] Género no capturado ()", IF(ISNA(MATCH(L904, Criterios!$B$123:$B$127, 0)), "Género no válido", "")), IF(OR(N904="", N904=""), "[Aviso] Temporada no capturada ()", IF(ISNA(MATCH(N904, Criterios!$C$123:$C$128, 0)), "Temporada no válida", "")), IF(OR(O904="", O904=""), "[Aviso] Ciclo de vida no capturado ()", IF(ISNA(MATCH(O904, Criterios!$D$123:$D$124, 0)), "Ciclo de vida no válido", ""))))</f>
        <v/>
      </c>
      <c r="AC904" s="56" t="n"/>
      <c r="AD904" s="51" t="n"/>
      <c r="AE904" s="156" t="n"/>
      <c r="AF904" s="51" t="n"/>
      <c r="AG904" s="156" t="inlineStr">
        <is>
          <t>Nuevo – Carga Hoja2 01/10/2026</t>
        </is>
      </c>
      <c r="AH904" s="156" t="inlineStr">
        <is>
          <t>Alta 01/10/2026 desde Hoja2 (fila 934) | 01/10/2026: Odoo Universal Unique Brands trae Categoría «Carteras» — se conservó el valor de Productos | Homologación G1522 06/10/2026: Validador Shopify: WB: precio con IVA no termina en 9</t>
        </is>
      </c>
      <c r="AI904" s="156" t="n"/>
      <c r="AJ904" s="156" t="n"/>
      <c r="AK904" s="155" t="inlineStr">
        <is>
          <t>Hoja2: fila 934 | Odoo: producto 22170 / plantilla 28313</t>
        </is>
      </c>
      <c r="AL904" s="58" t="n"/>
      <c r="AM904" s="58" t="n"/>
      <c r="AN904" s="155" t="inlineStr">
        <is>
          <t>Odoo Universal Unique Brands</t>
        </is>
      </c>
      <c r="AO904" s="59" t="n"/>
      <c r="AP904" s="59" t="n"/>
      <c r="AQ904" s="59" t="n">
        <v>-3</v>
      </c>
      <c r="AR904" s="155" t="n"/>
    </row>
    <row r="905">
      <c r="A905" s="50" t="inlineStr">
        <is>
          <t>717690438135</t>
        </is>
      </c>
      <c r="B905" s="51" t="inlineStr">
        <is>
          <t>22199</t>
        </is>
      </c>
      <c r="C905" s="156" t="inlineStr">
        <is>
          <t>Wrangler</t>
        </is>
      </c>
      <c r="D905" s="156" t="inlineStr">
        <is>
          <t>WG262-5110BR</t>
        </is>
      </c>
      <c r="E905" s="156" t="inlineStr">
        <is>
          <t>WG262-5110BR</t>
        </is>
      </c>
      <c r="F905" s="156" t="inlineStr">
        <is>
          <t>Talla única</t>
        </is>
      </c>
      <c r="G905" s="156" t="inlineStr">
        <is>
          <t>One Size</t>
        </is>
      </c>
      <c r="H905" s="156" t="inlineStr">
        <is>
          <t>Wrangler</t>
        </is>
      </c>
      <c r="I905" s="156" t="inlineStr">
        <is>
          <t>Maleta Duffle Wrangler Colección Trenzada Whipstitch Café</t>
        </is>
      </c>
      <c r="J905" s="156" t="inlineStr">
        <is>
          <t>Accesorios</t>
        </is>
      </c>
      <c r="K905" s="156" t="inlineStr">
        <is>
          <t>Equipaje</t>
        </is>
      </c>
      <c r="L905" s="156" t="inlineStr">
        <is>
          <t>Unisex</t>
        </is>
      </c>
      <c r="M905" s="156" t="inlineStr">
        <is>
          <t>Wrangler</t>
        </is>
      </c>
      <c r="N905" s="156" t="n"/>
      <c r="O905" s="156" t="inlineStr">
        <is>
          <t>Core</t>
        </is>
      </c>
      <c r="P905" s="156" t="inlineStr">
        <is>
          <t>Cafe</t>
        </is>
      </c>
      <c r="Q905" s="156" t="n"/>
      <c r="R905" s="156" t="n"/>
      <c r="S905" s="156" t="n"/>
      <c r="T905" s="156" t="inlineStr">
        <is>
          <t>Maleta Duffle Wrangler. Modelo: Colección Trenzada Whipstitch. Color: Café. Talla única. Unisex. País de origen: México. Referencia: WG262-5110BR.</t>
        </is>
      </c>
      <c r="U905" s="156" t="inlineStr">
        <is>
          <t>México</t>
        </is>
      </c>
      <c r="V905" s="156" t="inlineStr">
        <is>
          <t>PZS</t>
        </is>
      </c>
      <c r="W905" s="51" t="inlineStr">
        <is>
          <t>53121601</t>
        </is>
      </c>
      <c r="X905" s="156" t="n"/>
      <c r="Y905" s="54" t="n"/>
      <c r="Z905" s="54" t="n">
        <v>1</v>
      </c>
      <c r="AA905" s="55">
        <f>IF(AND(A905="", B905="", E905=""), "", IF(AB905="", "Válido", IF((LEN(AB905)-LEN(SUBSTITUTE(AB905,"; ","")))/2+1&gt;(LEN(AB905)-LEN(SUBSTITUTE(AB905,"[Aviso]","")))/7, "Con Incidencias", "Válido")))</f>
        <v/>
      </c>
      <c r="AB905" s="56">
        <f>IF(AND(A905="", B905="", E905=""), "", TEXTJOIN("; ", TRUE, IF(OR(TRIM(A905&amp;"")="", ISNUMBER(SEARCH("FALTA", A905))), "UPC faltante/inválido", ""), IF(AND(A905&lt;&gt;"", IFERROR(_xlfn.XMATCH(A905,$A$2:$A$1063,0,1)&lt;&gt;_xlfn.XMATCH(A905,$A$2:$A$1063,0,-1),FALSE)), "Código de barras duplicado", ""), IF(AND(E905&lt;&gt;"", COUNTIF($E$2:$E$1063, E905)&gt;1), "SKU duplicado", ""), IF(OR(J905="", J905=""), "[Aviso] División no capturada ()", IF(ISNA(MATCH(J905, Criterios!$A$123:$A$126, 0)), "División no válida", "")), IF(OR(K905="", K905=""), "[Aviso] Categoría no capturada ()", IF(ISNA(MATCH(K905, Criterios!$A$81:$A$120, 0)), "Categoría no válida", IF(AND(J905&lt;&gt;"", J905&lt;&gt;"", J905&lt;&gt;VLOOKUP(K905, Criterios!$A$81:$B$120, 2, FALSE)), "División no coincide con Categoría", ""))), IF(OR(L905="", L905=""), "[Aviso] Género no capturado ()", IF(ISNA(MATCH(L905, Criterios!$B$123:$B$127, 0)), "Género no válido", "")), IF(OR(N905="", N905=""), "[Aviso] Temporada no capturada ()", IF(ISNA(MATCH(N905, Criterios!$C$123:$C$128, 0)), "Temporada no válida", "")), IF(OR(O905="", O905=""), "[Aviso] Ciclo de vida no capturado ()", IF(ISNA(MATCH(O905, Criterios!$D$123:$D$124, 0)), "Ciclo de vida no válido", ""))))</f>
        <v/>
      </c>
      <c r="AC905" s="56" t="n"/>
      <c r="AD905" s="51" t="n"/>
      <c r="AE905" s="156" t="n"/>
      <c r="AF905" s="51" t="n"/>
      <c r="AG905" s="156" t="inlineStr">
        <is>
          <t>Nuevo – Carga Hoja2 01/10/2026</t>
        </is>
      </c>
      <c r="AH905" s="156" t="inlineStr">
        <is>
          <t>Alta 01/10/2026 desde Hoja2 (fila 935); Precio de compra en 0/vacío en origen; Precio de venta = 1 en origen (posible precio de prueba): validar | Homologación G1522 06/10/2026: Validador Shopify: WB: precio con IVA no termina en 9</t>
        </is>
      </c>
      <c r="AI905" s="156" t="n"/>
      <c r="AJ905" s="156" t="n"/>
      <c r="AK905" s="155" t="inlineStr">
        <is>
          <t>Hoja2: fila 935 | Odoo: producto 22199 / plantilla 28342</t>
        </is>
      </c>
      <c r="AL905" s="58" t="n"/>
      <c r="AM905" s="58" t="n"/>
      <c r="AN905" s="155" t="inlineStr">
        <is>
          <t>Odoo Universal Unique Brands</t>
        </is>
      </c>
      <c r="AO905" s="59" t="n"/>
      <c r="AP905" s="59" t="n"/>
      <c r="AQ905" s="59" t="n">
        <v>0</v>
      </c>
      <c r="AR905" s="155" t="n"/>
    </row>
    <row r="906">
      <c r="A906" s="50" t="inlineStr">
        <is>
          <t>717690451578</t>
        </is>
      </c>
      <c r="B906" s="51" t="inlineStr">
        <is>
          <t>22144</t>
        </is>
      </c>
      <c r="C906" s="156" t="inlineStr">
        <is>
          <t>Wrangler</t>
        </is>
      </c>
      <c r="D906" s="156" t="inlineStr">
        <is>
          <t>WG264-8014RD</t>
        </is>
      </c>
      <c r="E906" s="156" t="inlineStr">
        <is>
          <t>WG264-8014RD</t>
        </is>
      </c>
      <c r="F906" s="156" t="inlineStr">
        <is>
          <t>Talla única</t>
        </is>
      </c>
      <c r="G906" s="156" t="inlineStr">
        <is>
          <t>One Size</t>
        </is>
      </c>
      <c r="H906" s="156" t="inlineStr">
        <is>
          <t>Wrangler</t>
        </is>
      </c>
      <c r="I906" s="156" t="inlineStr">
        <is>
          <t>Bolsa Tote Cruzada Wrangler Estampado De Vaca Con Compartimento Oculto Rojo</t>
        </is>
      </c>
      <c r="J906" s="156" t="inlineStr">
        <is>
          <t>Accesorios</t>
        </is>
      </c>
      <c r="K906" s="156" t="inlineStr">
        <is>
          <t>Bolsos</t>
        </is>
      </c>
      <c r="L906" s="156" t="inlineStr">
        <is>
          <t>Unisex</t>
        </is>
      </c>
      <c r="M906" s="156" t="inlineStr">
        <is>
          <t>Wrangler</t>
        </is>
      </c>
      <c r="N906" s="156" t="n"/>
      <c r="O906" s="156" t="n"/>
      <c r="P906" s="156" t="inlineStr">
        <is>
          <t>Rojo</t>
        </is>
      </c>
      <c r="Q906" s="156" t="n"/>
      <c r="R906" s="156" t="n"/>
      <c r="S906" s="156" t="n"/>
      <c r="T906" s="156" t="inlineStr">
        <is>
          <t>Bolsa Tote Cruzada</t>
        </is>
      </c>
      <c r="U906" s="156" t="inlineStr">
        <is>
          <t>México</t>
        </is>
      </c>
      <c r="V906" s="156" t="inlineStr">
        <is>
          <t>PZS</t>
        </is>
      </c>
      <c r="W906" s="51" t="inlineStr">
        <is>
          <t>53121601</t>
        </is>
      </c>
      <c r="X906" s="156" t="inlineStr">
        <is>
          <t>https://cdn.shopify.com/s/files/1/0005/9015/1741/files/Wrangler_All-over_Leopard_Print_Wide_Tote_Bag_Red4.jpg?v=1757669808</t>
        </is>
      </c>
      <c r="Y906" s="54" t="n">
        <v>19.5</v>
      </c>
      <c r="Z906" s="54" t="n">
        <v>719</v>
      </c>
      <c r="AA906" s="55">
        <f>IF(AND(A906="", B906="", E906=""), "", IF(AB906="", "Válido", IF((LEN(AB906)-LEN(SUBSTITUTE(AB906,"; ","")))/2+1&gt;(LEN(AB906)-LEN(SUBSTITUTE(AB906,"[Aviso]","")))/7, "Con Incidencias", "Válido")))</f>
        <v/>
      </c>
      <c r="AB906" s="56">
        <f>IF(AND(A906="", B906="", E906=""), "", TEXTJOIN("; ", TRUE, IF(OR(TRIM(A906&amp;"")="", ISNUMBER(SEARCH("FALTA", A906))), "UPC faltante/inválido", ""), IF(AND(A906&lt;&gt;"", IFERROR(_xlfn.XMATCH(A906,$A$2:$A$1063,0,1)&lt;&gt;_xlfn.XMATCH(A906,$A$2:$A$1063,0,-1),FALSE)), "Código de barras duplicado", ""), IF(AND(E906&lt;&gt;"", COUNTIF($E$2:$E$1063, E906)&gt;1), "SKU duplicado", ""), IF(OR(J906="", J906=""), "[Aviso] División no capturada ()", IF(ISNA(MATCH(J906, Criterios!$A$123:$A$126, 0)), "División no válida", "")), IF(OR(K906="", K906=""), "[Aviso] Categoría no capturada ()", IF(ISNA(MATCH(K906, Criterios!$A$81:$A$120, 0)), "Categoría no válida", IF(AND(J906&lt;&gt;"", J906&lt;&gt;"", J906&lt;&gt;VLOOKUP(K906, Criterios!$A$81:$B$120, 2, FALSE)), "División no coincide con Categoría", ""))), IF(OR(L906="", L906=""), "[Aviso] Género no capturado ()", IF(ISNA(MATCH(L906, Criterios!$B$123:$B$127, 0)), "Género no válido", "")), IF(OR(N906="", N906=""), "[Aviso] Temporada no capturada ()", IF(ISNA(MATCH(N906, Criterios!$C$123:$C$128, 0)), "Temporada no válida", "")), IF(OR(O906="", O906=""), "[Aviso] Ciclo de vida no capturado ()", IF(ISNA(MATCH(O906, Criterios!$D$123:$D$124, 0)), "Ciclo de vida no válido", ""))))</f>
        <v/>
      </c>
      <c r="AC906" s="56" t="n"/>
      <c r="AD906" s="51" t="n"/>
      <c r="AE906" s="156" t="n"/>
      <c r="AF906" s="51" t="n"/>
      <c r="AG906" s="156" t="inlineStr">
        <is>
          <t>Nuevo – Carga Hoja2 01/10/2026</t>
        </is>
      </c>
      <c r="AH906" s="156" t="inlineStr">
        <is>
          <t>Alta 01/10/2026 desde Hoja2 (fila 936) | 01/10/2026: complementado desde Odoo Universal Unique Brands (match por código de barras): WB Talla, WB Talla de EE. UU., WB Descripción larga | Homologación G1522 06/10/2026: WB País de origen: «Mexico» → «México» (Corrección aplicada) · Enlace de imagen: «» → «https://cdn.shopify.com/s/files/1/0005/9015/1741/files/Wrangler_All-over_Leopard_Print_Wide_Tote_Bag_Red4.jpg?v=1757669808» (Completado por investigación en línea) · Validación G1522: [Aviso] Precio de compra posiblemente en USD · Validador Shopify: WB: precio con IVA no termina en 9</t>
        </is>
      </c>
      <c r="AI906" s="156" t="n"/>
      <c r="AJ906" s="156" t="n"/>
      <c r="AK906" s="155" t="inlineStr">
        <is>
          <t>Hoja2: fila 936 | Odoo: producto 22144 / plantilla 28287 | Investigación en línea 06/10/2026: https://montanawestworld.com/products/wrangler-all-over-cow-print-wide-tote-bag-collection</t>
        </is>
      </c>
      <c r="AL906" s="58" t="n"/>
      <c r="AM906" s="58" t="n"/>
      <c r="AN906" s="155" t="inlineStr">
        <is>
          <t>Odoo Universal Unique Brands</t>
        </is>
      </c>
      <c r="AO906" s="59" t="n"/>
      <c r="AP906" s="59" t="n"/>
      <c r="AQ906" s="59" t="n">
        <v>3</v>
      </c>
      <c r="AR906" s="155" t="inlineStr">
        <is>
          <t>Odoo Universal Unique Brands › Bodega 25 › Bodega 25/General: 3</t>
        </is>
      </c>
    </row>
    <row r="907">
      <c r="A907" s="50" t="inlineStr">
        <is>
          <t>717710494394</t>
        </is>
      </c>
      <c r="B907" s="51" t="inlineStr">
        <is>
          <t>22145</t>
        </is>
      </c>
      <c r="C907" s="156" t="inlineStr">
        <is>
          <t>Wrangler</t>
        </is>
      </c>
      <c r="D907" s="156" t="inlineStr">
        <is>
          <t>WG264-8120BR</t>
        </is>
      </c>
      <c r="E907" s="156" t="inlineStr">
        <is>
          <t>WG264-8120BR</t>
        </is>
      </c>
      <c r="F907" s="156" t="inlineStr">
        <is>
          <t>Talla única</t>
        </is>
      </c>
      <c r="G907" s="156" t="inlineStr">
        <is>
          <t>One Size</t>
        </is>
      </c>
      <c r="H907" s="156" t="inlineStr">
        <is>
          <t>Wrangler</t>
        </is>
      </c>
      <c r="I907" s="156" t="inlineStr">
        <is>
          <t>Bolsa Tote Cruzada Wrangler Estampado De Vaca Con Compartimento Oculto Café</t>
        </is>
      </c>
      <c r="J907" s="156" t="inlineStr">
        <is>
          <t>Accesorios</t>
        </is>
      </c>
      <c r="K907" s="156" t="inlineStr">
        <is>
          <t>Bolsos</t>
        </is>
      </c>
      <c r="L907" s="156" t="inlineStr">
        <is>
          <t>Unisex</t>
        </is>
      </c>
      <c r="M907" s="156" t="inlineStr">
        <is>
          <t>Wrangler</t>
        </is>
      </c>
      <c r="N907" s="156" t="n"/>
      <c r="O907" s="156" t="n"/>
      <c r="P907" s="156" t="inlineStr">
        <is>
          <t>Cafe</t>
        </is>
      </c>
      <c r="Q907" s="156" t="n"/>
      <c r="R907" s="156" t="n"/>
      <c r="S907" s="156" t="n"/>
      <c r="T907" s="156" t="inlineStr">
        <is>
          <t>Bolsa Tote Cruzada</t>
        </is>
      </c>
      <c r="U907" s="156" t="inlineStr">
        <is>
          <t>México</t>
        </is>
      </c>
      <c r="V907" s="156" t="inlineStr">
        <is>
          <t>PZS</t>
        </is>
      </c>
      <c r="W907" s="51" t="inlineStr">
        <is>
          <t>53121601</t>
        </is>
      </c>
      <c r="X907" s="156" t="inlineStr">
        <is>
          <t>https://cdn.shopify.com/s/files/1/0005/9015/1741/files/Wrangler_All-over_Leopard_Print_Tote_Bag_Brown.webp?v=1756361519</t>
        </is>
      </c>
      <c r="Y907" s="54" t="n">
        <v>22.5</v>
      </c>
      <c r="Z907" s="54" t="n">
        <v>839</v>
      </c>
      <c r="AA907" s="55">
        <f>IF(AND(A907="", B907="", E907=""), "", IF(AB907="", "Válido", IF((LEN(AB907)-LEN(SUBSTITUTE(AB907,"; ","")))/2+1&gt;(LEN(AB907)-LEN(SUBSTITUTE(AB907,"[Aviso]","")))/7, "Con Incidencias", "Válido")))</f>
        <v/>
      </c>
      <c r="AB907" s="56">
        <f>IF(AND(A907="", B907="", E907=""), "", TEXTJOIN("; ", TRUE, IF(OR(TRIM(A907&amp;"")="", ISNUMBER(SEARCH("FALTA", A907))), "UPC faltante/inválido", ""), IF(AND(A907&lt;&gt;"", IFERROR(_xlfn.XMATCH(A907,$A$2:$A$1063,0,1)&lt;&gt;_xlfn.XMATCH(A907,$A$2:$A$1063,0,-1),FALSE)), "Código de barras duplicado", ""), IF(AND(E907&lt;&gt;"", COUNTIF($E$2:$E$1063, E907)&gt;1), "SKU duplicado", ""), IF(OR(J907="", J907=""), "[Aviso] División no capturada ()", IF(ISNA(MATCH(J907, Criterios!$A$123:$A$126, 0)), "División no válida", "")), IF(OR(K907="", K907=""), "[Aviso] Categoría no capturada ()", IF(ISNA(MATCH(K907, Criterios!$A$81:$A$120, 0)), "Categoría no válida", IF(AND(J907&lt;&gt;"", J907&lt;&gt;"", J907&lt;&gt;VLOOKUP(K907, Criterios!$A$81:$B$120, 2, FALSE)), "División no coincide con Categoría", ""))), IF(OR(L907="", L907=""), "[Aviso] Género no capturado ()", IF(ISNA(MATCH(L907, Criterios!$B$123:$B$127, 0)), "Género no válido", "")), IF(OR(N907="", N907=""), "[Aviso] Temporada no capturada ()", IF(ISNA(MATCH(N907, Criterios!$C$123:$C$128, 0)), "Temporada no válida", "")), IF(OR(O907="", O907=""), "[Aviso] Ciclo de vida no capturado ()", IF(ISNA(MATCH(O907, Criterios!$D$123:$D$124, 0)), "Ciclo de vida no válido", ""))))</f>
        <v/>
      </c>
      <c r="AC907" s="56" t="n"/>
      <c r="AD907" s="51" t="n"/>
      <c r="AE907" s="156" t="n"/>
      <c r="AF907" s="51" t="n"/>
      <c r="AG907" s="156" t="inlineStr">
        <is>
          <t>Nuevo – Carga Hoja2 01/10/2026</t>
        </is>
      </c>
      <c r="AH907" s="156" t="inlineStr">
        <is>
          <t>Alta 01/10/2026 desde Hoja2 (fila 937) | 01/10/2026: complementado desde Odoo Universal Unique Brands (match por código de barras): WB Talla, WB Talla de EE. UU., WB Descripción larga | Homologación G1522 06/10/2026: WB País de origen: «Mexico» → «México» (Corrección aplicada) · Enlace de imagen: «» → «https://cdn.shopify.com/s/files/1/0005/9015/1741/files/Wrangler_All-over_Leopard_Print_Tote_Bag_Brown.webp?v=1756361519» (Completado por investigación en línea) · Validador Shopify: WB: precio con IVA no termina en 9</t>
        </is>
      </c>
      <c r="AI907" s="156" t="n"/>
      <c r="AJ907" s="156" t="n"/>
      <c r="AK907" s="155" t="inlineStr">
        <is>
          <t>Hoja2: fila 937 | Odoo: producto 22145 / plantilla 28288 | Investigación en línea 06/10/2026: https://montanawestworld.com/products/wrangler-all-over-cow-print-tote-bag</t>
        </is>
      </c>
      <c r="AL907" s="58" t="n"/>
      <c r="AM907" s="58" t="n"/>
      <c r="AN907" s="155" t="inlineStr">
        <is>
          <t>Odoo Universal Unique Brands</t>
        </is>
      </c>
      <c r="AO907" s="59" t="n"/>
      <c r="AP907" s="59" t="n"/>
      <c r="AQ907" s="59" t="n">
        <v>-5</v>
      </c>
      <c r="AR907" s="155" t="n"/>
    </row>
    <row r="908">
      <c r="A908" s="50" t="inlineStr">
        <is>
          <t>717710491638</t>
        </is>
      </c>
      <c r="B908" s="51" t="inlineStr">
        <is>
          <t>22073</t>
        </is>
      </c>
      <c r="C908" s="156" t="inlineStr">
        <is>
          <t>Wrangler</t>
        </is>
      </c>
      <c r="D908" s="156" t="inlineStr">
        <is>
          <t>WG265-3027BK</t>
        </is>
      </c>
      <c r="E908" s="156" t="inlineStr">
        <is>
          <t>WG265-3027BK</t>
        </is>
      </c>
      <c r="F908" s="156" t="inlineStr">
        <is>
          <t>Talla única</t>
        </is>
      </c>
      <c r="G908" s="156" t="inlineStr">
        <is>
          <t>One Size</t>
        </is>
      </c>
      <c r="H908" s="156" t="inlineStr">
        <is>
          <t>Wrangler</t>
        </is>
      </c>
      <c r="I908" s="156" t="inlineStr">
        <is>
          <t>Bolsa Hobo Wrangler Con Flecos Floral Grabada Negro</t>
        </is>
      </c>
      <c r="J908" s="156" t="inlineStr">
        <is>
          <t>Accesorios</t>
        </is>
      </c>
      <c r="K908" s="156" t="inlineStr">
        <is>
          <t>Bolsos</t>
        </is>
      </c>
      <c r="L908" s="156" t="inlineStr">
        <is>
          <t>Unisex</t>
        </is>
      </c>
      <c r="M908" s="156" t="inlineStr">
        <is>
          <t>Wrangler</t>
        </is>
      </c>
      <c r="N908" s="156" t="n"/>
      <c r="O908" s="156" t="inlineStr">
        <is>
          <t>Core</t>
        </is>
      </c>
      <c r="P908" s="156" t="inlineStr">
        <is>
          <t>Negro</t>
        </is>
      </c>
      <c r="Q908" s="156" t="n"/>
      <c r="R908" s="156" t="n"/>
      <c r="S908" s="156" t="n"/>
      <c r="T908" s="156" t="inlineStr">
        <is>
          <t>Bolsa Hobo Wrangler. Modelo: Con Flecos Floral Grabada. Color: Negro. Talla única. Unisex. País de origen: México. Referencia: WG265-3027BK.</t>
        </is>
      </c>
      <c r="U908" s="156" t="inlineStr">
        <is>
          <t>México</t>
        </is>
      </c>
      <c r="V908" s="156" t="inlineStr">
        <is>
          <t>PZS</t>
        </is>
      </c>
      <c r="W908" s="51" t="inlineStr">
        <is>
          <t>53121601</t>
        </is>
      </c>
      <c r="X908" s="156" t="inlineStr">
        <is>
          <t>https://m-universal-unique-brands.odoo.com/web/image/product.product/22073/image_1920</t>
        </is>
      </c>
      <c r="Y908" s="54" t="n">
        <v>28</v>
      </c>
      <c r="Z908" s="54" t="n">
        <v>799</v>
      </c>
      <c r="AA908" s="55">
        <f>IF(AND(A908="", B908="", E908=""), "", IF(AB908="", "Válido", IF((LEN(AB908)-LEN(SUBSTITUTE(AB908,"; ","")))/2+1&gt;(LEN(AB908)-LEN(SUBSTITUTE(AB908,"[Aviso]","")))/7, "Con Incidencias", "Válido")))</f>
        <v/>
      </c>
      <c r="AB908" s="56">
        <f>IF(AND(A908="", B908="", E908=""), "", TEXTJOIN("; ", TRUE, IF(OR(TRIM(A908&amp;"")="", ISNUMBER(SEARCH("FALTA", A908))), "UPC faltante/inválido", ""), IF(AND(A908&lt;&gt;"", IFERROR(_xlfn.XMATCH(A908,$A$2:$A$1063,0,1)&lt;&gt;_xlfn.XMATCH(A908,$A$2:$A$1063,0,-1),FALSE)), "Código de barras duplicado", ""), IF(AND(E908&lt;&gt;"", COUNTIF($E$2:$E$1063, E908)&gt;1), "SKU duplicado", ""), IF(OR(J908="", J908=""), "[Aviso] División no capturada ()", IF(ISNA(MATCH(J908, Criterios!$A$123:$A$126, 0)), "División no válida", "")), IF(OR(K908="", K908=""), "[Aviso] Categoría no capturada ()", IF(ISNA(MATCH(K908, Criterios!$A$81:$A$120, 0)), "Categoría no válida", IF(AND(J908&lt;&gt;"", J908&lt;&gt;"", J908&lt;&gt;VLOOKUP(K908, Criterios!$A$81:$B$120, 2, FALSE)), "División no coincide con Categoría", ""))), IF(OR(L908="", L908=""), "[Aviso] Género no capturado ()", IF(ISNA(MATCH(L908, Criterios!$B$123:$B$127, 0)), "Género no válido", "")), IF(OR(N908="", N908=""), "[Aviso] Temporada no capturada ()", IF(ISNA(MATCH(N908, Criterios!$C$123:$C$128, 0)), "Temporada no válida", "")), IF(OR(O908="", O908=""), "[Aviso] Ciclo de vida no capturado ()", IF(ISNA(MATCH(O908, Criterios!$D$123:$D$124, 0)), "Ciclo de vida no válido", ""))))</f>
        <v/>
      </c>
      <c r="AC908" s="56" t="n"/>
      <c r="AD908" s="51" t="n"/>
      <c r="AE908" s="156" t="n"/>
      <c r="AF908" s="51" t="n"/>
      <c r="AG908" s="156" t="inlineStr">
        <is>
          <t>Nuevo – Carga Hoja2 01/10/2026</t>
        </is>
      </c>
      <c r="AH908" s="156" t="inlineStr">
        <is>
          <t>Alta 01/10/2026 desde Hoja2 (fila 938) | 01/10/2026: complementado desde Odoo Universal Unique Brands (match por código de barras): Enlace de imagen | Homologación G1522 06/10/2026: Validador Shopify: WB: precio con IVA no termina en 9</t>
        </is>
      </c>
      <c r="AI908" s="156" t="n"/>
      <c r="AJ908" s="156" t="n"/>
      <c r="AK908" s="155" t="inlineStr">
        <is>
          <t>Hoja2: fila 938 | Odoo: producto 22073 / plantilla 28216</t>
        </is>
      </c>
      <c r="AL908" s="58" t="n"/>
      <c r="AM908" s="58" t="n"/>
      <c r="AN908" s="155" t="inlineStr">
        <is>
          <t>Odoo Universal Unique Brands</t>
        </is>
      </c>
      <c r="AO908" s="59" t="n"/>
      <c r="AP908" s="59" t="n"/>
      <c r="AQ908" s="59" t="n">
        <v>-5</v>
      </c>
      <c r="AR908" s="155" t="n"/>
    </row>
    <row r="909">
      <c r="A909" s="50" t="inlineStr">
        <is>
          <t>717710491591</t>
        </is>
      </c>
      <c r="B909" s="51" t="inlineStr">
        <is>
          <t>22074</t>
        </is>
      </c>
      <c r="C909" s="156" t="inlineStr">
        <is>
          <t>Wrangler</t>
        </is>
      </c>
      <c r="D909" s="156" t="inlineStr">
        <is>
          <t>WG265-3027BR</t>
        </is>
      </c>
      <c r="E909" s="156" t="inlineStr">
        <is>
          <t>WG265-3027BR</t>
        </is>
      </c>
      <c r="F909" s="156" t="inlineStr">
        <is>
          <t>Talla única</t>
        </is>
      </c>
      <c r="G909" s="156" t="inlineStr">
        <is>
          <t>One Size</t>
        </is>
      </c>
      <c r="H909" s="156" t="inlineStr">
        <is>
          <t>Wrangler</t>
        </is>
      </c>
      <c r="I909" s="156" t="inlineStr">
        <is>
          <t>Bolsa Hobo Wrangler Con Flecos Floral Grabada Café</t>
        </is>
      </c>
      <c r="J909" s="156" t="inlineStr">
        <is>
          <t>Accesorios</t>
        </is>
      </c>
      <c r="K909" s="156" t="inlineStr">
        <is>
          <t>Bolsos</t>
        </is>
      </c>
      <c r="L909" s="156" t="inlineStr">
        <is>
          <t>Unisex</t>
        </is>
      </c>
      <c r="M909" s="156" t="inlineStr">
        <is>
          <t>Wrangler</t>
        </is>
      </c>
      <c r="N909" s="156" t="n"/>
      <c r="O909" s="156" t="inlineStr">
        <is>
          <t>Core</t>
        </is>
      </c>
      <c r="P909" s="156" t="inlineStr">
        <is>
          <t>Cafe</t>
        </is>
      </c>
      <c r="Q909" s="156" t="n"/>
      <c r="R909" s="156" t="n"/>
      <c r="S909" s="156" t="n"/>
      <c r="T909" s="156" t="inlineStr">
        <is>
          <t>Bolsa Hobo Wrangler. Modelo: Con Flecos Floral Grabada. Color: Café. Talla única. Unisex. País de origen: México. Referencia: WG265-3027BR.</t>
        </is>
      </c>
      <c r="U909" s="156" t="inlineStr">
        <is>
          <t>México</t>
        </is>
      </c>
      <c r="V909" s="156" t="inlineStr">
        <is>
          <t>PZS</t>
        </is>
      </c>
      <c r="W909" s="51" t="inlineStr">
        <is>
          <t>53121601</t>
        </is>
      </c>
      <c r="X909" s="156" t="inlineStr">
        <is>
          <t>https://m-universal-unique-brands.odoo.com/web/image/product.product/22074/image_1920</t>
        </is>
      </c>
      <c r="Y909" s="54" t="n">
        <v>28</v>
      </c>
      <c r="Z909" s="54" t="n">
        <v>799</v>
      </c>
      <c r="AA909" s="55">
        <f>IF(AND(A909="", B909="", E909=""), "", IF(AB909="", "Válido", IF((LEN(AB909)-LEN(SUBSTITUTE(AB909,"; ","")))/2+1&gt;(LEN(AB909)-LEN(SUBSTITUTE(AB909,"[Aviso]","")))/7, "Con Incidencias", "Válido")))</f>
        <v/>
      </c>
      <c r="AB909" s="56">
        <f>IF(AND(A909="", B909="", E909=""), "", TEXTJOIN("; ", TRUE, IF(OR(TRIM(A909&amp;"")="", ISNUMBER(SEARCH("FALTA", A909))), "UPC faltante/inválido", ""), IF(AND(A909&lt;&gt;"", IFERROR(_xlfn.XMATCH(A909,$A$2:$A$1063,0,1)&lt;&gt;_xlfn.XMATCH(A909,$A$2:$A$1063,0,-1),FALSE)), "Código de barras duplicado", ""), IF(AND(E909&lt;&gt;"", COUNTIF($E$2:$E$1063, E909)&gt;1), "SKU duplicado", ""), IF(OR(J909="", J909=""), "[Aviso] División no capturada ()", IF(ISNA(MATCH(J909, Criterios!$A$123:$A$126, 0)), "División no válida", "")), IF(OR(K909="", K909=""), "[Aviso] Categoría no capturada ()", IF(ISNA(MATCH(K909, Criterios!$A$81:$A$120, 0)), "Categoría no válida", IF(AND(J909&lt;&gt;"", J909&lt;&gt;"", J909&lt;&gt;VLOOKUP(K909, Criterios!$A$81:$B$120, 2, FALSE)), "División no coincide con Categoría", ""))), IF(OR(L909="", L909=""), "[Aviso] Género no capturado ()", IF(ISNA(MATCH(L909, Criterios!$B$123:$B$127, 0)), "Género no válido", "")), IF(OR(N909="", N909=""), "[Aviso] Temporada no capturada ()", IF(ISNA(MATCH(N909, Criterios!$C$123:$C$128, 0)), "Temporada no válida", "")), IF(OR(O909="", O909=""), "[Aviso] Ciclo de vida no capturado ()", IF(ISNA(MATCH(O909, Criterios!$D$123:$D$124, 0)), "Ciclo de vida no válido", ""))))</f>
        <v/>
      </c>
      <c r="AC909" s="56" t="n"/>
      <c r="AD909" s="51" t="n"/>
      <c r="AE909" s="156" t="n"/>
      <c r="AF909" s="51" t="n"/>
      <c r="AG909" s="156" t="inlineStr">
        <is>
          <t>Nuevo – Carga Hoja2 01/10/2026</t>
        </is>
      </c>
      <c r="AH909" s="156" t="inlineStr">
        <is>
          <t>Alta 01/10/2026 desde Hoja2 (fila 939) | 01/10/2026: complementado desde Odoo Universal Unique Brands (match por código de barras): Enlace de imagen | Homologación G1522 06/10/2026: Validador Shopify: WB: precio con IVA no termina en 9</t>
        </is>
      </c>
      <c r="AI909" s="156" t="n"/>
      <c r="AJ909" s="156" t="n"/>
      <c r="AK909" s="155" t="inlineStr">
        <is>
          <t>Hoja2: fila 939 | Odoo: producto 22074 / plantilla 28217</t>
        </is>
      </c>
      <c r="AL909" s="58" t="n"/>
      <c r="AM909" s="58" t="n"/>
      <c r="AN909" s="155" t="inlineStr">
        <is>
          <t>Odoo Universal Unique Brands</t>
        </is>
      </c>
      <c r="AO909" s="59" t="n"/>
      <c r="AP909" s="59" t="n"/>
      <c r="AQ909" s="59" t="n">
        <v>-2</v>
      </c>
      <c r="AR909" s="155" t="n"/>
    </row>
    <row r="910">
      <c r="A910" s="50" t="inlineStr">
        <is>
          <t>717710491607</t>
        </is>
      </c>
      <c r="B910" s="51" t="inlineStr">
        <is>
          <t>22075</t>
        </is>
      </c>
      <c r="C910" s="156" t="inlineStr">
        <is>
          <t>Wrangler</t>
        </is>
      </c>
      <c r="D910" s="156" t="inlineStr">
        <is>
          <t>WG265-3027CF</t>
        </is>
      </c>
      <c r="E910" s="156" t="inlineStr">
        <is>
          <t>WG265-3027CF</t>
        </is>
      </c>
      <c r="F910" s="156" t="inlineStr">
        <is>
          <t>Talla única</t>
        </is>
      </c>
      <c r="G910" s="156" t="inlineStr">
        <is>
          <t>One Size</t>
        </is>
      </c>
      <c r="H910" s="156" t="inlineStr">
        <is>
          <t>Wrangler</t>
        </is>
      </c>
      <c r="I910" s="156" t="inlineStr">
        <is>
          <t>Bolsa Hobo Wrangler Con Flecos Floral Grabada Café Oscuro</t>
        </is>
      </c>
      <c r="J910" s="156" t="inlineStr">
        <is>
          <t>Accesorios</t>
        </is>
      </c>
      <c r="K910" s="156" t="inlineStr">
        <is>
          <t>Bolsos</t>
        </is>
      </c>
      <c r="L910" s="156" t="inlineStr">
        <is>
          <t>Unisex</t>
        </is>
      </c>
      <c r="M910" s="156" t="inlineStr">
        <is>
          <t>Wrangler</t>
        </is>
      </c>
      <c r="N910" s="156" t="n"/>
      <c r="O910" s="156" t="inlineStr">
        <is>
          <t>Core</t>
        </is>
      </c>
      <c r="P910" s="156" t="inlineStr">
        <is>
          <t>Cafe</t>
        </is>
      </c>
      <c r="Q910" s="156" t="n"/>
      <c r="R910" s="156" t="n"/>
      <c r="S910" s="156" t="n"/>
      <c r="T910" s="156" t="inlineStr">
        <is>
          <t>Bolsa Hobo Wrangler. Modelo: Con Flecos Floral Grabada. Color: Café Oscuro. Talla única. Unisex. País de origen: México. Referencia: WG265-3027CF.</t>
        </is>
      </c>
      <c r="U910" s="156" t="inlineStr">
        <is>
          <t>México</t>
        </is>
      </c>
      <c r="V910" s="156" t="inlineStr">
        <is>
          <t>PZS</t>
        </is>
      </c>
      <c r="W910" s="51" t="inlineStr">
        <is>
          <t>53121601</t>
        </is>
      </c>
      <c r="X910" s="156" t="inlineStr">
        <is>
          <t>https://m-universal-unique-brands.odoo.com/web/image/product.product/22075/image_1920</t>
        </is>
      </c>
      <c r="Y910" s="54" t="n">
        <v>28</v>
      </c>
      <c r="Z910" s="54" t="n">
        <v>799</v>
      </c>
      <c r="AA910" s="55">
        <f>IF(AND(A910="", B910="", E910=""), "", IF(AB910="", "Válido", IF((LEN(AB910)-LEN(SUBSTITUTE(AB910,"; ","")))/2+1&gt;(LEN(AB910)-LEN(SUBSTITUTE(AB910,"[Aviso]","")))/7, "Con Incidencias", "Válido")))</f>
        <v/>
      </c>
      <c r="AB910" s="56">
        <f>IF(AND(A910="", B910="", E910=""), "", TEXTJOIN("; ", TRUE, IF(OR(TRIM(A910&amp;"")="", ISNUMBER(SEARCH("FALTA", A910))), "UPC faltante/inválido", ""), IF(AND(A910&lt;&gt;"", IFERROR(_xlfn.XMATCH(A910,$A$2:$A$1063,0,1)&lt;&gt;_xlfn.XMATCH(A910,$A$2:$A$1063,0,-1),FALSE)), "Código de barras duplicado", ""), IF(AND(E910&lt;&gt;"", COUNTIF($E$2:$E$1063, E910)&gt;1), "SKU duplicado", ""), IF(OR(J910="", J910=""), "[Aviso] División no capturada ()", IF(ISNA(MATCH(J910, Criterios!$A$123:$A$126, 0)), "División no válida", "")), IF(OR(K910="", K910=""), "[Aviso] Categoría no capturada ()", IF(ISNA(MATCH(K910, Criterios!$A$81:$A$120, 0)), "Categoría no válida", IF(AND(J910&lt;&gt;"", J910&lt;&gt;"", J910&lt;&gt;VLOOKUP(K910, Criterios!$A$81:$B$120, 2, FALSE)), "División no coincide con Categoría", ""))), IF(OR(L910="", L910=""), "[Aviso] Género no capturado ()", IF(ISNA(MATCH(L910, Criterios!$B$123:$B$127, 0)), "Género no válido", "")), IF(OR(N910="", N910=""), "[Aviso] Temporada no capturada ()", IF(ISNA(MATCH(N910, Criterios!$C$123:$C$128, 0)), "Temporada no válida", "")), IF(OR(O910="", O910=""), "[Aviso] Ciclo de vida no capturado ()", IF(ISNA(MATCH(O910, Criterios!$D$123:$D$124, 0)), "Ciclo de vida no válido", ""))))</f>
        <v/>
      </c>
      <c r="AC910" s="56" t="n"/>
      <c r="AD910" s="51" t="n"/>
      <c r="AE910" s="156" t="n"/>
      <c r="AF910" s="51" t="n"/>
      <c r="AG910" s="156" t="inlineStr">
        <is>
          <t>Nuevo – Carga Hoja2 01/10/2026</t>
        </is>
      </c>
      <c r="AH910" s="156" t="inlineStr">
        <is>
          <t>Alta 01/10/2026 desde Hoja2 (fila 940) | 01/10/2026: complementado desde Odoo Universal Unique Brands (match por código de barras): Enlace de imagen | Homologación G1522 06/10/2026: Validador Shopify: WB: precio con IVA no termina en 9</t>
        </is>
      </c>
      <c r="AI910" s="156" t="n"/>
      <c r="AJ910" s="156" t="n"/>
      <c r="AK910" s="155" t="inlineStr">
        <is>
          <t>Hoja2: fila 940 | Odoo: producto 22075 / plantilla 28218</t>
        </is>
      </c>
      <c r="AL910" s="58" t="n"/>
      <c r="AM910" s="58" t="n"/>
      <c r="AN910" s="155" t="inlineStr">
        <is>
          <t>Odoo Universal Unique Brands</t>
        </is>
      </c>
      <c r="AO910" s="59" t="n"/>
      <c r="AP910" s="59" t="n"/>
      <c r="AQ910" s="59" t="n">
        <v>-11</v>
      </c>
      <c r="AR910" s="155" t="n"/>
    </row>
    <row r="911">
      <c r="A911" s="50" t="inlineStr">
        <is>
          <t>717710491614</t>
        </is>
      </c>
      <c r="B911" s="51" t="inlineStr">
        <is>
          <t>22076</t>
        </is>
      </c>
      <c r="C911" s="156" t="inlineStr">
        <is>
          <t>Wrangler</t>
        </is>
      </c>
      <c r="D911" s="156" t="inlineStr">
        <is>
          <t>WG265-3027ΚΗ</t>
        </is>
      </c>
      <c r="E911" s="156" t="inlineStr">
        <is>
          <t>WG265-3027KH</t>
        </is>
      </c>
      <c r="F911" s="156" t="inlineStr">
        <is>
          <t>Talla única</t>
        </is>
      </c>
      <c r="G911" s="156" t="inlineStr">
        <is>
          <t>One Size</t>
        </is>
      </c>
      <c r="H911" s="156" t="inlineStr">
        <is>
          <t>Wrangler</t>
        </is>
      </c>
      <c r="I911" s="156" t="inlineStr">
        <is>
          <t>Bolsa Hobo Wrangler Con Flecos Floral Grabada Caqui</t>
        </is>
      </c>
      <c r="J911" s="156" t="inlineStr">
        <is>
          <t>Accesorios</t>
        </is>
      </c>
      <c r="K911" s="156" t="inlineStr">
        <is>
          <t>Bolsos</t>
        </is>
      </c>
      <c r="L911" s="156" t="inlineStr">
        <is>
          <t>Unisex</t>
        </is>
      </c>
      <c r="M911" s="156" t="inlineStr">
        <is>
          <t>Wrangler</t>
        </is>
      </c>
      <c r="N911" s="156" t="n"/>
      <c r="O911" s="156" t="inlineStr">
        <is>
          <t>Core</t>
        </is>
      </c>
      <c r="P911" s="156" t="inlineStr">
        <is>
          <t>Beige</t>
        </is>
      </c>
      <c r="Q911" s="156" t="n"/>
      <c r="R911" s="156" t="n"/>
      <c r="S911" s="156" t="n"/>
      <c r="T911" s="156" t="inlineStr">
        <is>
          <t>Bolsa Hobo Wrangler. Modelo: Con Flecos Floral Grabada. Color: Caqui. Talla única. Unisex. País de origen: México. Referencia: WG265-3027KH.</t>
        </is>
      </c>
      <c r="U911" s="156" t="inlineStr">
        <is>
          <t>México</t>
        </is>
      </c>
      <c r="V911" s="156" t="inlineStr">
        <is>
          <t>PZS</t>
        </is>
      </c>
      <c r="W911" s="51" t="inlineStr">
        <is>
          <t>53121601</t>
        </is>
      </c>
      <c r="X911" s="156" t="n"/>
      <c r="Y911" s="54" t="n">
        <v>28</v>
      </c>
      <c r="Z911" s="54" t="n">
        <v>799</v>
      </c>
      <c r="AA911" s="55">
        <f>IF(AND(A911="", B911="", E911=""), "", IF(AB911="", "Válido", IF((LEN(AB911)-LEN(SUBSTITUTE(AB911,"; ","")))/2+1&gt;(LEN(AB911)-LEN(SUBSTITUTE(AB911,"[Aviso]","")))/7, "Con Incidencias", "Válido")))</f>
        <v/>
      </c>
      <c r="AB911" s="56">
        <f>IF(AND(A911="", B911="", E911=""), "", TEXTJOIN("; ", TRUE, IF(OR(TRIM(A911&amp;"")="", ISNUMBER(SEARCH("FALTA", A911))), "UPC faltante/inválido", ""), IF(AND(A911&lt;&gt;"", IFERROR(_xlfn.XMATCH(A911,$A$2:$A$1063,0,1)&lt;&gt;_xlfn.XMATCH(A911,$A$2:$A$1063,0,-1),FALSE)), "Código de barras duplicado", ""), IF(AND(E911&lt;&gt;"", COUNTIF($E$2:$E$1063, E911)&gt;1), "SKU duplicado", ""), IF(OR(J911="", J911=""), "[Aviso] División no capturada ()", IF(ISNA(MATCH(J911, Criterios!$A$123:$A$126, 0)), "División no válida", "")), IF(OR(K911="", K911=""), "[Aviso] Categoría no capturada ()", IF(ISNA(MATCH(K911, Criterios!$A$81:$A$120, 0)), "Categoría no válida", IF(AND(J911&lt;&gt;"", J911&lt;&gt;"", J911&lt;&gt;VLOOKUP(K911, Criterios!$A$81:$B$120, 2, FALSE)), "División no coincide con Categoría", ""))), IF(OR(L911="", L911=""), "[Aviso] Género no capturado ()", IF(ISNA(MATCH(L911, Criterios!$B$123:$B$127, 0)), "Género no válido", "")), IF(OR(N911="", N911=""), "[Aviso] Temporada no capturada ()", IF(ISNA(MATCH(N911, Criterios!$C$123:$C$128, 0)), "Temporada no válida", "")), IF(OR(O911="", O911=""), "[Aviso] Ciclo de vida no capturado ()", IF(ISNA(MATCH(O911, Criterios!$D$123:$D$124, 0)), "Ciclo de vida no válido", ""))))</f>
        <v/>
      </c>
      <c r="AC911" s="56" t="n"/>
      <c r="AD911" s="51" t="n"/>
      <c r="AE911" s="156" t="n"/>
      <c r="AF911" s="51" t="n"/>
      <c r="AG911" s="156" t="inlineStr">
        <is>
          <t>Nuevo – Carga Hoja2 01/10/2026</t>
        </is>
      </c>
      <c r="AH911" s="156" t="inlineStr">
        <is>
          <t>Alta 01/10/2026 desde Hoja2 (fila 941) | 01/10/2026: Odoo Universal Unique Brands trae SKU WG265-3027ΚΗ — se conservó el valor de Productos | Homologación G1522 06/10/2026: Validador Shopify: WB: precio con IVA no termina en 9</t>
        </is>
      </c>
      <c r="AI911" s="156" t="n"/>
      <c r="AJ911" s="156" t="n"/>
      <c r="AK911" s="155" t="inlineStr">
        <is>
          <t>Hoja2: fila 941 | Odoo: producto 22076 / plantilla 28219</t>
        </is>
      </c>
      <c r="AL911" s="58" t="n"/>
      <c r="AM911" s="58" t="n"/>
      <c r="AN911" s="155" t="inlineStr">
        <is>
          <t>Odoo Universal Unique Brands</t>
        </is>
      </c>
      <c r="AO911" s="59" t="n"/>
      <c r="AP911" s="59" t="n"/>
      <c r="AQ911" s="59" t="n">
        <v>10</v>
      </c>
      <c r="AR911" s="155" t="inlineStr">
        <is>
          <t>Odoo Universal Unique Brands › Bodega 25 › Bodega 25/General: 10</t>
        </is>
      </c>
    </row>
    <row r="912">
      <c r="A912" s="50" t="inlineStr">
        <is>
          <t>717690451196</t>
        </is>
      </c>
      <c r="B912" s="51" t="inlineStr">
        <is>
          <t>22159</t>
        </is>
      </c>
      <c r="C912" s="156" t="inlineStr">
        <is>
          <t>Wrangler</t>
        </is>
      </c>
      <c r="D912" s="156" t="inlineStr">
        <is>
          <t>WG276-9182BG</t>
        </is>
      </c>
      <c r="E912" s="156" t="inlineStr">
        <is>
          <t>WG276-9182BG</t>
        </is>
      </c>
      <c r="F912" s="156" t="inlineStr">
        <is>
          <t>Talla única</t>
        </is>
      </c>
      <c r="G912" s="156" t="inlineStr">
        <is>
          <t>One Size</t>
        </is>
      </c>
      <c r="H912" s="156" t="inlineStr">
        <is>
          <t>Wrangler</t>
        </is>
      </c>
      <c r="I912" s="156" t="inlineStr">
        <is>
          <t>Bolsa Hobo Wrangler Floral Grabada Con Monedero Beige</t>
        </is>
      </c>
      <c r="J912" s="156" t="inlineStr">
        <is>
          <t>Accesorios</t>
        </is>
      </c>
      <c r="K912" s="156" t="inlineStr">
        <is>
          <t>Bolsos</t>
        </is>
      </c>
      <c r="L912" s="156" t="inlineStr">
        <is>
          <t>Unisex</t>
        </is>
      </c>
      <c r="M912" s="156" t="inlineStr">
        <is>
          <t>Wrangler</t>
        </is>
      </c>
      <c r="N912" s="156" t="n"/>
      <c r="O912" s="156" t="n"/>
      <c r="P912" s="156" t="inlineStr">
        <is>
          <t>Beige</t>
        </is>
      </c>
      <c r="Q912" s="156" t="n"/>
      <c r="R912" s="156" t="n"/>
      <c r="S912" s="156" t="n"/>
      <c r="T912" s="156" t="inlineStr">
        <is>
          <t>Bolsa Hobo</t>
        </is>
      </c>
      <c r="U912" s="156" t="inlineStr">
        <is>
          <t>México</t>
        </is>
      </c>
      <c r="V912" s="156" t="inlineStr">
        <is>
          <t>PZS</t>
        </is>
      </c>
      <c r="W912" s="51" t="inlineStr">
        <is>
          <t>53121601</t>
        </is>
      </c>
      <c r="X912" s="156" t="inlineStr">
        <is>
          <t>https://cdn.shopify.com/s/files/1/0005/9015/1741/files/WG276-9182BG.1_a447f623-a491-4352-834d-1216530e809d.webp?v=1781777708</t>
        </is>
      </c>
      <c r="Y912" s="54" t="n">
        <v>21</v>
      </c>
      <c r="Z912" s="54" t="n">
        <v>799</v>
      </c>
      <c r="AA912" s="55">
        <f>IF(AND(A912="", B912="", E912=""), "", IF(AB912="", "Válido", IF((LEN(AB912)-LEN(SUBSTITUTE(AB912,"; ","")))/2+1&gt;(LEN(AB912)-LEN(SUBSTITUTE(AB912,"[Aviso]","")))/7, "Con Incidencias", "Válido")))</f>
        <v/>
      </c>
      <c r="AB912" s="56">
        <f>IF(AND(A912="", B912="", E912=""), "", TEXTJOIN("; ", TRUE, IF(OR(TRIM(A912&amp;"")="", ISNUMBER(SEARCH("FALTA", A912))), "UPC faltante/inválido", ""), IF(AND(A912&lt;&gt;"", IFERROR(_xlfn.XMATCH(A912,$A$2:$A$1063,0,1)&lt;&gt;_xlfn.XMATCH(A912,$A$2:$A$1063,0,-1),FALSE)), "Código de barras duplicado", ""), IF(AND(E912&lt;&gt;"", COUNTIF($E$2:$E$1063, E912)&gt;1), "SKU duplicado", ""), IF(OR(J912="", J912=""), "[Aviso] División no capturada ()", IF(ISNA(MATCH(J912, Criterios!$A$123:$A$126, 0)), "División no válida", "")), IF(OR(K912="", K912=""), "[Aviso] Categoría no capturada ()", IF(ISNA(MATCH(K912, Criterios!$A$81:$A$120, 0)), "Categoría no válida", IF(AND(J912&lt;&gt;"", J912&lt;&gt;"", J912&lt;&gt;VLOOKUP(K912, Criterios!$A$81:$B$120, 2, FALSE)), "División no coincide con Categoría", ""))), IF(OR(L912="", L912=""), "[Aviso] Género no capturado ()", IF(ISNA(MATCH(L912, Criterios!$B$123:$B$127, 0)), "Género no válido", "")), IF(OR(N912="", N912=""), "[Aviso] Temporada no capturada ()", IF(ISNA(MATCH(N912, Criterios!$C$123:$C$128, 0)), "Temporada no válida", "")), IF(OR(O912="", O912=""), "[Aviso] Ciclo de vida no capturado ()", IF(ISNA(MATCH(O912, Criterios!$D$123:$D$124, 0)), "Ciclo de vida no válido", ""))))</f>
        <v/>
      </c>
      <c r="AC912" s="56" t="n"/>
      <c r="AD912" s="51" t="n"/>
      <c r="AE912" s="156" t="n"/>
      <c r="AF912" s="51" t="n"/>
      <c r="AG912" s="156" t="inlineStr">
        <is>
          <t>Nuevo – Carga Hoja2 01/10/2026</t>
        </is>
      </c>
      <c r="AH912" s="156" t="inlineStr">
        <is>
          <t>Alta 01/10/2026 desde Hoja2 (fila 942) | 01/10/2026: complementado desde Odoo Universal Unique Brands (match por código de barras): WB Talla, WB Talla de EE. UU., WB Descripción larga | Homologación G1522 06/10/2026: WB País de origen: «Mexico» → «México» (Corrección aplicada) · Enlace de imagen: «» → «https://cdn.shopify.com/s/files/1/0005/9015/1741/files/WG276-9182BG.1_a447f623-a491-4352-834d-1216530e809d.webp?v=1781777708» (Completado por investigación en línea) · Validador Shopify: WB: precio con IVA no termina en 9</t>
        </is>
      </c>
      <c r="AI912" s="156" t="n"/>
      <c r="AJ912" s="156" t="n"/>
      <c r="AK912" s="155" t="inlineStr">
        <is>
          <t>Hoja2: fila 942 | Odoo: producto 22159 / plantilla 28302 | Investigación en línea 06/10/2026: https://montanawestworld.com/products/wrangler-floral-embossed-hobo-bag</t>
        </is>
      </c>
      <c r="AL912" s="58" t="n"/>
      <c r="AM912" s="58" t="n"/>
      <c r="AN912" s="155" t="inlineStr">
        <is>
          <t>Odoo Universal Unique Brands</t>
        </is>
      </c>
      <c r="AO912" s="59" t="n"/>
      <c r="AP912" s="59" t="n"/>
      <c r="AQ912" s="59" t="n">
        <v>1</v>
      </c>
      <c r="AR912" s="155" t="inlineStr">
        <is>
          <t>Odoo Universal Unique Brands › Bodega 25 › Bodega 25/General: 1</t>
        </is>
      </c>
    </row>
    <row r="913">
      <c r="A913" s="50" t="inlineStr">
        <is>
          <t>717690451134</t>
        </is>
      </c>
      <c r="B913" s="51" t="inlineStr">
        <is>
          <t>22077</t>
        </is>
      </c>
      <c r="C913" s="156" t="inlineStr">
        <is>
          <t>Wrangler</t>
        </is>
      </c>
      <c r="D913" s="156" t="inlineStr">
        <is>
          <t>WG276-9182BR</t>
        </is>
      </c>
      <c r="E913" s="156" t="inlineStr">
        <is>
          <t>WG276-9182BR</t>
        </is>
      </c>
      <c r="F913" s="156" t="inlineStr">
        <is>
          <t>Talla única</t>
        </is>
      </c>
      <c r="G913" s="156" t="inlineStr">
        <is>
          <t>One Size</t>
        </is>
      </c>
      <c r="H913" s="156" t="inlineStr">
        <is>
          <t>Wrangler</t>
        </is>
      </c>
      <c r="I913" s="156" t="inlineStr">
        <is>
          <t>Bolsa Hobo Wrangler Estampado Floral Vintage Café</t>
        </is>
      </c>
      <c r="J913" s="156" t="inlineStr">
        <is>
          <t>Accesorios</t>
        </is>
      </c>
      <c r="K913" s="156" t="inlineStr">
        <is>
          <t>Bolsos</t>
        </is>
      </c>
      <c r="L913" s="156" t="inlineStr">
        <is>
          <t>Unisex</t>
        </is>
      </c>
      <c r="M913" s="156" t="inlineStr">
        <is>
          <t>Wrangler</t>
        </is>
      </c>
      <c r="N913" s="156" t="n"/>
      <c r="O913" s="156" t="inlineStr">
        <is>
          <t>Core</t>
        </is>
      </c>
      <c r="P913" s="156" t="inlineStr">
        <is>
          <t>Cafe</t>
        </is>
      </c>
      <c r="Q913" s="156" t="n"/>
      <c r="R913" s="156" t="n"/>
      <c r="S913" s="156" t="n"/>
      <c r="T913" s="156" t="inlineStr">
        <is>
          <t>Bolsa Hobo Wrangler. Modelo: Estampado Floral Vintage. Color: Café. Talla única. Unisex. País de origen: México. Referencia: WG276-9182BR.</t>
        </is>
      </c>
      <c r="U913" s="156" t="inlineStr">
        <is>
          <t>México</t>
        </is>
      </c>
      <c r="V913" s="156" t="inlineStr">
        <is>
          <t>PZS</t>
        </is>
      </c>
      <c r="W913" s="51" t="inlineStr">
        <is>
          <t>53121601</t>
        </is>
      </c>
      <c r="X913" s="156" t="inlineStr">
        <is>
          <t>https://m-universal-unique-brands.odoo.com/web/image/product.product/22077/image_1920</t>
        </is>
      </c>
      <c r="Y913" s="54" t="n">
        <v>34</v>
      </c>
      <c r="Z913" s="54" t="n">
        <v>1919</v>
      </c>
      <c r="AA913" s="55">
        <f>IF(AND(A913="", B913="", E913=""), "", IF(AB913="", "Válido", IF((LEN(AB913)-LEN(SUBSTITUTE(AB913,"; ","")))/2+1&gt;(LEN(AB913)-LEN(SUBSTITUTE(AB913,"[Aviso]","")))/7, "Con Incidencias", "Válido")))</f>
        <v/>
      </c>
      <c r="AB913" s="56">
        <f>IF(AND(A913="", B913="", E913=""), "", TEXTJOIN("; ", TRUE, IF(OR(TRIM(A913&amp;"")="", ISNUMBER(SEARCH("FALTA", A913))), "UPC faltante/inválido", ""), IF(AND(A913&lt;&gt;"", IFERROR(_xlfn.XMATCH(A913,$A$2:$A$1063,0,1)&lt;&gt;_xlfn.XMATCH(A913,$A$2:$A$1063,0,-1),FALSE)), "Código de barras duplicado", ""), IF(AND(E913&lt;&gt;"", COUNTIF($E$2:$E$1063, E913)&gt;1), "SKU duplicado", ""), IF(OR(J913="", J913=""), "[Aviso] División no capturada ()", IF(ISNA(MATCH(J913, Criterios!$A$123:$A$126, 0)), "División no válida", "")), IF(OR(K913="", K913=""), "[Aviso] Categoría no capturada ()", IF(ISNA(MATCH(K913, Criterios!$A$81:$A$120, 0)), "Categoría no válida", IF(AND(J913&lt;&gt;"", J913&lt;&gt;"", J913&lt;&gt;VLOOKUP(K913, Criterios!$A$81:$B$120, 2, FALSE)), "División no coincide con Categoría", ""))), IF(OR(L913="", L913=""), "[Aviso] Género no capturado ()", IF(ISNA(MATCH(L913, Criterios!$B$123:$B$127, 0)), "Género no válido", "")), IF(OR(N913="", N913=""), "[Aviso] Temporada no capturada ()", IF(ISNA(MATCH(N913, Criterios!$C$123:$C$128, 0)), "Temporada no válida", "")), IF(OR(O913="", O913=""), "[Aviso] Ciclo de vida no capturado ()", IF(ISNA(MATCH(O913, Criterios!$D$123:$D$124, 0)), "Ciclo de vida no válido", ""))))</f>
        <v/>
      </c>
      <c r="AC913" s="56" t="n"/>
      <c r="AD913" s="51" t="n"/>
      <c r="AE913" s="156" t="n"/>
      <c r="AF913" s="51" t="n"/>
      <c r="AG913" s="156" t="inlineStr">
        <is>
          <t>Nuevo – Carga Hoja2 01/10/2026</t>
        </is>
      </c>
      <c r="AH913" s="156" t="inlineStr">
        <is>
          <t>Alta 01/10/2026 desde Hoja2 (fila 943) | 01/10/2026: complementado desde Odoo Universal Unique Brands (match por código de barras): Enlace de imagen | 01/10/2026: Odoo Universal Unique Brands trae Marca «Montana West» — se conservó el valor de Productos | Homologación G1522 06/10/2026: Validador Shopify: WB: precio con IVA no termina en 9</t>
        </is>
      </c>
      <c r="AI913" s="156" t="n"/>
      <c r="AJ913" s="156" t="n"/>
      <c r="AK913" s="155" t="inlineStr">
        <is>
          <t>Hoja2: fila 943 | Odoo: producto 22077 / plantilla 28220 | Odoo: producto 27470 / plantilla 34170</t>
        </is>
      </c>
      <c r="AL913" s="58" t="n"/>
      <c r="AM913" s="58" t="n"/>
      <c r="AN913" s="155" t="inlineStr">
        <is>
          <t>Odoo Universal Unique Brands</t>
        </is>
      </c>
      <c r="AO913" s="59" t="n"/>
      <c r="AP913" s="59" t="n"/>
      <c r="AQ913" s="59" t="n">
        <v>10</v>
      </c>
      <c r="AR913" s="155" t="inlineStr">
        <is>
          <t>Odoo Universal Unique Brands › Bodega 25 › Bodega 25/General: 11</t>
        </is>
      </c>
    </row>
    <row r="914">
      <c r="A914" s="50" t="inlineStr">
        <is>
          <t>717690457648</t>
        </is>
      </c>
      <c r="B914" s="51" t="inlineStr">
        <is>
          <t>22078</t>
        </is>
      </c>
      <c r="C914" s="156" t="inlineStr">
        <is>
          <t>Wrangler</t>
        </is>
      </c>
      <c r="D914" s="156" t="inlineStr">
        <is>
          <t>WG277-236CF</t>
        </is>
      </c>
      <c r="E914" s="156" t="inlineStr">
        <is>
          <t>WG277-236CF</t>
        </is>
      </c>
      <c r="F914" s="156" t="inlineStr">
        <is>
          <t>Talla única</t>
        </is>
      </c>
      <c r="G914" s="156" t="inlineStr">
        <is>
          <t>One Size</t>
        </is>
      </c>
      <c r="H914" s="156" t="inlineStr">
        <is>
          <t>Wrangler</t>
        </is>
      </c>
      <c r="I914" s="156" t="inlineStr">
        <is>
          <t>Bolsa Hobo Wrangler Floral Grabada Con Monedero Café Oscuro</t>
        </is>
      </c>
      <c r="J914" s="156" t="inlineStr">
        <is>
          <t>Accesorios</t>
        </is>
      </c>
      <c r="K914" s="156" t="inlineStr">
        <is>
          <t>Bolsos</t>
        </is>
      </c>
      <c r="L914" s="156" t="inlineStr">
        <is>
          <t>Unisex</t>
        </is>
      </c>
      <c r="M914" s="156" t="inlineStr">
        <is>
          <t>Wrangler</t>
        </is>
      </c>
      <c r="N914" s="156" t="n"/>
      <c r="O914" s="156" t="inlineStr">
        <is>
          <t>Core</t>
        </is>
      </c>
      <c r="P914" s="156" t="inlineStr">
        <is>
          <t>Cafe</t>
        </is>
      </c>
      <c r="Q914" s="156" t="n"/>
      <c r="R914" s="156" t="n"/>
      <c r="S914" s="156" t="n"/>
      <c r="T914" s="156" t="inlineStr">
        <is>
          <t>Bolsa Hobo Wrangler. Modelo: Floral Grabada Con Monedero. Color: Café Oscuro. Talla única. Unisex. País de origen: México. Referencia: WG277-236CF.</t>
        </is>
      </c>
      <c r="U914" s="156" t="inlineStr">
        <is>
          <t>México</t>
        </is>
      </c>
      <c r="V914" s="156" t="inlineStr">
        <is>
          <t>PZS</t>
        </is>
      </c>
      <c r="W914" s="51" t="inlineStr">
        <is>
          <t>53121601</t>
        </is>
      </c>
      <c r="X914" s="156" t="inlineStr">
        <is>
          <t>https://m-universal-unique-brands.odoo.com/web/image/product.product/22078/image_1920</t>
        </is>
      </c>
      <c r="Y914" s="54" t="n">
        <v>23</v>
      </c>
      <c r="Z914" s="54" t="n">
        <v>699</v>
      </c>
      <c r="AA914" s="55">
        <f>IF(AND(A914="", B914="", E914=""), "", IF(AB914="", "Válido", IF((LEN(AB914)-LEN(SUBSTITUTE(AB914,"; ","")))/2+1&gt;(LEN(AB914)-LEN(SUBSTITUTE(AB914,"[Aviso]","")))/7, "Con Incidencias", "Válido")))</f>
        <v/>
      </c>
      <c r="AB914" s="56">
        <f>IF(AND(A914="", B914="", E914=""), "", TEXTJOIN("; ", TRUE, IF(OR(TRIM(A914&amp;"")="", ISNUMBER(SEARCH("FALTA", A914))), "UPC faltante/inválido", ""), IF(AND(A914&lt;&gt;"", IFERROR(_xlfn.XMATCH(A914,$A$2:$A$1063,0,1)&lt;&gt;_xlfn.XMATCH(A914,$A$2:$A$1063,0,-1),FALSE)), "Código de barras duplicado", ""), IF(AND(E914&lt;&gt;"", COUNTIF($E$2:$E$1063, E914)&gt;1), "SKU duplicado", ""), IF(OR(J914="", J914=""), "[Aviso] División no capturada ()", IF(ISNA(MATCH(J914, Criterios!$A$123:$A$126, 0)), "División no válida", "")), IF(OR(K914="", K914=""), "[Aviso] Categoría no capturada ()", IF(ISNA(MATCH(K914, Criterios!$A$81:$A$120, 0)), "Categoría no válida", IF(AND(J914&lt;&gt;"", J914&lt;&gt;"", J914&lt;&gt;VLOOKUP(K914, Criterios!$A$81:$B$120, 2, FALSE)), "División no coincide con Categoría", ""))), IF(OR(L914="", L914=""), "[Aviso] Género no capturado ()", IF(ISNA(MATCH(L914, Criterios!$B$123:$B$127, 0)), "Género no válido", "")), IF(OR(N914="", N914=""), "[Aviso] Temporada no capturada ()", IF(ISNA(MATCH(N914, Criterios!$C$123:$C$128, 0)), "Temporada no válida", "")), IF(OR(O914="", O914=""), "[Aviso] Ciclo de vida no capturado ()", IF(ISNA(MATCH(O914, Criterios!$D$123:$D$124, 0)), "Ciclo de vida no válido", ""))))</f>
        <v/>
      </c>
      <c r="AC914" s="56" t="n"/>
      <c r="AD914" s="51" t="n"/>
      <c r="AE914" s="156" t="n"/>
      <c r="AF914" s="51" t="n"/>
      <c r="AG914" s="156" t="inlineStr">
        <is>
          <t>Nuevo – Carga Hoja2 01/10/2026</t>
        </is>
      </c>
      <c r="AH914" s="156" t="inlineStr">
        <is>
          <t>Alta 01/10/2026 desde Hoja2 (fila 944) | 01/10/2026: complementado desde Odoo Universal Unique Brands (match por código de barras): Enlace de imagen | Homologación G1522 06/10/2026: Validador Shopify: WB: precio con IVA no termina en 9</t>
        </is>
      </c>
      <c r="AI914" s="156" t="n"/>
      <c r="AJ914" s="156" t="n"/>
      <c r="AK914" s="155" t="inlineStr">
        <is>
          <t>Hoja2: fila 944 | Odoo: producto 22078 / plantilla 28221</t>
        </is>
      </c>
      <c r="AL914" s="58" t="n"/>
      <c r="AM914" s="58" t="n"/>
      <c r="AN914" s="155" t="inlineStr">
        <is>
          <t>Odoo Universal Unique Brands</t>
        </is>
      </c>
      <c r="AO914" s="59" t="n"/>
      <c r="AP914" s="59" t="n"/>
      <c r="AQ914" s="59" t="n">
        <v>10</v>
      </c>
      <c r="AR914" s="155" t="inlineStr">
        <is>
          <t>Odoo Universal Unique Brands › Bodega 25 › Bodega 25/General: 10</t>
        </is>
      </c>
    </row>
    <row r="915">
      <c r="A915" s="50" t="inlineStr">
        <is>
          <t>717690457341</t>
        </is>
      </c>
      <c r="B915" s="51" t="inlineStr">
        <is>
          <t>22079</t>
        </is>
      </c>
      <c r="C915" s="156" t="inlineStr">
        <is>
          <t>Wrangler</t>
        </is>
      </c>
      <c r="D915" s="156" t="inlineStr">
        <is>
          <t>WG277-9182BK</t>
        </is>
      </c>
      <c r="E915" s="156" t="inlineStr">
        <is>
          <t>WG277-9182BK</t>
        </is>
      </c>
      <c r="F915" s="156" t="inlineStr">
        <is>
          <t>Talla única</t>
        </is>
      </c>
      <c r="G915" s="156" t="inlineStr">
        <is>
          <t>One Size</t>
        </is>
      </c>
      <c r="H915" s="156" t="inlineStr">
        <is>
          <t>Wrangler</t>
        </is>
      </c>
      <c r="I915" s="156" t="inlineStr">
        <is>
          <t>Bolsa Hobo Wrangler Estampado Floral Vintage Negro</t>
        </is>
      </c>
      <c r="J915" s="156" t="inlineStr">
        <is>
          <t>Accesorios</t>
        </is>
      </c>
      <c r="K915" s="156" t="inlineStr">
        <is>
          <t>Bolsos</t>
        </is>
      </c>
      <c r="L915" s="156" t="inlineStr">
        <is>
          <t>Unisex</t>
        </is>
      </c>
      <c r="M915" s="156" t="inlineStr">
        <is>
          <t>Wrangler</t>
        </is>
      </c>
      <c r="N915" s="156" t="n"/>
      <c r="O915" s="156" t="inlineStr">
        <is>
          <t>Core</t>
        </is>
      </c>
      <c r="P915" s="156" t="inlineStr">
        <is>
          <t>Negro</t>
        </is>
      </c>
      <c r="Q915" s="156" t="n"/>
      <c r="R915" s="156" t="n"/>
      <c r="S915" s="156" t="n"/>
      <c r="T915" s="156" t="inlineStr">
        <is>
          <t>Bolsa Hobo Wrangler. Modelo: Estampado Floral Vintage. Color: Negro. Talla única. Unisex. País de origen: México. Referencia: WG277-9182BK.</t>
        </is>
      </c>
      <c r="U915" s="156" t="inlineStr">
        <is>
          <t>México</t>
        </is>
      </c>
      <c r="V915" s="156" t="inlineStr">
        <is>
          <t>PZS</t>
        </is>
      </c>
      <c r="W915" s="51" t="inlineStr">
        <is>
          <t>53121601</t>
        </is>
      </c>
      <c r="X915" s="156" t="inlineStr">
        <is>
          <t>https://m-universal-unique-brands.odoo.com/web/image/product.product/22079/image_1920</t>
        </is>
      </c>
      <c r="Y915" s="54" t="n">
        <v>28</v>
      </c>
      <c r="Z915" s="54" t="n">
        <v>799</v>
      </c>
      <c r="AA915" s="55">
        <f>IF(AND(A915="", B915="", E915=""), "", IF(AB915="", "Válido", IF((LEN(AB915)-LEN(SUBSTITUTE(AB915,"; ","")))/2+1&gt;(LEN(AB915)-LEN(SUBSTITUTE(AB915,"[Aviso]","")))/7, "Con Incidencias", "Válido")))</f>
        <v/>
      </c>
      <c r="AB915" s="56">
        <f>IF(AND(A915="", B915="", E915=""), "", TEXTJOIN("; ", TRUE, IF(OR(TRIM(A915&amp;"")="", ISNUMBER(SEARCH("FALTA", A915))), "UPC faltante/inválido", ""), IF(AND(A915&lt;&gt;"", IFERROR(_xlfn.XMATCH(A915,$A$2:$A$1063,0,1)&lt;&gt;_xlfn.XMATCH(A915,$A$2:$A$1063,0,-1),FALSE)), "Código de barras duplicado", ""), IF(AND(E915&lt;&gt;"", COUNTIF($E$2:$E$1063, E915)&gt;1), "SKU duplicado", ""), IF(OR(J915="", J915=""), "[Aviso] División no capturada ()", IF(ISNA(MATCH(J915, Criterios!$A$123:$A$126, 0)), "División no válida", "")), IF(OR(K915="", K915=""), "[Aviso] Categoría no capturada ()", IF(ISNA(MATCH(K915, Criterios!$A$81:$A$120, 0)), "Categoría no válida", IF(AND(J915&lt;&gt;"", J915&lt;&gt;"", J915&lt;&gt;VLOOKUP(K915, Criterios!$A$81:$B$120, 2, FALSE)), "División no coincide con Categoría", ""))), IF(OR(L915="", L915=""), "[Aviso] Género no capturado ()", IF(ISNA(MATCH(L915, Criterios!$B$123:$B$127, 0)), "Género no válido", "")), IF(OR(N915="", N915=""), "[Aviso] Temporada no capturada ()", IF(ISNA(MATCH(N915, Criterios!$C$123:$C$128, 0)), "Temporada no válida", "")), IF(OR(O915="", O915=""), "[Aviso] Ciclo de vida no capturado ()", IF(ISNA(MATCH(O915, Criterios!$D$123:$D$124, 0)), "Ciclo de vida no válido", ""))))</f>
        <v/>
      </c>
      <c r="AC915" s="56" t="n"/>
      <c r="AD915" s="51" t="n"/>
      <c r="AE915" s="156" t="n"/>
      <c r="AF915" s="51" t="n"/>
      <c r="AG915" s="156" t="inlineStr">
        <is>
          <t>Nuevo – Carga Hoja2 01/10/2026</t>
        </is>
      </c>
      <c r="AH915" s="156" t="inlineStr">
        <is>
          <t>Alta 01/10/2026 desde Hoja2 (fila 945) | 01/10/2026: complementado desde Odoo Universal Unique Brands (match por código de barras): Enlace de imagen | Homologación G1522 06/10/2026: Validador Shopify: WB: precio con IVA no termina en 9</t>
        </is>
      </c>
      <c r="AI915" s="156" t="n"/>
      <c r="AJ915" s="156" t="n"/>
      <c r="AK915" s="155" t="inlineStr">
        <is>
          <t>Hoja2: fila 945 | Odoo: producto 22079 / plantilla 28222</t>
        </is>
      </c>
      <c r="AL915" s="58" t="n"/>
      <c r="AM915" s="58" t="n"/>
      <c r="AN915" s="155" t="inlineStr">
        <is>
          <t>Odoo Universal Unique Brands</t>
        </is>
      </c>
      <c r="AO915" s="59" t="n"/>
      <c r="AP915" s="59" t="n"/>
      <c r="AQ915" s="59" t="n">
        <v>4</v>
      </c>
      <c r="AR915" s="155" t="inlineStr">
        <is>
          <t>Odoo Universal Unique Brands › Bodega 25 › Bodega 25/General: 4</t>
        </is>
      </c>
    </row>
    <row r="916">
      <c r="A916" s="50" t="inlineStr">
        <is>
          <t>717690457310</t>
        </is>
      </c>
      <c r="B916" s="51" t="inlineStr">
        <is>
          <t>22080</t>
        </is>
      </c>
      <c r="C916" s="156" t="inlineStr">
        <is>
          <t>Wrangler</t>
        </is>
      </c>
      <c r="D916" s="156" t="inlineStr">
        <is>
          <t>WG277-9182BR</t>
        </is>
      </c>
      <c r="E916" s="156" t="inlineStr">
        <is>
          <t>WG277-9182BR</t>
        </is>
      </c>
      <c r="F916" s="156" t="inlineStr">
        <is>
          <t>Talla única</t>
        </is>
      </c>
      <c r="G916" s="156" t="inlineStr">
        <is>
          <t>One Size</t>
        </is>
      </c>
      <c r="H916" s="156" t="inlineStr">
        <is>
          <t>Wrangler</t>
        </is>
      </c>
      <c r="I916" s="156" t="inlineStr">
        <is>
          <t>Bolsa Hobo Wrangler Estampado Floral Vintage Café</t>
        </is>
      </c>
      <c r="J916" s="156" t="inlineStr">
        <is>
          <t>Accesorios</t>
        </is>
      </c>
      <c r="K916" s="156" t="inlineStr">
        <is>
          <t>Bolsos</t>
        </is>
      </c>
      <c r="L916" s="156" t="inlineStr">
        <is>
          <t>Unisex</t>
        </is>
      </c>
      <c r="M916" s="156" t="inlineStr">
        <is>
          <t>Wrangler</t>
        </is>
      </c>
      <c r="N916" s="156" t="n"/>
      <c r="O916" s="156" t="inlineStr">
        <is>
          <t>Core</t>
        </is>
      </c>
      <c r="P916" s="156" t="inlineStr">
        <is>
          <t>Cafe</t>
        </is>
      </c>
      <c r="Q916" s="156" t="n"/>
      <c r="R916" s="156" t="n"/>
      <c r="S916" s="156" t="n"/>
      <c r="T916" s="156" t="inlineStr">
        <is>
          <t>Bolsa Hobo Wrangler. Modelo: Estampado Floral Vintage. Color: Café. Talla única. Unisex. País de origen: México. Referencia: WG277-9182BR.</t>
        </is>
      </c>
      <c r="U916" s="156" t="inlineStr">
        <is>
          <t>México</t>
        </is>
      </c>
      <c r="V916" s="156" t="inlineStr">
        <is>
          <t>PZS</t>
        </is>
      </c>
      <c r="W916" s="51" t="inlineStr">
        <is>
          <t>53121601</t>
        </is>
      </c>
      <c r="X916" s="156" t="inlineStr">
        <is>
          <t>https://m-universal-unique-brands.odoo.com/web/image/product.product/22080/image_1920</t>
        </is>
      </c>
      <c r="Y916" s="54" t="n">
        <v>28</v>
      </c>
      <c r="Z916" s="54" t="n">
        <v>799</v>
      </c>
      <c r="AA916" s="55">
        <f>IF(AND(A916="", B916="", E916=""), "", IF(AB916="", "Válido", IF((LEN(AB916)-LEN(SUBSTITUTE(AB916,"; ","")))/2+1&gt;(LEN(AB916)-LEN(SUBSTITUTE(AB916,"[Aviso]","")))/7, "Con Incidencias", "Válido")))</f>
        <v/>
      </c>
      <c r="AB916" s="56">
        <f>IF(AND(A916="", B916="", E916=""), "", TEXTJOIN("; ", TRUE, IF(OR(TRIM(A916&amp;"")="", ISNUMBER(SEARCH("FALTA", A916))), "UPC faltante/inválido", ""), IF(AND(A916&lt;&gt;"", IFERROR(_xlfn.XMATCH(A916,$A$2:$A$1063,0,1)&lt;&gt;_xlfn.XMATCH(A916,$A$2:$A$1063,0,-1),FALSE)), "Código de barras duplicado", ""), IF(AND(E916&lt;&gt;"", COUNTIF($E$2:$E$1063, E916)&gt;1), "SKU duplicado", ""), IF(OR(J916="", J916=""), "[Aviso] División no capturada ()", IF(ISNA(MATCH(J916, Criterios!$A$123:$A$126, 0)), "División no válida", "")), IF(OR(K916="", K916=""), "[Aviso] Categoría no capturada ()", IF(ISNA(MATCH(K916, Criterios!$A$81:$A$120, 0)), "Categoría no válida", IF(AND(J916&lt;&gt;"", J916&lt;&gt;"", J916&lt;&gt;VLOOKUP(K916, Criterios!$A$81:$B$120, 2, FALSE)), "División no coincide con Categoría", ""))), IF(OR(L916="", L916=""), "[Aviso] Género no capturado ()", IF(ISNA(MATCH(L916, Criterios!$B$123:$B$127, 0)), "Género no válido", "")), IF(OR(N916="", N916=""), "[Aviso] Temporada no capturada ()", IF(ISNA(MATCH(N916, Criterios!$C$123:$C$128, 0)), "Temporada no válida", "")), IF(OR(O916="", O916=""), "[Aviso] Ciclo de vida no capturado ()", IF(ISNA(MATCH(O916, Criterios!$D$123:$D$124, 0)), "Ciclo de vida no válido", ""))))</f>
        <v/>
      </c>
      <c r="AC916" s="56" t="n"/>
      <c r="AD916" s="51" t="n"/>
      <c r="AE916" s="156" t="n"/>
      <c r="AF916" s="51" t="n"/>
      <c r="AG916" s="156" t="inlineStr">
        <is>
          <t>Nuevo – Carga Hoja2 01/10/2026</t>
        </is>
      </c>
      <c r="AH916" s="156" t="inlineStr">
        <is>
          <t>Alta 01/10/2026 desde Hoja2 (fila 946) | 01/10/2026: complementado desde Odoo Universal Unique Brands (match por código de barras): Enlace de imagen | Homologación G1522 06/10/2026: Validador Shopify: WB: precio con IVA no termina en 9</t>
        </is>
      </c>
      <c r="AI916" s="156" t="n"/>
      <c r="AJ916" s="156" t="n"/>
      <c r="AK916" s="155" t="inlineStr">
        <is>
          <t>Hoja2: fila 946 | Odoo: producto 22080 / plantilla 28223</t>
        </is>
      </c>
      <c r="AL916" s="58" t="n"/>
      <c r="AM916" s="58" t="n"/>
      <c r="AN916" s="155" t="inlineStr">
        <is>
          <t>Odoo Universal Unique Brands</t>
        </is>
      </c>
      <c r="AO916" s="59" t="n"/>
      <c r="AP916" s="59" t="n"/>
      <c r="AQ916" s="59" t="n">
        <v>0</v>
      </c>
      <c r="AR916" s="155" t="n"/>
    </row>
    <row r="917">
      <c r="A917" s="50" t="inlineStr">
        <is>
          <t>717690457334</t>
        </is>
      </c>
      <c r="B917" s="51" t="inlineStr">
        <is>
          <t>22081</t>
        </is>
      </c>
      <c r="C917" s="156" t="inlineStr">
        <is>
          <t>Wrangler</t>
        </is>
      </c>
      <c r="D917" s="156" t="inlineStr">
        <is>
          <t>WG277-9182CF</t>
        </is>
      </c>
      <c r="E917" s="156" t="inlineStr">
        <is>
          <t>WG277-9182CF</t>
        </is>
      </c>
      <c r="F917" s="156" t="inlineStr">
        <is>
          <t>Talla única</t>
        </is>
      </c>
      <c r="G917" s="156" t="inlineStr">
        <is>
          <t>One Size</t>
        </is>
      </c>
      <c r="H917" s="156" t="inlineStr">
        <is>
          <t>Wrangler</t>
        </is>
      </c>
      <c r="I917" s="156" t="inlineStr">
        <is>
          <t>Bolsa Hobo Wrangler Estampado Floral Vintage Café Oscuro</t>
        </is>
      </c>
      <c r="J917" s="156" t="inlineStr">
        <is>
          <t>Accesorios</t>
        </is>
      </c>
      <c r="K917" s="156" t="inlineStr">
        <is>
          <t>Bolsos</t>
        </is>
      </c>
      <c r="L917" s="156" t="inlineStr">
        <is>
          <t>Unisex</t>
        </is>
      </c>
      <c r="M917" s="156" t="inlineStr">
        <is>
          <t>Wrangler</t>
        </is>
      </c>
      <c r="N917" s="156" t="n"/>
      <c r="O917" s="156" t="inlineStr">
        <is>
          <t>Core</t>
        </is>
      </c>
      <c r="P917" s="156" t="inlineStr">
        <is>
          <t>Cafe</t>
        </is>
      </c>
      <c r="Q917" s="156" t="n"/>
      <c r="R917" s="156" t="n"/>
      <c r="S917" s="156" t="n"/>
      <c r="T917" s="156" t="inlineStr">
        <is>
          <t>Bolsa Hobo Wrangler. Modelo: Estampado Floral Vintage. Color: Café Oscuro. Talla única. Unisex. País de origen: México. Referencia: WG277-9182CF.</t>
        </is>
      </c>
      <c r="U917" s="156" t="inlineStr">
        <is>
          <t>México</t>
        </is>
      </c>
      <c r="V917" s="156" t="inlineStr">
        <is>
          <t>PZS</t>
        </is>
      </c>
      <c r="W917" s="51" t="inlineStr">
        <is>
          <t>53121601</t>
        </is>
      </c>
      <c r="X917" s="156" t="inlineStr">
        <is>
          <t>https://m-universal-unique-brands.odoo.com/web/image/product.product/22081/image_1920</t>
        </is>
      </c>
      <c r="Y917" s="54" t="n">
        <v>28</v>
      </c>
      <c r="Z917" s="54" t="n">
        <v>799</v>
      </c>
      <c r="AA917" s="55">
        <f>IF(AND(A917="", B917="", E917=""), "", IF(AB917="", "Válido", IF((LEN(AB917)-LEN(SUBSTITUTE(AB917,"; ","")))/2+1&gt;(LEN(AB917)-LEN(SUBSTITUTE(AB917,"[Aviso]","")))/7, "Con Incidencias", "Válido")))</f>
        <v/>
      </c>
      <c r="AB917" s="56">
        <f>IF(AND(A917="", B917="", E917=""), "", TEXTJOIN("; ", TRUE, IF(OR(TRIM(A917&amp;"")="", ISNUMBER(SEARCH("FALTA", A917))), "UPC faltante/inválido", ""), IF(AND(A917&lt;&gt;"", IFERROR(_xlfn.XMATCH(A917,$A$2:$A$1063,0,1)&lt;&gt;_xlfn.XMATCH(A917,$A$2:$A$1063,0,-1),FALSE)), "Código de barras duplicado", ""), IF(AND(E917&lt;&gt;"", COUNTIF($E$2:$E$1063, E917)&gt;1), "SKU duplicado", ""), IF(OR(J917="", J917=""), "[Aviso] División no capturada ()", IF(ISNA(MATCH(J917, Criterios!$A$123:$A$126, 0)), "División no válida", "")), IF(OR(K917="", K917=""), "[Aviso] Categoría no capturada ()", IF(ISNA(MATCH(K917, Criterios!$A$81:$A$120, 0)), "Categoría no válida", IF(AND(J917&lt;&gt;"", J917&lt;&gt;"", J917&lt;&gt;VLOOKUP(K917, Criterios!$A$81:$B$120, 2, FALSE)), "División no coincide con Categoría", ""))), IF(OR(L917="", L917=""), "[Aviso] Género no capturado ()", IF(ISNA(MATCH(L917, Criterios!$B$123:$B$127, 0)), "Género no válido", "")), IF(OR(N917="", N917=""), "[Aviso] Temporada no capturada ()", IF(ISNA(MATCH(N917, Criterios!$C$123:$C$128, 0)), "Temporada no válida", "")), IF(OR(O917="", O917=""), "[Aviso] Ciclo de vida no capturado ()", IF(ISNA(MATCH(O917, Criterios!$D$123:$D$124, 0)), "Ciclo de vida no válido", ""))))</f>
        <v/>
      </c>
      <c r="AC917" s="56" t="n"/>
      <c r="AD917" s="51" t="n"/>
      <c r="AE917" s="156" t="n"/>
      <c r="AF917" s="51" t="n"/>
      <c r="AG917" s="156" t="inlineStr">
        <is>
          <t>Nuevo – Carga Hoja2 01/10/2026</t>
        </is>
      </c>
      <c r="AH917" s="156" t="inlineStr">
        <is>
          <t>Alta 01/10/2026 desde Hoja2 (fila 947) | 01/10/2026: complementado desde Odoo Universal Unique Brands (match por código de barras): Enlace de imagen | Homologación G1522 06/10/2026: Validador Shopify: WB: precio con IVA no termina en 9</t>
        </is>
      </c>
      <c r="AI917" s="156" t="n"/>
      <c r="AJ917" s="156" t="n"/>
      <c r="AK917" s="155" t="inlineStr">
        <is>
          <t>Hoja2: fila 947 | Odoo: producto 22081 / plantilla 28224</t>
        </is>
      </c>
      <c r="AL917" s="58" t="n"/>
      <c r="AM917" s="58" t="n"/>
      <c r="AN917" s="155" t="inlineStr">
        <is>
          <t>Odoo Universal Unique Brands</t>
        </is>
      </c>
      <c r="AO917" s="59" t="n"/>
      <c r="AP917" s="59" t="n"/>
      <c r="AQ917" s="59" t="n">
        <v>12</v>
      </c>
      <c r="AR917" s="155" t="inlineStr">
        <is>
          <t>Odoo Universal Unique Brands › Bodega 25 › Bodega 25/General: 12</t>
        </is>
      </c>
    </row>
    <row r="918">
      <c r="A918" s="50" t="inlineStr">
        <is>
          <t>717690457365</t>
        </is>
      </c>
      <c r="B918" s="51" t="inlineStr">
        <is>
          <t>22082</t>
        </is>
      </c>
      <c r="C918" s="156" t="inlineStr">
        <is>
          <t>Wrangler</t>
        </is>
      </c>
      <c r="D918" s="156" t="inlineStr">
        <is>
          <t>WG277-9182KH</t>
        </is>
      </c>
      <c r="E918" s="156" t="inlineStr">
        <is>
          <t>WG277-9182KH</t>
        </is>
      </c>
      <c r="F918" s="156" t="inlineStr">
        <is>
          <t>Talla única</t>
        </is>
      </c>
      <c r="G918" s="156" t="inlineStr">
        <is>
          <t>One Size</t>
        </is>
      </c>
      <c r="H918" s="156" t="inlineStr">
        <is>
          <t>Wrangler</t>
        </is>
      </c>
      <c r="I918" s="156" t="inlineStr">
        <is>
          <t>Bolsa Hobo Wrangler Estampado Floral Vintage Caqui</t>
        </is>
      </c>
      <c r="J918" s="156" t="inlineStr">
        <is>
          <t>Accesorios</t>
        </is>
      </c>
      <c r="K918" s="156" t="inlineStr">
        <is>
          <t>Bolsos</t>
        </is>
      </c>
      <c r="L918" s="156" t="inlineStr">
        <is>
          <t>Unisex</t>
        </is>
      </c>
      <c r="M918" s="156" t="inlineStr">
        <is>
          <t>Wrangler</t>
        </is>
      </c>
      <c r="N918" s="156" t="n"/>
      <c r="O918" s="156" t="inlineStr">
        <is>
          <t>Core</t>
        </is>
      </c>
      <c r="P918" s="156" t="inlineStr">
        <is>
          <t>Beige</t>
        </is>
      </c>
      <c r="Q918" s="156" t="n"/>
      <c r="R918" s="156" t="n"/>
      <c r="S918" s="156" t="n"/>
      <c r="T918" s="156" t="inlineStr">
        <is>
          <t>Bolsa Hobo Wrangler. Modelo: Estampado Floral Vintage. Color: Caqui. Talla única. Unisex. País de origen: México. Referencia: WG277-9182KH.</t>
        </is>
      </c>
      <c r="U918" s="156" t="inlineStr">
        <is>
          <t>México</t>
        </is>
      </c>
      <c r="V918" s="156" t="inlineStr">
        <is>
          <t>PZS</t>
        </is>
      </c>
      <c r="W918" s="51" t="inlineStr">
        <is>
          <t>53121601</t>
        </is>
      </c>
      <c r="X918" s="156" t="inlineStr">
        <is>
          <t>https://m-universal-unique-brands.odoo.com/web/image/product.product/22082/image_1920</t>
        </is>
      </c>
      <c r="Y918" s="54" t="n">
        <v>28</v>
      </c>
      <c r="Z918" s="54" t="n">
        <v>799</v>
      </c>
      <c r="AA918" s="55">
        <f>IF(AND(A918="", B918="", E918=""), "", IF(AB918="", "Válido", IF((LEN(AB918)-LEN(SUBSTITUTE(AB918,"; ","")))/2+1&gt;(LEN(AB918)-LEN(SUBSTITUTE(AB918,"[Aviso]","")))/7, "Con Incidencias", "Válido")))</f>
        <v/>
      </c>
      <c r="AB918" s="56">
        <f>IF(AND(A918="", B918="", E918=""), "", TEXTJOIN("; ", TRUE, IF(OR(TRIM(A918&amp;"")="", ISNUMBER(SEARCH("FALTA", A918))), "UPC faltante/inválido", ""), IF(AND(A918&lt;&gt;"", IFERROR(_xlfn.XMATCH(A918,$A$2:$A$1063,0,1)&lt;&gt;_xlfn.XMATCH(A918,$A$2:$A$1063,0,-1),FALSE)), "Código de barras duplicado", ""), IF(AND(E918&lt;&gt;"", COUNTIF($E$2:$E$1063, E918)&gt;1), "SKU duplicado", ""), IF(OR(J918="", J918=""), "[Aviso] División no capturada ()", IF(ISNA(MATCH(J918, Criterios!$A$123:$A$126, 0)), "División no válida", "")), IF(OR(K918="", K918=""), "[Aviso] Categoría no capturada ()", IF(ISNA(MATCH(K918, Criterios!$A$81:$A$120, 0)), "Categoría no válida", IF(AND(J918&lt;&gt;"", J918&lt;&gt;"", J918&lt;&gt;VLOOKUP(K918, Criterios!$A$81:$B$120, 2, FALSE)), "División no coincide con Categoría", ""))), IF(OR(L918="", L918=""), "[Aviso] Género no capturado ()", IF(ISNA(MATCH(L918, Criterios!$B$123:$B$127, 0)), "Género no válido", "")), IF(OR(N918="", N918=""), "[Aviso] Temporada no capturada ()", IF(ISNA(MATCH(N918, Criterios!$C$123:$C$128, 0)), "Temporada no válida", "")), IF(OR(O918="", O918=""), "[Aviso] Ciclo de vida no capturado ()", IF(ISNA(MATCH(O918, Criterios!$D$123:$D$124, 0)), "Ciclo de vida no válido", ""))))</f>
        <v/>
      </c>
      <c r="AC918" s="56" t="n"/>
      <c r="AD918" s="51" t="n"/>
      <c r="AE918" s="156" t="n"/>
      <c r="AF918" s="51" t="n"/>
      <c r="AG918" s="156" t="inlineStr">
        <is>
          <t>Nuevo – Carga Hoja2 01/10/2026</t>
        </is>
      </c>
      <c r="AH918" s="156" t="inlineStr">
        <is>
          <t>Alta 01/10/2026 desde Hoja2 (fila 948) | 01/10/2026: complementado desde Odoo Universal Unique Brands (match por código de barras): Enlace de imagen | Homologación G1522 06/10/2026: Validador Shopify: WB: precio con IVA no termina en 9</t>
        </is>
      </c>
      <c r="AI918" s="156" t="n"/>
      <c r="AJ918" s="156" t="n"/>
      <c r="AK918" s="155" t="inlineStr">
        <is>
          <t>Hoja2: fila 948 | Odoo: producto 22082 / plantilla 28225</t>
        </is>
      </c>
      <c r="AL918" s="58" t="n"/>
      <c r="AM918" s="58" t="n"/>
      <c r="AN918" s="155" t="inlineStr">
        <is>
          <t>Odoo Universal Unique Brands</t>
        </is>
      </c>
      <c r="AO918" s="59" t="n"/>
      <c r="AP918" s="59" t="n"/>
      <c r="AQ918" s="59" t="n">
        <v>6</v>
      </c>
      <c r="AR918" s="155" t="inlineStr">
        <is>
          <t>Odoo Universal Unique Brands › Bodega 25 › Bodega 25/General: 6</t>
        </is>
      </c>
    </row>
    <row r="919">
      <c r="A919" s="50" t="inlineStr">
        <is>
          <t>717690455149</t>
        </is>
      </c>
      <c r="B919" s="51" t="inlineStr">
        <is>
          <t>22167</t>
        </is>
      </c>
      <c r="C919" s="156" t="inlineStr">
        <is>
          <t>Wrangler</t>
        </is>
      </c>
      <c r="D919" s="156" t="inlineStr">
        <is>
          <t>WG283-014TN</t>
        </is>
      </c>
      <c r="E919" s="156" t="inlineStr">
        <is>
          <t>WG283-014TN</t>
        </is>
      </c>
      <c r="F919" s="156" t="inlineStr">
        <is>
          <t>Talla única</t>
        </is>
      </c>
      <c r="G919" s="156" t="inlineStr">
        <is>
          <t>One Size</t>
        </is>
      </c>
      <c r="H919" s="156" t="inlineStr">
        <is>
          <t>Wrangler</t>
        </is>
      </c>
      <c r="I919" s="156" t="inlineStr">
        <is>
          <t>Bolsa Tote Grande Cruzada Wrangler Multiusos De Piel De Vaca Genuina Camel</t>
        </is>
      </c>
      <c r="J919" s="156" t="inlineStr">
        <is>
          <t>Accesorios</t>
        </is>
      </c>
      <c r="K919" s="156" t="inlineStr">
        <is>
          <t>Bolsos</t>
        </is>
      </c>
      <c r="L919" s="156" t="inlineStr">
        <is>
          <t>Unisex</t>
        </is>
      </c>
      <c r="M919" s="156" t="inlineStr">
        <is>
          <t>Wrangler</t>
        </is>
      </c>
      <c r="N919" s="156" t="n"/>
      <c r="O919" s="156" t="n"/>
      <c r="P919" s="156" t="inlineStr">
        <is>
          <t>Beige</t>
        </is>
      </c>
      <c r="Q919" s="156" t="n"/>
      <c r="R919" s="156" t="n"/>
      <c r="S919" s="156" t="n"/>
      <c r="T919" s="156" t="inlineStr">
        <is>
          <t>Bolsa Tote Grande Cruzada</t>
        </is>
      </c>
      <c r="U919" s="156" t="inlineStr">
        <is>
          <t>México</t>
        </is>
      </c>
      <c r="V919" s="156" t="inlineStr">
        <is>
          <t>PZS</t>
        </is>
      </c>
      <c r="W919" s="51" t="inlineStr">
        <is>
          <t>53121601</t>
        </is>
      </c>
      <c r="X919" s="156" t="n"/>
      <c r="Y919" s="54" t="n">
        <v>25.5</v>
      </c>
      <c r="Z919" s="54" t="n">
        <v>959</v>
      </c>
      <c r="AA919" s="55">
        <f>IF(AND(A919="", B919="", E919=""), "", IF(AB919="", "Válido", IF((LEN(AB919)-LEN(SUBSTITUTE(AB919,"; ","")))/2+1&gt;(LEN(AB919)-LEN(SUBSTITUTE(AB919,"[Aviso]","")))/7, "Con Incidencias", "Válido")))</f>
        <v/>
      </c>
      <c r="AB919" s="56">
        <f>IF(AND(A919="", B919="", E919=""), "", TEXTJOIN("; ", TRUE, IF(OR(TRIM(A919&amp;"")="", ISNUMBER(SEARCH("FALTA", A919))), "UPC faltante/inválido", ""), IF(AND(A919&lt;&gt;"", IFERROR(_xlfn.XMATCH(A919,$A$2:$A$1063,0,1)&lt;&gt;_xlfn.XMATCH(A919,$A$2:$A$1063,0,-1),FALSE)), "Código de barras duplicado", ""), IF(AND(E919&lt;&gt;"", COUNTIF($E$2:$E$1063, E919)&gt;1), "SKU duplicado", ""), IF(OR(J919="", J919=""), "[Aviso] División no capturada ()", IF(ISNA(MATCH(J919, Criterios!$A$123:$A$126, 0)), "División no válida", "")), IF(OR(K919="", K919=""), "[Aviso] Categoría no capturada ()", IF(ISNA(MATCH(K919, Criterios!$A$81:$A$120, 0)), "Categoría no válida", IF(AND(J919&lt;&gt;"", J919&lt;&gt;"", J919&lt;&gt;VLOOKUP(K919, Criterios!$A$81:$B$120, 2, FALSE)), "División no coincide con Categoría", ""))), IF(OR(L919="", L919=""), "[Aviso] Género no capturado ()", IF(ISNA(MATCH(L919, Criterios!$B$123:$B$127, 0)), "Género no válido", "")), IF(OR(N919="", N919=""), "[Aviso] Temporada no capturada ()", IF(ISNA(MATCH(N919, Criterios!$C$123:$C$128, 0)), "Temporada no válida", "")), IF(OR(O919="", O919=""), "[Aviso] Ciclo de vida no capturado ()", IF(ISNA(MATCH(O919, Criterios!$D$123:$D$124, 0)), "Ciclo de vida no válido", ""))))</f>
        <v/>
      </c>
      <c r="AC919" s="56" t="n"/>
      <c r="AD919" s="51" t="n"/>
      <c r="AE919" s="156" t="n"/>
      <c r="AF919" s="51" t="n"/>
      <c r="AG919" s="156" t="inlineStr">
        <is>
          <t>Nuevo – Carga Hoja2 01/10/2026</t>
        </is>
      </c>
      <c r="AH919" s="156" t="inlineStr">
        <is>
          <t>Alta 01/10/2026 desde Hoja2 (fila 949)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919" s="156" t="n"/>
      <c r="AJ919" s="156" t="n"/>
      <c r="AK919" s="155" t="inlineStr">
        <is>
          <t>Hoja2: fila 949 | Odoo: producto 22167 / plantilla 28310</t>
        </is>
      </c>
      <c r="AL919" s="58" t="n"/>
      <c r="AM919" s="58" t="n"/>
      <c r="AN919" s="155" t="inlineStr">
        <is>
          <t>Odoo Universal Unique Brands</t>
        </is>
      </c>
      <c r="AO919" s="59" t="n"/>
      <c r="AP919" s="59" t="n"/>
      <c r="AQ919" s="59" t="n">
        <v>0</v>
      </c>
      <c r="AR919" s="155" t="n"/>
    </row>
    <row r="920">
      <c r="A920" s="50" t="inlineStr">
        <is>
          <t>717710491218</t>
        </is>
      </c>
      <c r="B920" s="51" t="inlineStr">
        <is>
          <t>22161</t>
        </is>
      </c>
      <c r="C920" s="156" t="inlineStr">
        <is>
          <t>Wrangler</t>
        </is>
      </c>
      <c r="D920" s="156" t="inlineStr">
        <is>
          <t>WG286-1833GN</t>
        </is>
      </c>
      <c r="E920" s="156" t="inlineStr">
        <is>
          <t>WG286-1833GN</t>
        </is>
      </c>
      <c r="F920" s="156" t="inlineStr">
        <is>
          <t>Talla única</t>
        </is>
      </c>
      <c r="G920" s="156" t="inlineStr">
        <is>
          <t>One Size</t>
        </is>
      </c>
      <c r="H920" s="156" t="inlineStr">
        <is>
          <t>Wrangler</t>
        </is>
      </c>
      <c r="I920" s="156" t="inlineStr">
        <is>
          <t>Clutch Cruzada Wrangler Estampado Camuflaje De Lona Verde</t>
        </is>
      </c>
      <c r="J920" s="156" t="inlineStr">
        <is>
          <t>Accesorios</t>
        </is>
      </c>
      <c r="K920" s="156" t="inlineStr">
        <is>
          <t>Bolsos</t>
        </is>
      </c>
      <c r="L920" s="156" t="inlineStr">
        <is>
          <t>Unisex</t>
        </is>
      </c>
      <c r="M920" s="156" t="inlineStr">
        <is>
          <t>Wrangler</t>
        </is>
      </c>
      <c r="N920" s="156" t="n"/>
      <c r="O920" s="156" t="inlineStr">
        <is>
          <t>Core</t>
        </is>
      </c>
      <c r="P920" s="156" t="inlineStr">
        <is>
          <t>Verde</t>
        </is>
      </c>
      <c r="Q920" s="156" t="n"/>
      <c r="R920" s="156" t="n"/>
      <c r="S920" s="156" t="n"/>
      <c r="T920" s="156" t="inlineStr">
        <is>
          <t>Clutch Cruzada Wrangler. Modelo: Estampado Camuflaje De Lona. Color: Verde. Talla única. Unisex. País de origen: México. Referencia: WG286-1833GN.</t>
        </is>
      </c>
      <c r="U920" s="156" t="inlineStr">
        <is>
          <t>México</t>
        </is>
      </c>
      <c r="V920" s="156" t="inlineStr">
        <is>
          <t>PZS</t>
        </is>
      </c>
      <c r="W920" s="51" t="inlineStr">
        <is>
          <t>53121601</t>
        </is>
      </c>
      <c r="X920" s="156" t="n"/>
      <c r="Y920" s="54" t="n">
        <v>24</v>
      </c>
      <c r="Z920" s="54" t="n">
        <v>919</v>
      </c>
      <c r="AA920" s="55">
        <f>IF(AND(A920="", B920="", E920=""), "", IF(AB920="", "Válido", IF((LEN(AB920)-LEN(SUBSTITUTE(AB920,"; ","")))/2+1&gt;(LEN(AB920)-LEN(SUBSTITUTE(AB920,"[Aviso]","")))/7, "Con Incidencias", "Válido")))</f>
        <v/>
      </c>
      <c r="AB920" s="56">
        <f>IF(AND(A920="", B920="", E920=""), "", TEXTJOIN("; ", TRUE, IF(OR(TRIM(A920&amp;"")="", ISNUMBER(SEARCH("FALTA", A920))), "UPC faltante/inválido", ""), IF(AND(A920&lt;&gt;"", IFERROR(_xlfn.XMATCH(A920,$A$2:$A$1063,0,1)&lt;&gt;_xlfn.XMATCH(A920,$A$2:$A$1063,0,-1),FALSE)), "Código de barras duplicado", ""), IF(AND(E920&lt;&gt;"", COUNTIF($E$2:$E$1063, E920)&gt;1), "SKU duplicado", ""), IF(OR(J920="", J920=""), "[Aviso] División no capturada ()", IF(ISNA(MATCH(J920, Criterios!$A$123:$A$126, 0)), "División no válida", "")), IF(OR(K920="", K920=""), "[Aviso] Categoría no capturada ()", IF(ISNA(MATCH(K920, Criterios!$A$81:$A$120, 0)), "Categoría no válida", IF(AND(J920&lt;&gt;"", J920&lt;&gt;"", J920&lt;&gt;VLOOKUP(K920, Criterios!$A$81:$B$120, 2, FALSE)), "División no coincide con Categoría", ""))), IF(OR(L920="", L920=""), "[Aviso] Género no capturado ()", IF(ISNA(MATCH(L920, Criterios!$B$123:$B$127, 0)), "Género no válido", "")), IF(OR(N920="", N920=""), "[Aviso] Temporada no capturada ()", IF(ISNA(MATCH(N920, Criterios!$C$123:$C$128, 0)), "Temporada no válida", "")), IF(OR(O920="", O920=""), "[Aviso] Ciclo de vida no capturado ()", IF(ISNA(MATCH(O920, Criterios!$D$123:$D$124, 0)), "Ciclo de vida no válido", ""))))</f>
        <v/>
      </c>
      <c r="AC920" s="56" t="n"/>
      <c r="AD920" s="51" t="n"/>
      <c r="AE920" s="156" t="n"/>
      <c r="AF920" s="51" t="n"/>
      <c r="AG920" s="156" t="inlineStr">
        <is>
          <t>Nuevo – Carga Hoja2 01/10/2026</t>
        </is>
      </c>
      <c r="AH920" s="156" t="inlineStr">
        <is>
          <t>Alta 01/10/2026 desde Hoja2 (fila 950) | 01/10/2026: Odoo Universal Unique Brands trae Marca «Montana West» — se conservó el valor de Productos | Homologación G1522 06/10/2026: Validador Shopify: WB: precio con IVA no termina en 9</t>
        </is>
      </c>
      <c r="AI920" s="156" t="n"/>
      <c r="AJ920" s="156" t="n"/>
      <c r="AK920" s="155" t="inlineStr">
        <is>
          <t>Hoja2: fila 950 | Odoo: producto 22161 / plantilla 28304 | Odoo: producto 27475 / plantilla 34175</t>
        </is>
      </c>
      <c r="AL920" s="58" t="n"/>
      <c r="AM920" s="58" t="n"/>
      <c r="AN920" s="155" t="inlineStr">
        <is>
          <t>Odoo Universal Unique Brands</t>
        </is>
      </c>
      <c r="AO920" s="59" t="n"/>
      <c r="AP920" s="59" t="n"/>
      <c r="AQ920" s="59" t="n">
        <v>2</v>
      </c>
      <c r="AR920" s="155" t="inlineStr">
        <is>
          <t>Odoo Universal Unique Brands › Bodega 25 › Bodega 25/General: 2</t>
        </is>
      </c>
    </row>
    <row r="921">
      <c r="A921" s="50" t="inlineStr">
        <is>
          <t>717690460624</t>
        </is>
      </c>
      <c r="B921" s="51" t="inlineStr">
        <is>
          <t>22141</t>
        </is>
      </c>
      <c r="C921" s="156" t="inlineStr">
        <is>
          <t>Wrangler</t>
        </is>
      </c>
      <c r="D921" s="156" t="inlineStr">
        <is>
          <t>WG286-5110BR</t>
        </is>
      </c>
      <c r="E921" s="156" t="inlineStr">
        <is>
          <t>WG286-5110BR</t>
        </is>
      </c>
      <c r="F921" s="156" t="inlineStr">
        <is>
          <t>Talla única</t>
        </is>
      </c>
      <c r="G921" s="156" t="inlineStr">
        <is>
          <t>One Size</t>
        </is>
      </c>
      <c r="H921" s="156" t="inlineStr">
        <is>
          <t>Wrangler</t>
        </is>
      </c>
      <c r="I921" s="156" t="inlineStr">
        <is>
          <t>Maleta Duffle Wrangler Colección Estampado Camuflaje Café</t>
        </is>
      </c>
      <c r="J921" s="156" t="inlineStr">
        <is>
          <t>Accesorios</t>
        </is>
      </c>
      <c r="K921" s="156" t="inlineStr">
        <is>
          <t>Bolsos</t>
        </is>
      </c>
      <c r="L921" s="156" t="inlineStr">
        <is>
          <t>Unisex</t>
        </is>
      </c>
      <c r="M921" s="156" t="inlineStr">
        <is>
          <t>Wrangler</t>
        </is>
      </c>
      <c r="N921" s="156" t="n"/>
      <c r="O921" s="156" t="n"/>
      <c r="P921" s="156" t="inlineStr">
        <is>
          <t>Cafe</t>
        </is>
      </c>
      <c r="Q921" s="156" t="n"/>
      <c r="R921" s="156" t="n"/>
      <c r="S921" s="156" t="n"/>
      <c r="T921" s="156" t="inlineStr">
        <is>
          <t>Maleta Duffle</t>
        </is>
      </c>
      <c r="U921" s="156" t="inlineStr">
        <is>
          <t>México</t>
        </is>
      </c>
      <c r="V921" s="156" t="inlineStr">
        <is>
          <t>PZS</t>
        </is>
      </c>
      <c r="W921" s="51" t="inlineStr">
        <is>
          <t>53121601</t>
        </is>
      </c>
      <c r="X921" s="156" t="n"/>
      <c r="Y921" s="54" t="n">
        <v>10.13</v>
      </c>
      <c r="Z921" s="54" t="n">
        <v>399</v>
      </c>
      <c r="AA921" s="55">
        <f>IF(AND(A921="", B921="", E921=""), "", IF(AB921="", "Válido", IF((LEN(AB921)-LEN(SUBSTITUTE(AB921,"; ","")))/2+1&gt;(LEN(AB921)-LEN(SUBSTITUTE(AB921,"[Aviso]","")))/7, "Con Incidencias", "Válido")))</f>
        <v/>
      </c>
      <c r="AB921" s="56">
        <f>IF(AND(A921="", B921="", E921=""), "", TEXTJOIN("; ", TRUE, IF(OR(TRIM(A921&amp;"")="", ISNUMBER(SEARCH("FALTA", A921))), "UPC faltante/inválido", ""), IF(AND(A921&lt;&gt;"", IFERROR(_xlfn.XMATCH(A921,$A$2:$A$1063,0,1)&lt;&gt;_xlfn.XMATCH(A921,$A$2:$A$1063,0,-1),FALSE)), "Código de barras duplicado", ""), IF(AND(E921&lt;&gt;"", COUNTIF($E$2:$E$1063, E921)&gt;1), "SKU duplicado", ""), IF(OR(J921="", J921=""), "[Aviso] División no capturada ()", IF(ISNA(MATCH(J921, Criterios!$A$123:$A$126, 0)), "División no válida", "")), IF(OR(K921="", K921=""), "[Aviso] Categoría no capturada ()", IF(ISNA(MATCH(K921, Criterios!$A$81:$A$120, 0)), "Categoría no válida", IF(AND(J921&lt;&gt;"", J921&lt;&gt;"", J921&lt;&gt;VLOOKUP(K921, Criterios!$A$81:$B$120, 2, FALSE)), "División no coincide con Categoría", ""))), IF(OR(L921="", L921=""), "[Aviso] Género no capturado ()", IF(ISNA(MATCH(L921, Criterios!$B$123:$B$127, 0)), "Género no válido", "")), IF(OR(N921="", N921=""), "[Aviso] Temporada no capturada ()", IF(ISNA(MATCH(N921, Criterios!$C$123:$C$128, 0)), "Temporada no válida", "")), IF(OR(O921="", O921=""), "[Aviso] Ciclo de vida no capturado ()", IF(ISNA(MATCH(O921, Criterios!$D$123:$D$124, 0)), "Ciclo de vida no válido", ""))))</f>
        <v/>
      </c>
      <c r="AC921" s="56" t="n"/>
      <c r="AD921" s="51" t="n"/>
      <c r="AE921" s="156" t="n"/>
      <c r="AF921" s="51" t="n"/>
      <c r="AG921" s="156" t="inlineStr">
        <is>
          <t>Nuevo – Carga Hoja2 01/10/2026</t>
        </is>
      </c>
      <c r="AH921" s="156" t="inlineStr">
        <is>
          <t>Alta 01/10/2026 desde Hoja2 (fila 951) | 01/10/2026: complementado desde Odoo Universal Unique Brands (match por código de barras): WB Talla, WB Talla de EE. UU., WB Descripción larga | 01/10/2026: Odoo Universal Unique Brands trae Categoría «Equipaje» — se conservó el valor de Productos | Homologación G1522 06/10/2026: WB País de origen: «Mexico» → «México» (Corrección aplicada) · Validación G1522: [Aviso] Precio de compra posiblemente en USD · Validador Shopify: WB: precio con IVA no termina en 9</t>
        </is>
      </c>
      <c r="AI921" s="156" t="n"/>
      <c r="AJ921" s="156" t="n"/>
      <c r="AK921" s="155" t="inlineStr">
        <is>
          <t>Hoja2: fila 951 | Odoo: producto 22141 / plantilla 28284</t>
        </is>
      </c>
      <c r="AL921" s="58" t="n"/>
      <c r="AM921" s="58" t="n"/>
      <c r="AN921" s="155" t="inlineStr">
        <is>
          <t>Odoo Universal Unique Brands</t>
        </is>
      </c>
      <c r="AO921" s="59" t="n"/>
      <c r="AP921" s="59" t="n"/>
      <c r="AQ921" s="59" t="n">
        <v>1</v>
      </c>
      <c r="AR921" s="155" t="inlineStr">
        <is>
          <t>Odoo Universal Unique Brands › Bodega 25 › Bodega 25/General: 1</t>
        </is>
      </c>
    </row>
    <row r="922">
      <c r="A922" s="50" t="inlineStr">
        <is>
          <t>717690460587</t>
        </is>
      </c>
      <c r="B922" s="51" t="inlineStr">
        <is>
          <t>22143</t>
        </is>
      </c>
      <c r="C922" s="156" t="inlineStr">
        <is>
          <t>Wrangler</t>
        </is>
      </c>
      <c r="D922" s="156" t="inlineStr">
        <is>
          <t>WG286-8120SBK</t>
        </is>
      </c>
      <c r="E922" s="156" t="inlineStr">
        <is>
          <t>WG286-8120SBK</t>
        </is>
      </c>
      <c r="F922" s="156" t="inlineStr">
        <is>
          <t>Talla única</t>
        </is>
      </c>
      <c r="G922" s="156" t="inlineStr">
        <is>
          <t>One Size</t>
        </is>
      </c>
      <c r="H922" s="156" t="inlineStr">
        <is>
          <t>Wrangler</t>
        </is>
      </c>
      <c r="I922" s="156" t="inlineStr">
        <is>
          <t>Bolsa Tote Cruzada Wrangler Camuflaje Negro</t>
        </is>
      </c>
      <c r="J922" s="156" t="inlineStr">
        <is>
          <t>Accesorios</t>
        </is>
      </c>
      <c r="K922" s="156" t="inlineStr">
        <is>
          <t>Bolsos</t>
        </is>
      </c>
      <c r="L922" s="156" t="inlineStr">
        <is>
          <t>Unisex</t>
        </is>
      </c>
      <c r="M922" s="156" t="inlineStr">
        <is>
          <t>Wrangler</t>
        </is>
      </c>
      <c r="N922" s="156" t="n"/>
      <c r="O922" s="156" t="n"/>
      <c r="P922" s="156" t="inlineStr">
        <is>
          <t>Negro</t>
        </is>
      </c>
      <c r="Q922" s="156" t="n"/>
      <c r="R922" s="156" t="n"/>
      <c r="S922" s="156" t="n"/>
      <c r="T922" s="156" t="inlineStr">
        <is>
          <t>Bolsa Tote Cruzada</t>
        </is>
      </c>
      <c r="U922" s="156" t="inlineStr">
        <is>
          <t>México</t>
        </is>
      </c>
      <c r="V922" s="156" t="inlineStr">
        <is>
          <t>PZS</t>
        </is>
      </c>
      <c r="W922" s="51" t="inlineStr">
        <is>
          <t>53121601</t>
        </is>
      </c>
      <c r="X922" s="156" t="n"/>
      <c r="Y922" s="54" t="n">
        <v>10.13</v>
      </c>
      <c r="Z922" s="54" t="n">
        <v>399</v>
      </c>
      <c r="AA922" s="55">
        <f>IF(AND(A922="", B922="", E922=""), "", IF(AB922="", "Válido", IF((LEN(AB922)-LEN(SUBSTITUTE(AB922,"; ","")))/2+1&gt;(LEN(AB922)-LEN(SUBSTITUTE(AB922,"[Aviso]","")))/7, "Con Incidencias", "Válido")))</f>
        <v/>
      </c>
      <c r="AB922" s="56">
        <f>IF(AND(A922="", B922="", E922=""), "", TEXTJOIN("; ", TRUE, IF(OR(TRIM(A922&amp;"")="", ISNUMBER(SEARCH("FALTA", A922))), "UPC faltante/inválido", ""), IF(AND(A922&lt;&gt;"", IFERROR(_xlfn.XMATCH(A922,$A$2:$A$1063,0,1)&lt;&gt;_xlfn.XMATCH(A922,$A$2:$A$1063,0,-1),FALSE)), "Código de barras duplicado", ""), IF(AND(E922&lt;&gt;"", COUNTIF($E$2:$E$1063, E922)&gt;1), "SKU duplicado", ""), IF(OR(J922="", J922=""), "[Aviso] División no capturada ()", IF(ISNA(MATCH(J922, Criterios!$A$123:$A$126, 0)), "División no válida", "")), IF(OR(K922="", K922=""), "[Aviso] Categoría no capturada ()", IF(ISNA(MATCH(K922, Criterios!$A$81:$A$120, 0)), "Categoría no válida", IF(AND(J922&lt;&gt;"", J922&lt;&gt;"", J922&lt;&gt;VLOOKUP(K922, Criterios!$A$81:$B$120, 2, FALSE)), "División no coincide con Categoría", ""))), IF(OR(L922="", L922=""), "[Aviso] Género no capturado ()", IF(ISNA(MATCH(L922, Criterios!$B$123:$B$127, 0)), "Género no válido", "")), IF(OR(N922="", N922=""), "[Aviso] Temporada no capturada ()", IF(ISNA(MATCH(N922, Criterios!$C$123:$C$128, 0)), "Temporada no válida", "")), IF(OR(O922="", O922=""), "[Aviso] Ciclo de vida no capturado ()", IF(ISNA(MATCH(O922, Criterios!$D$123:$D$124, 0)), "Ciclo de vida no válido", ""))))</f>
        <v/>
      </c>
      <c r="AC922" s="56" t="n"/>
      <c r="AD922" s="51" t="n"/>
      <c r="AE922" s="156" t="n"/>
      <c r="AF922" s="51" t="n"/>
      <c r="AG922" s="156" t="inlineStr">
        <is>
          <t>Nuevo – Carga Hoja2 01/10/2026</t>
        </is>
      </c>
      <c r="AH922" s="156" t="inlineStr">
        <is>
          <t>Alta 01/10/2026 desde Hoja2 (fila 952) | 01/10/2026: complementado desde Odoo Universal Unique Brands (match por código de barras): WB Talla, WB Talla de EE. UU., WB Descripción larga | Homologación G1522 06/10/2026: WB País de origen: «Mexico» → «México» (Corrección aplicada) · Validación G1522: [Aviso] Precio de compra posiblemente en USD · Validador Shopify: WB: precio con IVA no termina en 9</t>
        </is>
      </c>
      <c r="AI922" s="156" t="n"/>
      <c r="AJ922" s="156" t="n"/>
      <c r="AK922" s="155" t="inlineStr">
        <is>
          <t>Hoja2: fila 952 | Odoo: producto 22143 / plantilla 28286</t>
        </is>
      </c>
      <c r="AL922" s="58" t="n"/>
      <c r="AM922" s="58" t="n"/>
      <c r="AN922" s="155" t="inlineStr">
        <is>
          <t>Odoo Universal Unique Brands</t>
        </is>
      </c>
      <c r="AO922" s="59" t="n"/>
      <c r="AP922" s="59" t="n"/>
      <c r="AQ922" s="59" t="n">
        <v>2</v>
      </c>
      <c r="AR922" s="155" t="inlineStr">
        <is>
          <t>Odoo Universal Unique Brands › Bodega 25 › Bodega 25/General: 2</t>
        </is>
      </c>
    </row>
    <row r="923">
      <c r="A923" s="50" t="inlineStr">
        <is>
          <t>717690460495</t>
        </is>
      </c>
      <c r="B923" s="51" t="inlineStr">
        <is>
          <t>22142</t>
        </is>
      </c>
      <c r="C923" s="156" t="inlineStr">
        <is>
          <t>Wrangler</t>
        </is>
      </c>
      <c r="D923" s="156" t="inlineStr">
        <is>
          <t>WG286-W0051BK</t>
        </is>
      </c>
      <c r="E923" s="156" t="inlineStr">
        <is>
          <t>WG286-W0051BK</t>
        </is>
      </c>
      <c r="F923" s="156" t="inlineStr">
        <is>
          <t>Talla única</t>
        </is>
      </c>
      <c r="G923" s="156" t="inlineStr">
        <is>
          <t>One Size</t>
        </is>
      </c>
      <c r="H923" s="156" t="inlineStr">
        <is>
          <t>Wrangler</t>
        </is>
      </c>
      <c r="I923" s="156" t="inlineStr">
        <is>
          <t>Muñequera De Doble Compartimento Wrangler Estampado Camuflaje Negro</t>
        </is>
      </c>
      <c r="J923" s="156" t="inlineStr">
        <is>
          <t>Accesorios</t>
        </is>
      </c>
      <c r="K923" s="156" t="inlineStr">
        <is>
          <t>Bolsos</t>
        </is>
      </c>
      <c r="L923" s="156" t="inlineStr">
        <is>
          <t>Unisex</t>
        </is>
      </c>
      <c r="M923" s="156" t="inlineStr">
        <is>
          <t>Wrangler</t>
        </is>
      </c>
      <c r="N923" s="156" t="n"/>
      <c r="O923" s="156" t="n"/>
      <c r="P923" s="156" t="inlineStr">
        <is>
          <t>Negro</t>
        </is>
      </c>
      <c r="Q923" s="156" t="n"/>
      <c r="R923" s="156" t="n"/>
      <c r="S923" s="156" t="n"/>
      <c r="T923" s="156" t="inlineStr">
        <is>
          <t>Muñequera De Doble Compartimento</t>
        </is>
      </c>
      <c r="U923" s="156" t="inlineStr">
        <is>
          <t>México</t>
        </is>
      </c>
      <c r="V923" s="156" t="inlineStr">
        <is>
          <t>PZS</t>
        </is>
      </c>
      <c r="W923" s="51" t="inlineStr">
        <is>
          <t>53121601</t>
        </is>
      </c>
      <c r="X923" s="156" t="n"/>
      <c r="Y923" s="54" t="n">
        <v>24</v>
      </c>
      <c r="Z923" s="54" t="n">
        <v>919</v>
      </c>
      <c r="AA923" s="55">
        <f>IF(AND(A923="", B923="", E923=""), "", IF(AB923="", "Válido", IF((LEN(AB923)-LEN(SUBSTITUTE(AB923,"; ","")))/2+1&gt;(LEN(AB923)-LEN(SUBSTITUTE(AB923,"[Aviso]","")))/7, "Con Incidencias", "Válido")))</f>
        <v/>
      </c>
      <c r="AB923" s="56">
        <f>IF(AND(A923="", B923="", E923=""), "", TEXTJOIN("; ", TRUE, IF(OR(TRIM(A923&amp;"")="", ISNUMBER(SEARCH("FALTA", A923))), "UPC faltante/inválido", ""), IF(AND(A923&lt;&gt;"", IFERROR(_xlfn.XMATCH(A923,$A$2:$A$1063,0,1)&lt;&gt;_xlfn.XMATCH(A923,$A$2:$A$1063,0,-1),FALSE)), "Código de barras duplicado", ""), IF(AND(E923&lt;&gt;"", COUNTIF($E$2:$E$1063, E923)&gt;1), "SKU duplicado", ""), IF(OR(J923="", J923=""), "[Aviso] División no capturada ()", IF(ISNA(MATCH(J923, Criterios!$A$123:$A$126, 0)), "División no válida", "")), IF(OR(K923="", K923=""), "[Aviso] Categoría no capturada ()", IF(ISNA(MATCH(K923, Criterios!$A$81:$A$120, 0)), "Categoría no válida", IF(AND(J923&lt;&gt;"", J923&lt;&gt;"", J923&lt;&gt;VLOOKUP(K923, Criterios!$A$81:$B$120, 2, FALSE)), "División no coincide con Categoría", ""))), IF(OR(L923="", L923=""), "[Aviso] Género no capturado ()", IF(ISNA(MATCH(L923, Criterios!$B$123:$B$127, 0)), "Género no válido", "")), IF(OR(N923="", N923=""), "[Aviso] Temporada no capturada ()", IF(ISNA(MATCH(N923, Criterios!$C$123:$C$128, 0)), "Temporada no válida", "")), IF(OR(O923="", O923=""), "[Aviso] Ciclo de vida no capturado ()", IF(ISNA(MATCH(O923, Criterios!$D$123:$D$124, 0)), "Ciclo de vida no válido", ""))))</f>
        <v/>
      </c>
      <c r="AC923" s="56" t="n"/>
      <c r="AD923" s="51" t="n"/>
      <c r="AE923" s="156" t="n"/>
      <c r="AF923" s="51" t="n"/>
      <c r="AG923" s="156" t="inlineStr">
        <is>
          <t>Nuevo – Carga Hoja2 01/10/2026</t>
        </is>
      </c>
      <c r="AH923" s="156" t="inlineStr">
        <is>
          <t>Alta 01/10/2026 desde Hoja2 (fila 953) | 01/10/2026: complementado desde Odoo Universal Unique Brands (match por código de barras): WB Talla, WB Talla de EE. UU., WB Descripción larga | Homologación G1522 06/10/2026: WB País de origen: «Mexico» → «México» (Corrección aplicada) · Validador Shopify: WB: precio con IVA no termina en 9</t>
        </is>
      </c>
      <c r="AI923" s="156" t="n"/>
      <c r="AJ923" s="156" t="n"/>
      <c r="AK923" s="155" t="inlineStr">
        <is>
          <t>Hoja2: fila 953 | Odoo: producto 22142 / plantilla 28285</t>
        </is>
      </c>
      <c r="AL923" s="58" t="n"/>
      <c r="AM923" s="58" t="n"/>
      <c r="AN923" s="155" t="inlineStr">
        <is>
          <t>Odoo Universal Unique Brands</t>
        </is>
      </c>
      <c r="AO923" s="59" t="n"/>
      <c r="AP923" s="59" t="n"/>
      <c r="AQ923" s="59" t="n">
        <v>2</v>
      </c>
      <c r="AR923" s="155" t="inlineStr">
        <is>
          <t>Odoo Universal Unique Brands › Bodega 25 › Bodega 25/General: 2</t>
        </is>
      </c>
    </row>
    <row r="924">
      <c r="A924" s="50" t="inlineStr">
        <is>
          <t>717710490624</t>
        </is>
      </c>
      <c r="B924" s="51" t="inlineStr">
        <is>
          <t>30065</t>
        </is>
      </c>
      <c r="C924" s="156" t="inlineStr">
        <is>
          <t>Wrangler</t>
        </is>
      </c>
      <c r="D924" s="156" t="inlineStr">
        <is>
          <t>WG292-8110BR</t>
        </is>
      </c>
      <c r="E924" s="156" t="inlineStr">
        <is>
          <t>WG292-8110BR</t>
        </is>
      </c>
      <c r="F924" s="156" t="inlineStr">
        <is>
          <t>Talla única</t>
        </is>
      </c>
      <c r="G924" s="156" t="inlineStr">
        <is>
          <t>One Size</t>
        </is>
      </c>
      <c r="H924" s="156" t="inlineStr">
        <is>
          <t>Wrangler</t>
        </is>
      </c>
      <c r="I924" s="156" t="inlineStr">
        <is>
          <t>Bolsa Tote Grande Wrangler Herradura Calada Café</t>
        </is>
      </c>
      <c r="J924" s="156" t="inlineStr">
        <is>
          <t>Accesorios</t>
        </is>
      </c>
      <c r="K924" s="156" t="inlineStr">
        <is>
          <t>Bolsos</t>
        </is>
      </c>
      <c r="L924" s="156" t="inlineStr">
        <is>
          <t>Unisex</t>
        </is>
      </c>
      <c r="M924" s="156" t="inlineStr">
        <is>
          <t>Wrangler</t>
        </is>
      </c>
      <c r="N924" s="156" t="inlineStr">
        <is>
          <t>FW26</t>
        </is>
      </c>
      <c r="O924" s="156" t="inlineStr">
        <is>
          <t>Seasonal</t>
        </is>
      </c>
      <c r="P924" s="156" t="inlineStr">
        <is>
          <t>Cafe</t>
        </is>
      </c>
      <c r="Q924" s="156" t="n"/>
      <c r="R924" s="156" t="n"/>
      <c r="S924" s="156" t="n"/>
      <c r="T924" s="156" t="inlineStr">
        <is>
          <t>Bolsa Tote Grande Wrangler. Modelo: Herradura Calada. Color: Café. Talla única. Unisex. País de origen: México. Referencia: WG292-8110BR.</t>
        </is>
      </c>
      <c r="U924" s="156" t="inlineStr">
        <is>
          <t>México</t>
        </is>
      </c>
      <c r="V924" s="156" t="inlineStr">
        <is>
          <t>PZS</t>
        </is>
      </c>
      <c r="W924" s="51" t="inlineStr">
        <is>
          <t>53121601</t>
        </is>
      </c>
      <c r="X924" s="156" t="n"/>
      <c r="Y924" s="54" t="n">
        <v>420</v>
      </c>
      <c r="Z924" s="54" t="n">
        <v>824.5</v>
      </c>
      <c r="AA924" s="55">
        <f>IF(AND(A924="", B924="", E924=""), "", IF(AB924="", "Válido", IF((LEN(AB924)-LEN(SUBSTITUTE(AB924,"; ","")))/2+1&gt;(LEN(AB924)-LEN(SUBSTITUTE(AB924,"[Aviso]","")))/7, "Con Incidencias", "Válido")))</f>
        <v/>
      </c>
      <c r="AB924" s="56">
        <f>IF(AND(A924="", B924="", E924=""), "", TEXTJOIN("; ", TRUE, IF(OR(TRIM(A924&amp;"")="", ISNUMBER(SEARCH("FALTA", A924))), "UPC faltante/inválido", ""), IF(AND(A924&lt;&gt;"", IFERROR(_xlfn.XMATCH(A924,$A$2:$A$1063,0,1)&lt;&gt;_xlfn.XMATCH(A924,$A$2:$A$1063,0,-1),FALSE)), "Código de barras duplicado", ""), IF(AND(E924&lt;&gt;"", COUNTIF($E$2:$E$1063, E924)&gt;1), "SKU duplicado", ""), IF(OR(J924="", J924=""), "[Aviso] División no capturada ()", IF(ISNA(MATCH(J924, Criterios!$A$123:$A$126, 0)), "División no válida", "")), IF(OR(K924="", K924=""), "[Aviso] Categoría no capturada ()", IF(ISNA(MATCH(K924, Criterios!$A$81:$A$120, 0)), "Categoría no válida", IF(AND(J924&lt;&gt;"", J924&lt;&gt;"", J924&lt;&gt;VLOOKUP(K924, Criterios!$A$81:$B$120, 2, FALSE)), "División no coincide con Categoría", ""))), IF(OR(L924="", L924=""), "[Aviso] Género no capturado ()", IF(ISNA(MATCH(L924, Criterios!$B$123:$B$127, 0)), "Género no válido", "")), IF(OR(N924="", N924=""), "[Aviso] Temporada no capturada ()", IF(ISNA(MATCH(N924, Criterios!$C$123:$C$128, 0)), "Temporada no válida", "")), IF(OR(O924="", O924=""), "[Aviso] Ciclo de vida no capturado ()", IF(ISNA(MATCH(O924, Criterios!$D$123:$D$124, 0)), "Ciclo de vida no válido", ""))))</f>
        <v/>
      </c>
      <c r="AC924" s="56" t="n"/>
      <c r="AD924" s="51" t="n"/>
      <c r="AE924" s="156" t="n"/>
      <c r="AF924" s="51" t="n"/>
      <c r="AG924" s="156" t="inlineStr">
        <is>
          <t>Nuevo – Carga Hoja2 01/10/2026</t>
        </is>
      </c>
      <c r="AH924" s="156" t="inlineStr">
        <is>
          <t>Alta 01/10/2026 desde Hoja2 (fila 954) | Homologación G1522 06/10/2026: Validador Shopify: WB: precio con IVA no termina en 9</t>
        </is>
      </c>
      <c r="AI924" s="156" t="n"/>
      <c r="AJ924" s="156" t="n"/>
      <c r="AK924" s="155" t="inlineStr">
        <is>
          <t>Hoja2: fila 954 | Odoo: producto 30065 / plantilla 38821</t>
        </is>
      </c>
      <c r="AL924" s="58" t="n"/>
      <c r="AM924" s="58" t="n"/>
      <c r="AN924" s="155" t="inlineStr">
        <is>
          <t>Odoo Universal Unique Brands</t>
        </is>
      </c>
      <c r="AO924" s="59" t="n"/>
      <c r="AP924" s="59" t="n"/>
      <c r="AQ924" s="59" t="n">
        <v>-3</v>
      </c>
      <c r="AR924" s="155" t="n"/>
    </row>
    <row r="925">
      <c r="A925" s="50" t="inlineStr">
        <is>
          <t>717710490648</t>
        </is>
      </c>
      <c r="B925" s="51" t="inlineStr">
        <is>
          <t>30066</t>
        </is>
      </c>
      <c r="C925" s="156" t="inlineStr">
        <is>
          <t>Wrangler</t>
        </is>
      </c>
      <c r="D925" s="156" t="inlineStr">
        <is>
          <t>WG292-8110CF</t>
        </is>
      </c>
      <c r="E925" s="156" t="inlineStr">
        <is>
          <t>WG292-8110CF</t>
        </is>
      </c>
      <c r="F925" s="156" t="inlineStr">
        <is>
          <t>Talla única</t>
        </is>
      </c>
      <c r="G925" s="156" t="inlineStr">
        <is>
          <t>One Size</t>
        </is>
      </c>
      <c r="H925" s="156" t="inlineStr">
        <is>
          <t>Wrangler</t>
        </is>
      </c>
      <c r="I925" s="156" t="inlineStr">
        <is>
          <t>Bolsa Tote Grande Wrangler Herradura Calada Café Oscuro</t>
        </is>
      </c>
      <c r="J925" s="156" t="inlineStr">
        <is>
          <t>Accesorios</t>
        </is>
      </c>
      <c r="K925" s="156" t="inlineStr">
        <is>
          <t>Bolsos</t>
        </is>
      </c>
      <c r="L925" s="156" t="inlineStr">
        <is>
          <t>Unisex</t>
        </is>
      </c>
      <c r="M925" s="156" t="inlineStr">
        <is>
          <t>Wrangler</t>
        </is>
      </c>
      <c r="N925" s="156" t="inlineStr">
        <is>
          <t>FW26</t>
        </is>
      </c>
      <c r="O925" s="156" t="inlineStr">
        <is>
          <t>Seasonal</t>
        </is>
      </c>
      <c r="P925" s="156" t="inlineStr">
        <is>
          <t>Cafe</t>
        </is>
      </c>
      <c r="Q925" s="156" t="n"/>
      <c r="R925" s="156" t="n"/>
      <c r="S925" s="156" t="n"/>
      <c r="T925" s="156" t="inlineStr">
        <is>
          <t>Bolsa Tote Grande Wrangler. Modelo: Herradura Calada. Color: Café Oscuro. Talla única. Unisex. País de origen: México. Referencia: WG292-8110CF.</t>
        </is>
      </c>
      <c r="U925" s="156" t="inlineStr">
        <is>
          <t>México</t>
        </is>
      </c>
      <c r="V925" s="156" t="inlineStr">
        <is>
          <t>PZS</t>
        </is>
      </c>
      <c r="W925" s="51" t="inlineStr">
        <is>
          <t>53121601</t>
        </is>
      </c>
      <c r="X925" s="156" t="n"/>
      <c r="Y925" s="54" t="n">
        <v>420</v>
      </c>
      <c r="Z925" s="54" t="n">
        <v>824.5</v>
      </c>
      <c r="AA925" s="55">
        <f>IF(AND(A925="", B925="", E925=""), "", IF(AB925="", "Válido", IF((LEN(AB925)-LEN(SUBSTITUTE(AB925,"; ","")))/2+1&gt;(LEN(AB925)-LEN(SUBSTITUTE(AB925,"[Aviso]","")))/7, "Con Incidencias", "Válido")))</f>
        <v/>
      </c>
      <c r="AB925" s="56">
        <f>IF(AND(A925="", B925="", E925=""), "", TEXTJOIN("; ", TRUE, IF(OR(TRIM(A925&amp;"")="", ISNUMBER(SEARCH("FALTA", A925))), "UPC faltante/inválido", ""), IF(AND(A925&lt;&gt;"", IFERROR(_xlfn.XMATCH(A925,$A$2:$A$1063,0,1)&lt;&gt;_xlfn.XMATCH(A925,$A$2:$A$1063,0,-1),FALSE)), "Código de barras duplicado", ""), IF(AND(E925&lt;&gt;"", COUNTIF($E$2:$E$1063, E925)&gt;1), "SKU duplicado", ""), IF(OR(J925="", J925=""), "[Aviso] División no capturada ()", IF(ISNA(MATCH(J925, Criterios!$A$123:$A$126, 0)), "División no válida", "")), IF(OR(K925="", K925=""), "[Aviso] Categoría no capturada ()", IF(ISNA(MATCH(K925, Criterios!$A$81:$A$120, 0)), "Categoría no válida", IF(AND(J925&lt;&gt;"", J925&lt;&gt;"", J925&lt;&gt;VLOOKUP(K925, Criterios!$A$81:$B$120, 2, FALSE)), "División no coincide con Categoría", ""))), IF(OR(L925="", L925=""), "[Aviso] Género no capturado ()", IF(ISNA(MATCH(L925, Criterios!$B$123:$B$127, 0)), "Género no válido", "")), IF(OR(N925="", N925=""), "[Aviso] Temporada no capturada ()", IF(ISNA(MATCH(N925, Criterios!$C$123:$C$128, 0)), "Temporada no válida", "")), IF(OR(O925="", O925=""), "[Aviso] Ciclo de vida no capturado ()", IF(ISNA(MATCH(O925, Criterios!$D$123:$D$124, 0)), "Ciclo de vida no válido", ""))))</f>
        <v/>
      </c>
      <c r="AC925" s="56" t="n"/>
      <c r="AD925" s="51" t="n"/>
      <c r="AE925" s="156" t="n"/>
      <c r="AF925" s="51" t="n"/>
      <c r="AG925" s="156" t="inlineStr">
        <is>
          <t>Nuevo – Carga Hoja2 01/10/2026</t>
        </is>
      </c>
      <c r="AH925" s="156" t="inlineStr">
        <is>
          <t>Alta 01/10/2026 desde Hoja2 (fila 955) | Homologación G1522 06/10/2026: Validador Shopify: WB: precio con IVA no termina en 9</t>
        </is>
      </c>
      <c r="AI925" s="156" t="n"/>
      <c r="AJ925" s="156" t="n"/>
      <c r="AK925" s="155" t="inlineStr">
        <is>
          <t>Hoja2: fila 955 | Odoo: producto 30066 / plantilla 38822</t>
        </is>
      </c>
      <c r="AL925" s="58" t="n"/>
      <c r="AM925" s="58" t="n"/>
      <c r="AN925" s="155" t="inlineStr">
        <is>
          <t>Odoo Universal Unique Brands</t>
        </is>
      </c>
      <c r="AO925" s="59" t="n"/>
      <c r="AP925" s="59" t="n"/>
      <c r="AQ925" s="59" t="n">
        <v>0</v>
      </c>
      <c r="AR925" s="155" t="n"/>
    </row>
    <row r="926">
      <c r="A926" s="50" t="inlineStr">
        <is>
          <t>717690456740</t>
        </is>
      </c>
      <c r="B926" s="51" t="inlineStr">
        <is>
          <t>22147</t>
        </is>
      </c>
      <c r="C926" s="156" t="inlineStr">
        <is>
          <t>Wrangler</t>
        </is>
      </c>
      <c r="D926" s="156" t="inlineStr">
        <is>
          <t>WG296-8014BR</t>
        </is>
      </c>
      <c r="E926" s="156" t="inlineStr">
        <is>
          <t>WG296-8014BR</t>
        </is>
      </c>
      <c r="F926" s="156" t="inlineStr">
        <is>
          <t>Talla única</t>
        </is>
      </c>
      <c r="G926" s="156" t="inlineStr">
        <is>
          <t>One Size</t>
        </is>
      </c>
      <c r="H926" s="156" t="inlineStr">
        <is>
          <t>Wrangler</t>
        </is>
      </c>
      <c r="I926" s="156" t="inlineStr">
        <is>
          <t>Bolsa Tote Cruzada Wrangler Estampado De Leopardo Café</t>
        </is>
      </c>
      <c r="J926" s="156" t="inlineStr">
        <is>
          <t>Accesorios</t>
        </is>
      </c>
      <c r="K926" s="156" t="inlineStr">
        <is>
          <t>Bolsos</t>
        </is>
      </c>
      <c r="L926" s="156" t="inlineStr">
        <is>
          <t>Unisex</t>
        </is>
      </c>
      <c r="M926" s="156" t="inlineStr">
        <is>
          <t>Wrangler</t>
        </is>
      </c>
      <c r="N926" s="156" t="n"/>
      <c r="O926" s="156" t="n"/>
      <c r="P926" s="156" t="inlineStr">
        <is>
          <t>Cafe</t>
        </is>
      </c>
      <c r="Q926" s="156" t="n"/>
      <c r="R926" s="156" t="n"/>
      <c r="S926" s="156" t="n"/>
      <c r="T926" s="156" t="inlineStr">
        <is>
          <t>Bolsa Tote Cruzada</t>
        </is>
      </c>
      <c r="U926" s="156" t="inlineStr">
        <is>
          <t>México</t>
        </is>
      </c>
      <c r="V926" s="156" t="inlineStr">
        <is>
          <t>PZS</t>
        </is>
      </c>
      <c r="W926" s="51" t="inlineStr">
        <is>
          <t>53121601</t>
        </is>
      </c>
      <c r="X926" s="156" t="inlineStr">
        <is>
          <t>https://cdn.shopify.com/s/files/1/0005/9015/1741/files/Wrangler_Western_Braided_Handle_Leopard_Tote_Bag_Brown.webp?v=1760423500</t>
        </is>
      </c>
      <c r="Y926" s="54" t="n">
        <v>17.25</v>
      </c>
      <c r="Z926" s="54" t="n">
        <v>639</v>
      </c>
      <c r="AA926" s="55">
        <f>IF(AND(A926="", B926="", E926=""), "", IF(AB926="", "Válido", IF((LEN(AB926)-LEN(SUBSTITUTE(AB926,"; ","")))/2+1&gt;(LEN(AB926)-LEN(SUBSTITUTE(AB926,"[Aviso]","")))/7, "Con Incidencias", "Válido")))</f>
        <v/>
      </c>
      <c r="AB926" s="56">
        <f>IF(AND(A926="", B926="", E926=""), "", TEXTJOIN("; ", TRUE, IF(OR(TRIM(A926&amp;"")="", ISNUMBER(SEARCH("FALTA", A926))), "UPC faltante/inválido", ""), IF(AND(A926&lt;&gt;"", IFERROR(_xlfn.XMATCH(A926,$A$2:$A$1063,0,1)&lt;&gt;_xlfn.XMATCH(A926,$A$2:$A$1063,0,-1),FALSE)), "Código de barras duplicado", ""), IF(AND(E926&lt;&gt;"", COUNTIF($E$2:$E$1063, E926)&gt;1), "SKU duplicado", ""), IF(OR(J926="", J926=""), "[Aviso] División no capturada ()", IF(ISNA(MATCH(J926, Criterios!$A$123:$A$126, 0)), "División no válida", "")), IF(OR(K926="", K926=""), "[Aviso] Categoría no capturada ()", IF(ISNA(MATCH(K926, Criterios!$A$81:$A$120, 0)), "Categoría no válida", IF(AND(J926&lt;&gt;"", J926&lt;&gt;"", J926&lt;&gt;VLOOKUP(K926, Criterios!$A$81:$B$120, 2, FALSE)), "División no coincide con Categoría", ""))), IF(OR(L926="", L926=""), "[Aviso] Género no capturado ()", IF(ISNA(MATCH(L926, Criterios!$B$123:$B$127, 0)), "Género no válido", "")), IF(OR(N926="", N926=""), "[Aviso] Temporada no capturada ()", IF(ISNA(MATCH(N926, Criterios!$C$123:$C$128, 0)), "Temporada no válida", "")), IF(OR(O926="", O926=""), "[Aviso] Ciclo de vida no capturado ()", IF(ISNA(MATCH(O926, Criterios!$D$123:$D$124, 0)), "Ciclo de vida no válido", ""))))</f>
        <v/>
      </c>
      <c r="AC926" s="56" t="n"/>
      <c r="AD926" s="51" t="n"/>
      <c r="AE926" s="156" t="n"/>
      <c r="AF926" s="51" t="n"/>
      <c r="AG926" s="156" t="inlineStr">
        <is>
          <t>Nuevo – Carga Hoja2 01/10/2026</t>
        </is>
      </c>
      <c r="AH926" s="156" t="inlineStr">
        <is>
          <t>Alta 01/10/2026 desde Hoja2 (fila 956) | 01/10/2026: complementado desde Odoo Universal Unique Brands (match por código de barras): WB Talla, WB Talla de EE. UU., WB Descripción larga | Homologación G1522 06/10/2026: WB País de origen: «Mexico» → «México» (Corrección aplicada) · Enlace de imagen: «» → «https://cdn.shopify.com/s/files/1/0005/9015/1741/files/Wrangler_Western_Braided_Handle_Leopard_Tote_Bag_Brown.webp?v=1760423500» (Completado por investigación en línea) · Validación G1522: [Aviso] Precio de compra posiblemente en USD · Validador Shopify: WB: precio con IVA no termina en 9</t>
        </is>
      </c>
      <c r="AI926" s="156" t="n"/>
      <c r="AJ926" s="156" t="n"/>
      <c r="AK926" s="155" t="inlineStr">
        <is>
          <t>Hoja2: fila 956 | Odoo: producto 22147 / plantilla 28290 | Investigación en línea 06/10/2026: https://montanawestworld.com/products/wrangler-wildside-cheetah-top-handle-tote-bag</t>
        </is>
      </c>
      <c r="AL926" s="58" t="n"/>
      <c r="AM926" s="58" t="n"/>
      <c r="AN926" s="155" t="inlineStr">
        <is>
          <t>Odoo Universal Unique Brands</t>
        </is>
      </c>
      <c r="AO926" s="59" t="n"/>
      <c r="AP926" s="59" t="n"/>
      <c r="AQ926" s="59" t="n">
        <v>3</v>
      </c>
      <c r="AR926" s="155" t="inlineStr">
        <is>
          <t>Odoo Universal Unique Brands › Bodega 25 › Bodega 25/General: 3</t>
        </is>
      </c>
    </row>
    <row r="927">
      <c r="A927" s="50" t="inlineStr">
        <is>
          <t>717690456801</t>
        </is>
      </c>
      <c r="B927" s="51" t="inlineStr">
        <is>
          <t>22146</t>
        </is>
      </c>
      <c r="C927" s="156" t="inlineStr">
        <is>
          <t>Wrangler</t>
        </is>
      </c>
      <c r="D927" s="156" t="inlineStr">
        <is>
          <t>WG296-8015BR</t>
        </is>
      </c>
      <c r="E927" s="156" t="inlineStr">
        <is>
          <t>WG296-8015BR</t>
        </is>
      </c>
      <c r="F927" s="156" t="inlineStr">
        <is>
          <t>Talla única</t>
        </is>
      </c>
      <c r="G927" s="156" t="inlineStr">
        <is>
          <t>One Size</t>
        </is>
      </c>
      <c r="H927" s="156" t="inlineStr">
        <is>
          <t>Wrangler</t>
        </is>
      </c>
      <c r="I927" s="156" t="inlineStr">
        <is>
          <t>Bolsa Tote Chica Cruzada Wrangler Estampado De Leopardo Café</t>
        </is>
      </c>
      <c r="J927" s="156" t="inlineStr">
        <is>
          <t>Accesorios</t>
        </is>
      </c>
      <c r="K927" s="156" t="inlineStr">
        <is>
          <t>Bolsos</t>
        </is>
      </c>
      <c r="L927" s="156" t="inlineStr">
        <is>
          <t>Unisex</t>
        </is>
      </c>
      <c r="M927" s="156" t="inlineStr">
        <is>
          <t>Wrangler</t>
        </is>
      </c>
      <c r="N927" s="156" t="n"/>
      <c r="O927" s="156" t="n"/>
      <c r="P927" s="156" t="inlineStr">
        <is>
          <t>Cafe</t>
        </is>
      </c>
      <c r="Q927" s="156" t="n"/>
      <c r="R927" s="156" t="n"/>
      <c r="S927" s="156" t="n"/>
      <c r="T927" s="156" t="inlineStr">
        <is>
          <t>Bolsa Tote Chica Cruzada</t>
        </is>
      </c>
      <c r="U927" s="156" t="inlineStr">
        <is>
          <t>México</t>
        </is>
      </c>
      <c r="V927" s="156" t="inlineStr">
        <is>
          <t>PZS</t>
        </is>
      </c>
      <c r="W927" s="51" t="inlineStr">
        <is>
          <t>53121601</t>
        </is>
      </c>
      <c r="X927" s="156" t="inlineStr">
        <is>
          <t>https://cdn.shopify.com/s/files/1/0005/9015/1741/files/Wrangler_Leopard_Print_Tote_Bag_Brown.webp?v=1770780670</t>
        </is>
      </c>
      <c r="Y927" s="54" t="n">
        <v>21</v>
      </c>
      <c r="Z927" s="54" t="n">
        <v>799</v>
      </c>
      <c r="AA927" s="55">
        <f>IF(AND(A927="", B927="", E927=""), "", IF(AB927="", "Válido", IF((LEN(AB927)-LEN(SUBSTITUTE(AB927,"; ","")))/2+1&gt;(LEN(AB927)-LEN(SUBSTITUTE(AB927,"[Aviso]","")))/7, "Con Incidencias", "Válido")))</f>
        <v/>
      </c>
      <c r="AB927" s="56">
        <f>IF(AND(A927="", B927="", E927=""), "", TEXTJOIN("; ", TRUE, IF(OR(TRIM(A927&amp;"")="", ISNUMBER(SEARCH("FALTA", A927))), "UPC faltante/inválido", ""), IF(AND(A927&lt;&gt;"", IFERROR(_xlfn.XMATCH(A927,$A$2:$A$1063,0,1)&lt;&gt;_xlfn.XMATCH(A927,$A$2:$A$1063,0,-1),FALSE)), "Código de barras duplicado", ""), IF(AND(E927&lt;&gt;"", COUNTIF($E$2:$E$1063, E927)&gt;1), "SKU duplicado", ""), IF(OR(J927="", J927=""), "[Aviso] División no capturada ()", IF(ISNA(MATCH(J927, Criterios!$A$123:$A$126, 0)), "División no válida", "")), IF(OR(K927="", K927=""), "[Aviso] Categoría no capturada ()", IF(ISNA(MATCH(K927, Criterios!$A$81:$A$120, 0)), "Categoría no válida", IF(AND(J927&lt;&gt;"", J927&lt;&gt;"", J927&lt;&gt;VLOOKUP(K927, Criterios!$A$81:$B$120, 2, FALSE)), "División no coincide con Categoría", ""))), IF(OR(L927="", L927=""), "[Aviso] Género no capturado ()", IF(ISNA(MATCH(L927, Criterios!$B$123:$B$127, 0)), "Género no válido", "")), IF(OR(N927="", N927=""), "[Aviso] Temporada no capturada ()", IF(ISNA(MATCH(N927, Criterios!$C$123:$C$128, 0)), "Temporada no válida", "")), IF(OR(O927="", O927=""), "[Aviso] Ciclo de vida no capturado ()", IF(ISNA(MATCH(O927, Criterios!$D$123:$D$124, 0)), "Ciclo de vida no válido", ""))))</f>
        <v/>
      </c>
      <c r="AC927" s="56" t="n"/>
      <c r="AD927" s="51" t="n"/>
      <c r="AE927" s="156" t="n"/>
      <c r="AF927" s="51" t="n"/>
      <c r="AG927" s="156" t="inlineStr">
        <is>
          <t>Nuevo – Carga Hoja2 01/10/2026</t>
        </is>
      </c>
      <c r="AH927" s="156" t="inlineStr">
        <is>
          <t>Alta 01/10/2026 desde Hoja2 (fila 957) | 01/10/2026: complementado desde Odoo Universal Unique Brands (match por código de barras): WB Talla, WB Talla de EE. UU., WB Descripción larga | Homologación G1522 06/10/2026: WB País de origen: «Mexico» → «México» (Corrección aplicada) · Enlace de imagen: «» → «https://cdn.shopify.com/s/files/1/0005/9015/1741/files/Wrangler_Leopard_Print_Tote_Bag_Brown.webp?v=1770780670» (Completado por investigación en línea) · Validador Shopify: WB: precio con IVA no termina en 9</t>
        </is>
      </c>
      <c r="AI927" s="156" t="n"/>
      <c r="AJ927" s="156" t="n"/>
      <c r="AK927" s="155" t="inlineStr">
        <is>
          <t>Hoja2: fila 957 | Odoo: producto 22146 / plantilla 28289 | Investigación en línea 06/10/2026: https://montanawestworld.com/products/wrangler-western-leopard-print-tote-bag</t>
        </is>
      </c>
      <c r="AL927" s="58" t="n"/>
      <c r="AM927" s="58" t="n"/>
      <c r="AN927" s="155" t="inlineStr">
        <is>
          <t>Odoo Universal Unique Brands</t>
        </is>
      </c>
      <c r="AO927" s="59" t="n"/>
      <c r="AP927" s="59" t="n"/>
      <c r="AQ927" s="59" t="n">
        <v>2</v>
      </c>
      <c r="AR927" s="155" t="inlineStr">
        <is>
          <t>Odoo Universal Unique Brands › Bodega 25 › Bodega 25/General: 2</t>
        </is>
      </c>
    </row>
    <row r="928">
      <c r="A928" s="50" t="inlineStr">
        <is>
          <t>717690456863</t>
        </is>
      </c>
      <c r="B928" s="51" t="inlineStr">
        <is>
          <t>22148</t>
        </is>
      </c>
      <c r="C928" s="156" t="inlineStr">
        <is>
          <t>Wrangler</t>
        </is>
      </c>
      <c r="D928" s="156" t="inlineStr">
        <is>
          <t>WG296-8625BR</t>
        </is>
      </c>
      <c r="E928" s="156" t="inlineStr">
        <is>
          <t>WG296-8625BR</t>
        </is>
      </c>
      <c r="F928" s="156" t="inlineStr">
        <is>
          <t>Talla única</t>
        </is>
      </c>
      <c r="G928" s="156" t="inlineStr">
        <is>
          <t>One Size</t>
        </is>
      </c>
      <c r="H928" s="156" t="inlineStr">
        <is>
          <t>Wrangler</t>
        </is>
      </c>
      <c r="I928" s="156" t="inlineStr">
        <is>
          <t>Bolsa Tote Ancha Cruzada Wrangler Estampado De Leopardo Café</t>
        </is>
      </c>
      <c r="J928" s="156" t="inlineStr">
        <is>
          <t>Accesorios</t>
        </is>
      </c>
      <c r="K928" s="156" t="inlineStr">
        <is>
          <t>Bolsos</t>
        </is>
      </c>
      <c r="L928" s="156" t="inlineStr">
        <is>
          <t>Unisex</t>
        </is>
      </c>
      <c r="M928" s="156" t="inlineStr">
        <is>
          <t>Wrangler</t>
        </is>
      </c>
      <c r="N928" s="156" t="n"/>
      <c r="O928" s="156" t="n"/>
      <c r="P928" s="156" t="inlineStr">
        <is>
          <t>Cafe</t>
        </is>
      </c>
      <c r="Q928" s="156" t="n"/>
      <c r="R928" s="156" t="n"/>
      <c r="S928" s="156" t="n"/>
      <c r="T928" s="156" t="inlineStr">
        <is>
          <t>Bolsa Tote Ancha Cruzada</t>
        </is>
      </c>
      <c r="U928" s="156" t="inlineStr">
        <is>
          <t>México</t>
        </is>
      </c>
      <c r="V928" s="156" t="inlineStr">
        <is>
          <t>PZS</t>
        </is>
      </c>
      <c r="W928" s="51" t="inlineStr">
        <is>
          <t>53121601</t>
        </is>
      </c>
      <c r="X928" s="156" t="n"/>
      <c r="Y928" s="54" t="n">
        <v>18.75</v>
      </c>
      <c r="Z928" s="54" t="n">
        <v>719</v>
      </c>
      <c r="AA928" s="55">
        <f>IF(AND(A928="", B928="", E928=""), "", IF(AB928="", "Válido", IF((LEN(AB928)-LEN(SUBSTITUTE(AB928,"; ","")))/2+1&gt;(LEN(AB928)-LEN(SUBSTITUTE(AB928,"[Aviso]","")))/7, "Con Incidencias", "Válido")))</f>
        <v/>
      </c>
      <c r="AB928" s="56">
        <f>IF(AND(A928="", B928="", E928=""), "", TEXTJOIN("; ", TRUE, IF(OR(TRIM(A928&amp;"")="", ISNUMBER(SEARCH("FALTA", A928))), "UPC faltante/inválido", ""), IF(AND(A928&lt;&gt;"", IFERROR(_xlfn.XMATCH(A928,$A$2:$A$1063,0,1)&lt;&gt;_xlfn.XMATCH(A928,$A$2:$A$1063,0,-1),FALSE)), "Código de barras duplicado", ""), IF(AND(E928&lt;&gt;"", COUNTIF($E$2:$E$1063, E928)&gt;1), "SKU duplicado", ""), IF(OR(J928="", J928=""), "[Aviso] División no capturada ()", IF(ISNA(MATCH(J928, Criterios!$A$123:$A$126, 0)), "División no válida", "")), IF(OR(K928="", K928=""), "[Aviso] Categoría no capturada ()", IF(ISNA(MATCH(K928, Criterios!$A$81:$A$120, 0)), "Categoría no válida", IF(AND(J928&lt;&gt;"", J928&lt;&gt;"", J928&lt;&gt;VLOOKUP(K928, Criterios!$A$81:$B$120, 2, FALSE)), "División no coincide con Categoría", ""))), IF(OR(L928="", L928=""), "[Aviso] Género no capturado ()", IF(ISNA(MATCH(L928, Criterios!$B$123:$B$127, 0)), "Género no válido", "")), IF(OR(N928="", N928=""), "[Aviso] Temporada no capturada ()", IF(ISNA(MATCH(N928, Criterios!$C$123:$C$128, 0)), "Temporada no válida", "")), IF(OR(O928="", O928=""), "[Aviso] Ciclo de vida no capturado ()", IF(ISNA(MATCH(O928, Criterios!$D$123:$D$124, 0)), "Ciclo de vida no válido", ""))))</f>
        <v/>
      </c>
      <c r="AC928" s="56" t="n"/>
      <c r="AD928" s="51" t="n"/>
      <c r="AE928" s="156" t="n"/>
      <c r="AF928" s="51" t="n"/>
      <c r="AG928" s="156" t="inlineStr">
        <is>
          <t>Nuevo – Carga Hoja2 01/10/2026</t>
        </is>
      </c>
      <c r="AH928" s="156" t="inlineStr">
        <is>
          <t>Alta 01/10/2026 desde Hoja2 (fila 958) | 01/10/2026: complementado desde Odoo Universal Unique Brands (match por código de barras): WB Talla, WB Talla de EE. UU., WB Descripción larga | Homologación G1522 06/10/2026: WB País de origen: «Mexico» → «México» (Corrección aplicada) · Validación G1522: [Aviso] Precio de compra posiblemente en USD · Validador Shopify: WB: precio con IVA no termina en 9</t>
        </is>
      </c>
      <c r="AI928" s="156" t="n"/>
      <c r="AJ928" s="156" t="n"/>
      <c r="AK928" s="155" t="inlineStr">
        <is>
          <t>Hoja2: fila 958 | Odoo: producto 22148 / plantilla 28291</t>
        </is>
      </c>
      <c r="AL928" s="58" t="n"/>
      <c r="AM928" s="58" t="n"/>
      <c r="AN928" s="155" t="inlineStr">
        <is>
          <t>Odoo Universal Unique Brands</t>
        </is>
      </c>
      <c r="AO928" s="59" t="n"/>
      <c r="AP928" s="59" t="n"/>
      <c r="AQ928" s="59" t="n">
        <v>2</v>
      </c>
      <c r="AR928" s="155" t="inlineStr">
        <is>
          <t>Odoo Universal Unique Brands › Bodega 25 › Bodega 25/General: 2</t>
        </is>
      </c>
    </row>
    <row r="929">
      <c r="A929" s="50" t="inlineStr">
        <is>
          <t>717690456702</t>
        </is>
      </c>
      <c r="B929" s="51" t="inlineStr">
        <is>
          <t>22160</t>
        </is>
      </c>
      <c r="C929" s="156" t="inlineStr">
        <is>
          <t>Wrangler</t>
        </is>
      </c>
      <c r="D929" s="156" t="inlineStr">
        <is>
          <t>WG296-8900TN</t>
        </is>
      </c>
      <c r="E929" s="156" t="inlineStr">
        <is>
          <t>WG296-8900TN</t>
        </is>
      </c>
      <c r="F929" s="156" t="inlineStr">
        <is>
          <t>Talla única</t>
        </is>
      </c>
      <c r="G929" s="156" t="inlineStr">
        <is>
          <t>One Size</t>
        </is>
      </c>
      <c r="H929" s="156" t="inlineStr">
        <is>
          <t>Wrangler</t>
        </is>
      </c>
      <c r="I929" s="156" t="inlineStr">
        <is>
          <t>Bolsa Tote Wrangler Estampado De Leopardo Camel</t>
        </is>
      </c>
      <c r="J929" s="156" t="inlineStr">
        <is>
          <t>Accesorios</t>
        </is>
      </c>
      <c r="K929" s="156" t="inlineStr">
        <is>
          <t>Bolsos</t>
        </is>
      </c>
      <c r="L929" s="156" t="inlineStr">
        <is>
          <t>Unisex</t>
        </is>
      </c>
      <c r="M929" s="156" t="inlineStr">
        <is>
          <t>Wrangler</t>
        </is>
      </c>
      <c r="N929" s="156" t="n"/>
      <c r="O929" s="156" t="n"/>
      <c r="P929" s="156" t="inlineStr">
        <is>
          <t>Beige</t>
        </is>
      </c>
      <c r="Q929" s="156" t="n"/>
      <c r="R929" s="156" t="n"/>
      <c r="S929" s="156" t="n"/>
      <c r="T929" s="156" t="inlineStr">
        <is>
          <t>Bolsa Tote</t>
        </is>
      </c>
      <c r="U929" s="156" t="inlineStr">
        <is>
          <t>México</t>
        </is>
      </c>
      <c r="V929" s="156" t="inlineStr">
        <is>
          <t>PZS</t>
        </is>
      </c>
      <c r="W929" s="51" t="inlineStr">
        <is>
          <t>53121601</t>
        </is>
      </c>
      <c r="X929" s="156" t="inlineStr">
        <is>
          <t>https://cdn.shopify.com/s/files/1/0005/9015/1741/files/Wrangler_Western_Leopard_Print_Tote_Bag_Tan4.webp?v=1775739379</t>
        </is>
      </c>
      <c r="Y929" s="54" t="n">
        <v>25.5</v>
      </c>
      <c r="Z929" s="54" t="n">
        <v>959</v>
      </c>
      <c r="AA929" s="55">
        <f>IF(AND(A929="", B929="", E929=""), "", IF(AB929="", "Válido", IF((LEN(AB929)-LEN(SUBSTITUTE(AB929,"; ","")))/2+1&gt;(LEN(AB929)-LEN(SUBSTITUTE(AB929,"[Aviso]","")))/7, "Con Incidencias", "Válido")))</f>
        <v/>
      </c>
      <c r="AB929" s="56">
        <f>IF(AND(A929="", B929="", E929=""), "", TEXTJOIN("; ", TRUE, IF(OR(TRIM(A929&amp;"")="", ISNUMBER(SEARCH("FALTA", A929))), "UPC faltante/inválido", ""), IF(AND(A929&lt;&gt;"", IFERROR(_xlfn.XMATCH(A929,$A$2:$A$1063,0,1)&lt;&gt;_xlfn.XMATCH(A929,$A$2:$A$1063,0,-1),FALSE)), "Código de barras duplicado", ""), IF(AND(E929&lt;&gt;"", COUNTIF($E$2:$E$1063, E929)&gt;1), "SKU duplicado", ""), IF(OR(J929="", J929=""), "[Aviso] División no capturada ()", IF(ISNA(MATCH(J929, Criterios!$A$123:$A$126, 0)), "División no válida", "")), IF(OR(K929="", K929=""), "[Aviso] Categoría no capturada ()", IF(ISNA(MATCH(K929, Criterios!$A$81:$A$120, 0)), "Categoría no válida", IF(AND(J929&lt;&gt;"", J929&lt;&gt;"", J929&lt;&gt;VLOOKUP(K929, Criterios!$A$81:$B$120, 2, FALSE)), "División no coincide con Categoría", ""))), IF(OR(L929="", L929=""), "[Aviso] Género no capturado ()", IF(ISNA(MATCH(L929, Criterios!$B$123:$B$127, 0)), "Género no válido", "")), IF(OR(N929="", N929=""), "[Aviso] Temporada no capturada ()", IF(ISNA(MATCH(N929, Criterios!$C$123:$C$128, 0)), "Temporada no válida", "")), IF(OR(O929="", O929=""), "[Aviso] Ciclo de vida no capturado ()", IF(ISNA(MATCH(O929, Criterios!$D$123:$D$124, 0)), "Ciclo de vida no válido", ""))))</f>
        <v/>
      </c>
      <c r="AC929" s="56" t="n"/>
      <c r="AD929" s="51" t="n"/>
      <c r="AE929" s="156" t="n"/>
      <c r="AF929" s="51" t="n"/>
      <c r="AG929" s="156" t="inlineStr">
        <is>
          <t>Nuevo – Carga Hoja2 01/10/2026</t>
        </is>
      </c>
      <c r="AH929" s="156" t="inlineStr">
        <is>
          <t>Alta 01/10/2026 desde Hoja2 (fila 959) | 01/10/2026: complementado desde Odoo Universal Unique Brands (match por código de barras): WB Talla, WB Talla de EE. UU., WB Descripción larga | Homologación G1522 06/10/2026: WB País de origen: «Mexico» → «México» (Corrección aplicada) · Enlace de imagen: «» → «https://cdn.shopify.com/s/files/1/0005/9015/1741/files/Wrangler_Western_Leopard_Print_Tote_Bag_Tan4.webp?v=1775739379» (Completado por investigación en línea) · Validador Shopify: WB: precio con IVA no termina en 9</t>
        </is>
      </c>
      <c r="AI929" s="156" t="n"/>
      <c r="AJ929" s="156" t="n"/>
      <c r="AK929" s="155" t="inlineStr">
        <is>
          <t>Hoja2: fila 959 | Odoo: producto 22160 / plantilla 28303 | Investigación en línea 06/10/2026: https://montanawestworld.com/products/wrangler-cheetah-tote-bag</t>
        </is>
      </c>
      <c r="AL929" s="58" t="n"/>
      <c r="AM929" s="58" t="n"/>
      <c r="AN929" s="155" t="inlineStr">
        <is>
          <t>Odoo Universal Unique Brands</t>
        </is>
      </c>
      <c r="AO929" s="59" t="n"/>
      <c r="AP929" s="59" t="n"/>
      <c r="AQ929" s="59" t="n">
        <v>2</v>
      </c>
      <c r="AR929" s="155" t="inlineStr">
        <is>
          <t>Odoo Universal Unique Brands › Bodega 25 › Bodega 25/General: 2</t>
        </is>
      </c>
    </row>
    <row r="930">
      <c r="A930" s="50" t="inlineStr">
        <is>
          <t>717690457129</t>
        </is>
      </c>
      <c r="B930" s="51" t="inlineStr">
        <is>
          <t>22171</t>
        </is>
      </c>
      <c r="C930" s="156" t="inlineStr">
        <is>
          <t>Wrangler</t>
        </is>
      </c>
      <c r="D930" s="156" t="inlineStr">
        <is>
          <t>WG296-W0051CF</t>
        </is>
      </c>
      <c r="E930" s="156" t="inlineStr">
        <is>
          <t>WG296-W0051CF</t>
        </is>
      </c>
      <c r="F930" s="156" t="inlineStr">
        <is>
          <t>Talla única</t>
        </is>
      </c>
      <c r="G930" s="156" t="inlineStr">
        <is>
          <t>One Size</t>
        </is>
      </c>
      <c r="H930" s="156" t="inlineStr">
        <is>
          <t>Wrangler</t>
        </is>
      </c>
      <c r="I930" s="156" t="inlineStr">
        <is>
          <t>Muñequera De Doble Compartimento Wrangler Estampado De Leopardo Café Oscuro</t>
        </is>
      </c>
      <c r="J930" s="156" t="inlineStr">
        <is>
          <t>Accesorios</t>
        </is>
      </c>
      <c r="K930" s="156" t="inlineStr">
        <is>
          <t>Bolsos</t>
        </is>
      </c>
      <c r="L930" s="156" t="inlineStr">
        <is>
          <t>Unisex</t>
        </is>
      </c>
      <c r="M930" s="156" t="inlineStr">
        <is>
          <t>Wrangler</t>
        </is>
      </c>
      <c r="N930" s="156" t="n"/>
      <c r="O930" s="156" t="n"/>
      <c r="P930" s="156" t="inlineStr">
        <is>
          <t>Cafe</t>
        </is>
      </c>
      <c r="Q930" s="156" t="n"/>
      <c r="R930" s="156" t="n"/>
      <c r="S930" s="156" t="n"/>
      <c r="T930" s="156" t="inlineStr">
        <is>
          <t>Muñequera De Doble Compartimento</t>
        </is>
      </c>
      <c r="U930" s="156" t="inlineStr">
        <is>
          <t>México</t>
        </is>
      </c>
      <c r="V930" s="156" t="inlineStr">
        <is>
          <t>PZS</t>
        </is>
      </c>
      <c r="W930" s="51" t="inlineStr">
        <is>
          <t>53121601</t>
        </is>
      </c>
      <c r="X930" s="156" t="inlineStr">
        <is>
          <t>https://cdn.shopify.com/s/files/1/0005/9015/1741/files/WG296-W0051CF.1.webp?v=1768464364</t>
        </is>
      </c>
      <c r="Y930" s="54" t="n">
        <v>21</v>
      </c>
      <c r="Z930" s="54" t="n">
        <v>799</v>
      </c>
      <c r="AA930" s="55">
        <f>IF(AND(A930="", B930="", E930=""), "", IF(AB930="", "Válido", IF((LEN(AB930)-LEN(SUBSTITUTE(AB930,"; ","")))/2+1&gt;(LEN(AB930)-LEN(SUBSTITUTE(AB930,"[Aviso]","")))/7, "Con Incidencias", "Válido")))</f>
        <v/>
      </c>
      <c r="AB930" s="56">
        <f>IF(AND(A930="", B930="", E930=""), "", TEXTJOIN("; ", TRUE, IF(OR(TRIM(A930&amp;"")="", ISNUMBER(SEARCH("FALTA", A930))), "UPC faltante/inválido", ""), IF(AND(A930&lt;&gt;"", IFERROR(_xlfn.XMATCH(A930,$A$2:$A$1063,0,1)&lt;&gt;_xlfn.XMATCH(A930,$A$2:$A$1063,0,-1),FALSE)), "Código de barras duplicado", ""), IF(AND(E930&lt;&gt;"", COUNTIF($E$2:$E$1063, E930)&gt;1), "SKU duplicado", ""), IF(OR(J930="", J930=""), "[Aviso] División no capturada ()", IF(ISNA(MATCH(J930, Criterios!$A$123:$A$126, 0)), "División no válida", "")), IF(OR(K930="", K930=""), "[Aviso] Categoría no capturada ()", IF(ISNA(MATCH(K930, Criterios!$A$81:$A$120, 0)), "Categoría no válida", IF(AND(J930&lt;&gt;"", J930&lt;&gt;"", J930&lt;&gt;VLOOKUP(K930, Criterios!$A$81:$B$120, 2, FALSE)), "División no coincide con Categoría", ""))), IF(OR(L930="", L930=""), "[Aviso] Género no capturado ()", IF(ISNA(MATCH(L930, Criterios!$B$123:$B$127, 0)), "Género no válido", "")), IF(OR(N930="", N930=""), "[Aviso] Temporada no capturada ()", IF(ISNA(MATCH(N930, Criterios!$C$123:$C$128, 0)), "Temporada no válida", "")), IF(OR(O930="", O930=""), "[Aviso] Ciclo de vida no capturado ()", IF(ISNA(MATCH(O930, Criterios!$D$123:$D$124, 0)), "Ciclo de vida no válido", ""))))</f>
        <v/>
      </c>
      <c r="AC930" s="56" t="n"/>
      <c r="AD930" s="51" t="n"/>
      <c r="AE930" s="156" t="n"/>
      <c r="AF930" s="51" t="n"/>
      <c r="AG930" s="156" t="inlineStr">
        <is>
          <t>Nuevo – Carga Hoja2 01/10/2026</t>
        </is>
      </c>
      <c r="AH930" s="156" t="inlineStr">
        <is>
          <t>Alta 01/10/2026 desde Hoja2 (fila 960) | 01/10/2026: complementado desde Odoo Universal Unique Brands (match por código de barras): WB Talla, WB Talla de EE. UU., WB Descripción larga | Homologación G1522 06/10/2026: WB País de origen: «Mexico» → «México» (Corrección aplicada) · Enlace de imagen: «» → «https://cdn.shopify.com/s/files/1/0005/9015/1741/files/WG296-W0051CF.1.webp?v=1768464364» (Completado por investigación en línea) · Validador Shopify: WB: precio con IVA no termina en 9</t>
        </is>
      </c>
      <c r="AI930" s="156" t="n"/>
      <c r="AJ930" s="156" t="n"/>
      <c r="AK930" s="155" t="inlineStr">
        <is>
          <t>Hoja2: fila 960 | Odoo: producto 22171 / plantilla 28314 | Investigación en línea 06/10/2026: https://montanawestworld.com/products/wrangler-leopard-print-dual-pouch-wristlet</t>
        </is>
      </c>
      <c r="AL930" s="58" t="n"/>
      <c r="AM930" s="58" t="n"/>
      <c r="AN930" s="155" t="inlineStr">
        <is>
          <t>Odoo Universal Unique Brands</t>
        </is>
      </c>
      <c r="AO930" s="59" t="n"/>
      <c r="AP930" s="59" t="n"/>
      <c r="AQ930" s="59" t="n">
        <v>1</v>
      </c>
      <c r="AR930" s="155" t="inlineStr">
        <is>
          <t>Odoo Universal Unique Brands › Bodega 25 › Bodega 25/General: 1</t>
        </is>
      </c>
    </row>
    <row r="931">
      <c r="A931" s="50" t="inlineStr">
        <is>
          <t>717690459666</t>
        </is>
      </c>
      <c r="B931" s="51" t="inlineStr">
        <is>
          <t>22156</t>
        </is>
      </c>
      <c r="C931" s="156" t="inlineStr">
        <is>
          <t>Wrangler</t>
        </is>
      </c>
      <c r="D931" s="156" t="inlineStr">
        <is>
          <t>WG313-181BDY</t>
        </is>
      </c>
      <c r="E931" s="156" t="inlineStr">
        <is>
          <t>WG313-181BDY</t>
        </is>
      </c>
      <c r="F931" s="156" t="inlineStr">
        <is>
          <t>Talla única</t>
        </is>
      </c>
      <c r="G931" s="156" t="inlineStr">
        <is>
          <t>One Size</t>
        </is>
      </c>
      <c r="H931" s="156" t="inlineStr">
        <is>
          <t>Wrangler</t>
        </is>
      </c>
      <c r="I931" s="156" t="inlineStr">
        <is>
          <t>Clutch Wrangler Lona Azteca Sherpa Vino</t>
        </is>
      </c>
      <c r="J931" s="156" t="inlineStr">
        <is>
          <t>Accesorios</t>
        </is>
      </c>
      <c r="K931" s="156" t="inlineStr">
        <is>
          <t>Bolsos</t>
        </is>
      </c>
      <c r="L931" s="156" t="inlineStr">
        <is>
          <t>Unisex</t>
        </is>
      </c>
      <c r="M931" s="156" t="inlineStr">
        <is>
          <t>Wrangler</t>
        </is>
      </c>
      <c r="N931" s="156" t="n"/>
      <c r="O931" s="156" t="n"/>
      <c r="P931" s="156" t="inlineStr">
        <is>
          <t>Rojo</t>
        </is>
      </c>
      <c r="Q931" s="156" t="n"/>
      <c r="R931" s="156" t="n"/>
      <c r="S931" s="156" t="n"/>
      <c r="T931" s="156" t="inlineStr">
        <is>
          <t>Clutch</t>
        </is>
      </c>
      <c r="U931" s="156" t="inlineStr">
        <is>
          <t>México</t>
        </is>
      </c>
      <c r="V931" s="156" t="inlineStr">
        <is>
          <t>PZS</t>
        </is>
      </c>
      <c r="W931" s="51" t="inlineStr">
        <is>
          <t>53121600</t>
        </is>
      </c>
      <c r="X931" s="156" t="n"/>
      <c r="Y931" s="54" t="n">
        <v>24</v>
      </c>
      <c r="Z931" s="54" t="n">
        <v>919</v>
      </c>
      <c r="AA931" s="55">
        <f>IF(AND(A931="", B931="", E931=""), "", IF(AB931="", "Válido", IF((LEN(AB931)-LEN(SUBSTITUTE(AB931,"; ","")))/2+1&gt;(LEN(AB931)-LEN(SUBSTITUTE(AB931,"[Aviso]","")))/7, "Con Incidencias", "Válido")))</f>
        <v/>
      </c>
      <c r="AB931" s="56">
        <f>IF(AND(A931="", B931="", E931=""), "", TEXTJOIN("; ", TRUE, IF(OR(TRIM(A931&amp;"")="", ISNUMBER(SEARCH("FALTA", A931))), "UPC faltante/inválido", ""), IF(AND(A931&lt;&gt;"", IFERROR(_xlfn.XMATCH(A931,$A$2:$A$1063,0,1)&lt;&gt;_xlfn.XMATCH(A931,$A$2:$A$1063,0,-1),FALSE)), "Código de barras duplicado", ""), IF(AND(E931&lt;&gt;"", COUNTIF($E$2:$E$1063, E931)&gt;1), "SKU duplicado", ""), IF(OR(J931="", J931=""), "[Aviso] División no capturada ()", IF(ISNA(MATCH(J931, Criterios!$A$123:$A$126, 0)), "División no válida", "")), IF(OR(K931="", K931=""), "[Aviso] Categoría no capturada ()", IF(ISNA(MATCH(K931, Criterios!$A$81:$A$120, 0)), "Categoría no válida", IF(AND(J931&lt;&gt;"", J931&lt;&gt;"", J931&lt;&gt;VLOOKUP(K931, Criterios!$A$81:$B$120, 2, FALSE)), "División no coincide con Categoría", ""))), IF(OR(L931="", L931=""), "[Aviso] Género no capturado ()", IF(ISNA(MATCH(L931, Criterios!$B$123:$B$127, 0)), "Género no válido", "")), IF(OR(N931="", N931=""), "[Aviso] Temporada no capturada ()", IF(ISNA(MATCH(N931, Criterios!$C$123:$C$128, 0)), "Temporada no válida", "")), IF(OR(O931="", O931=""), "[Aviso] Ciclo de vida no capturado ()", IF(ISNA(MATCH(O931, Criterios!$D$123:$D$124, 0)), "Ciclo de vida no válido", ""))))</f>
        <v/>
      </c>
      <c r="AC931" s="56" t="n"/>
      <c r="AD931" s="51" t="n"/>
      <c r="AE931" s="156" t="n"/>
      <c r="AF931" s="51" t="n"/>
      <c r="AG931" s="156" t="inlineStr">
        <is>
          <t>Nuevo – Carga Hoja2 01/10/2026</t>
        </is>
      </c>
      <c r="AH931" s="156" t="inlineStr">
        <is>
          <t>Alta 01/10/2026 desde Hoja2 (fila 961); Atributos incompletos en origen: completar | 01/10/2026: complementado desde Odoo Universal Unique Brands (match por código de barras): WB Talla, WB Talla de EE. UU., WB Categoría, WB Silueta, WB Descripción larga | Homologación G1522 06/10/2026: WB País de origen: «Mexico» → «México» (Corrección aplicada) · Validador Shopify: WB: precio con IVA no termina en 9</t>
        </is>
      </c>
      <c r="AI931" s="156" t="n"/>
      <c r="AJ931" s="156" t="n"/>
      <c r="AK931" s="155" t="inlineStr">
        <is>
          <t>Hoja2: fila 961 | Odoo: producto 22156 / plantilla 28299</t>
        </is>
      </c>
      <c r="AL931" s="58" t="n"/>
      <c r="AM931" s="58" t="n"/>
      <c r="AN931" s="155" t="inlineStr">
        <is>
          <t>Odoo Universal Unique Brands</t>
        </is>
      </c>
      <c r="AO931" s="59" t="n"/>
      <c r="AP931" s="59" t="n"/>
      <c r="AQ931" s="59" t="n">
        <v>1</v>
      </c>
      <c r="AR931" s="155" t="inlineStr">
        <is>
          <t>Odoo Universal Unique Brands › Bodega 25 › Bodega 25/General: 1</t>
        </is>
      </c>
    </row>
    <row r="932">
      <c r="A932" s="50" t="inlineStr">
        <is>
          <t>717690459543</t>
        </is>
      </c>
      <c r="B932" s="51" t="inlineStr">
        <is>
          <t>22155</t>
        </is>
      </c>
      <c r="C932" s="156" t="inlineStr">
        <is>
          <t>Wrangler</t>
        </is>
      </c>
      <c r="D932" s="156" t="inlineStr">
        <is>
          <t>WG313-5110TN</t>
        </is>
      </c>
      <c r="E932" s="156" t="inlineStr">
        <is>
          <t>WG313-5110TN</t>
        </is>
      </c>
      <c r="F932" s="156" t="inlineStr">
        <is>
          <t>Talla única</t>
        </is>
      </c>
      <c r="G932" s="156" t="inlineStr">
        <is>
          <t>One Size</t>
        </is>
      </c>
      <c r="H932" s="156" t="inlineStr">
        <is>
          <t>Wrangler</t>
        </is>
      </c>
      <c r="I932" s="156" t="inlineStr">
        <is>
          <t>Maleta Duffle Wrangler Lona Azteca Sherpa Camel</t>
        </is>
      </c>
      <c r="J932" s="156" t="inlineStr">
        <is>
          <t>Accesorios</t>
        </is>
      </c>
      <c r="K932" s="156" t="inlineStr">
        <is>
          <t>Equipaje</t>
        </is>
      </c>
      <c r="L932" s="156" t="inlineStr">
        <is>
          <t>Unisex</t>
        </is>
      </c>
      <c r="M932" s="156" t="inlineStr">
        <is>
          <t>Wrangler</t>
        </is>
      </c>
      <c r="N932" s="156" t="n"/>
      <c r="O932" s="156" t="n"/>
      <c r="P932" s="156" t="inlineStr">
        <is>
          <t>Beige</t>
        </is>
      </c>
      <c r="Q932" s="156" t="n"/>
      <c r="R932" s="156" t="n"/>
      <c r="S932" s="156" t="n"/>
      <c r="T932" s="156" t="inlineStr">
        <is>
          <t>Maleta Duffle</t>
        </is>
      </c>
      <c r="U932" s="156" t="inlineStr">
        <is>
          <t>México</t>
        </is>
      </c>
      <c r="V932" s="156" t="inlineStr">
        <is>
          <t>PZS</t>
        </is>
      </c>
      <c r="W932" s="51" t="inlineStr">
        <is>
          <t>53121601</t>
        </is>
      </c>
      <c r="X932" s="156" t="n"/>
      <c r="Y932" s="54" t="n">
        <v>13.5</v>
      </c>
      <c r="Z932" s="54" t="n">
        <v>519</v>
      </c>
      <c r="AA932" s="55">
        <f>IF(AND(A932="", B932="", E932=""), "", IF(AB932="", "Válido", IF((LEN(AB932)-LEN(SUBSTITUTE(AB932,"; ","")))/2+1&gt;(LEN(AB932)-LEN(SUBSTITUTE(AB932,"[Aviso]","")))/7, "Con Incidencias", "Válido")))</f>
        <v/>
      </c>
      <c r="AB932" s="56">
        <f>IF(AND(A932="", B932="", E932=""), "", TEXTJOIN("; ", TRUE, IF(OR(TRIM(A932&amp;"")="", ISNUMBER(SEARCH("FALTA", A932))), "UPC faltante/inválido", ""), IF(AND(A932&lt;&gt;"", IFERROR(_xlfn.XMATCH(A932,$A$2:$A$1063,0,1)&lt;&gt;_xlfn.XMATCH(A932,$A$2:$A$1063,0,-1),FALSE)), "Código de barras duplicado", ""), IF(AND(E932&lt;&gt;"", COUNTIF($E$2:$E$1063, E932)&gt;1), "SKU duplicado", ""), IF(OR(J932="", J932=""), "[Aviso] División no capturada ()", IF(ISNA(MATCH(J932, Criterios!$A$123:$A$126, 0)), "División no válida", "")), IF(OR(K932="", K932=""), "[Aviso] Categoría no capturada ()", IF(ISNA(MATCH(K932, Criterios!$A$81:$A$120, 0)), "Categoría no válida", IF(AND(J932&lt;&gt;"", J932&lt;&gt;"", J932&lt;&gt;VLOOKUP(K932, Criterios!$A$81:$B$120, 2, FALSE)), "División no coincide con Categoría", ""))), IF(OR(L932="", L932=""), "[Aviso] Género no capturado ()", IF(ISNA(MATCH(L932, Criterios!$B$123:$B$127, 0)), "Género no válido", "")), IF(OR(N932="", N932=""), "[Aviso] Temporada no capturada ()", IF(ISNA(MATCH(N932, Criterios!$C$123:$C$128, 0)), "Temporada no válida", "")), IF(OR(O932="", O932=""), "[Aviso] Ciclo de vida no capturado ()", IF(ISNA(MATCH(O932, Criterios!$D$123:$D$124, 0)), "Ciclo de vida no válido", ""))))</f>
        <v/>
      </c>
      <c r="AC932" s="56" t="n"/>
      <c r="AD932" s="51" t="n"/>
      <c r="AE932" s="156" t="n"/>
      <c r="AF932" s="51" t="n"/>
      <c r="AG932" s="156" t="inlineStr">
        <is>
          <t>Nuevo – Carga Hoja2 01/10/2026</t>
        </is>
      </c>
      <c r="AH932" s="156" t="inlineStr">
        <is>
          <t>Alta 01/10/2026 desde Hoja2 (fila 962) | 01/10/2026: complementado desde Odoo Universal Unique Brands (match por código de barras): WB Talla, WB Talla de EE. UU., WB Descripción larga | Homologación G1522 06/10/2026: WB País de origen: «Mexico» → «México» (Corrección aplicada) · Validación G1522: [Aviso] Precio de compra posiblemente en USD · Validador Shopify: WB: precio con IVA no termina en 9</t>
        </is>
      </c>
      <c r="AI932" s="156" t="n"/>
      <c r="AJ932" s="156" t="n"/>
      <c r="AK932" s="155" t="inlineStr">
        <is>
          <t>Hoja2: fila 962 | Odoo: producto 22155 / plantilla 28298</t>
        </is>
      </c>
      <c r="AL932" s="58" t="n"/>
      <c r="AM932" s="58" t="n"/>
      <c r="AN932" s="155" t="inlineStr">
        <is>
          <t>Odoo Universal Unique Brands</t>
        </is>
      </c>
      <c r="AO932" s="59" t="n"/>
      <c r="AP932" s="59" t="n"/>
      <c r="AQ932" s="59" t="n">
        <v>1</v>
      </c>
      <c r="AR932" s="155" t="inlineStr">
        <is>
          <t>Odoo Universal Unique Brands › Bodega 25 › Bodega 25/General: 1</t>
        </is>
      </c>
    </row>
    <row r="933">
      <c r="A933" s="50" t="inlineStr">
        <is>
          <t>717690459383</t>
        </is>
      </c>
      <c r="B933" s="51" t="inlineStr">
        <is>
          <t>30063</t>
        </is>
      </c>
      <c r="C933" s="156" t="inlineStr">
        <is>
          <t>Wrangler</t>
        </is>
      </c>
      <c r="D933" s="156" t="inlineStr">
        <is>
          <t>WG313-8119BDY</t>
        </is>
      </c>
      <c r="E933" s="156" t="inlineStr">
        <is>
          <t>WG313-8119BDY</t>
        </is>
      </c>
      <c r="F933" s="156" t="inlineStr">
        <is>
          <t>Talla única</t>
        </is>
      </c>
      <c r="G933" s="156" t="inlineStr">
        <is>
          <t>One Size</t>
        </is>
      </c>
      <c r="H933" s="156" t="inlineStr">
        <is>
          <t>Wrangler</t>
        </is>
      </c>
      <c r="I933" s="156" t="inlineStr">
        <is>
          <t>Bolsa Tote Cruzada Wrangler Sherpa Azteca De Lona Vino</t>
        </is>
      </c>
      <c r="J933" s="156" t="inlineStr">
        <is>
          <t>Accesorios</t>
        </is>
      </c>
      <c r="K933" s="156" t="inlineStr">
        <is>
          <t>Bolsos</t>
        </is>
      </c>
      <c r="L933" s="156" t="inlineStr">
        <is>
          <t>Unisex</t>
        </is>
      </c>
      <c r="M933" s="156" t="inlineStr">
        <is>
          <t>Wrangler</t>
        </is>
      </c>
      <c r="N933" s="156" t="inlineStr">
        <is>
          <t>FW26</t>
        </is>
      </c>
      <c r="O933" s="156" t="inlineStr">
        <is>
          <t>Seasonal</t>
        </is>
      </c>
      <c r="P933" s="156" t="inlineStr">
        <is>
          <t>Rojo</t>
        </is>
      </c>
      <c r="Q933" s="156" t="n"/>
      <c r="R933" s="156" t="n"/>
      <c r="S933" s="156" t="n"/>
      <c r="T933" s="156" t="inlineStr">
        <is>
          <t>Bolsa Tote Cruzada Wrangler. Modelo: Sherpa Azteca De Lona. Color: Vino. Talla única. Unisex. País de origen: México. Referencia: WG313-8119BDY.</t>
        </is>
      </c>
      <c r="U933" s="156" t="inlineStr">
        <is>
          <t>México</t>
        </is>
      </c>
      <c r="V933" s="156" t="inlineStr">
        <is>
          <t>PZS</t>
        </is>
      </c>
      <c r="W933" s="51" t="inlineStr">
        <is>
          <t>53121601</t>
        </is>
      </c>
      <c r="X933" s="156" t="n"/>
      <c r="Y933" s="54" t="n">
        <v>392</v>
      </c>
      <c r="Z933" s="54" t="n">
        <v>774.5</v>
      </c>
      <c r="AA933" s="55">
        <f>IF(AND(A933="", B933="", E933=""), "", IF(AB933="", "Válido", IF((LEN(AB933)-LEN(SUBSTITUTE(AB933,"; ","")))/2+1&gt;(LEN(AB933)-LEN(SUBSTITUTE(AB933,"[Aviso]","")))/7, "Con Incidencias", "Válido")))</f>
        <v/>
      </c>
      <c r="AB933" s="56">
        <f>IF(AND(A933="", B933="", E933=""), "", TEXTJOIN("; ", TRUE, IF(OR(TRIM(A933&amp;"")="", ISNUMBER(SEARCH("FALTA", A933))), "UPC faltante/inválido", ""), IF(AND(A933&lt;&gt;"", IFERROR(_xlfn.XMATCH(A933,$A$2:$A$1063,0,1)&lt;&gt;_xlfn.XMATCH(A933,$A$2:$A$1063,0,-1),FALSE)), "Código de barras duplicado", ""), IF(AND(E933&lt;&gt;"", COUNTIF($E$2:$E$1063, E933)&gt;1), "SKU duplicado", ""), IF(OR(J933="", J933=""), "[Aviso] División no capturada ()", IF(ISNA(MATCH(J933, Criterios!$A$123:$A$126, 0)), "División no válida", "")), IF(OR(K933="", K933=""), "[Aviso] Categoría no capturada ()", IF(ISNA(MATCH(K933, Criterios!$A$81:$A$120, 0)), "Categoría no válida", IF(AND(J933&lt;&gt;"", J933&lt;&gt;"", J933&lt;&gt;VLOOKUP(K933, Criterios!$A$81:$B$120, 2, FALSE)), "División no coincide con Categoría", ""))), IF(OR(L933="", L933=""), "[Aviso] Género no capturado ()", IF(ISNA(MATCH(L933, Criterios!$B$123:$B$127, 0)), "Género no válido", "")), IF(OR(N933="", N933=""), "[Aviso] Temporada no capturada ()", IF(ISNA(MATCH(N933, Criterios!$C$123:$C$128, 0)), "Temporada no válida", "")), IF(OR(O933="", O933=""), "[Aviso] Ciclo de vida no capturado ()", IF(ISNA(MATCH(O933, Criterios!$D$123:$D$124, 0)), "Ciclo de vida no válido", ""))))</f>
        <v/>
      </c>
      <c r="AC933" s="56" t="n"/>
      <c r="AD933" s="51" t="n"/>
      <c r="AE933" s="156" t="n"/>
      <c r="AF933" s="51" t="n"/>
      <c r="AG933" s="156" t="inlineStr">
        <is>
          <t>Nuevo – Carga Hoja2 01/10/2026</t>
        </is>
      </c>
      <c r="AH933" s="156" t="inlineStr">
        <is>
          <t>Alta 01/10/2026 desde Hoja2 (fila 963) | Homologación G1522 06/10/2026: Validador Shopify: WB: precio con IVA no termina en 9</t>
        </is>
      </c>
      <c r="AI933" s="156" t="n"/>
      <c r="AJ933" s="156" t="n"/>
      <c r="AK933" s="155" t="inlineStr">
        <is>
          <t>Hoja2: fila 963 | Odoo: producto 30063 / plantilla 38819</t>
        </is>
      </c>
      <c r="AL933" s="58" t="n"/>
      <c r="AM933" s="58" t="n"/>
      <c r="AN933" s="155" t="inlineStr">
        <is>
          <t>Odoo Universal Unique Brands</t>
        </is>
      </c>
      <c r="AO933" s="59" t="n"/>
      <c r="AP933" s="59" t="n"/>
      <c r="AQ933" s="59" t="n">
        <v>16</v>
      </c>
      <c r="AR933" s="155" t="inlineStr">
        <is>
          <t>Odoo Universal Unique Brands › Bodega 25 › Bodega 25/General: 16</t>
        </is>
      </c>
    </row>
    <row r="934">
      <c r="A934" s="50" t="inlineStr">
        <is>
          <t>717690459437</t>
        </is>
      </c>
      <c r="B934" s="51" t="inlineStr">
        <is>
          <t>22158</t>
        </is>
      </c>
      <c r="C934" s="156" t="inlineStr">
        <is>
          <t>Wrangler</t>
        </is>
      </c>
      <c r="D934" s="156" t="inlineStr">
        <is>
          <t>WG313-8119GN</t>
        </is>
      </c>
      <c r="E934" s="156" t="inlineStr">
        <is>
          <t>WG313-8119GN</t>
        </is>
      </c>
      <c r="F934" s="156" t="inlineStr">
        <is>
          <t>Talla única</t>
        </is>
      </c>
      <c r="G934" s="156" t="inlineStr">
        <is>
          <t>One Size</t>
        </is>
      </c>
      <c r="H934" s="156" t="inlineStr">
        <is>
          <t>Wrangler</t>
        </is>
      </c>
      <c r="I934" s="156" t="inlineStr">
        <is>
          <t>Bolsa Tote Cruzada Wrangler Lona Azteca Sherpa Verde</t>
        </is>
      </c>
      <c r="J934" s="156" t="inlineStr">
        <is>
          <t>Accesorios</t>
        </is>
      </c>
      <c r="K934" s="156" t="inlineStr">
        <is>
          <t>Bolsos</t>
        </is>
      </c>
      <c r="L934" s="156" t="inlineStr">
        <is>
          <t>Unisex</t>
        </is>
      </c>
      <c r="M934" s="156" t="inlineStr">
        <is>
          <t>Wrangler</t>
        </is>
      </c>
      <c r="N934" s="156" t="inlineStr">
        <is>
          <t>FW26</t>
        </is>
      </c>
      <c r="O934" s="156" t="inlineStr">
        <is>
          <t>Seasonal</t>
        </is>
      </c>
      <c r="P934" s="156" t="inlineStr">
        <is>
          <t>Verde</t>
        </is>
      </c>
      <c r="Q934" s="156" t="n"/>
      <c r="R934" s="156" t="n"/>
      <c r="S934" s="156" t="n"/>
      <c r="T934" s="156" t="inlineStr">
        <is>
          <t>Bolsa Tote Cruzada Wrangler. Modelo: Lona Azteca Sherpa. Color: Verde. Talla única. Unisex. País de origen: México. Referencia: WG313-8119GN.</t>
        </is>
      </c>
      <c r="U934" s="156" t="inlineStr">
        <is>
          <t>México</t>
        </is>
      </c>
      <c r="V934" s="156" t="inlineStr">
        <is>
          <t>PZS</t>
        </is>
      </c>
      <c r="W934" s="51" t="inlineStr">
        <is>
          <t>53121601</t>
        </is>
      </c>
      <c r="X934" s="156" t="n"/>
      <c r="Y934" s="54" t="n">
        <v>392</v>
      </c>
      <c r="Z934" s="54" t="n">
        <v>774.5</v>
      </c>
      <c r="AA934" s="55">
        <f>IF(AND(A934="", B934="", E934=""), "", IF(AB934="", "Válido", IF((LEN(AB934)-LEN(SUBSTITUTE(AB934,"; ","")))/2+1&gt;(LEN(AB934)-LEN(SUBSTITUTE(AB934,"[Aviso]","")))/7, "Con Incidencias", "Válido")))</f>
        <v/>
      </c>
      <c r="AB934" s="56">
        <f>IF(AND(A934="", B934="", E934=""), "", TEXTJOIN("; ", TRUE, IF(OR(TRIM(A934&amp;"")="", ISNUMBER(SEARCH("FALTA", A934))), "UPC faltante/inválido", ""), IF(AND(A934&lt;&gt;"", IFERROR(_xlfn.XMATCH(A934,$A$2:$A$1063,0,1)&lt;&gt;_xlfn.XMATCH(A934,$A$2:$A$1063,0,-1),FALSE)), "Código de barras duplicado", ""), IF(AND(E934&lt;&gt;"", COUNTIF($E$2:$E$1063, E934)&gt;1), "SKU duplicado", ""), IF(OR(J934="", J934=""), "[Aviso] División no capturada ()", IF(ISNA(MATCH(J934, Criterios!$A$123:$A$126, 0)), "División no válida", "")), IF(OR(K934="", K934=""), "[Aviso] Categoría no capturada ()", IF(ISNA(MATCH(K934, Criterios!$A$81:$A$120, 0)), "Categoría no válida", IF(AND(J934&lt;&gt;"", J934&lt;&gt;"", J934&lt;&gt;VLOOKUP(K934, Criterios!$A$81:$B$120, 2, FALSE)), "División no coincide con Categoría", ""))), IF(OR(L934="", L934=""), "[Aviso] Género no capturado ()", IF(ISNA(MATCH(L934, Criterios!$B$123:$B$127, 0)), "Género no válido", "")), IF(OR(N934="", N934=""), "[Aviso] Temporada no capturada ()", IF(ISNA(MATCH(N934, Criterios!$C$123:$C$128, 0)), "Temporada no válida", "")), IF(OR(O934="", O934=""), "[Aviso] Ciclo de vida no capturado ()", IF(ISNA(MATCH(O934, Criterios!$D$123:$D$124, 0)), "Ciclo de vida no válido", ""))))</f>
        <v/>
      </c>
      <c r="AC934" s="56" t="n"/>
      <c r="AD934" s="51" t="n"/>
      <c r="AE934" s="156" t="n"/>
      <c r="AF934" s="51" t="n"/>
      <c r="AG934" s="156" t="inlineStr">
        <is>
          <t>Nuevo – Carga Hoja2 01/10/2026</t>
        </is>
      </c>
      <c r="AH934" s="156" t="inlineStr">
        <is>
          <t>Alta 01/10/2026 desde Hoja2 (fila 964) | Homologación G1522 06/10/2026: Validador Shopify: WB: precio con IVA no termina en 9</t>
        </is>
      </c>
      <c r="AI934" s="156" t="n"/>
      <c r="AJ934" s="156" t="n"/>
      <c r="AK934" s="155" t="inlineStr">
        <is>
          <t>Hoja2: fila 964 | Odoo: producto 22158 / plantilla 28301</t>
        </is>
      </c>
      <c r="AL934" s="58" t="n"/>
      <c r="AM934" s="58" t="n"/>
      <c r="AN934" s="155" t="inlineStr">
        <is>
          <t>Odoo Universal Unique Brands</t>
        </is>
      </c>
      <c r="AO934" s="59" t="n"/>
      <c r="AP934" s="59" t="n"/>
      <c r="AQ934" s="59" t="n">
        <v>26</v>
      </c>
      <c r="AR934" s="155" t="inlineStr">
        <is>
          <t>Odoo Universal Unique Brands › Bodega 25 › Bodega 25/General: 26</t>
        </is>
      </c>
    </row>
    <row r="935">
      <c r="A935" s="50" t="inlineStr">
        <is>
          <t>717690459390</t>
        </is>
      </c>
      <c r="B935" s="51" t="inlineStr">
        <is>
          <t>30064</t>
        </is>
      </c>
      <c r="C935" s="156" t="inlineStr">
        <is>
          <t>Wrangler</t>
        </is>
      </c>
      <c r="D935" s="156" t="inlineStr">
        <is>
          <t>WG313-8119TN</t>
        </is>
      </c>
      <c r="E935" s="156" t="inlineStr">
        <is>
          <t>WG313-8119TN</t>
        </is>
      </c>
      <c r="F935" s="156" t="inlineStr">
        <is>
          <t>Talla única</t>
        </is>
      </c>
      <c r="G935" s="156" t="inlineStr">
        <is>
          <t>One Size</t>
        </is>
      </c>
      <c r="H935" s="156" t="inlineStr">
        <is>
          <t>Wrangler</t>
        </is>
      </c>
      <c r="I935" s="156" t="inlineStr">
        <is>
          <t>Bolsa Tote Cruzada Wrangler Sherpa Azteca De Lona Camel</t>
        </is>
      </c>
      <c r="J935" s="156" t="inlineStr">
        <is>
          <t>Accesorios</t>
        </is>
      </c>
      <c r="K935" s="156" t="inlineStr">
        <is>
          <t>Bolsos</t>
        </is>
      </c>
      <c r="L935" s="156" t="inlineStr">
        <is>
          <t>Unisex</t>
        </is>
      </c>
      <c r="M935" s="156" t="inlineStr">
        <is>
          <t>Wrangler</t>
        </is>
      </c>
      <c r="N935" s="156" t="inlineStr">
        <is>
          <t>FW26</t>
        </is>
      </c>
      <c r="O935" s="156" t="inlineStr">
        <is>
          <t>Seasonal</t>
        </is>
      </c>
      <c r="P935" s="156" t="inlineStr">
        <is>
          <t>Beige</t>
        </is>
      </c>
      <c r="Q935" s="156" t="n"/>
      <c r="R935" s="156" t="n"/>
      <c r="S935" s="156" t="n"/>
      <c r="T935" s="156" t="inlineStr">
        <is>
          <t>Bolsa Tote Cruzada Wrangler. Modelo: Sherpa Azteca De Lona. Color: Camel. Talla única. Unisex. País de origen: México. Referencia: WG313-8119TN.</t>
        </is>
      </c>
      <c r="U935" s="156" t="inlineStr">
        <is>
          <t>México</t>
        </is>
      </c>
      <c r="V935" s="156" t="inlineStr">
        <is>
          <t>PZS</t>
        </is>
      </c>
      <c r="W935" s="51" t="inlineStr">
        <is>
          <t>53121601</t>
        </is>
      </c>
      <c r="X935" s="156" t="n"/>
      <c r="Y935" s="54" t="n">
        <v>392</v>
      </c>
      <c r="Z935" s="54" t="n">
        <v>774.5</v>
      </c>
      <c r="AA935" s="55">
        <f>IF(AND(A935="", B935="", E935=""), "", IF(AB935="", "Válido", IF((LEN(AB935)-LEN(SUBSTITUTE(AB935,"; ","")))/2+1&gt;(LEN(AB935)-LEN(SUBSTITUTE(AB935,"[Aviso]","")))/7, "Con Incidencias", "Válido")))</f>
        <v/>
      </c>
      <c r="AB935" s="56">
        <f>IF(AND(A935="", B935="", E935=""), "", TEXTJOIN("; ", TRUE, IF(OR(TRIM(A935&amp;"")="", ISNUMBER(SEARCH("FALTA", A935))), "UPC faltante/inválido", ""), IF(AND(A935&lt;&gt;"", IFERROR(_xlfn.XMATCH(A935,$A$2:$A$1063,0,1)&lt;&gt;_xlfn.XMATCH(A935,$A$2:$A$1063,0,-1),FALSE)), "Código de barras duplicado", ""), IF(AND(E935&lt;&gt;"", COUNTIF($E$2:$E$1063, E935)&gt;1), "SKU duplicado", ""), IF(OR(J935="", J935=""), "[Aviso] División no capturada ()", IF(ISNA(MATCH(J935, Criterios!$A$123:$A$126, 0)), "División no válida", "")), IF(OR(K935="", K935=""), "[Aviso] Categoría no capturada ()", IF(ISNA(MATCH(K935, Criterios!$A$81:$A$120, 0)), "Categoría no válida", IF(AND(J935&lt;&gt;"", J935&lt;&gt;"", J935&lt;&gt;VLOOKUP(K935, Criterios!$A$81:$B$120, 2, FALSE)), "División no coincide con Categoría", ""))), IF(OR(L935="", L935=""), "[Aviso] Género no capturado ()", IF(ISNA(MATCH(L935, Criterios!$B$123:$B$127, 0)), "Género no válido", "")), IF(OR(N935="", N935=""), "[Aviso] Temporada no capturada ()", IF(ISNA(MATCH(N935, Criterios!$C$123:$C$128, 0)), "Temporada no válida", "")), IF(OR(O935="", O935=""), "[Aviso] Ciclo de vida no capturado ()", IF(ISNA(MATCH(O935, Criterios!$D$123:$D$124, 0)), "Ciclo de vida no válido", ""))))</f>
        <v/>
      </c>
      <c r="AC935" s="56" t="n"/>
      <c r="AD935" s="51" t="n"/>
      <c r="AE935" s="156" t="n"/>
      <c r="AF935" s="51" t="n"/>
      <c r="AG935" s="156" t="inlineStr">
        <is>
          <t>Nuevo – Carga Hoja2 01/10/2026</t>
        </is>
      </c>
      <c r="AH935" s="156" t="inlineStr">
        <is>
          <t>Alta 01/10/2026 desde Hoja2 (fila 965) | Homologación G1522 06/10/2026: Validador Shopify: WB: precio con IVA no termina en 9</t>
        </is>
      </c>
      <c r="AI935" s="156" t="n"/>
      <c r="AJ935" s="156" t="n"/>
      <c r="AK935" s="155" t="inlineStr">
        <is>
          <t>Hoja2: fila 965 | Odoo: producto 30064 / plantilla 38820</t>
        </is>
      </c>
      <c r="AL935" s="58" t="n"/>
      <c r="AM935" s="58" t="n"/>
      <c r="AN935" s="155" t="inlineStr">
        <is>
          <t>Odoo Universal Unique Brands</t>
        </is>
      </c>
      <c r="AO935" s="59" t="n"/>
      <c r="AP935" s="59" t="n"/>
      <c r="AQ935" s="59" t="n">
        <v>0</v>
      </c>
      <c r="AR935" s="155" t="n"/>
    </row>
    <row r="936">
      <c r="A936" s="50" t="inlineStr">
        <is>
          <t>717308772118</t>
        </is>
      </c>
      <c r="B936" s="51" t="inlineStr">
        <is>
          <t>22201</t>
        </is>
      </c>
      <c r="C936" s="156" t="inlineStr">
        <is>
          <t>Wrangler</t>
        </is>
      </c>
      <c r="D936" s="156" t="inlineStr">
        <is>
          <t>WG331-8118JN</t>
        </is>
      </c>
      <c r="E936" s="156" t="inlineStr">
        <is>
          <t>WG331-8118JN</t>
        </is>
      </c>
      <c r="F936" s="156" t="inlineStr">
        <is>
          <t>Talla única</t>
        </is>
      </c>
      <c r="G936" s="156" t="inlineStr">
        <is>
          <t>One Size</t>
        </is>
      </c>
      <c r="H936" s="156" t="inlineStr">
        <is>
          <t>Wrangler</t>
        </is>
      </c>
      <c r="I936" s="156" t="inlineStr">
        <is>
          <t>Bolsa Wrangler WG331 8118JN Mezclilla</t>
        </is>
      </c>
      <c r="J936" s="156" t="inlineStr">
        <is>
          <t>Accesorios</t>
        </is>
      </c>
      <c r="K936" s="156" t="inlineStr">
        <is>
          <t>Bolsos</t>
        </is>
      </c>
      <c r="L936" s="156" t="inlineStr">
        <is>
          <t>Unisex</t>
        </is>
      </c>
      <c r="M936" s="156" t="inlineStr">
        <is>
          <t>Wrangler</t>
        </is>
      </c>
      <c r="N936" s="156" t="n"/>
      <c r="O936" s="156" t="inlineStr">
        <is>
          <t>Core</t>
        </is>
      </c>
      <c r="P936" s="156" t="inlineStr">
        <is>
          <t>Varios</t>
        </is>
      </c>
      <c r="Q936" s="156" t="n"/>
      <c r="R936" s="156" t="n"/>
      <c r="S936" s="156" t="n"/>
      <c r="T936" s="156" t="inlineStr">
        <is>
          <t>Bolsa Wrangler. Modelo: WG331 8118JN. Color: Mezclilla. Talla única. Unisex. País de origen: México. Referencia: WG331-8118JN.</t>
        </is>
      </c>
      <c r="U936" s="156" t="inlineStr">
        <is>
          <t>México</t>
        </is>
      </c>
      <c r="V936" s="156" t="inlineStr">
        <is>
          <t>PZS</t>
        </is>
      </c>
      <c r="W936" s="51" t="inlineStr">
        <is>
          <t>53121601</t>
        </is>
      </c>
      <c r="X936" s="156" t="n"/>
      <c r="Y936" s="54" t="n"/>
      <c r="Z936" s="54" t="n">
        <v>1</v>
      </c>
      <c r="AA936" s="55">
        <f>IF(AND(A936="", B936="", E936=""), "", IF(AB936="", "Válido", IF((LEN(AB936)-LEN(SUBSTITUTE(AB936,"; ","")))/2+1&gt;(LEN(AB936)-LEN(SUBSTITUTE(AB936,"[Aviso]","")))/7, "Con Incidencias", "Válido")))</f>
        <v/>
      </c>
      <c r="AB936" s="56">
        <f>IF(AND(A936="", B936="", E936=""), "", TEXTJOIN("; ", TRUE, IF(OR(TRIM(A936&amp;"")="", ISNUMBER(SEARCH("FALTA", A936))), "UPC faltante/inválido", ""), IF(AND(A936&lt;&gt;"", IFERROR(_xlfn.XMATCH(A936,$A$2:$A$1063,0,1)&lt;&gt;_xlfn.XMATCH(A936,$A$2:$A$1063,0,-1),FALSE)), "Código de barras duplicado", ""), IF(AND(E936&lt;&gt;"", COUNTIF($E$2:$E$1063, E936)&gt;1), "SKU duplicado", ""), IF(OR(J936="", J936=""), "[Aviso] División no capturada ()", IF(ISNA(MATCH(J936, Criterios!$A$123:$A$126, 0)), "División no válida", "")), IF(OR(K936="", K936=""), "[Aviso] Categoría no capturada ()", IF(ISNA(MATCH(K936, Criterios!$A$81:$A$120, 0)), "Categoría no válida", IF(AND(J936&lt;&gt;"", J936&lt;&gt;"", J936&lt;&gt;VLOOKUP(K936, Criterios!$A$81:$B$120, 2, FALSE)), "División no coincide con Categoría", ""))), IF(OR(L936="", L936=""), "[Aviso] Género no capturado ()", IF(ISNA(MATCH(L936, Criterios!$B$123:$B$127, 0)), "Género no válido", "")), IF(OR(N936="", N936=""), "[Aviso] Temporada no capturada ()", IF(ISNA(MATCH(N936, Criterios!$C$123:$C$128, 0)), "Temporada no válida", "")), IF(OR(O936="", O936=""), "[Aviso] Ciclo de vida no capturado ()", IF(ISNA(MATCH(O936, Criterios!$D$123:$D$124, 0)), "Ciclo de vida no válido", ""))))</f>
        <v/>
      </c>
      <c r="AC936" s="56" t="n"/>
      <c r="AD936" s="51" t="n"/>
      <c r="AE936" s="156" t="n"/>
      <c r="AF936" s="51" t="n"/>
      <c r="AG936" s="156" t="inlineStr">
        <is>
          <t>Nuevo – Carga Hoja2 01/10/2026</t>
        </is>
      </c>
      <c r="AH936" s="156" t="inlineStr">
        <is>
          <t>Alta 01/10/2026 desde Hoja2 (fila 966); Precio de compra en 0/vacío en origen; Precio de venta = 1 en origen (posible precio de prueba): validar | Homologación G1522 06/10/2026: Validador Shopify: WB: precio con IVA no termina en 9</t>
        </is>
      </c>
      <c r="AI936" s="156" t="n"/>
      <c r="AJ936" s="156" t="n"/>
      <c r="AK936" s="155" t="inlineStr">
        <is>
          <t>Hoja2: fila 966 | Odoo: producto 22201 / plantilla 28344</t>
        </is>
      </c>
      <c r="AL936" s="58" t="n"/>
      <c r="AM936" s="58" t="n"/>
      <c r="AN936" s="155" t="inlineStr">
        <is>
          <t>Odoo Universal Unique Brands</t>
        </is>
      </c>
      <c r="AO936" s="59" t="n"/>
      <c r="AP936" s="59" t="n"/>
      <c r="AQ936" s="59" t="n">
        <v>0</v>
      </c>
      <c r="AR936" s="155" t="n"/>
    </row>
    <row r="937">
      <c r="A937" s="50" t="inlineStr">
        <is>
          <t>717308771951</t>
        </is>
      </c>
      <c r="B937" s="51" t="inlineStr">
        <is>
          <t>22178</t>
        </is>
      </c>
      <c r="C937" s="156" t="inlineStr">
        <is>
          <t>Wrangler</t>
        </is>
      </c>
      <c r="D937" s="156" t="inlineStr">
        <is>
          <t>WG331-8120SBK</t>
        </is>
      </c>
      <c r="E937" s="156" t="inlineStr">
        <is>
          <t>WG331-8120SBK</t>
        </is>
      </c>
      <c r="F937" s="156" t="inlineStr">
        <is>
          <t>Talla única</t>
        </is>
      </c>
      <c r="G937" s="156" t="inlineStr">
        <is>
          <t>One Size</t>
        </is>
      </c>
      <c r="H937" s="156" t="inlineStr">
        <is>
          <t>Wrangler</t>
        </is>
      </c>
      <c r="I937" s="156" t="inlineStr">
        <is>
          <t>Bolsa Tote Cruzada Wrangler Estampado Bandana Paisley Negro</t>
        </is>
      </c>
      <c r="J937" s="156" t="inlineStr">
        <is>
          <t>Accesorios</t>
        </is>
      </c>
      <c r="K937" s="156" t="inlineStr">
        <is>
          <t>Bolsos</t>
        </is>
      </c>
      <c r="L937" s="156" t="inlineStr">
        <is>
          <t>Unisex</t>
        </is>
      </c>
      <c r="M937" s="156" t="inlineStr">
        <is>
          <t>Wrangler</t>
        </is>
      </c>
      <c r="N937" s="156" t="n"/>
      <c r="O937" s="156" t="n"/>
      <c r="P937" s="156" t="inlineStr">
        <is>
          <t>Negro</t>
        </is>
      </c>
      <c r="Q937" s="156" t="n"/>
      <c r="R937" s="156" t="n"/>
      <c r="S937" s="156" t="n"/>
      <c r="T937" s="156" t="inlineStr">
        <is>
          <t>Bolsa Tote Cruzada</t>
        </is>
      </c>
      <c r="U937" s="156" t="inlineStr">
        <is>
          <t>México</t>
        </is>
      </c>
      <c r="V937" s="156" t="inlineStr">
        <is>
          <t>PZS</t>
        </is>
      </c>
      <c r="W937" s="51" t="inlineStr">
        <is>
          <t>53121601</t>
        </is>
      </c>
      <c r="X937" s="156" t="inlineStr">
        <is>
          <t>https://cdn.shopify.com/s/files/1/0005/9015/1741/files/1_cdb5d8ca-427b-403a-aaba-7b28ff5c93b3.webp?v=1775720164</t>
        </is>
      </c>
      <c r="Y937" s="54" t="n">
        <v>12</v>
      </c>
      <c r="Z937" s="54" t="n">
        <v>479</v>
      </c>
      <c r="AA937" s="55">
        <f>IF(AND(A937="", B937="", E937=""), "", IF(AB937="", "Válido", IF((LEN(AB937)-LEN(SUBSTITUTE(AB937,"; ","")))/2+1&gt;(LEN(AB937)-LEN(SUBSTITUTE(AB937,"[Aviso]","")))/7, "Con Incidencias", "Válido")))</f>
        <v/>
      </c>
      <c r="AB937" s="56">
        <f>IF(AND(A937="", B937="", E937=""), "", TEXTJOIN("; ", TRUE, IF(OR(TRIM(A937&amp;"")="", ISNUMBER(SEARCH("FALTA", A937))), "UPC faltante/inválido", ""), IF(AND(A937&lt;&gt;"", IFERROR(_xlfn.XMATCH(A937,$A$2:$A$1063,0,1)&lt;&gt;_xlfn.XMATCH(A937,$A$2:$A$1063,0,-1),FALSE)), "Código de barras duplicado", ""), IF(AND(E937&lt;&gt;"", COUNTIF($E$2:$E$1063, E937)&gt;1), "SKU duplicado", ""), IF(OR(J937="", J937=""), "[Aviso] División no capturada ()", IF(ISNA(MATCH(J937, Criterios!$A$123:$A$126, 0)), "División no válida", "")), IF(OR(K937="", K937=""), "[Aviso] Categoría no capturada ()", IF(ISNA(MATCH(K937, Criterios!$A$81:$A$120, 0)), "Categoría no válida", IF(AND(J937&lt;&gt;"", J937&lt;&gt;"", J937&lt;&gt;VLOOKUP(K937, Criterios!$A$81:$B$120, 2, FALSE)), "División no coincide con Categoría", ""))), IF(OR(L937="", L937=""), "[Aviso] Género no capturado ()", IF(ISNA(MATCH(L937, Criterios!$B$123:$B$127, 0)), "Género no válido", "")), IF(OR(N937="", N937=""), "[Aviso] Temporada no capturada ()", IF(ISNA(MATCH(N937, Criterios!$C$123:$C$128, 0)), "Temporada no válida", "")), IF(OR(O937="", O937=""), "[Aviso] Ciclo de vida no capturado ()", IF(ISNA(MATCH(O937, Criterios!$D$123:$D$124, 0)), "Ciclo de vida no válido", ""))))</f>
        <v/>
      </c>
      <c r="AC937" s="56" t="n"/>
      <c r="AD937" s="51" t="n"/>
      <c r="AE937" s="156" t="n"/>
      <c r="AF937" s="51" t="n"/>
      <c r="AG937" s="156" t="inlineStr">
        <is>
          <t>Nuevo – Carga Hoja2 01/10/2026</t>
        </is>
      </c>
      <c r="AH937" s="156" t="inlineStr">
        <is>
          <t>Alta 01/10/2026 desde Hoja2 (fila 967) | 01/10/2026: complementado desde Odoo Universal Unique Brands (match por código de barras): WB Talla, WB Talla de EE. UU., WB Descripción larga | 01/10/2026: Odoo Universal Unique Brands trae Categoría «Bandanas» — se conservó el valor de Productos | Homologación G1522 06/10/2026: WB País de origen: «Mexico» → «México» (Corrección aplicada) · Enlace de imagen: «» → «https://cdn.shopify.com/s/files/1/0005/9015/1741/files/1_cdb5d8ca-427b-403a-aaba-7b28ff5c93b3.webp?v=1775720164» (Completado por investigación en línea) · Validación G1522: [Aviso] Precio de compra posiblemente en USD · Validador Shopify: WB: precio con IVA no termina en 9</t>
        </is>
      </c>
      <c r="AI937" s="156" t="n"/>
      <c r="AJ937" s="156" t="n"/>
      <c r="AK937" s="155" t="inlineStr">
        <is>
          <t>Hoja2: fila 967 | Odoo: producto 22178 / plantilla 28321 | Investigación en línea 06/10/2026: https://montanawestworld.com/products/wrangler-braided-desert-paisley-handbag</t>
        </is>
      </c>
      <c r="AL937" s="58" t="n"/>
      <c r="AM937" s="58" t="n"/>
      <c r="AN937" s="155" t="inlineStr">
        <is>
          <t>Odoo Universal Unique Brands</t>
        </is>
      </c>
      <c r="AO937" s="59" t="n"/>
      <c r="AP937" s="59" t="n"/>
      <c r="AQ937" s="59" t="n">
        <v>1</v>
      </c>
      <c r="AR937" s="155" t="inlineStr">
        <is>
          <t>Odoo Universal Unique Brands › Bodega 25 › Bodega 25/General: 1</t>
        </is>
      </c>
    </row>
    <row r="938">
      <c r="A938" s="50" t="inlineStr">
        <is>
          <t>717308771975</t>
        </is>
      </c>
      <c r="B938" s="51" t="inlineStr">
        <is>
          <t>22176</t>
        </is>
      </c>
      <c r="C938" s="156" t="inlineStr">
        <is>
          <t>Wrangler</t>
        </is>
      </c>
      <c r="D938" s="156" t="inlineStr">
        <is>
          <t>WG331-8120STQ</t>
        </is>
      </c>
      <c r="E938" s="156" t="inlineStr">
        <is>
          <t>WG331-8120STQ</t>
        </is>
      </c>
      <c r="F938" s="156" t="inlineStr">
        <is>
          <t>Talla única</t>
        </is>
      </c>
      <c r="G938" s="156" t="inlineStr">
        <is>
          <t>One Size</t>
        </is>
      </c>
      <c r="H938" s="156" t="inlineStr">
        <is>
          <t>Wrangler</t>
        </is>
      </c>
      <c r="I938" s="156" t="inlineStr">
        <is>
          <t>Bolsa Tote Cruzada Wrangler Estampado Bandana Paisley Turquesa</t>
        </is>
      </c>
      <c r="J938" s="156" t="inlineStr">
        <is>
          <t>Accesorios</t>
        </is>
      </c>
      <c r="K938" s="156" t="inlineStr">
        <is>
          <t>Bolsos</t>
        </is>
      </c>
      <c r="L938" s="156" t="inlineStr">
        <is>
          <t>Unisex</t>
        </is>
      </c>
      <c r="M938" s="156" t="inlineStr">
        <is>
          <t>Wrangler</t>
        </is>
      </c>
      <c r="N938" s="156" t="n"/>
      <c r="O938" s="156" t="inlineStr">
        <is>
          <t>Core</t>
        </is>
      </c>
      <c r="P938" s="156" t="inlineStr">
        <is>
          <t>Azul</t>
        </is>
      </c>
      <c r="Q938" s="156" t="n"/>
      <c r="R938" s="156" t="n"/>
      <c r="S938" s="156" t="n"/>
      <c r="T938" s="156" t="inlineStr">
        <is>
          <t>Bolsa Tote Cruzada Wrangler. Modelo: Estampado Bandana Paisley. Color: Turquesa. Talla única. Unisex. País de origen: México. Referencia: WG331-8120STQ.</t>
        </is>
      </c>
      <c r="U938" s="156" t="inlineStr">
        <is>
          <t>México</t>
        </is>
      </c>
      <c r="V938" s="156" t="inlineStr">
        <is>
          <t>PZS</t>
        </is>
      </c>
      <c r="W938" s="51" t="inlineStr">
        <is>
          <t>53121601</t>
        </is>
      </c>
      <c r="X938" s="156" t="inlineStr">
        <is>
          <t>https://cdn.shopify.com/s/files/1/0005/9015/1741/files/1_dc4efc57-27f2-4bde-8742-bc4677bd406e.webp?v=1767691316</t>
        </is>
      </c>
      <c r="Y938" s="54" t="n">
        <v>21</v>
      </c>
      <c r="Z938" s="54" t="n">
        <v>799</v>
      </c>
      <c r="AA938" s="55">
        <f>IF(AND(A938="", B938="", E938=""), "", IF(AB938="", "Válido", IF((LEN(AB938)-LEN(SUBSTITUTE(AB938,"; ","")))/2+1&gt;(LEN(AB938)-LEN(SUBSTITUTE(AB938,"[Aviso]","")))/7, "Con Incidencias", "Válido")))</f>
        <v/>
      </c>
      <c r="AB938" s="56">
        <f>IF(AND(A938="", B938="", E938=""), "", TEXTJOIN("; ", TRUE, IF(OR(TRIM(A938&amp;"")="", ISNUMBER(SEARCH("FALTA", A938))), "UPC faltante/inválido", ""), IF(AND(A938&lt;&gt;"", IFERROR(_xlfn.XMATCH(A938,$A$2:$A$1063,0,1)&lt;&gt;_xlfn.XMATCH(A938,$A$2:$A$1063,0,-1),FALSE)), "Código de barras duplicado", ""), IF(AND(E938&lt;&gt;"", COUNTIF($E$2:$E$1063, E938)&gt;1), "SKU duplicado", ""), IF(OR(J938="", J938=""), "[Aviso] División no capturada ()", IF(ISNA(MATCH(J938, Criterios!$A$123:$A$126, 0)), "División no válida", "")), IF(OR(K938="", K938=""), "[Aviso] Categoría no capturada ()", IF(ISNA(MATCH(K938, Criterios!$A$81:$A$120, 0)), "Categoría no válida", IF(AND(J938&lt;&gt;"", J938&lt;&gt;"", J938&lt;&gt;VLOOKUP(K938, Criterios!$A$81:$B$120, 2, FALSE)), "División no coincide con Categoría", ""))), IF(OR(L938="", L938=""), "[Aviso] Género no capturado ()", IF(ISNA(MATCH(L938, Criterios!$B$123:$B$127, 0)), "Género no válido", "")), IF(OR(N938="", N938=""), "[Aviso] Temporada no capturada ()", IF(ISNA(MATCH(N938, Criterios!$C$123:$C$128, 0)), "Temporada no válida", "")), IF(OR(O938="", O938=""), "[Aviso] Ciclo de vida no capturado ()", IF(ISNA(MATCH(O938, Criterios!$D$123:$D$124, 0)), "Ciclo de vida no válido", ""))))</f>
        <v/>
      </c>
      <c r="AC938" s="56" t="n"/>
      <c r="AD938" s="51" t="n"/>
      <c r="AE938" s="156" t="n"/>
      <c r="AF938" s="51" t="n"/>
      <c r="AG938" s="156" t="inlineStr">
        <is>
          <t>Nuevo – Carga Hoja2 01/10/2026</t>
        </is>
      </c>
      <c r="AH938" s="156" t="inlineStr">
        <is>
          <t>Alta 01/10/2026 desde Hoja2 (fila 968) | 01/10/2026: Odoo Universal Unique Brands trae Categoría «Bandanas» — se conservó el valor de Productos | Homologación G1522 06/10/2026: Enlace de imagen: «» → «https://cdn.shopify.com/s/files/1/0005/9015/1741/files/1_dc4efc57-27f2-4bde-8742-bc4677bd406e.webp?v=1767691316» (Completado por investigación en línea) · Validador Shopify: WB: precio con IVA no termina en 9</t>
        </is>
      </c>
      <c r="AI938" s="156" t="n"/>
      <c r="AJ938" s="156" t="n"/>
      <c r="AK938" s="155" t="inlineStr">
        <is>
          <t>Hoja2: fila 968 | Odoo: producto 22176 / plantilla 28319 | Investigación en línea 06/10/2026: https://montanawestworld.com/products/wrangler-braided-desert-paisley-handbag</t>
        </is>
      </c>
      <c r="AL938" s="58" t="n"/>
      <c r="AM938" s="58" t="n"/>
      <c r="AN938" s="155" t="inlineStr">
        <is>
          <t>Odoo Universal Unique Brands</t>
        </is>
      </c>
      <c r="AO938" s="59" t="n"/>
      <c r="AP938" s="59" t="n"/>
      <c r="AQ938" s="59" t="n">
        <v>-5</v>
      </c>
      <c r="AR938" s="155" t="n"/>
    </row>
    <row r="939">
      <c r="A939" s="50" t="inlineStr">
        <is>
          <t>717308772200</t>
        </is>
      </c>
      <c r="B939" s="51" t="inlineStr">
        <is>
          <t>30059</t>
        </is>
      </c>
      <c r="C939" s="156" t="inlineStr">
        <is>
          <t>Wrangler</t>
        </is>
      </c>
      <c r="D939" s="156" t="inlineStr">
        <is>
          <t>WG331-9012BK</t>
        </is>
      </c>
      <c r="E939" s="156" t="inlineStr">
        <is>
          <t>WG331-9012BK</t>
        </is>
      </c>
      <c r="F939" s="156" t="inlineStr">
        <is>
          <t>Talla única</t>
        </is>
      </c>
      <c r="G939" s="156" t="inlineStr">
        <is>
          <t>One Size</t>
        </is>
      </c>
      <c r="H939" s="156" t="inlineStr">
        <is>
          <t>Wrangler</t>
        </is>
      </c>
      <c r="I939" s="156" t="inlineStr">
        <is>
          <t>Bolsa Boston Wrangler Bandana Paisley Trenzada Negro</t>
        </is>
      </c>
      <c r="J939" s="156" t="inlineStr">
        <is>
          <t>Accesorios</t>
        </is>
      </c>
      <c r="K939" s="156" t="inlineStr">
        <is>
          <t>Bolsos</t>
        </is>
      </c>
      <c r="L939" s="156" t="inlineStr">
        <is>
          <t>Unisex</t>
        </is>
      </c>
      <c r="M939" s="156" t="inlineStr">
        <is>
          <t>Wrangler</t>
        </is>
      </c>
      <c r="N939" s="156" t="inlineStr">
        <is>
          <t>FW26</t>
        </is>
      </c>
      <c r="O939" s="156" t="inlineStr">
        <is>
          <t>Seasonal</t>
        </is>
      </c>
      <c r="P939" s="156" t="inlineStr">
        <is>
          <t>Negro</t>
        </is>
      </c>
      <c r="Q939" s="156" t="n"/>
      <c r="R939" s="156" t="n"/>
      <c r="S939" s="156" t="n"/>
      <c r="T939" s="156" t="inlineStr">
        <is>
          <t>Bolsa Boston Wrangler. Modelo: Bandana Paisley Trenzada. Color: Negro. Talla única. Unisex. País de origen: México. Referencia: WG331-9012BK.</t>
        </is>
      </c>
      <c r="U939" s="156" t="inlineStr">
        <is>
          <t>México</t>
        </is>
      </c>
      <c r="V939" s="156" t="inlineStr">
        <is>
          <t>PZS</t>
        </is>
      </c>
      <c r="W939" s="51" t="inlineStr">
        <is>
          <t>53121601</t>
        </is>
      </c>
      <c r="X939" s="156" t="inlineStr">
        <is>
          <t>https://cdn.shopify.com/s/files/1/0005/9015/1741/files/WG331-9012BK_1.webp?v=1770780950</t>
        </is>
      </c>
      <c r="Y939" s="54" t="n">
        <v>378</v>
      </c>
      <c r="Z939" s="54" t="n">
        <v>749.5</v>
      </c>
      <c r="AA939" s="55">
        <f>IF(AND(A939="", B939="", E939=""), "", IF(AB939="", "Válido", IF((LEN(AB939)-LEN(SUBSTITUTE(AB939,"; ","")))/2+1&gt;(LEN(AB939)-LEN(SUBSTITUTE(AB939,"[Aviso]","")))/7, "Con Incidencias", "Válido")))</f>
        <v/>
      </c>
      <c r="AB939" s="56">
        <f>IF(AND(A939="", B939="", E939=""), "", TEXTJOIN("; ", TRUE, IF(OR(TRIM(A939&amp;"")="", ISNUMBER(SEARCH("FALTA", A939))), "UPC faltante/inválido", ""), IF(AND(A939&lt;&gt;"", IFERROR(_xlfn.XMATCH(A939,$A$2:$A$1063,0,1)&lt;&gt;_xlfn.XMATCH(A939,$A$2:$A$1063,0,-1),FALSE)), "Código de barras duplicado", ""), IF(AND(E939&lt;&gt;"", COUNTIF($E$2:$E$1063, E939)&gt;1), "SKU duplicado", ""), IF(OR(J939="", J939=""), "[Aviso] División no capturada ()", IF(ISNA(MATCH(J939, Criterios!$A$123:$A$126, 0)), "División no válida", "")), IF(OR(K939="", K939=""), "[Aviso] Categoría no capturada ()", IF(ISNA(MATCH(K939, Criterios!$A$81:$A$120, 0)), "Categoría no válida", IF(AND(J939&lt;&gt;"", J939&lt;&gt;"", J939&lt;&gt;VLOOKUP(K939, Criterios!$A$81:$B$120, 2, FALSE)), "División no coincide con Categoría", ""))), IF(OR(L939="", L939=""), "[Aviso] Género no capturado ()", IF(ISNA(MATCH(L939, Criterios!$B$123:$B$127, 0)), "Género no válido", "")), IF(OR(N939="", N939=""), "[Aviso] Temporada no capturada ()", IF(ISNA(MATCH(N939, Criterios!$C$123:$C$128, 0)), "Temporada no válida", "")), IF(OR(O939="", O939=""), "[Aviso] Ciclo de vida no capturado ()", IF(ISNA(MATCH(O939, Criterios!$D$123:$D$124, 0)), "Ciclo de vida no válido", ""))))</f>
        <v/>
      </c>
      <c r="AC939" s="56" t="n"/>
      <c r="AD939" s="51" t="n"/>
      <c r="AE939" s="156" t="n"/>
      <c r="AF939" s="51" t="n"/>
      <c r="AG939" s="156" t="inlineStr">
        <is>
          <t>Nuevo – Carga Hoja2 01/10/2026</t>
        </is>
      </c>
      <c r="AH939" s="156" t="inlineStr">
        <is>
          <t>Alta 01/10/2026 desde Hoja2 (fila 969) | 01/10/2026: Odoo Universal Unique Brands trae Categoría «Bandanas» — se conservó el valor de Productos | Homologación G1522 06/10/2026: Enlace de imagen: «» → «https://cdn.shopify.com/s/files/1/0005/9015/1741/files/WG331-9012BK_1.webp?v=1770780950» (Completado por investigación en línea)</t>
        </is>
      </c>
      <c r="AI939" s="156" t="n"/>
      <c r="AJ939" s="156" t="n"/>
      <c r="AK939" s="155" t="inlineStr">
        <is>
          <t>Hoja2: fila 969 | Odoo: producto 30059 / plantilla 38815 | Investigación en línea 06/10/2026: https://montanawestworld.com/products/wrangler-braided-desert-paisley-handbag</t>
        </is>
      </c>
      <c r="AL939" s="58" t="n"/>
      <c r="AM939" s="58" t="n"/>
      <c r="AN939" s="155" t="inlineStr">
        <is>
          <t>Odoo Universal Unique Brands</t>
        </is>
      </c>
      <c r="AO939" s="59" t="n"/>
      <c r="AP939" s="59" t="n"/>
      <c r="AQ939" s="59" t="n">
        <v>-13</v>
      </c>
      <c r="AR939" s="155" t="n"/>
    </row>
    <row r="940">
      <c r="A940" s="50" t="inlineStr">
        <is>
          <t>717308772323</t>
        </is>
      </c>
      <c r="B940" s="51" t="inlineStr">
        <is>
          <t>22177</t>
        </is>
      </c>
      <c r="C940" s="156" t="inlineStr">
        <is>
          <t>Wrangler</t>
        </is>
      </c>
      <c r="D940" s="156" t="inlineStr">
        <is>
          <t>WG331-W115YL</t>
        </is>
      </c>
      <c r="E940" s="156" t="inlineStr">
        <is>
          <t>WG331-W115YL</t>
        </is>
      </c>
      <c r="F940" s="156" t="inlineStr">
        <is>
          <t>Talla única</t>
        </is>
      </c>
      <c r="G940" s="156" t="inlineStr">
        <is>
          <t>One Size</t>
        </is>
      </c>
      <c r="H940" s="156" t="inlineStr">
        <is>
          <t>Wrangler</t>
        </is>
      </c>
      <c r="I940" s="156" t="inlineStr">
        <is>
          <t>Cartera Wrangler Estampado Bandana Paisley Amarillo</t>
        </is>
      </c>
      <c r="J940" s="156" t="inlineStr">
        <is>
          <t>Accesorios</t>
        </is>
      </c>
      <c r="K940" s="156" t="inlineStr">
        <is>
          <t>Carteras</t>
        </is>
      </c>
      <c r="L940" s="156" t="inlineStr">
        <is>
          <t>Unisex</t>
        </is>
      </c>
      <c r="M940" s="156" t="inlineStr">
        <is>
          <t>Wrangler</t>
        </is>
      </c>
      <c r="N940" s="156" t="n"/>
      <c r="O940" s="156" t="inlineStr">
        <is>
          <t>Core</t>
        </is>
      </c>
      <c r="P940" s="156" t="inlineStr">
        <is>
          <t>Amarillo</t>
        </is>
      </c>
      <c r="Q940" s="156" t="n"/>
      <c r="R940" s="156" t="n"/>
      <c r="S940" s="156" t="n"/>
      <c r="T940" s="156" t="inlineStr">
        <is>
          <t>Cartera Wrangler. Modelo: Estampado Bandana Paisley. Color: Amarillo. Talla única. Unisex. País de origen: México. Referencia: WG331-W115YL.</t>
        </is>
      </c>
      <c r="U940" s="156" t="inlineStr">
        <is>
          <t>México</t>
        </is>
      </c>
      <c r="V940" s="156" t="inlineStr">
        <is>
          <t>PZS</t>
        </is>
      </c>
      <c r="W940" s="51" t="inlineStr">
        <is>
          <t>53121700</t>
        </is>
      </c>
      <c r="X940" s="156" t="inlineStr">
        <is>
          <t>https://cdn.shopify.com/s/files/1/0005/9015/1741/files/WG331-W115YL_1.webp?v=1770270443</t>
        </is>
      </c>
      <c r="Y940" s="54" t="n">
        <v>21.75</v>
      </c>
      <c r="Z940" s="54" t="n">
        <v>839</v>
      </c>
      <c r="AA940" s="55">
        <f>IF(AND(A940="", B940="", E940=""), "", IF(AB940="", "Válido", IF((LEN(AB940)-LEN(SUBSTITUTE(AB940,"; ","")))/2+1&gt;(LEN(AB940)-LEN(SUBSTITUTE(AB940,"[Aviso]","")))/7, "Con Incidencias", "Válido")))</f>
        <v/>
      </c>
      <c r="AB940" s="56">
        <f>IF(AND(A940="", B940="", E940=""), "", TEXTJOIN("; ", TRUE, IF(OR(TRIM(A940&amp;"")="", ISNUMBER(SEARCH("FALTA", A940))), "UPC faltante/inválido", ""), IF(AND(A940&lt;&gt;"", IFERROR(_xlfn.XMATCH(A940,$A$2:$A$1063,0,1)&lt;&gt;_xlfn.XMATCH(A940,$A$2:$A$1063,0,-1),FALSE)), "Código de barras duplicado", ""), IF(AND(E940&lt;&gt;"", COUNTIF($E$2:$E$1063, E940)&gt;1), "SKU duplicado", ""), IF(OR(J940="", J940=""), "[Aviso] División no capturada ()", IF(ISNA(MATCH(J940, Criterios!$A$123:$A$126, 0)), "División no válida", "")), IF(OR(K940="", K940=""), "[Aviso] Categoría no capturada ()", IF(ISNA(MATCH(K940, Criterios!$A$81:$A$120, 0)), "Categoría no válida", IF(AND(J940&lt;&gt;"", J940&lt;&gt;"", J940&lt;&gt;VLOOKUP(K940, Criterios!$A$81:$B$120, 2, FALSE)), "División no coincide con Categoría", ""))), IF(OR(L940="", L940=""), "[Aviso] Género no capturado ()", IF(ISNA(MATCH(L940, Criterios!$B$123:$B$127, 0)), "Género no válido", "")), IF(OR(N940="", N940=""), "[Aviso] Temporada no capturada ()", IF(ISNA(MATCH(N940, Criterios!$C$123:$C$128, 0)), "Temporada no válida", "")), IF(OR(O940="", O940=""), "[Aviso] Ciclo de vida no capturado ()", IF(ISNA(MATCH(O940, Criterios!$D$123:$D$124, 0)), "Ciclo de vida no válido", ""))))</f>
        <v/>
      </c>
      <c r="AC940" s="56" t="n"/>
      <c r="AD940" s="51" t="n"/>
      <c r="AE940" s="156" t="n"/>
      <c r="AF940" s="51" t="n"/>
      <c r="AG940" s="156" t="inlineStr">
        <is>
          <t>Nuevo – Carga Hoja2 01/10/2026</t>
        </is>
      </c>
      <c r="AH940" s="156" t="inlineStr">
        <is>
          <t>Alta 01/10/2026 desde Hoja2 (fila 970) | 01/10/2026: Odoo Universal Unique Brands trae Marca «Montana West» — se conservó el valor de Productos | Homologación G1522 06/10/2026: Enlace de imagen: «» → «https://cdn.shopify.com/s/files/1/0005/9015/1741/files/WG331-W115YL_1.webp?v=1770270443» (Completado por investigación en línea) · Validador Shopify: WB: precio con IVA no termina en 9</t>
        </is>
      </c>
      <c r="AI940" s="156" t="n"/>
      <c r="AJ940" s="156" t="n"/>
      <c r="AK940" s="155" t="inlineStr">
        <is>
          <t>Hoja2: fila 970 | Odoo: producto 22177 / plantilla 28320 | Odoo: producto 27498 / plantilla 34198 | Investigación en línea 06/10/2026: https://montanawestworld.com/products/wrangler-western-desert-paisley-wallet</t>
        </is>
      </c>
      <c r="AL940" s="58" t="n"/>
      <c r="AM940" s="58" t="n"/>
      <c r="AN940" s="155" t="inlineStr">
        <is>
          <t>Odoo Universal Unique Brands</t>
        </is>
      </c>
      <c r="AO940" s="59" t="n"/>
      <c r="AP940" s="59" t="n"/>
      <c r="AQ940" s="59" t="n">
        <v>2</v>
      </c>
      <c r="AR940" s="155" t="inlineStr">
        <is>
          <t>Odoo Universal Unique Brands › Bodega 25 › Bodega 25/General: 2</t>
        </is>
      </c>
    </row>
    <row r="941">
      <c r="A941" s="50" t="inlineStr">
        <is>
          <t>717710496190</t>
        </is>
      </c>
      <c r="B941" s="51" t="inlineStr">
        <is>
          <t>30052</t>
        </is>
      </c>
      <c r="C941" s="156" t="inlineStr">
        <is>
          <t>Wrangler</t>
        </is>
      </c>
      <c r="D941" s="156" t="inlineStr">
        <is>
          <t>WG338-W099BK</t>
        </is>
      </c>
      <c r="E941" s="156" t="inlineStr">
        <is>
          <t>WG338-W099BK</t>
        </is>
      </c>
      <c r="F941" s="156" t="inlineStr">
        <is>
          <t>Talla única</t>
        </is>
      </c>
      <c r="G941" s="156" t="inlineStr">
        <is>
          <t>One Size</t>
        </is>
      </c>
      <c r="H941" s="156" t="inlineStr">
        <is>
          <t>Wrangler</t>
        </is>
      </c>
      <c r="I941" s="156" t="inlineStr">
        <is>
          <t>Cartera Trifold Wrangler Floral Grabada Rfid Negro</t>
        </is>
      </c>
      <c r="J941" s="156" t="inlineStr">
        <is>
          <t>Accesorios</t>
        </is>
      </c>
      <c r="K941" s="156" t="inlineStr">
        <is>
          <t>Carteras</t>
        </is>
      </c>
      <c r="L941" s="156" t="inlineStr">
        <is>
          <t>Unisex</t>
        </is>
      </c>
      <c r="M941" s="156" t="inlineStr">
        <is>
          <t>Wrangler</t>
        </is>
      </c>
      <c r="N941" s="156" t="inlineStr">
        <is>
          <t>FW26</t>
        </is>
      </c>
      <c r="O941" s="156" t="inlineStr">
        <is>
          <t>Seasonal</t>
        </is>
      </c>
      <c r="P941" s="156" t="inlineStr">
        <is>
          <t>Negro</t>
        </is>
      </c>
      <c r="Q941" s="156" t="n"/>
      <c r="R941" s="156" t="n"/>
      <c r="S941" s="156" t="n"/>
      <c r="T941" s="156" t="inlineStr">
        <is>
          <t>Cartera Trifold Wrangler. Modelo: Floral Grabada Rfid. Color: Negro. Talla única. Unisex. País de origen: México. Referencia: WG338-W099BK.</t>
        </is>
      </c>
      <c r="U941" s="156" t="inlineStr">
        <is>
          <t>México</t>
        </is>
      </c>
      <c r="V941" s="156" t="inlineStr">
        <is>
          <t>PZS</t>
        </is>
      </c>
      <c r="W941" s="51" t="inlineStr">
        <is>
          <t>53121700</t>
        </is>
      </c>
      <c r="X941" s="156" t="n"/>
      <c r="Y941" s="54" t="n">
        <v>126</v>
      </c>
      <c r="Z941" s="54" t="n">
        <v>249.5</v>
      </c>
      <c r="AA941" s="55">
        <f>IF(AND(A941="", B941="", E941=""), "", IF(AB941="", "Válido", IF((LEN(AB941)-LEN(SUBSTITUTE(AB941,"; ","")))/2+1&gt;(LEN(AB941)-LEN(SUBSTITUTE(AB941,"[Aviso]","")))/7, "Con Incidencias", "Válido")))</f>
        <v/>
      </c>
      <c r="AB941" s="56">
        <f>IF(AND(A941="", B941="", E941=""), "", TEXTJOIN("; ", TRUE, IF(OR(TRIM(A941&amp;"")="", ISNUMBER(SEARCH("FALTA", A941))), "UPC faltante/inválido", ""), IF(AND(A941&lt;&gt;"", IFERROR(_xlfn.XMATCH(A941,$A$2:$A$1063,0,1)&lt;&gt;_xlfn.XMATCH(A941,$A$2:$A$1063,0,-1),FALSE)), "Código de barras duplicado", ""), IF(AND(E941&lt;&gt;"", COUNTIF($E$2:$E$1063, E941)&gt;1), "SKU duplicado", ""), IF(OR(J941="", J941=""), "[Aviso] División no capturada ()", IF(ISNA(MATCH(J941, Criterios!$A$123:$A$126, 0)), "División no válida", "")), IF(OR(K941="", K941=""), "[Aviso] Categoría no capturada ()", IF(ISNA(MATCH(K941, Criterios!$A$81:$A$120, 0)), "Categoría no válida", IF(AND(J941&lt;&gt;"", J941&lt;&gt;"", J941&lt;&gt;VLOOKUP(K941, Criterios!$A$81:$B$120, 2, FALSE)), "División no coincide con Categoría", ""))), IF(OR(L941="", L941=""), "[Aviso] Género no capturado ()", IF(ISNA(MATCH(L941, Criterios!$B$123:$B$127, 0)), "Género no válido", "")), IF(OR(N941="", N941=""), "[Aviso] Temporada no capturada ()", IF(ISNA(MATCH(N941, Criterios!$C$123:$C$128, 0)), "Temporada no válida", "")), IF(OR(O941="", O941=""), "[Aviso] Ciclo de vida no capturado ()", IF(ISNA(MATCH(O941, Criterios!$D$123:$D$124, 0)), "Ciclo de vida no válido", ""))))</f>
        <v/>
      </c>
      <c r="AC941" s="56" t="n"/>
      <c r="AD941" s="51" t="n"/>
      <c r="AE941" s="156" t="n"/>
      <c r="AF941" s="51" t="n"/>
      <c r="AG941" s="156" t="inlineStr">
        <is>
          <t>Nuevo – Carga Hoja2 01/10/2026</t>
        </is>
      </c>
      <c r="AH941" s="156" t="inlineStr">
        <is>
          <t>Alta 01/10/2026 desde Hoja2 (fila 971)</t>
        </is>
      </c>
      <c r="AI941" s="156" t="n"/>
      <c r="AJ941" s="156" t="n"/>
      <c r="AK941" s="155" t="inlineStr">
        <is>
          <t>Hoja2: fila 971 | Odoo: producto 30052 / plantilla 38808</t>
        </is>
      </c>
      <c r="AL941" s="58" t="n"/>
      <c r="AM941" s="58" t="n"/>
      <c r="AN941" s="155" t="inlineStr">
        <is>
          <t>Odoo Universal Unique Brands</t>
        </is>
      </c>
      <c r="AO941" s="59" t="n"/>
      <c r="AP941" s="59" t="n"/>
      <c r="AQ941" s="59" t="n">
        <v>5</v>
      </c>
      <c r="AR941" s="155" t="inlineStr">
        <is>
          <t>Odoo Universal Unique Brands › Bodega 25 › Bodega 25/General: 5</t>
        </is>
      </c>
    </row>
    <row r="942">
      <c r="A942" s="50" t="inlineStr">
        <is>
          <t>717710496237</t>
        </is>
      </c>
      <c r="B942" s="51" t="inlineStr">
        <is>
          <t>30051</t>
        </is>
      </c>
      <c r="C942" s="156" t="inlineStr">
        <is>
          <t>Wrangler</t>
        </is>
      </c>
      <c r="D942" s="156" t="inlineStr">
        <is>
          <t>WG338-W099TN</t>
        </is>
      </c>
      <c r="E942" s="156" t="inlineStr">
        <is>
          <t>WG338-W099TN</t>
        </is>
      </c>
      <c r="F942" s="156" t="inlineStr">
        <is>
          <t>Talla única</t>
        </is>
      </c>
      <c r="G942" s="156" t="inlineStr">
        <is>
          <t>One Size</t>
        </is>
      </c>
      <c r="H942" s="156" t="inlineStr">
        <is>
          <t>Wrangler</t>
        </is>
      </c>
      <c r="I942" s="156" t="inlineStr">
        <is>
          <t>Cartera Trifold Wrangler Floral Grabada Rfid Camel</t>
        </is>
      </c>
      <c r="J942" s="156" t="inlineStr">
        <is>
          <t>Accesorios</t>
        </is>
      </c>
      <c r="K942" s="156" t="inlineStr">
        <is>
          <t>Carteras</t>
        </is>
      </c>
      <c r="L942" s="156" t="inlineStr">
        <is>
          <t>Unisex</t>
        </is>
      </c>
      <c r="M942" s="156" t="inlineStr">
        <is>
          <t>Wrangler</t>
        </is>
      </c>
      <c r="N942" s="156" t="inlineStr">
        <is>
          <t>FW26</t>
        </is>
      </c>
      <c r="O942" s="156" t="inlineStr">
        <is>
          <t>Seasonal</t>
        </is>
      </c>
      <c r="P942" s="156" t="inlineStr">
        <is>
          <t>Beige</t>
        </is>
      </c>
      <c r="Q942" s="156" t="n"/>
      <c r="R942" s="156" t="n"/>
      <c r="S942" s="156" t="n"/>
      <c r="T942" s="156" t="inlineStr">
        <is>
          <t>Cartera Trifold Wrangler. Modelo: Floral Grabada Rfid. Color: Camel. Talla única. Unisex. País de origen: México. Referencia: WG338-W099TN.</t>
        </is>
      </c>
      <c r="U942" s="156" t="inlineStr">
        <is>
          <t>México</t>
        </is>
      </c>
      <c r="V942" s="156" t="inlineStr">
        <is>
          <t>PZS</t>
        </is>
      </c>
      <c r="W942" s="51" t="inlineStr">
        <is>
          <t>53121700</t>
        </is>
      </c>
      <c r="X942" s="156" t="n"/>
      <c r="Y942" s="54" t="n">
        <v>126</v>
      </c>
      <c r="Z942" s="54" t="n">
        <v>249.5</v>
      </c>
      <c r="AA942" s="55">
        <f>IF(AND(A942="", B942="", E942=""), "", IF(AB942="", "Válido", IF((LEN(AB942)-LEN(SUBSTITUTE(AB942,"; ","")))/2+1&gt;(LEN(AB942)-LEN(SUBSTITUTE(AB942,"[Aviso]","")))/7, "Con Incidencias", "Válido")))</f>
        <v/>
      </c>
      <c r="AB942" s="56">
        <f>IF(AND(A942="", B942="", E942=""), "", TEXTJOIN("; ", TRUE, IF(OR(TRIM(A942&amp;"")="", ISNUMBER(SEARCH("FALTA", A942))), "UPC faltante/inválido", ""), IF(AND(A942&lt;&gt;"", IFERROR(_xlfn.XMATCH(A942,$A$2:$A$1063,0,1)&lt;&gt;_xlfn.XMATCH(A942,$A$2:$A$1063,0,-1),FALSE)), "Código de barras duplicado", ""), IF(AND(E942&lt;&gt;"", COUNTIF($E$2:$E$1063, E942)&gt;1), "SKU duplicado", ""), IF(OR(J942="", J942=""), "[Aviso] División no capturada ()", IF(ISNA(MATCH(J942, Criterios!$A$123:$A$126, 0)), "División no válida", "")), IF(OR(K942="", K942=""), "[Aviso] Categoría no capturada ()", IF(ISNA(MATCH(K942, Criterios!$A$81:$A$120, 0)), "Categoría no válida", IF(AND(J942&lt;&gt;"", J942&lt;&gt;"", J942&lt;&gt;VLOOKUP(K942, Criterios!$A$81:$B$120, 2, FALSE)), "División no coincide con Categoría", ""))), IF(OR(L942="", L942=""), "[Aviso] Género no capturado ()", IF(ISNA(MATCH(L942, Criterios!$B$123:$B$127, 0)), "Género no válido", "")), IF(OR(N942="", N942=""), "[Aviso] Temporada no capturada ()", IF(ISNA(MATCH(N942, Criterios!$C$123:$C$128, 0)), "Temporada no válida", "")), IF(OR(O942="", O942=""), "[Aviso] Ciclo de vida no capturado ()", IF(ISNA(MATCH(O942, Criterios!$D$123:$D$124, 0)), "Ciclo de vida no válido", ""))))</f>
        <v/>
      </c>
      <c r="AC942" s="56" t="n"/>
      <c r="AD942" s="51" t="n"/>
      <c r="AE942" s="156" t="n"/>
      <c r="AF942" s="51" t="n"/>
      <c r="AG942" s="156" t="inlineStr">
        <is>
          <t>Nuevo – Carga Hoja2 01/10/2026</t>
        </is>
      </c>
      <c r="AH942" s="156" t="inlineStr">
        <is>
          <t>Alta 01/10/2026 desde Hoja2 (fila 972)</t>
        </is>
      </c>
      <c r="AI942" s="156" t="n"/>
      <c r="AJ942" s="156" t="n"/>
      <c r="AK942" s="155" t="inlineStr">
        <is>
          <t>Hoja2: fila 972 | Odoo: producto 30051 / plantilla 38807</t>
        </is>
      </c>
      <c r="AL942" s="58" t="n"/>
      <c r="AM942" s="58" t="n"/>
      <c r="AN942" s="155" t="inlineStr">
        <is>
          <t>Odoo Universal Unique Brands</t>
        </is>
      </c>
      <c r="AO942" s="59" t="n"/>
      <c r="AP942" s="59" t="n"/>
      <c r="AQ942" s="59" t="n">
        <v>15</v>
      </c>
      <c r="AR942" s="155" t="inlineStr">
        <is>
          <t>Odoo Universal Unique Brands › Bodega 25 › Bodega 25/General: 15</t>
        </is>
      </c>
    </row>
    <row r="943">
      <c r="A943" s="50" t="inlineStr">
        <is>
          <t>717710496312</t>
        </is>
      </c>
      <c r="B943" s="51" t="inlineStr">
        <is>
          <t>30050</t>
        </is>
      </c>
      <c r="C943" s="156" t="inlineStr">
        <is>
          <t>Wrangler</t>
        </is>
      </c>
      <c r="D943" s="156" t="inlineStr">
        <is>
          <t>WG338-W100TN</t>
        </is>
      </c>
      <c r="E943" s="156" t="inlineStr">
        <is>
          <t>WG338-W100TN</t>
        </is>
      </c>
      <c r="F943" s="156" t="inlineStr">
        <is>
          <t>Talla única</t>
        </is>
      </c>
      <c r="G943" s="156" t="inlineStr">
        <is>
          <t>One Size</t>
        </is>
      </c>
      <c r="H943" s="156" t="inlineStr">
        <is>
          <t>Wrangler</t>
        </is>
      </c>
      <c r="I943" s="156" t="inlineStr">
        <is>
          <t>Cartera Trifold Wrangler Floral Grabada Rfid Camel</t>
        </is>
      </c>
      <c r="J943" s="156" t="inlineStr">
        <is>
          <t>Accesorios</t>
        </is>
      </c>
      <c r="K943" s="156" t="inlineStr">
        <is>
          <t>Carteras</t>
        </is>
      </c>
      <c r="L943" s="156" t="inlineStr">
        <is>
          <t>Unisex</t>
        </is>
      </c>
      <c r="M943" s="156" t="inlineStr">
        <is>
          <t>Wrangler</t>
        </is>
      </c>
      <c r="N943" s="156" t="inlineStr">
        <is>
          <t>FW26</t>
        </is>
      </c>
      <c r="O943" s="156" t="inlineStr">
        <is>
          <t>Seasonal</t>
        </is>
      </c>
      <c r="P943" s="156" t="inlineStr">
        <is>
          <t>Beige</t>
        </is>
      </c>
      <c r="Q943" s="156" t="n"/>
      <c r="R943" s="156" t="n"/>
      <c r="S943" s="156" t="n"/>
      <c r="T943" s="156" t="inlineStr">
        <is>
          <t>Cartera Trifold Wrangler. Modelo: Floral Grabada Rfid. Color: Camel. Talla única. Unisex. País de origen: México. Referencia: WG338-W100TN.</t>
        </is>
      </c>
      <c r="U943" s="156" t="inlineStr">
        <is>
          <t>México</t>
        </is>
      </c>
      <c r="V943" s="156" t="inlineStr">
        <is>
          <t>PZS</t>
        </is>
      </c>
      <c r="W943" s="51" t="inlineStr">
        <is>
          <t>53121700</t>
        </is>
      </c>
      <c r="X943" s="156" t="n"/>
      <c r="Y943" s="54" t="n">
        <v>126</v>
      </c>
      <c r="Z943" s="54" t="n">
        <v>249.5</v>
      </c>
      <c r="AA943" s="55">
        <f>IF(AND(A943="", B943="", E943=""), "", IF(AB943="", "Válido", IF((LEN(AB943)-LEN(SUBSTITUTE(AB943,"; ","")))/2+1&gt;(LEN(AB943)-LEN(SUBSTITUTE(AB943,"[Aviso]","")))/7, "Con Incidencias", "Válido")))</f>
        <v/>
      </c>
      <c r="AB943" s="56">
        <f>IF(AND(A943="", B943="", E943=""), "", TEXTJOIN("; ", TRUE, IF(OR(TRIM(A943&amp;"")="", ISNUMBER(SEARCH("FALTA", A943))), "UPC faltante/inválido", ""), IF(AND(A943&lt;&gt;"", IFERROR(_xlfn.XMATCH(A943,$A$2:$A$1063,0,1)&lt;&gt;_xlfn.XMATCH(A943,$A$2:$A$1063,0,-1),FALSE)), "Código de barras duplicado", ""), IF(AND(E943&lt;&gt;"", COUNTIF($E$2:$E$1063, E943)&gt;1), "SKU duplicado", ""), IF(OR(J943="", J943=""), "[Aviso] División no capturada ()", IF(ISNA(MATCH(J943, Criterios!$A$123:$A$126, 0)), "División no válida", "")), IF(OR(K943="", K943=""), "[Aviso] Categoría no capturada ()", IF(ISNA(MATCH(K943, Criterios!$A$81:$A$120, 0)), "Categoría no válida", IF(AND(J943&lt;&gt;"", J943&lt;&gt;"", J943&lt;&gt;VLOOKUP(K943, Criterios!$A$81:$B$120, 2, FALSE)), "División no coincide con Categoría", ""))), IF(OR(L943="", L943=""), "[Aviso] Género no capturado ()", IF(ISNA(MATCH(L943, Criterios!$B$123:$B$127, 0)), "Género no válido", "")), IF(OR(N943="", N943=""), "[Aviso] Temporada no capturada ()", IF(ISNA(MATCH(N943, Criterios!$C$123:$C$128, 0)), "Temporada no válida", "")), IF(OR(O943="", O943=""), "[Aviso] Ciclo de vida no capturado ()", IF(ISNA(MATCH(O943, Criterios!$D$123:$D$124, 0)), "Ciclo de vida no válido", ""))))</f>
        <v/>
      </c>
      <c r="AC943" s="56" t="n"/>
      <c r="AD943" s="51" t="n"/>
      <c r="AE943" s="156" t="n"/>
      <c r="AF943" s="51" t="n"/>
      <c r="AG943" s="156" t="inlineStr">
        <is>
          <t>Nuevo – Carga Hoja2 01/10/2026</t>
        </is>
      </c>
      <c r="AH943" s="156" t="inlineStr">
        <is>
          <t>Alta 01/10/2026 desde Hoja2 (fila 973)</t>
        </is>
      </c>
      <c r="AI943" s="156" t="n"/>
      <c r="AJ943" s="156" t="n"/>
      <c r="AK943" s="155" t="inlineStr">
        <is>
          <t>Hoja2: fila 973 | Odoo: producto 30050 / plantilla 38806</t>
        </is>
      </c>
      <c r="AL943" s="58" t="n"/>
      <c r="AM943" s="58" t="n"/>
      <c r="AN943" s="155" t="inlineStr">
        <is>
          <t>Odoo Universal Unique Brands</t>
        </is>
      </c>
      <c r="AO943" s="59" t="n"/>
      <c r="AP943" s="59" t="n"/>
      <c r="AQ943" s="59" t="n">
        <v>20</v>
      </c>
      <c r="AR943" s="155" t="inlineStr">
        <is>
          <t>Odoo Universal Unique Brands › Bodega 25 › Bodega 25/General: 20</t>
        </is>
      </c>
    </row>
    <row r="944">
      <c r="A944" s="50" t="inlineStr">
        <is>
          <t>717710507216</t>
        </is>
      </c>
      <c r="B944" s="51" t="inlineStr">
        <is>
          <t>22189</t>
        </is>
      </c>
      <c r="C944" s="156" t="inlineStr">
        <is>
          <t>Wrangler</t>
        </is>
      </c>
      <c r="D944" s="156" t="inlineStr">
        <is>
          <t>WG367-W119CF</t>
        </is>
      </c>
      <c r="E944" s="156" t="inlineStr">
        <is>
          <t>WG367-W119CF</t>
        </is>
      </c>
      <c r="F944" s="156" t="inlineStr">
        <is>
          <t>Talla única</t>
        </is>
      </c>
      <c r="G944" s="156" t="inlineStr">
        <is>
          <t>One Size</t>
        </is>
      </c>
      <c r="H944" s="156" t="inlineStr">
        <is>
          <t>Wrangler</t>
        </is>
      </c>
      <c r="I944" s="156" t="inlineStr">
        <is>
          <t>Muñequera De Doble Compartimento Wrangler Con Logo "W" Bordada Café Oscuro</t>
        </is>
      </c>
      <c r="J944" s="156" t="inlineStr">
        <is>
          <t>Accesorios</t>
        </is>
      </c>
      <c r="K944" s="156" t="inlineStr">
        <is>
          <t>Bolsos</t>
        </is>
      </c>
      <c r="L944" s="156" t="inlineStr">
        <is>
          <t>Unisex</t>
        </is>
      </c>
      <c r="M944" s="156" t="inlineStr">
        <is>
          <t>Wrangler</t>
        </is>
      </c>
      <c r="N944" s="156" t="n"/>
      <c r="O944" s="156" t="n"/>
      <c r="P944" s="156" t="inlineStr">
        <is>
          <t>Cafe</t>
        </is>
      </c>
      <c r="Q944" s="156" t="n"/>
      <c r="R944" s="156" t="n"/>
      <c r="S944" s="156" t="n"/>
      <c r="T944" s="156" t="inlineStr">
        <is>
          <t>Muñequera De Doble Compartimento</t>
        </is>
      </c>
      <c r="U944" s="156" t="inlineStr">
        <is>
          <t>México</t>
        </is>
      </c>
      <c r="V944" s="156" t="inlineStr">
        <is>
          <t>PZS</t>
        </is>
      </c>
      <c r="W944" s="51" t="inlineStr">
        <is>
          <t>53121601</t>
        </is>
      </c>
      <c r="X944" s="156" t="n"/>
      <c r="Y944" s="54" t="n">
        <v>10.13</v>
      </c>
      <c r="Z944" s="54" t="n">
        <v>399</v>
      </c>
      <c r="AA944" s="55">
        <f>IF(AND(A944="", B944="", E944=""), "", IF(AB944="", "Válido", IF((LEN(AB944)-LEN(SUBSTITUTE(AB944,"; ","")))/2+1&gt;(LEN(AB944)-LEN(SUBSTITUTE(AB944,"[Aviso]","")))/7, "Con Incidencias", "Válido")))</f>
        <v/>
      </c>
      <c r="AB944" s="56">
        <f>IF(AND(A944="", B944="", E944=""), "", TEXTJOIN("; ", TRUE, IF(OR(TRIM(A944&amp;"")="", ISNUMBER(SEARCH("FALTA", A944))), "UPC faltante/inválido", ""), IF(AND(A944&lt;&gt;"", IFERROR(_xlfn.XMATCH(A944,$A$2:$A$1063,0,1)&lt;&gt;_xlfn.XMATCH(A944,$A$2:$A$1063,0,-1),FALSE)), "Código de barras duplicado", ""), IF(AND(E944&lt;&gt;"", COUNTIF($E$2:$E$1063, E944)&gt;1), "SKU duplicado", ""), IF(OR(J944="", J944=""), "[Aviso] División no capturada ()", IF(ISNA(MATCH(J944, Criterios!$A$123:$A$126, 0)), "División no válida", "")), IF(OR(K944="", K944=""), "[Aviso] Categoría no capturada ()", IF(ISNA(MATCH(K944, Criterios!$A$81:$A$120, 0)), "Categoría no válida", IF(AND(J944&lt;&gt;"", J944&lt;&gt;"", J944&lt;&gt;VLOOKUP(K944, Criterios!$A$81:$B$120, 2, FALSE)), "División no coincide con Categoría", ""))), IF(OR(L944="", L944=""), "[Aviso] Género no capturado ()", IF(ISNA(MATCH(L944, Criterios!$B$123:$B$127, 0)), "Género no válido", "")), IF(OR(N944="", N944=""), "[Aviso] Temporada no capturada ()", IF(ISNA(MATCH(N944, Criterios!$C$123:$C$128, 0)), "Temporada no válida", "")), IF(OR(O944="", O944=""), "[Aviso] Ciclo de vida no capturado ()", IF(ISNA(MATCH(O944, Criterios!$D$123:$D$124, 0)), "Ciclo de vida no válido", ""))))</f>
        <v/>
      </c>
      <c r="AC944" s="56" t="n"/>
      <c r="AD944" s="51" t="n"/>
      <c r="AE944" s="156" t="n"/>
      <c r="AF944" s="51" t="n"/>
      <c r="AG944" s="156" t="inlineStr">
        <is>
          <t>Nuevo – Carga Hoja2 01/10/2026</t>
        </is>
      </c>
      <c r="AH944" s="156" t="inlineStr">
        <is>
          <t>Alta 01/10/2026 desde Hoja2 (fila 976) | 01/10/2026: complementado desde Odoo Universal Unique Brands (match por código de barras): WB Talla, WB Talla de EE. UU., WB Descripción larga | Homologación G1522 06/10/2026: WB País de origen: «Mexico» → «México» (Corrección aplicada) · Validación G1522: [Aviso] Precio de compra posiblemente en USD · Validador Shopify: WB: precio con IVA no termina en 9</t>
        </is>
      </c>
      <c r="AI944" s="156" t="n"/>
      <c r="AJ944" s="156" t="n"/>
      <c r="AK944" s="155" t="inlineStr">
        <is>
          <t>Hoja2: fila 976 | Odoo: producto 22189 / plantilla 28332</t>
        </is>
      </c>
      <c r="AL944" s="58" t="n"/>
      <c r="AM944" s="58" t="n"/>
      <c r="AN944" s="155" t="inlineStr">
        <is>
          <t>Odoo Universal Unique Brands</t>
        </is>
      </c>
      <c r="AO944" s="59" t="n"/>
      <c r="AP944" s="59" t="n"/>
      <c r="AQ944" s="59" t="n">
        <v>1</v>
      </c>
      <c r="AR944" s="155" t="inlineStr">
        <is>
          <t>Odoo Universal Unique Brands › Bodega 25 › Bodega 25/General: 1</t>
        </is>
      </c>
    </row>
    <row r="945">
      <c r="A945" s="50" t="inlineStr">
        <is>
          <t>717710507254</t>
        </is>
      </c>
      <c r="B945" s="51" t="inlineStr">
        <is>
          <t>22190</t>
        </is>
      </c>
      <c r="C945" s="156" t="inlineStr">
        <is>
          <t>Wrangler</t>
        </is>
      </c>
      <c r="D945" s="156" t="inlineStr">
        <is>
          <t>WG367-W119HPK</t>
        </is>
      </c>
      <c r="E945" s="156" t="inlineStr">
        <is>
          <t>WG367-W119HPK</t>
        </is>
      </c>
      <c r="F945" s="156" t="inlineStr">
        <is>
          <t>Talla única</t>
        </is>
      </c>
      <c r="G945" s="156" t="inlineStr">
        <is>
          <t>One Size</t>
        </is>
      </c>
      <c r="H945" s="156" t="inlineStr">
        <is>
          <t>Wrangler</t>
        </is>
      </c>
      <c r="I945" s="156" t="inlineStr">
        <is>
          <t>Muñequera De Doble Compartimento Wrangler Con Logo "W" Bordada Rosa Fuerte</t>
        </is>
      </c>
      <c r="J945" s="156" t="inlineStr">
        <is>
          <t>Accesorios</t>
        </is>
      </c>
      <c r="K945" s="156" t="inlineStr">
        <is>
          <t>Bolsos</t>
        </is>
      </c>
      <c r="L945" s="156" t="inlineStr">
        <is>
          <t>Unisex</t>
        </is>
      </c>
      <c r="M945" s="156" t="inlineStr">
        <is>
          <t>Wrangler</t>
        </is>
      </c>
      <c r="N945" s="156" t="n"/>
      <c r="O945" s="156" t="n"/>
      <c r="P945" s="156" t="inlineStr">
        <is>
          <t>Rosa</t>
        </is>
      </c>
      <c r="Q945" s="156" t="n"/>
      <c r="R945" s="156" t="n"/>
      <c r="S945" s="156" t="n"/>
      <c r="T945" s="156" t="inlineStr">
        <is>
          <t>Muñequera De Doble Compartimento</t>
        </is>
      </c>
      <c r="U945" s="156" t="inlineStr">
        <is>
          <t>México</t>
        </is>
      </c>
      <c r="V945" s="156" t="inlineStr">
        <is>
          <t>PZS</t>
        </is>
      </c>
      <c r="W945" s="51" t="inlineStr">
        <is>
          <t>53121601</t>
        </is>
      </c>
      <c r="X945" s="156" t="n"/>
      <c r="Y945" s="54" t="n">
        <v>10.13</v>
      </c>
      <c r="Z945" s="54" t="n">
        <v>399</v>
      </c>
      <c r="AA945" s="55">
        <f>IF(AND(A945="", B945="", E945=""), "", IF(AB945="", "Válido", IF((LEN(AB945)-LEN(SUBSTITUTE(AB945,"; ","")))/2+1&gt;(LEN(AB945)-LEN(SUBSTITUTE(AB945,"[Aviso]","")))/7, "Con Incidencias", "Válido")))</f>
        <v/>
      </c>
      <c r="AB945" s="56">
        <f>IF(AND(A945="", B945="", E945=""), "", TEXTJOIN("; ", TRUE, IF(OR(TRIM(A945&amp;"")="", ISNUMBER(SEARCH("FALTA", A945))), "UPC faltante/inválido", ""), IF(AND(A945&lt;&gt;"", IFERROR(_xlfn.XMATCH(A945,$A$2:$A$1063,0,1)&lt;&gt;_xlfn.XMATCH(A945,$A$2:$A$1063,0,-1),FALSE)), "Código de barras duplicado", ""), IF(AND(E945&lt;&gt;"", COUNTIF($E$2:$E$1063, E945)&gt;1), "SKU duplicado", ""), IF(OR(J945="", J945=""), "[Aviso] División no capturada ()", IF(ISNA(MATCH(J945, Criterios!$A$123:$A$126, 0)), "División no válida", "")), IF(OR(K945="", K945=""), "[Aviso] Categoría no capturada ()", IF(ISNA(MATCH(K945, Criterios!$A$81:$A$120, 0)), "Categoría no válida", IF(AND(J945&lt;&gt;"", J945&lt;&gt;"", J945&lt;&gt;VLOOKUP(K945, Criterios!$A$81:$B$120, 2, FALSE)), "División no coincide con Categoría", ""))), IF(OR(L945="", L945=""), "[Aviso] Género no capturado ()", IF(ISNA(MATCH(L945, Criterios!$B$123:$B$127, 0)), "Género no válido", "")), IF(OR(N945="", N945=""), "[Aviso] Temporada no capturada ()", IF(ISNA(MATCH(N945, Criterios!$C$123:$C$128, 0)), "Temporada no válida", "")), IF(OR(O945="", O945=""), "[Aviso] Ciclo de vida no capturado ()", IF(ISNA(MATCH(O945, Criterios!$D$123:$D$124, 0)), "Ciclo de vida no válido", ""))))</f>
        <v/>
      </c>
      <c r="AC945" s="56" t="n"/>
      <c r="AD945" s="51" t="n"/>
      <c r="AE945" s="156" t="n"/>
      <c r="AF945" s="51" t="n"/>
      <c r="AG945" s="156" t="inlineStr">
        <is>
          <t>Nuevo – Carga Hoja2 01/10/2026</t>
        </is>
      </c>
      <c r="AH945" s="156" t="inlineStr">
        <is>
          <t>Alta 01/10/2026 desde Hoja2 (fila 977) | 01/10/2026: complementado desde Odoo Universal Unique Brands (match por código de barras): WB Talla, WB Talla de EE. UU., WB Descripción larga | Homologación G1522 06/10/2026: WB País de origen: «Mexico» → «México» (Corrección aplicada) · Validación G1522: [Aviso] Precio de compra posiblemente en USD · Validador Shopify: WB: precio con IVA no termina en 9</t>
        </is>
      </c>
      <c r="AI945" s="156" t="n"/>
      <c r="AJ945" s="156" t="n"/>
      <c r="AK945" s="155" t="inlineStr">
        <is>
          <t>Hoja2: fila 977 | Odoo: producto 22190 / plantilla 28333</t>
        </is>
      </c>
      <c r="AL945" s="58" t="n"/>
      <c r="AM945" s="58" t="n"/>
      <c r="AN945" s="155" t="inlineStr">
        <is>
          <t>Odoo Universal Unique Brands</t>
        </is>
      </c>
      <c r="AO945" s="59" t="n"/>
      <c r="AP945" s="59" t="n"/>
      <c r="AQ945" s="59" t="n">
        <v>1</v>
      </c>
      <c r="AR945" s="155" t="inlineStr">
        <is>
          <t>Odoo Universal Unique Brands › Bodega 25 › Bodega 25/General: 1</t>
        </is>
      </c>
    </row>
    <row r="946">
      <c r="A946" s="50" t="inlineStr">
        <is>
          <t>717710507223</t>
        </is>
      </c>
      <c r="B946" s="51" t="inlineStr">
        <is>
          <t>22191</t>
        </is>
      </c>
      <c r="C946" s="156" t="inlineStr">
        <is>
          <t>Wrangler</t>
        </is>
      </c>
      <c r="D946" s="156" t="inlineStr">
        <is>
          <t>WG367-W119LBR</t>
        </is>
      </c>
      <c r="E946" s="156" t="inlineStr">
        <is>
          <t>WG367-W119LBR</t>
        </is>
      </c>
      <c r="F946" s="156" t="inlineStr">
        <is>
          <t>Talla única</t>
        </is>
      </c>
      <c r="G946" s="156" t="inlineStr">
        <is>
          <t>One Size</t>
        </is>
      </c>
      <c r="H946" s="156" t="inlineStr">
        <is>
          <t>Wrangler</t>
        </is>
      </c>
      <c r="I946" s="156" t="inlineStr">
        <is>
          <t>Muñequera De Doble Compartimento Wrangler Con Logo "W" Bordada Leopardo Café</t>
        </is>
      </c>
      <c r="J946" s="156" t="inlineStr">
        <is>
          <t>Accesorios</t>
        </is>
      </c>
      <c r="K946" s="156" t="inlineStr">
        <is>
          <t>Bolsos</t>
        </is>
      </c>
      <c r="L946" s="156" t="inlineStr">
        <is>
          <t>Unisex</t>
        </is>
      </c>
      <c r="M946" s="156" t="inlineStr">
        <is>
          <t>Wrangler</t>
        </is>
      </c>
      <c r="N946" s="156" t="n"/>
      <c r="O946" s="156" t="n"/>
      <c r="P946" s="156" t="inlineStr">
        <is>
          <t>Cafe</t>
        </is>
      </c>
      <c r="Q946" s="156" t="n"/>
      <c r="R946" s="156" t="n"/>
      <c r="S946" s="156" t="n"/>
      <c r="T946" s="156" t="inlineStr">
        <is>
          <t>Muñequera De Doble Compartimento</t>
        </is>
      </c>
      <c r="U946" s="156" t="inlineStr">
        <is>
          <t>México</t>
        </is>
      </c>
      <c r="V946" s="156" t="inlineStr">
        <is>
          <t>PZS</t>
        </is>
      </c>
      <c r="W946" s="51" t="inlineStr">
        <is>
          <t>53121601</t>
        </is>
      </c>
      <c r="X946" s="156" t="n"/>
      <c r="Y946" s="54" t="n">
        <v>10.13</v>
      </c>
      <c r="Z946" s="54" t="n">
        <v>399</v>
      </c>
      <c r="AA946" s="55">
        <f>IF(AND(A946="", B946="", E946=""), "", IF(AB946="", "Válido", IF((LEN(AB946)-LEN(SUBSTITUTE(AB946,"; ","")))/2+1&gt;(LEN(AB946)-LEN(SUBSTITUTE(AB946,"[Aviso]","")))/7, "Con Incidencias", "Válido")))</f>
        <v/>
      </c>
      <c r="AB946" s="56">
        <f>IF(AND(A946="", B946="", E946=""), "", TEXTJOIN("; ", TRUE, IF(OR(TRIM(A946&amp;"")="", ISNUMBER(SEARCH("FALTA", A946))), "UPC faltante/inválido", ""), IF(AND(A946&lt;&gt;"", IFERROR(_xlfn.XMATCH(A946,$A$2:$A$1063,0,1)&lt;&gt;_xlfn.XMATCH(A946,$A$2:$A$1063,0,-1),FALSE)), "Código de barras duplicado", ""), IF(AND(E946&lt;&gt;"", COUNTIF($E$2:$E$1063, E946)&gt;1), "SKU duplicado", ""), IF(OR(J946="", J946=""), "[Aviso] División no capturada ()", IF(ISNA(MATCH(J946, Criterios!$A$123:$A$126, 0)), "División no válida", "")), IF(OR(K946="", K946=""), "[Aviso] Categoría no capturada ()", IF(ISNA(MATCH(K946, Criterios!$A$81:$A$120, 0)), "Categoría no válida", IF(AND(J946&lt;&gt;"", J946&lt;&gt;"", J946&lt;&gt;VLOOKUP(K946, Criterios!$A$81:$B$120, 2, FALSE)), "División no coincide con Categoría", ""))), IF(OR(L946="", L946=""), "[Aviso] Género no capturado ()", IF(ISNA(MATCH(L946, Criterios!$B$123:$B$127, 0)), "Género no válido", "")), IF(OR(N946="", N946=""), "[Aviso] Temporada no capturada ()", IF(ISNA(MATCH(N946, Criterios!$C$123:$C$128, 0)), "Temporada no válida", "")), IF(OR(O946="", O946=""), "[Aviso] Ciclo de vida no capturado ()", IF(ISNA(MATCH(O946, Criterios!$D$123:$D$124, 0)), "Ciclo de vida no válido", ""))))</f>
        <v/>
      </c>
      <c r="AC946" s="56" t="n"/>
      <c r="AD946" s="51" t="n"/>
      <c r="AE946" s="156" t="n"/>
      <c r="AF946" s="51" t="n"/>
      <c r="AG946" s="156" t="inlineStr">
        <is>
          <t>Nuevo – Carga Hoja2 01/10/2026</t>
        </is>
      </c>
      <c r="AH946" s="156" t="inlineStr">
        <is>
          <t>Alta 01/10/2026 desde Hoja2 (fila 978) | 01/10/2026: complementado desde Odoo Universal Unique Brands (match por código de barras): WB Talla, WB Talla de EE. UU., WB Descripción larga | Homologación G1522 06/10/2026: WB País de origen: «Mexico» → «México» (Corrección aplicada) · Validación G1522: [Aviso] Precio de compra posiblemente en USD · Validador Shopify: WB: precio con IVA no termina en 9</t>
        </is>
      </c>
      <c r="AI946" s="156" t="n"/>
      <c r="AJ946" s="156" t="n"/>
      <c r="AK946" s="155" t="inlineStr">
        <is>
          <t>Hoja2: fila 978 | Odoo: producto 22191 / plantilla 28334</t>
        </is>
      </c>
      <c r="AL946" s="58" t="n"/>
      <c r="AM946" s="58" t="n"/>
      <c r="AN946" s="155" t="inlineStr">
        <is>
          <t>Odoo Universal Unique Brands</t>
        </is>
      </c>
      <c r="AO946" s="59" t="n"/>
      <c r="AP946" s="59" t="n"/>
      <c r="AQ946" s="59" t="n">
        <v>1</v>
      </c>
      <c r="AR946" s="155" t="inlineStr">
        <is>
          <t>Odoo Universal Unique Brands › Bodega 25 › Bodega 25/General: 1</t>
        </is>
      </c>
    </row>
    <row r="947">
      <c r="A947" s="50" t="inlineStr">
        <is>
          <t>717710507230</t>
        </is>
      </c>
      <c r="B947" s="51" t="inlineStr">
        <is>
          <t>22192</t>
        </is>
      </c>
      <c r="C947" s="156" t="inlineStr">
        <is>
          <t>Wrangler</t>
        </is>
      </c>
      <c r="D947" s="156" t="inlineStr">
        <is>
          <t>WG367-W119RD</t>
        </is>
      </c>
      <c r="E947" s="156" t="inlineStr">
        <is>
          <t>WG367-W119RD</t>
        </is>
      </c>
      <c r="F947" s="156" t="inlineStr">
        <is>
          <t>Talla única</t>
        </is>
      </c>
      <c r="G947" s="156" t="inlineStr">
        <is>
          <t>One Size</t>
        </is>
      </c>
      <c r="H947" s="156" t="inlineStr">
        <is>
          <t>Wrangler</t>
        </is>
      </c>
      <c r="I947" s="156" t="inlineStr">
        <is>
          <t>Muñequera De Doble Compartimento Wrangler Con Logo "W" Bordada Rojo</t>
        </is>
      </c>
      <c r="J947" s="156" t="inlineStr">
        <is>
          <t>Accesorios</t>
        </is>
      </c>
      <c r="K947" s="156" t="inlineStr">
        <is>
          <t>Bolsos</t>
        </is>
      </c>
      <c r="L947" s="156" t="inlineStr">
        <is>
          <t>Unisex</t>
        </is>
      </c>
      <c r="M947" s="156" t="inlineStr">
        <is>
          <t>Wrangler</t>
        </is>
      </c>
      <c r="N947" s="156" t="n"/>
      <c r="O947" s="156" t="n"/>
      <c r="P947" s="156" t="inlineStr">
        <is>
          <t>Rojo</t>
        </is>
      </c>
      <c r="Q947" s="156" t="n"/>
      <c r="R947" s="156" t="n"/>
      <c r="S947" s="156" t="n"/>
      <c r="T947" s="156" t="inlineStr">
        <is>
          <t>Muñequera De Doble Compartimento</t>
        </is>
      </c>
      <c r="U947" s="156" t="inlineStr">
        <is>
          <t>México</t>
        </is>
      </c>
      <c r="V947" s="156" t="inlineStr">
        <is>
          <t>PZS</t>
        </is>
      </c>
      <c r="W947" s="51" t="inlineStr">
        <is>
          <t>53121601</t>
        </is>
      </c>
      <c r="X947" s="156" t="n"/>
      <c r="Y947" s="54" t="n">
        <v>10.13</v>
      </c>
      <c r="Z947" s="54" t="n">
        <v>399</v>
      </c>
      <c r="AA947" s="55">
        <f>IF(AND(A947="", B947="", E947=""), "", IF(AB947="", "Válido", IF((LEN(AB947)-LEN(SUBSTITUTE(AB947,"; ","")))/2+1&gt;(LEN(AB947)-LEN(SUBSTITUTE(AB947,"[Aviso]","")))/7, "Con Incidencias", "Válido")))</f>
        <v/>
      </c>
      <c r="AB947" s="56">
        <f>IF(AND(A947="", B947="", E947=""), "", TEXTJOIN("; ", TRUE, IF(OR(TRIM(A947&amp;"")="", ISNUMBER(SEARCH("FALTA", A947))), "UPC faltante/inválido", ""), IF(AND(A947&lt;&gt;"", IFERROR(_xlfn.XMATCH(A947,$A$2:$A$1063,0,1)&lt;&gt;_xlfn.XMATCH(A947,$A$2:$A$1063,0,-1),FALSE)), "Código de barras duplicado", ""), IF(AND(E947&lt;&gt;"", COUNTIF($E$2:$E$1063, E947)&gt;1), "SKU duplicado", ""), IF(OR(J947="", J947=""), "[Aviso] División no capturada ()", IF(ISNA(MATCH(J947, Criterios!$A$123:$A$126, 0)), "División no válida", "")), IF(OR(K947="", K947=""), "[Aviso] Categoría no capturada ()", IF(ISNA(MATCH(K947, Criterios!$A$81:$A$120, 0)), "Categoría no válida", IF(AND(J947&lt;&gt;"", J947&lt;&gt;"", J947&lt;&gt;VLOOKUP(K947, Criterios!$A$81:$B$120, 2, FALSE)), "División no coincide con Categoría", ""))), IF(OR(L947="", L947=""), "[Aviso] Género no capturado ()", IF(ISNA(MATCH(L947, Criterios!$B$123:$B$127, 0)), "Género no válido", "")), IF(OR(N947="", N947=""), "[Aviso] Temporada no capturada ()", IF(ISNA(MATCH(N947, Criterios!$C$123:$C$128, 0)), "Temporada no válida", "")), IF(OR(O947="", O947=""), "[Aviso] Ciclo de vida no capturado ()", IF(ISNA(MATCH(O947, Criterios!$D$123:$D$124, 0)), "Ciclo de vida no válido", ""))))</f>
        <v/>
      </c>
      <c r="AC947" s="56" t="n"/>
      <c r="AD947" s="51" t="n"/>
      <c r="AE947" s="156" t="n"/>
      <c r="AF947" s="51" t="n"/>
      <c r="AG947" s="156" t="inlineStr">
        <is>
          <t>Nuevo – Carga Hoja2 01/10/2026</t>
        </is>
      </c>
      <c r="AH947" s="156" t="inlineStr">
        <is>
          <t>Alta 01/10/2026 desde Hoja2 (fila 979) | 01/10/2026: complementado desde Odoo Universal Unique Brands (match por código de barras): WB Talla, WB Talla de EE. UU., WB Descripción larga | Homologación G1522 06/10/2026: WB País de origen: «Mexico» → «México» (Corrección aplicada) · Validación G1522: [Aviso] Precio de compra posiblemente en USD · Validador Shopify: WB: precio con IVA no termina en 9</t>
        </is>
      </c>
      <c r="AI947" s="156" t="n"/>
      <c r="AJ947" s="156" t="n"/>
      <c r="AK947" s="155" t="inlineStr">
        <is>
          <t>Hoja2: fila 979 | Odoo: producto 22192 / plantilla 28335</t>
        </is>
      </c>
      <c r="AL947" s="58" t="n"/>
      <c r="AM947" s="58" t="n"/>
      <c r="AN947" s="155" t="inlineStr">
        <is>
          <t>Odoo Universal Unique Brands</t>
        </is>
      </c>
      <c r="AO947" s="59" t="n"/>
      <c r="AP947" s="59" t="n"/>
      <c r="AQ947" s="59" t="n">
        <v>1</v>
      </c>
      <c r="AR947" s="155" t="inlineStr">
        <is>
          <t>Odoo Universal Unique Brands › Bodega 25 › Bodega 25/General: 1</t>
        </is>
      </c>
    </row>
    <row r="948">
      <c r="A948" s="50" t="inlineStr">
        <is>
          <t>717710496763</t>
        </is>
      </c>
      <c r="B948" s="51" t="inlineStr">
        <is>
          <t>22174</t>
        </is>
      </c>
      <c r="C948" s="156" t="inlineStr">
        <is>
          <t>Wrangler</t>
        </is>
      </c>
      <c r="D948" s="156" t="inlineStr">
        <is>
          <t>WG386-8120SBK</t>
        </is>
      </c>
      <c r="E948" s="156" t="inlineStr">
        <is>
          <t>WG386-8120SBK</t>
        </is>
      </c>
      <c r="F948" s="156" t="inlineStr">
        <is>
          <t>Talla única</t>
        </is>
      </c>
      <c r="G948" s="156" t="inlineStr">
        <is>
          <t>One Size</t>
        </is>
      </c>
      <c r="H948" s="156" t="inlineStr">
        <is>
          <t>Wrangler</t>
        </is>
      </c>
      <c r="I948" s="156" t="inlineStr">
        <is>
          <t>Bolsa Tote Cruzada Wrangler Estampado De Vaca Negro</t>
        </is>
      </c>
      <c r="J948" s="156" t="inlineStr">
        <is>
          <t>Accesorios</t>
        </is>
      </c>
      <c r="K948" s="156" t="inlineStr">
        <is>
          <t>Bolsos</t>
        </is>
      </c>
      <c r="L948" s="156" t="inlineStr">
        <is>
          <t>Unisex</t>
        </is>
      </c>
      <c r="M948" s="156" t="inlineStr">
        <is>
          <t>Wrangler</t>
        </is>
      </c>
      <c r="N948" s="156" t="inlineStr">
        <is>
          <t>FW26</t>
        </is>
      </c>
      <c r="O948" s="156" t="inlineStr">
        <is>
          <t>Seasonal</t>
        </is>
      </c>
      <c r="P948" s="156" t="inlineStr">
        <is>
          <t>Negro</t>
        </is>
      </c>
      <c r="Q948" s="156" t="n"/>
      <c r="R948" s="156" t="n"/>
      <c r="S948" s="156" t="n"/>
      <c r="T948" s="156" t="inlineStr">
        <is>
          <t>Bolsa Tote Cruzada Wrangler. Modelo: Estampado De Vaca. Color: Negro. Talla única. Unisex. País de origen: México. Referencia: WG386-8120SBK.</t>
        </is>
      </c>
      <c r="U948" s="156" t="inlineStr">
        <is>
          <t>México</t>
        </is>
      </c>
      <c r="V948" s="156" t="inlineStr">
        <is>
          <t>PZS</t>
        </is>
      </c>
      <c r="W948" s="51" t="inlineStr">
        <is>
          <t>53121601</t>
        </is>
      </c>
      <c r="X948" s="156" t="inlineStr">
        <is>
          <t>https://cdn.shopify.com/s/files/1/0005/9015/1741/files/Wrangler_CowPrint_Rope_Handle_Tote_Bag_Black2.webp?v=1762486066</t>
        </is>
      </c>
      <c r="Y948" s="54" t="n">
        <v>364</v>
      </c>
      <c r="Z948" s="54" t="n">
        <v>724.5</v>
      </c>
      <c r="AA948" s="55">
        <f>IF(AND(A948="", B948="", E948=""), "", IF(AB948="", "Válido", IF((LEN(AB948)-LEN(SUBSTITUTE(AB948,"; ","")))/2+1&gt;(LEN(AB948)-LEN(SUBSTITUTE(AB948,"[Aviso]","")))/7, "Con Incidencias", "Válido")))</f>
        <v/>
      </c>
      <c r="AB948" s="56">
        <f>IF(AND(A948="", B948="", E948=""), "", TEXTJOIN("; ", TRUE, IF(OR(TRIM(A948&amp;"")="", ISNUMBER(SEARCH("FALTA", A948))), "UPC faltante/inválido", ""), IF(AND(A948&lt;&gt;"", IFERROR(_xlfn.XMATCH(A948,$A$2:$A$1063,0,1)&lt;&gt;_xlfn.XMATCH(A948,$A$2:$A$1063,0,-1),FALSE)), "Código de barras duplicado", ""), IF(AND(E948&lt;&gt;"", COUNTIF($E$2:$E$1063, E948)&gt;1), "SKU duplicado", ""), IF(OR(J948="", J948=""), "[Aviso] División no capturada ()", IF(ISNA(MATCH(J948, Criterios!$A$123:$A$126, 0)), "División no válida", "")), IF(OR(K948="", K948=""), "[Aviso] Categoría no capturada ()", IF(ISNA(MATCH(K948, Criterios!$A$81:$A$120, 0)), "Categoría no válida", IF(AND(J948&lt;&gt;"", J948&lt;&gt;"", J948&lt;&gt;VLOOKUP(K948, Criterios!$A$81:$B$120, 2, FALSE)), "División no coincide con Categoría", ""))), IF(OR(L948="", L948=""), "[Aviso] Género no capturado ()", IF(ISNA(MATCH(L948, Criterios!$B$123:$B$127, 0)), "Género no válido", "")), IF(OR(N948="", N948=""), "[Aviso] Temporada no capturada ()", IF(ISNA(MATCH(N948, Criterios!$C$123:$C$128, 0)), "Temporada no válida", "")), IF(OR(O948="", O948=""), "[Aviso] Ciclo de vida no capturado ()", IF(ISNA(MATCH(O948, Criterios!$D$123:$D$124, 0)), "Ciclo de vida no válido", ""))))</f>
        <v/>
      </c>
      <c r="AC948" s="56" t="n"/>
      <c r="AD948" s="51" t="n"/>
      <c r="AE948" s="156" t="n"/>
      <c r="AF948" s="51" t="n"/>
      <c r="AG948" s="156" t="inlineStr">
        <is>
          <t>Nuevo – Carga Hoja2 01/10/2026</t>
        </is>
      </c>
      <c r="AH948" s="156" t="inlineStr">
        <is>
          <t>Alta 01/10/2026 desde Hoja2 (fila 980) | Homologación G1522 06/10/2026: Enlace de imagen: «» → «https://cdn.shopify.com/s/files/1/0005/9015/1741/files/Wrangler_CowPrint_Rope_Handle_Tote_Bag_Black2.webp?v=1762486066» (Completado por investigación en línea) · Validador Shopify: WB: precio con IVA no termina en 9</t>
        </is>
      </c>
      <c r="AI948" s="156" t="n"/>
      <c r="AJ948" s="156" t="n"/>
      <c r="AK948" s="155" t="inlineStr">
        <is>
          <t>Hoja2: fila 980 | Odoo: producto 22174 / plantilla 28317 | Investigación en línea 06/10/2026: https://montanawestworld.com/products/wrangler-cow-print-rope-handle-tote-bag</t>
        </is>
      </c>
      <c r="AL948" s="58" t="n"/>
      <c r="AM948" s="58" t="n"/>
      <c r="AN948" s="155" t="inlineStr">
        <is>
          <t>Odoo Universal Unique Brands</t>
        </is>
      </c>
      <c r="AO948" s="59" t="n"/>
      <c r="AP948" s="59" t="n"/>
      <c r="AQ948" s="59" t="n">
        <v>72</v>
      </c>
      <c r="AR948" s="155" t="inlineStr">
        <is>
          <t>Odoo Universal Unique Brands › Bodega 25 › Bodega 25/General: 72</t>
        </is>
      </c>
    </row>
    <row r="949">
      <c r="A949" s="50" t="inlineStr">
        <is>
          <t>717710496756</t>
        </is>
      </c>
      <c r="B949" s="51" t="inlineStr">
        <is>
          <t>22172</t>
        </is>
      </c>
      <c r="C949" s="156" t="inlineStr">
        <is>
          <t>Wrangler</t>
        </is>
      </c>
      <c r="D949" s="156" t="inlineStr">
        <is>
          <t>WG386-8120SBR</t>
        </is>
      </c>
      <c r="E949" s="156" t="inlineStr">
        <is>
          <t>WG386-8120SBR</t>
        </is>
      </c>
      <c r="F949" s="156" t="inlineStr">
        <is>
          <t>Talla única</t>
        </is>
      </c>
      <c r="G949" s="156" t="inlineStr">
        <is>
          <t>One Size</t>
        </is>
      </c>
      <c r="H949" s="156" t="inlineStr">
        <is>
          <t>Wrangler</t>
        </is>
      </c>
      <c r="I949" s="156" t="inlineStr">
        <is>
          <t>Bolsa Tote Cruzada Wrangler Estampado De Vaca Café</t>
        </is>
      </c>
      <c r="J949" s="156" t="inlineStr">
        <is>
          <t>Accesorios</t>
        </is>
      </c>
      <c r="K949" s="156" t="inlineStr">
        <is>
          <t>Bolsos</t>
        </is>
      </c>
      <c r="L949" s="156" t="inlineStr">
        <is>
          <t>Unisex</t>
        </is>
      </c>
      <c r="M949" s="156" t="inlineStr">
        <is>
          <t>Wrangler</t>
        </is>
      </c>
      <c r="N949" s="156" t="n"/>
      <c r="O949" s="156" t="inlineStr">
        <is>
          <t>Core</t>
        </is>
      </c>
      <c r="P949" s="156" t="inlineStr">
        <is>
          <t>Cafe</t>
        </is>
      </c>
      <c r="Q949" s="156" t="n"/>
      <c r="R949" s="156" t="n"/>
      <c r="S949" s="156" t="n"/>
      <c r="T949" s="156" t="inlineStr">
        <is>
          <t>Bolsa Tote Cruzada Wrangler. Modelo: Estampado De Vaca. Color: Café. Talla única. Unisex. País de origen: México. Referencia: WG386-8120SBR.</t>
        </is>
      </c>
      <c r="U949" s="156" t="inlineStr">
        <is>
          <t>México</t>
        </is>
      </c>
      <c r="V949" s="156" t="inlineStr">
        <is>
          <t>PZS</t>
        </is>
      </c>
      <c r="W949" s="51" t="inlineStr">
        <is>
          <t>53121601</t>
        </is>
      </c>
      <c r="X949" s="156" t="inlineStr">
        <is>
          <t>https://cdn.shopify.com/s/files/1/0005/9015/1741/files/Wrangler_CowPrint_Rope_Handle_Tote_Bag_Brown1.webp?v=1756978758</t>
        </is>
      </c>
      <c r="Y949" s="54" t="n">
        <v>22.5</v>
      </c>
      <c r="Z949" s="54" t="n">
        <v>839</v>
      </c>
      <c r="AA949" s="55">
        <f>IF(AND(A949="", B949="", E949=""), "", IF(AB949="", "Válido", IF((LEN(AB949)-LEN(SUBSTITUTE(AB949,"; ","")))/2+1&gt;(LEN(AB949)-LEN(SUBSTITUTE(AB949,"[Aviso]","")))/7, "Con Incidencias", "Válido")))</f>
        <v/>
      </c>
      <c r="AB949" s="56">
        <f>IF(AND(A949="", B949="", E949=""), "", TEXTJOIN("; ", TRUE, IF(OR(TRIM(A949&amp;"")="", ISNUMBER(SEARCH("FALTA", A949))), "UPC faltante/inválido", ""), IF(AND(A949&lt;&gt;"", IFERROR(_xlfn.XMATCH(A949,$A$2:$A$1063,0,1)&lt;&gt;_xlfn.XMATCH(A949,$A$2:$A$1063,0,-1),FALSE)), "Código de barras duplicado", ""), IF(AND(E949&lt;&gt;"", COUNTIF($E$2:$E$1063, E949)&gt;1), "SKU duplicado", ""), IF(OR(J949="", J949=""), "[Aviso] División no capturada ()", IF(ISNA(MATCH(J949, Criterios!$A$123:$A$126, 0)), "División no válida", "")), IF(OR(K949="", K949=""), "[Aviso] Categoría no capturada ()", IF(ISNA(MATCH(K949, Criterios!$A$81:$A$120, 0)), "Categoría no válida", IF(AND(J949&lt;&gt;"", J949&lt;&gt;"", J949&lt;&gt;VLOOKUP(K949, Criterios!$A$81:$B$120, 2, FALSE)), "División no coincide con Categoría", ""))), IF(OR(L949="", L949=""), "[Aviso] Género no capturado ()", IF(ISNA(MATCH(L949, Criterios!$B$123:$B$127, 0)), "Género no válido", "")), IF(OR(N949="", N949=""), "[Aviso] Temporada no capturada ()", IF(ISNA(MATCH(N949, Criterios!$C$123:$C$128, 0)), "Temporada no válida", "")), IF(OR(O949="", O949=""), "[Aviso] Ciclo de vida no capturado ()", IF(ISNA(MATCH(O949, Criterios!$D$123:$D$124, 0)), "Ciclo de vida no válido", ""))))</f>
        <v/>
      </c>
      <c r="AC949" s="56" t="n"/>
      <c r="AD949" s="51" t="n"/>
      <c r="AE949" s="156" t="n"/>
      <c r="AF949" s="51" t="n"/>
      <c r="AG949" s="156" t="inlineStr">
        <is>
          <t>Nuevo – Carga Hoja2 01/10/2026</t>
        </is>
      </c>
      <c r="AH949" s="156" t="inlineStr">
        <is>
          <t>Alta 01/10/2026 desde Hoja2 (fila 981) | Homologación G1522 06/10/2026: Enlace de imagen: «» → «https://cdn.shopify.com/s/files/1/0005/9015/1741/files/Wrangler_CowPrint_Rope_Handle_Tote_Bag_Brown1.webp?v=1756978758» (Completado por investigación en línea) · Validador Shopify: WB: precio con IVA no termina en 9</t>
        </is>
      </c>
      <c r="AI949" s="156" t="n"/>
      <c r="AJ949" s="156" t="n"/>
      <c r="AK949" s="155" t="inlineStr">
        <is>
          <t>Hoja2: fila 981 | Odoo: producto 22172 / plantilla 28315 | Investigación en línea 06/10/2026: https://montanawestworld.com/products/wrangler-cow-print-rope-handle-tote-bag</t>
        </is>
      </c>
      <c r="AL949" s="58" t="n"/>
      <c r="AM949" s="58" t="n"/>
      <c r="AN949" s="155" t="inlineStr">
        <is>
          <t>Odoo Universal Unique Brands</t>
        </is>
      </c>
      <c r="AO949" s="59" t="n"/>
      <c r="AP949" s="59" t="n"/>
      <c r="AQ949" s="59" t="n">
        <v>13</v>
      </c>
      <c r="AR949" s="155" t="inlineStr">
        <is>
          <t>Odoo Universal Unique Brands › Bodega 25 › Bodega 25/General: 13</t>
        </is>
      </c>
    </row>
    <row r="950">
      <c r="A950" s="50" t="inlineStr">
        <is>
          <t>717710496770</t>
        </is>
      </c>
      <c r="B950" s="51" t="inlineStr">
        <is>
          <t>22153</t>
        </is>
      </c>
      <c r="C950" s="156" t="inlineStr">
        <is>
          <t>Wrangler</t>
        </is>
      </c>
      <c r="D950" s="156" t="inlineStr">
        <is>
          <t>WG386-8120SCF</t>
        </is>
      </c>
      <c r="E950" s="156" t="inlineStr">
        <is>
          <t>WG386-8120SCF</t>
        </is>
      </c>
      <c r="F950" s="156" t="inlineStr">
        <is>
          <t>Talla única</t>
        </is>
      </c>
      <c r="G950" s="156" t="inlineStr">
        <is>
          <t>One Size</t>
        </is>
      </c>
      <c r="H950" s="156" t="inlineStr">
        <is>
          <t>Wrangler</t>
        </is>
      </c>
      <c r="I950" s="156" t="inlineStr">
        <is>
          <t>Bolsa Tote Cruzada Wrangler Estampado De Vaca Café Oscuro</t>
        </is>
      </c>
      <c r="J950" s="156" t="inlineStr">
        <is>
          <t>Accesorios</t>
        </is>
      </c>
      <c r="K950" s="156" t="inlineStr">
        <is>
          <t>Bolsos</t>
        </is>
      </c>
      <c r="L950" s="156" t="inlineStr">
        <is>
          <t>Unisex</t>
        </is>
      </c>
      <c r="M950" s="156" t="inlineStr">
        <is>
          <t>Wrangler</t>
        </is>
      </c>
      <c r="N950" s="156" t="n"/>
      <c r="O950" s="156" t="inlineStr">
        <is>
          <t>Core</t>
        </is>
      </c>
      <c r="P950" s="156" t="inlineStr">
        <is>
          <t>Cafe</t>
        </is>
      </c>
      <c r="Q950" s="156" t="n"/>
      <c r="R950" s="156" t="n"/>
      <c r="S950" s="156" t="n"/>
      <c r="T950" s="156" t="inlineStr">
        <is>
          <t>Bolsa Tote Cruzada Wrangler. Modelo: Estampado De Vaca. Color: Café Oscuro. Talla única. Unisex. País de origen: México. Referencia: WG386-8120SCF.</t>
        </is>
      </c>
      <c r="U950" s="156" t="inlineStr">
        <is>
          <t>México</t>
        </is>
      </c>
      <c r="V950" s="156" t="inlineStr">
        <is>
          <t>PZS</t>
        </is>
      </c>
      <c r="W950" s="51" t="inlineStr">
        <is>
          <t>53121601</t>
        </is>
      </c>
      <c r="X950" s="156" t="inlineStr">
        <is>
          <t>https://cdn.shopify.com/s/files/1/0005/9015/1741/files/Wrangler_CowPrint_Rope_Handle_Tote_Bag_Coffee2.webp?v=1762486066</t>
        </is>
      </c>
      <c r="Y950" s="54" t="n">
        <v>13.5</v>
      </c>
      <c r="Z950" s="54" t="n">
        <v>799</v>
      </c>
      <c r="AA950" s="55">
        <f>IF(AND(A950="", B950="", E950=""), "", IF(AB950="", "Válido", IF((LEN(AB950)-LEN(SUBSTITUTE(AB950,"; ","")))/2+1&gt;(LEN(AB950)-LEN(SUBSTITUTE(AB950,"[Aviso]","")))/7, "Con Incidencias", "Válido")))</f>
        <v/>
      </c>
      <c r="AB950" s="56">
        <f>IF(AND(A950="", B950="", E950=""), "", TEXTJOIN("; ", TRUE, IF(OR(TRIM(A950&amp;"")="", ISNUMBER(SEARCH("FALTA", A950))), "UPC faltante/inválido", ""), IF(AND(A950&lt;&gt;"", IFERROR(_xlfn.XMATCH(A950,$A$2:$A$1063,0,1)&lt;&gt;_xlfn.XMATCH(A950,$A$2:$A$1063,0,-1),FALSE)), "Código de barras duplicado", ""), IF(AND(E950&lt;&gt;"", COUNTIF($E$2:$E$1063, E950)&gt;1), "SKU duplicado", ""), IF(OR(J950="", J950=""), "[Aviso] División no capturada ()", IF(ISNA(MATCH(J950, Criterios!$A$123:$A$126, 0)), "División no válida", "")), IF(OR(K950="", K950=""), "[Aviso] Categoría no capturada ()", IF(ISNA(MATCH(K950, Criterios!$A$81:$A$120, 0)), "Categoría no válida", IF(AND(J950&lt;&gt;"", J950&lt;&gt;"", J950&lt;&gt;VLOOKUP(K950, Criterios!$A$81:$B$120, 2, FALSE)), "División no coincide con Categoría", ""))), IF(OR(L950="", L950=""), "[Aviso] Género no capturado ()", IF(ISNA(MATCH(L950, Criterios!$B$123:$B$127, 0)), "Género no válido", "")), IF(OR(N950="", N950=""), "[Aviso] Temporada no capturada ()", IF(ISNA(MATCH(N950, Criterios!$C$123:$C$128, 0)), "Temporada no válida", "")), IF(OR(O950="", O950=""), "[Aviso] Ciclo de vida no capturado ()", IF(ISNA(MATCH(O950, Criterios!$D$123:$D$124, 0)), "Ciclo de vida no válido", ""))))</f>
        <v/>
      </c>
      <c r="AC950" s="56" t="n"/>
      <c r="AD950" s="51" t="n"/>
      <c r="AE950" s="156" t="n"/>
      <c r="AF950" s="51" t="n"/>
      <c r="AG950" s="156" t="inlineStr">
        <is>
          <t>Nuevo – Carga Hoja2 01/10/2026</t>
        </is>
      </c>
      <c r="AH950" s="156" t="inlineStr">
        <is>
          <t>Alta 01/10/2026 desde Hoja2 (fila 982) | Homologación G1522 06/10/2026: Enlace de imagen: «» → «https://cdn.shopify.com/s/files/1/0005/9015/1741/files/Wrangler_CowPrint_Rope_Handle_Tote_Bag_Coffee2.webp?v=1762486066» (Completado por investigación en línea) · Validación G1522: [Aviso] Precio de compra posiblemente en USD · Validador Shopify: WB: precio con IVA no termina en 9</t>
        </is>
      </c>
      <c r="AI950" s="156" t="n"/>
      <c r="AJ950" s="156" t="n"/>
      <c r="AK950" s="155" t="inlineStr">
        <is>
          <t>Hoja2: fila 982 | Odoo: producto 22153 / plantilla 28296 | Investigación en línea 06/10/2026: https://montanawestworld.com/products/wrangler-cow-print-rope-handle-tote-bag</t>
        </is>
      </c>
      <c r="AL950" s="58" t="n"/>
      <c r="AM950" s="58" t="n"/>
      <c r="AN950" s="155" t="inlineStr">
        <is>
          <t>Odoo Universal Unique Brands</t>
        </is>
      </c>
      <c r="AO950" s="59" t="n"/>
      <c r="AP950" s="59" t="n"/>
      <c r="AQ950" s="59" t="n">
        <v>-30</v>
      </c>
      <c r="AR950" s="155" t="n"/>
    </row>
    <row r="951">
      <c r="A951" s="50" t="inlineStr">
        <is>
          <t>717710496800</t>
        </is>
      </c>
      <c r="B951" s="51" t="inlineStr">
        <is>
          <t>22175</t>
        </is>
      </c>
      <c r="C951" s="156" t="inlineStr">
        <is>
          <t>Wrangler</t>
        </is>
      </c>
      <c r="D951" s="156" t="inlineStr">
        <is>
          <t>WG386-8120SKH</t>
        </is>
      </c>
      <c r="E951" s="156" t="inlineStr">
        <is>
          <t>WG386-8120SKH</t>
        </is>
      </c>
      <c r="F951" s="156" t="inlineStr">
        <is>
          <t>Talla única</t>
        </is>
      </c>
      <c r="G951" s="156" t="inlineStr">
        <is>
          <t>One Size</t>
        </is>
      </c>
      <c r="H951" s="156" t="inlineStr">
        <is>
          <t>Wrangler</t>
        </is>
      </c>
      <c r="I951" s="156" t="inlineStr">
        <is>
          <t>Bolsa Tote Cruzada Wrangler Estampado De Vaca Caqui</t>
        </is>
      </c>
      <c r="J951" s="156" t="inlineStr">
        <is>
          <t>Accesorios</t>
        </is>
      </c>
      <c r="K951" s="156" t="inlineStr">
        <is>
          <t>Bolsos</t>
        </is>
      </c>
      <c r="L951" s="156" t="inlineStr">
        <is>
          <t>Unisex</t>
        </is>
      </c>
      <c r="M951" s="156" t="inlineStr">
        <is>
          <t>Wrangler</t>
        </is>
      </c>
      <c r="N951" s="156" t="n"/>
      <c r="O951" s="156" t="inlineStr">
        <is>
          <t>Core</t>
        </is>
      </c>
      <c r="P951" s="156" t="inlineStr">
        <is>
          <t>Beige</t>
        </is>
      </c>
      <c r="Q951" s="156" t="n"/>
      <c r="R951" s="156" t="n"/>
      <c r="S951" s="156" t="n"/>
      <c r="T951" s="156" t="inlineStr">
        <is>
          <t>Bolsa Tote Cruzada Wrangler. Modelo: Estampado De Vaca. Color: Caqui. Talla única. Unisex. País de origen: México. Referencia: WG386-8120SKH.</t>
        </is>
      </c>
      <c r="U951" s="156" t="inlineStr">
        <is>
          <t>México</t>
        </is>
      </c>
      <c r="V951" s="156" t="inlineStr">
        <is>
          <t>PZS</t>
        </is>
      </c>
      <c r="W951" s="51" t="inlineStr">
        <is>
          <t>53121601</t>
        </is>
      </c>
      <c r="X951" s="156" t="inlineStr">
        <is>
          <t>https://cdn.shopify.com/s/files/1/0005/9015/1741/files/Wrangler_CowPrint_Rope_Handle_Tote_Bag_Khaki2.webp?v=1762486066</t>
        </is>
      </c>
      <c r="Y951" s="54" t="n">
        <v>21</v>
      </c>
      <c r="Z951" s="54" t="n">
        <v>799</v>
      </c>
      <c r="AA951" s="55">
        <f>IF(AND(A951="", B951="", E951=""), "", IF(AB951="", "Válido", IF((LEN(AB951)-LEN(SUBSTITUTE(AB951,"; ","")))/2+1&gt;(LEN(AB951)-LEN(SUBSTITUTE(AB951,"[Aviso]","")))/7, "Con Incidencias", "Válido")))</f>
        <v/>
      </c>
      <c r="AB951" s="56">
        <f>IF(AND(A951="", B951="", E951=""), "", TEXTJOIN("; ", TRUE, IF(OR(TRIM(A951&amp;"")="", ISNUMBER(SEARCH("FALTA", A951))), "UPC faltante/inválido", ""), IF(AND(A951&lt;&gt;"", IFERROR(_xlfn.XMATCH(A951,$A$2:$A$1063,0,1)&lt;&gt;_xlfn.XMATCH(A951,$A$2:$A$1063,0,-1),FALSE)), "Código de barras duplicado", ""), IF(AND(E951&lt;&gt;"", COUNTIF($E$2:$E$1063, E951)&gt;1), "SKU duplicado", ""), IF(OR(J951="", J951=""), "[Aviso] División no capturada ()", IF(ISNA(MATCH(J951, Criterios!$A$123:$A$126, 0)), "División no válida", "")), IF(OR(K951="", K951=""), "[Aviso] Categoría no capturada ()", IF(ISNA(MATCH(K951, Criterios!$A$81:$A$120, 0)), "Categoría no válida", IF(AND(J951&lt;&gt;"", J951&lt;&gt;"", J951&lt;&gt;VLOOKUP(K951, Criterios!$A$81:$B$120, 2, FALSE)), "División no coincide con Categoría", ""))), IF(OR(L951="", L951=""), "[Aviso] Género no capturado ()", IF(ISNA(MATCH(L951, Criterios!$B$123:$B$127, 0)), "Género no válido", "")), IF(OR(N951="", N951=""), "[Aviso] Temporada no capturada ()", IF(ISNA(MATCH(N951, Criterios!$C$123:$C$128, 0)), "Temporada no válida", "")), IF(OR(O951="", O951=""), "[Aviso] Ciclo de vida no capturado ()", IF(ISNA(MATCH(O951, Criterios!$D$123:$D$124, 0)), "Ciclo de vida no válido", ""))))</f>
        <v/>
      </c>
      <c r="AC951" s="56" t="n"/>
      <c r="AD951" s="51" t="n"/>
      <c r="AE951" s="156" t="n"/>
      <c r="AF951" s="51" t="n"/>
      <c r="AG951" s="156" t="inlineStr">
        <is>
          <t>Nuevo – Carga Hoja2 01/10/2026</t>
        </is>
      </c>
      <c r="AH951" s="156" t="inlineStr">
        <is>
          <t>Alta 01/10/2026 desde Hoja2 (fila 983) | Homologación G1522 06/10/2026: Enlace de imagen: «» → «https://cdn.shopify.com/s/files/1/0005/9015/1741/files/Wrangler_CowPrint_Rope_Handle_Tote_Bag_Khaki2.webp?v=1762486066» (Completado por investigación en línea) · Validador Shopify: WB: precio con IVA no termina en 9</t>
        </is>
      </c>
      <c r="AI951" s="156" t="n"/>
      <c r="AJ951" s="156" t="n"/>
      <c r="AK951" s="155" t="inlineStr">
        <is>
          <t>Hoja2: fila 983 | Odoo: producto 22175 / plantilla 28318 | Investigación en línea 06/10/2026: https://montanawestworld.com/products/wrangler-cow-print-rope-handle-tote-bag</t>
        </is>
      </c>
      <c r="AL951" s="58" t="n"/>
      <c r="AM951" s="58" t="n"/>
      <c r="AN951" s="155" t="inlineStr">
        <is>
          <t>Odoo Universal Unique Brands</t>
        </is>
      </c>
      <c r="AO951" s="59" t="n"/>
      <c r="AP951" s="59" t="n"/>
      <c r="AQ951" s="59" t="n">
        <v>10</v>
      </c>
      <c r="AR951" s="155" t="inlineStr">
        <is>
          <t>Odoo Universal Unique Brands › Bodega 25 › Bodega 25/General: 10</t>
        </is>
      </c>
    </row>
    <row r="952">
      <c r="A952" s="50" t="inlineStr">
        <is>
          <t>717710496794</t>
        </is>
      </c>
      <c r="B952" s="51" t="inlineStr">
        <is>
          <t>22173</t>
        </is>
      </c>
      <c r="C952" s="156" t="inlineStr">
        <is>
          <t>Wrangler</t>
        </is>
      </c>
      <c r="D952" s="156" t="inlineStr">
        <is>
          <t>WG386-8120SLCF</t>
        </is>
      </c>
      <c r="E952" s="156" t="inlineStr">
        <is>
          <t>WG386-8120SLCF</t>
        </is>
      </c>
      <c r="F952" s="156" t="inlineStr">
        <is>
          <t>Talla única</t>
        </is>
      </c>
      <c r="G952" s="156" t="inlineStr">
        <is>
          <t>One Size</t>
        </is>
      </c>
      <c r="H952" s="156" t="inlineStr">
        <is>
          <t>Wrangler</t>
        </is>
      </c>
      <c r="I952" s="156" t="inlineStr">
        <is>
          <t>Bolsa Tote Cruzada Wrangler Estampado De Vaca Café Claro</t>
        </is>
      </c>
      <c r="J952" s="156" t="inlineStr">
        <is>
          <t>Accesorios</t>
        </is>
      </c>
      <c r="K952" s="156" t="inlineStr">
        <is>
          <t>Bolsos</t>
        </is>
      </c>
      <c r="L952" s="156" t="inlineStr">
        <is>
          <t>Unisex</t>
        </is>
      </c>
      <c r="M952" s="156" t="inlineStr">
        <is>
          <t>Wrangler</t>
        </is>
      </c>
      <c r="N952" s="156" t="n"/>
      <c r="O952" s="156" t="n"/>
      <c r="P952" s="156" t="inlineStr">
        <is>
          <t>Cafe</t>
        </is>
      </c>
      <c r="Q952" s="156" t="n"/>
      <c r="R952" s="156" t="n"/>
      <c r="S952" s="156" t="n"/>
      <c r="T952" s="156" t="inlineStr">
        <is>
          <t>Bolsa Tote Cruzada</t>
        </is>
      </c>
      <c r="U952" s="156" t="inlineStr">
        <is>
          <t>México</t>
        </is>
      </c>
      <c r="V952" s="156" t="inlineStr">
        <is>
          <t>PZS</t>
        </is>
      </c>
      <c r="W952" s="51" t="inlineStr">
        <is>
          <t>53121601</t>
        </is>
      </c>
      <c r="X952" s="156" t="inlineStr">
        <is>
          <t>https://cdn.shopify.com/s/files/1/0005/9015/1741/files/Wrangler_CowPrint_Rope_Handle_Tote_Bag_Light_Coffee2.webp?v=1765776832</t>
        </is>
      </c>
      <c r="Y952" s="54" t="n">
        <v>21</v>
      </c>
      <c r="Z952" s="54" t="n">
        <v>799</v>
      </c>
      <c r="AA952" s="55">
        <f>IF(AND(A952="", B952="", E952=""), "", IF(AB952="", "Válido", IF((LEN(AB952)-LEN(SUBSTITUTE(AB952,"; ","")))/2+1&gt;(LEN(AB952)-LEN(SUBSTITUTE(AB952,"[Aviso]","")))/7, "Con Incidencias", "Válido")))</f>
        <v/>
      </c>
      <c r="AB952" s="56">
        <f>IF(AND(A952="", B952="", E952=""), "", TEXTJOIN("; ", TRUE, IF(OR(TRIM(A952&amp;"")="", ISNUMBER(SEARCH("FALTA", A952))), "UPC faltante/inválido", ""), IF(AND(A952&lt;&gt;"", IFERROR(_xlfn.XMATCH(A952,$A$2:$A$1063,0,1)&lt;&gt;_xlfn.XMATCH(A952,$A$2:$A$1063,0,-1),FALSE)), "Código de barras duplicado", ""), IF(AND(E952&lt;&gt;"", COUNTIF($E$2:$E$1063, E952)&gt;1), "SKU duplicado", ""), IF(OR(J952="", J952=""), "[Aviso] División no capturada ()", IF(ISNA(MATCH(J952, Criterios!$A$123:$A$126, 0)), "División no válida", "")), IF(OR(K952="", K952=""), "[Aviso] Categoría no capturada ()", IF(ISNA(MATCH(K952, Criterios!$A$81:$A$120, 0)), "Categoría no válida", IF(AND(J952&lt;&gt;"", J952&lt;&gt;"", J952&lt;&gt;VLOOKUP(K952, Criterios!$A$81:$B$120, 2, FALSE)), "División no coincide con Categoría", ""))), IF(OR(L952="", L952=""), "[Aviso] Género no capturado ()", IF(ISNA(MATCH(L952, Criterios!$B$123:$B$127, 0)), "Género no válido", "")), IF(OR(N952="", N952=""), "[Aviso] Temporada no capturada ()", IF(ISNA(MATCH(N952, Criterios!$C$123:$C$128, 0)), "Temporada no válida", "")), IF(OR(O952="", O952=""), "[Aviso] Ciclo de vida no capturado ()", IF(ISNA(MATCH(O952, Criterios!$D$123:$D$124, 0)), "Ciclo de vida no válido", ""))))</f>
        <v/>
      </c>
      <c r="AC952" s="56" t="n"/>
      <c r="AD952" s="51" t="n"/>
      <c r="AE952" s="156" t="n"/>
      <c r="AF952" s="51" t="n"/>
      <c r="AG952" s="156" t="inlineStr">
        <is>
          <t>Nuevo – Carga Hoja2 01/10/2026</t>
        </is>
      </c>
      <c r="AH952" s="156" t="inlineStr">
        <is>
          <t>Alta 01/10/2026 desde Hoja2 (fila 984) | 01/10/2026: complementado desde Odoo Universal Unique Brands (match por código de barras): WB Talla, WB Talla de EE. UU., WB Descripción larga | Homologación G1522 06/10/2026: WB País de origen: «Mexico» → «México» (Corrección aplicada) · Enlace de imagen: «» → «https://cdn.shopify.com/s/files/1/0005/9015/1741/files/Wrangler_CowPrint_Rope_Handle_Tote_Bag_Light_Coffee2.webp?v=1765776832» (Completado por investigación en línea) · Validador Shopify: WB: precio con IVA no termina en 9</t>
        </is>
      </c>
      <c r="AI952" s="156" t="n"/>
      <c r="AJ952" s="156" t="n"/>
      <c r="AK952" s="155" t="inlineStr">
        <is>
          <t>Hoja2: fila 984 | Odoo: producto 22173 / plantilla 28316 | Investigación en línea 06/10/2026: https://montanawestworld.com/products/wrangler-cow-print-rope-handle-tote-bag</t>
        </is>
      </c>
      <c r="AL952" s="58" t="n"/>
      <c r="AM952" s="58" t="n"/>
      <c r="AN952" s="155" t="inlineStr">
        <is>
          <t>Odoo Universal Unique Brands</t>
        </is>
      </c>
      <c r="AO952" s="59" t="n"/>
      <c r="AP952" s="59" t="n"/>
      <c r="AQ952" s="59" t="n">
        <v>0</v>
      </c>
      <c r="AR952" s="155" t="n"/>
    </row>
    <row r="953">
      <c r="A953" s="50" t="inlineStr">
        <is>
          <t>717710509968</t>
        </is>
      </c>
      <c r="B953" s="51" t="inlineStr">
        <is>
          <t>22152</t>
        </is>
      </c>
      <c r="C953" s="156" t="inlineStr">
        <is>
          <t>Wrangler</t>
        </is>
      </c>
      <c r="D953" s="156" t="inlineStr">
        <is>
          <t>WG399-5112BR-COW</t>
        </is>
      </c>
      <c r="E953" s="156" t="inlineStr">
        <is>
          <t>WG399-5112BR-COW</t>
        </is>
      </c>
      <c r="F953" s="156" t="inlineStr">
        <is>
          <t>Talla única</t>
        </is>
      </c>
      <c r="G953" s="156" t="inlineStr">
        <is>
          <t>One Size</t>
        </is>
      </c>
      <c r="H953" s="156" t="inlineStr">
        <is>
          <t>Wrangler</t>
        </is>
      </c>
      <c r="I953" s="156" t="inlineStr">
        <is>
          <t>Bolsa Satchel Cruzada Wrangler Estampado De Vaca Vaca Café Vaca</t>
        </is>
      </c>
      <c r="J953" s="156" t="inlineStr">
        <is>
          <t>Accesorios</t>
        </is>
      </c>
      <c r="K953" s="156" t="inlineStr">
        <is>
          <t>Bolsos</t>
        </is>
      </c>
      <c r="L953" s="156" t="inlineStr">
        <is>
          <t>Unisex</t>
        </is>
      </c>
      <c r="M953" s="156" t="inlineStr">
        <is>
          <t>Wrangler</t>
        </is>
      </c>
      <c r="N953" s="156" t="n"/>
      <c r="O953" s="156" t="inlineStr">
        <is>
          <t>Core</t>
        </is>
      </c>
      <c r="P953" s="156" t="inlineStr">
        <is>
          <t>Cafe</t>
        </is>
      </c>
      <c r="Q953" s="156" t="n"/>
      <c r="R953" s="156" t="n"/>
      <c r="S953" s="156" t="n"/>
      <c r="T953" s="156" t="inlineStr">
        <is>
          <t>Bolsa Satchel Cruzada Wrangler. Modelo: Estampado De Vaca Vaca. Color: Café Vaca. Talla única. Unisex. País de origen: México. Referencia: WG399-5112BR-COW.</t>
        </is>
      </c>
      <c r="U953" s="156" t="inlineStr">
        <is>
          <t>México</t>
        </is>
      </c>
      <c r="V953" s="156" t="inlineStr">
        <is>
          <t>PZS</t>
        </is>
      </c>
      <c r="W953" s="51" t="inlineStr">
        <is>
          <t>53121601</t>
        </is>
      </c>
      <c r="X953" s="156" t="n"/>
      <c r="Y953" s="54" t="n">
        <v>20.25</v>
      </c>
      <c r="Z953" s="54" t="n">
        <v>759</v>
      </c>
      <c r="AA953" s="55">
        <f>IF(AND(A953="", B953="", E953=""), "", IF(AB953="", "Válido", IF((LEN(AB953)-LEN(SUBSTITUTE(AB953,"; ","")))/2+1&gt;(LEN(AB953)-LEN(SUBSTITUTE(AB953,"[Aviso]","")))/7, "Con Incidencias", "Válido")))</f>
        <v/>
      </c>
      <c r="AB953" s="56">
        <f>IF(AND(A953="", B953="", E953=""), "", TEXTJOIN("; ", TRUE, IF(OR(TRIM(A953&amp;"")="", ISNUMBER(SEARCH("FALTA", A953))), "UPC faltante/inválido", ""), IF(AND(A953&lt;&gt;"", IFERROR(_xlfn.XMATCH(A953,$A$2:$A$1063,0,1)&lt;&gt;_xlfn.XMATCH(A953,$A$2:$A$1063,0,-1),FALSE)), "Código de barras duplicado", ""), IF(AND(E953&lt;&gt;"", COUNTIF($E$2:$E$1063, E953)&gt;1), "SKU duplicado", ""), IF(OR(J953="", J953=""), "[Aviso] División no capturada ()", IF(ISNA(MATCH(J953, Criterios!$A$123:$A$126, 0)), "División no válida", "")), IF(OR(K953="", K953=""), "[Aviso] Categoría no capturada ()", IF(ISNA(MATCH(K953, Criterios!$A$81:$A$120, 0)), "Categoría no válida", IF(AND(J953&lt;&gt;"", J953&lt;&gt;"", J953&lt;&gt;VLOOKUP(K953, Criterios!$A$81:$B$120, 2, FALSE)), "División no coincide con Categoría", ""))), IF(OR(L953="", L953=""), "[Aviso] Género no capturado ()", IF(ISNA(MATCH(L953, Criterios!$B$123:$B$127, 0)), "Género no válido", "")), IF(OR(N953="", N953=""), "[Aviso] Temporada no capturada ()", IF(ISNA(MATCH(N953, Criterios!$C$123:$C$128, 0)), "Temporada no válida", "")), IF(OR(O953="", O953=""), "[Aviso] Ciclo de vida no capturado ()", IF(ISNA(MATCH(O953, Criterios!$D$123:$D$124, 0)), "Ciclo de vida no válido", ""))))</f>
        <v/>
      </c>
      <c r="AC953" s="56" t="n"/>
      <c r="AD953" s="51" t="n"/>
      <c r="AE953" s="156" t="n"/>
      <c r="AF953" s="51" t="n"/>
      <c r="AG953" s="156" t="inlineStr">
        <is>
          <t>Nuevo – Carga Hoja2 01/10/2026</t>
        </is>
      </c>
      <c r="AH953" s="156" t="inlineStr">
        <is>
          <t>Alta 01/10/2026 desde Hoja2 (fila 985) | 01/10/2026: Odoo Universal Unique Brands trae Marca «Montana West» — se conservó el valor de Productos | Homologación G1522 06/10/2026: Validador Shopify: WB: precio con IVA no termina en 9</t>
        </is>
      </c>
      <c r="AI953" s="156" t="n"/>
      <c r="AJ953" s="156" t="n"/>
      <c r="AK953" s="155" t="inlineStr">
        <is>
          <t>Hoja2: fila 985 | Odoo: producto 22152 / plantilla 28295 | Odoo: producto 27511 / plantilla 34211</t>
        </is>
      </c>
      <c r="AL953" s="58" t="n"/>
      <c r="AM953" s="58" t="n"/>
      <c r="AN953" s="155" t="inlineStr">
        <is>
          <t>Odoo Universal Unique Brands</t>
        </is>
      </c>
      <c r="AO953" s="59" t="n"/>
      <c r="AP953" s="59" t="n"/>
      <c r="AQ953" s="59" t="n">
        <v>1</v>
      </c>
      <c r="AR953" s="155" t="inlineStr">
        <is>
          <t>Odoo Universal Unique Brands › Bodega 25 › Bodega 25/General: 1</t>
        </is>
      </c>
    </row>
    <row r="954">
      <c r="A954" s="50" t="inlineStr">
        <is>
          <t>717308776475</t>
        </is>
      </c>
      <c r="B954" s="51" t="inlineStr">
        <is>
          <t>30894</t>
        </is>
      </c>
      <c r="C954" s="156" t="inlineStr">
        <is>
          <t>Wrangler</t>
        </is>
      </c>
      <c r="D954" s="156" t="inlineStr">
        <is>
          <t>WG435-8119BG</t>
        </is>
      </c>
      <c r="E954" s="156" t="inlineStr">
        <is>
          <t>WG435-8119BG</t>
        </is>
      </c>
      <c r="F954" s="156" t="inlineStr">
        <is>
          <t>Talla única</t>
        </is>
      </c>
      <c r="G954" s="156" t="inlineStr">
        <is>
          <t>One Size</t>
        </is>
      </c>
      <c r="H954" s="156" t="inlineStr">
        <is>
          <t>Wrangler</t>
        </is>
      </c>
      <c r="I954" s="156" t="inlineStr">
        <is>
          <t>Bolsa Tote Cruzada Wrangler Mezclilla Azteca Beige</t>
        </is>
      </c>
      <c r="J954" s="156" t="inlineStr">
        <is>
          <t>Accesorios</t>
        </is>
      </c>
      <c r="K954" s="156" t="inlineStr">
        <is>
          <t>Bolsos</t>
        </is>
      </c>
      <c r="L954" s="156" t="inlineStr">
        <is>
          <t>Unisex</t>
        </is>
      </c>
      <c r="M954" s="156" t="inlineStr">
        <is>
          <t>Wrangler</t>
        </is>
      </c>
      <c r="N954" s="156" t="inlineStr">
        <is>
          <t>FW26</t>
        </is>
      </c>
      <c r="O954" s="156" t="inlineStr">
        <is>
          <t>Seasonal</t>
        </is>
      </c>
      <c r="P954" s="156" t="inlineStr">
        <is>
          <t>Beige</t>
        </is>
      </c>
      <c r="Q954" s="156" t="n"/>
      <c r="R954" s="156" t="n"/>
      <c r="S954" s="156" t="n"/>
      <c r="T954" s="156" t="inlineStr">
        <is>
          <t>Bolsa Tote Cruzada Wrangler. Modelo: Mezclilla Azteca. Color: Beige. Talla única. Unisex. País de origen: México. Referencia: WG435-8119BG.</t>
        </is>
      </c>
      <c r="U954" s="156" t="inlineStr">
        <is>
          <t>México</t>
        </is>
      </c>
      <c r="V954" s="156" t="inlineStr">
        <is>
          <t>PZS</t>
        </is>
      </c>
      <c r="W954" s="51" t="inlineStr">
        <is>
          <t>53121601</t>
        </is>
      </c>
      <c r="X954" s="156" t="n"/>
      <c r="Y954" s="54" t="n">
        <v>406</v>
      </c>
      <c r="Z954" s="54" t="n">
        <v>799.5</v>
      </c>
      <c r="AA954" s="55">
        <f>IF(AND(A954="", B954="", E954=""), "", IF(AB954="", "Válido", IF((LEN(AB954)-LEN(SUBSTITUTE(AB954,"; ","")))/2+1&gt;(LEN(AB954)-LEN(SUBSTITUTE(AB954,"[Aviso]","")))/7, "Con Incidencias", "Válido")))</f>
        <v/>
      </c>
      <c r="AB954" s="56">
        <f>IF(AND(A954="", B954="", E954=""), "", TEXTJOIN("; ", TRUE, IF(OR(TRIM(A954&amp;"")="", ISNUMBER(SEARCH("FALTA", A954))), "UPC faltante/inválido", ""), IF(AND(A954&lt;&gt;"", IFERROR(_xlfn.XMATCH(A954,$A$2:$A$1063,0,1)&lt;&gt;_xlfn.XMATCH(A954,$A$2:$A$1063,0,-1),FALSE)), "Código de barras duplicado", ""), IF(AND(E954&lt;&gt;"", COUNTIF($E$2:$E$1063, E954)&gt;1), "SKU duplicado", ""), IF(OR(J954="", J954=""), "[Aviso] División no capturada ()", IF(ISNA(MATCH(J954, Criterios!$A$123:$A$126, 0)), "División no válida", "")), IF(OR(K954="", K954=""), "[Aviso] Categoría no capturada ()", IF(ISNA(MATCH(K954, Criterios!$A$81:$A$120, 0)), "Categoría no válida", IF(AND(J954&lt;&gt;"", J954&lt;&gt;"", J954&lt;&gt;VLOOKUP(K954, Criterios!$A$81:$B$120, 2, FALSE)), "División no coincide con Categoría", ""))), IF(OR(L954="", L954=""), "[Aviso] Género no capturado ()", IF(ISNA(MATCH(L954, Criterios!$B$123:$B$127, 0)), "Género no válido", "")), IF(OR(N954="", N954=""), "[Aviso] Temporada no capturada ()", IF(ISNA(MATCH(N954, Criterios!$C$123:$C$128, 0)), "Temporada no válida", "")), IF(OR(O954="", O954=""), "[Aviso] Ciclo de vida no capturado ()", IF(ISNA(MATCH(O954, Criterios!$D$123:$D$124, 0)), "Ciclo de vida no válido", ""))))</f>
        <v/>
      </c>
      <c r="AC954" s="56" t="n"/>
      <c r="AD954" s="51" t="n"/>
      <c r="AE954" s="156" t="n"/>
      <c r="AF954" s="51" t="n"/>
      <c r="AG954" s="156" t="inlineStr">
        <is>
          <t>Nuevo – Carga Hoja2 01/10/2026</t>
        </is>
      </c>
      <c r="AH954" s="156" t="inlineStr">
        <is>
          <t>Alta 01/10/2026 desde Hoja2 (fila 986) | Homologación G1522 06/10/2026: Validador Shopify: WB: precio con IVA no termina en 9</t>
        </is>
      </c>
      <c r="AI954" s="156" t="n"/>
      <c r="AJ954" s="156" t="n"/>
      <c r="AK954" s="155" t="inlineStr">
        <is>
          <t>Hoja2: fila 986 | Odoo: producto 30894 / plantilla 39650</t>
        </is>
      </c>
      <c r="AL954" s="58" t="n"/>
      <c r="AM954" s="58" t="n"/>
      <c r="AN954" s="155" t="inlineStr">
        <is>
          <t>Odoo Universal Unique Brands</t>
        </is>
      </c>
      <c r="AO954" s="59" t="n"/>
      <c r="AP954" s="59" t="n"/>
      <c r="AQ954" s="59" t="n">
        <v>31</v>
      </c>
      <c r="AR954" s="155" t="inlineStr">
        <is>
          <t>Odoo Universal Unique Brands › Bodega 25 › Bodega 25/General: 31</t>
        </is>
      </c>
    </row>
    <row r="955">
      <c r="A955" s="50" t="inlineStr">
        <is>
          <t>717308773849</t>
        </is>
      </c>
      <c r="B955" s="51" t="inlineStr">
        <is>
          <t>30067</t>
        </is>
      </c>
      <c r="C955" s="156" t="inlineStr">
        <is>
          <t>Wrangler</t>
        </is>
      </c>
      <c r="D955" s="156" t="inlineStr">
        <is>
          <t>WG444-1818BK</t>
        </is>
      </c>
      <c r="E955" s="156" t="inlineStr">
        <is>
          <t>WG444-1818BK</t>
        </is>
      </c>
      <c r="F955" s="156" t="inlineStr">
        <is>
          <t>Talla única</t>
        </is>
      </c>
      <c r="G955" s="156" t="inlineStr">
        <is>
          <t>One Size</t>
        </is>
      </c>
      <c r="H955" s="156" t="inlineStr">
        <is>
          <t>Wrangler</t>
        </is>
      </c>
      <c r="I955" s="156" t="inlineStr">
        <is>
          <t>Bolsa Cruzada Wrangler Estampado De Vaca Con Flecos Negro</t>
        </is>
      </c>
      <c r="J955" s="156" t="inlineStr">
        <is>
          <t>Accesorios</t>
        </is>
      </c>
      <c r="K955" s="156" t="inlineStr">
        <is>
          <t>Bolsos</t>
        </is>
      </c>
      <c r="L955" s="156" t="inlineStr">
        <is>
          <t>Unisex</t>
        </is>
      </c>
      <c r="M955" s="156" t="inlineStr">
        <is>
          <t>Wrangler</t>
        </is>
      </c>
      <c r="N955" s="156" t="inlineStr">
        <is>
          <t>FW26</t>
        </is>
      </c>
      <c r="O955" s="156" t="inlineStr">
        <is>
          <t>Seasonal</t>
        </is>
      </c>
      <c r="P955" s="156" t="inlineStr">
        <is>
          <t>Negro</t>
        </is>
      </c>
      <c r="Q955" s="156" t="n"/>
      <c r="R955" s="156" t="n"/>
      <c r="S955" s="156" t="n"/>
      <c r="T955" s="156" t="inlineStr">
        <is>
          <t>Bolsa Cruzada Wrangler. Modelo: Estampado De Vaca Con Flecos. Color: Negro. Talla única. Unisex. País de origen: México. Referencia: WG444-1818BK.</t>
        </is>
      </c>
      <c r="U955" s="156" t="inlineStr">
        <is>
          <t>México</t>
        </is>
      </c>
      <c r="V955" s="156" t="inlineStr">
        <is>
          <t>PZS</t>
        </is>
      </c>
      <c r="W955" s="51" t="inlineStr">
        <is>
          <t>53121601</t>
        </is>
      </c>
      <c r="X955" s="156" t="inlineStr">
        <is>
          <t>https://cdn.shopify.com/s/files/1/0005/9015/1741/files/WG444-1818BK_1_00105552-de2d-443b-a8c2-524d9b44de54.webp?v=1770016368</t>
        </is>
      </c>
      <c r="Y955" s="54" t="n">
        <v>420</v>
      </c>
      <c r="Z955" s="54" t="n">
        <v>824.5</v>
      </c>
      <c r="AA955" s="55">
        <f>IF(AND(A955="", B955="", E955=""), "", IF(AB955="", "Válido", IF((LEN(AB955)-LEN(SUBSTITUTE(AB955,"; ","")))/2+1&gt;(LEN(AB955)-LEN(SUBSTITUTE(AB955,"[Aviso]","")))/7, "Con Incidencias", "Válido")))</f>
        <v/>
      </c>
      <c r="AB955" s="56">
        <f>IF(AND(A955="", B955="", E955=""), "", TEXTJOIN("; ", TRUE, IF(OR(TRIM(A955&amp;"")="", ISNUMBER(SEARCH("FALTA", A955))), "UPC faltante/inválido", ""), IF(AND(A955&lt;&gt;"", IFERROR(_xlfn.XMATCH(A955,$A$2:$A$1063,0,1)&lt;&gt;_xlfn.XMATCH(A955,$A$2:$A$1063,0,-1),FALSE)), "Código de barras duplicado", ""), IF(AND(E955&lt;&gt;"", COUNTIF($E$2:$E$1063, E955)&gt;1), "SKU duplicado", ""), IF(OR(J955="", J955=""), "[Aviso] División no capturada ()", IF(ISNA(MATCH(J955, Criterios!$A$123:$A$126, 0)), "División no válida", "")), IF(OR(K955="", K955=""), "[Aviso] Categoría no capturada ()", IF(ISNA(MATCH(K955, Criterios!$A$81:$A$120, 0)), "Categoría no válida", IF(AND(J955&lt;&gt;"", J955&lt;&gt;"", J955&lt;&gt;VLOOKUP(K955, Criterios!$A$81:$B$120, 2, FALSE)), "División no coincide con Categoría", ""))), IF(OR(L955="", L955=""), "[Aviso] Género no capturado ()", IF(ISNA(MATCH(L955, Criterios!$B$123:$B$127, 0)), "Género no válido", "")), IF(OR(N955="", N955=""), "[Aviso] Temporada no capturada ()", IF(ISNA(MATCH(N955, Criterios!$C$123:$C$128, 0)), "Temporada no válida", "")), IF(OR(O955="", O955=""), "[Aviso] Ciclo de vida no capturado ()", IF(ISNA(MATCH(O955, Criterios!$D$123:$D$124, 0)), "Ciclo de vida no válido", ""))))</f>
        <v/>
      </c>
      <c r="AC955" s="56" t="n"/>
      <c r="AD955" s="51" t="n"/>
      <c r="AE955" s="156" t="n"/>
      <c r="AF955" s="51" t="n"/>
      <c r="AG955" s="156" t="inlineStr">
        <is>
          <t>Nuevo – Carga Hoja2 01/10/2026</t>
        </is>
      </c>
      <c r="AH955" s="156" t="inlineStr">
        <is>
          <t>Alta 01/10/2026 desde Hoja2 (fila 987) | Homologación G1522 06/10/2026: Enlace de imagen: «» → «https://cdn.shopify.com/s/files/1/0005/9015/1741/files/WG444-1818BK_1_00105552-de2d-443b-a8c2-524d9b44de54.webp?v=1770016368» (Completado por investigación en línea) · Validador Shopify: WB: precio con IVA no termina en 9</t>
        </is>
      </c>
      <c r="AI955" s="156" t="n"/>
      <c r="AJ955" s="156" t="n"/>
      <c r="AK955" s="155" t="inlineStr">
        <is>
          <t>Hoja2: fila 987 | Odoo: producto 30067 / plantilla 38823 | Investigación en línea 06/10/2026: https://montanawestworld.com/products/wrangler-cow-print-flap-crossbody-bag</t>
        </is>
      </c>
      <c r="AL955" s="58" t="n"/>
      <c r="AM955" s="58" t="n"/>
      <c r="AN955" s="155" t="inlineStr">
        <is>
          <t>Odoo Universal Unique Brands</t>
        </is>
      </c>
      <c r="AO955" s="59" t="n"/>
      <c r="AP955" s="59" t="n"/>
      <c r="AQ955" s="59" t="n">
        <v>3</v>
      </c>
      <c r="AR955" s="155" t="inlineStr">
        <is>
          <t>Odoo Universal Unique Brands › Bodega 25 › Bodega 25/General: 3</t>
        </is>
      </c>
    </row>
    <row r="956">
      <c r="A956" s="50" t="inlineStr">
        <is>
          <t>717308773764</t>
        </is>
      </c>
      <c r="B956" s="51" t="inlineStr">
        <is>
          <t>30069</t>
        </is>
      </c>
      <c r="C956" s="156" t="inlineStr">
        <is>
          <t>Wrangler</t>
        </is>
      </c>
      <c r="D956" s="156" t="inlineStr">
        <is>
          <t>WG444-818BK</t>
        </is>
      </c>
      <c r="E956" s="156" t="inlineStr">
        <is>
          <t>WG444-818BK</t>
        </is>
      </c>
      <c r="F956" s="156" t="inlineStr">
        <is>
          <t>Talla única</t>
        </is>
      </c>
      <c r="G956" s="156" t="inlineStr">
        <is>
          <t>One Size</t>
        </is>
      </c>
      <c r="H956" s="156" t="inlineStr">
        <is>
          <t>Wrangler</t>
        </is>
      </c>
      <c r="I956" s="156" t="inlineStr">
        <is>
          <t>Bolsa Hobo De Hombro Wrangler Estampado De Vaca Con Flecos Negro</t>
        </is>
      </c>
      <c r="J956" s="156" t="inlineStr">
        <is>
          <t>Accesorios</t>
        </is>
      </c>
      <c r="K956" s="156" t="inlineStr">
        <is>
          <t>Bolsos</t>
        </is>
      </c>
      <c r="L956" s="156" t="inlineStr">
        <is>
          <t>Unisex</t>
        </is>
      </c>
      <c r="M956" s="156" t="inlineStr">
        <is>
          <t>Wrangler</t>
        </is>
      </c>
      <c r="N956" s="156" t="inlineStr">
        <is>
          <t>FW26</t>
        </is>
      </c>
      <c r="O956" s="156" t="inlineStr">
        <is>
          <t>Seasonal</t>
        </is>
      </c>
      <c r="P956" s="156" t="inlineStr">
        <is>
          <t>Negro</t>
        </is>
      </c>
      <c r="Q956" s="156" t="n"/>
      <c r="R956" s="156" t="n"/>
      <c r="S956" s="156" t="n"/>
      <c r="T956" s="156" t="inlineStr">
        <is>
          <t>Bolsa Hobo De Hombro Wrangler. Modelo: Estampado De Vaca Con Flecos. Color: Negro. Talla única. Unisex. País de origen: México. Referencia: WG444-818BK.</t>
        </is>
      </c>
      <c r="U956" s="156" t="inlineStr">
        <is>
          <t>México</t>
        </is>
      </c>
      <c r="V956" s="156" t="inlineStr">
        <is>
          <t>PZS</t>
        </is>
      </c>
      <c r="W956" s="51" t="inlineStr">
        <is>
          <t>53121601</t>
        </is>
      </c>
      <c r="X956" s="156" t="inlineStr">
        <is>
          <t>https://cdn.shopify.com/s/files/1/0005/9015/1741/files/WG444-818BK_1.webp?v=1770019157</t>
        </is>
      </c>
      <c r="Y956" s="54" t="n">
        <v>448</v>
      </c>
      <c r="Z956" s="54" t="n">
        <v>899.5</v>
      </c>
      <c r="AA956" s="55">
        <f>IF(AND(A956="", B956="", E956=""), "", IF(AB956="", "Válido", IF((LEN(AB956)-LEN(SUBSTITUTE(AB956,"; ","")))/2+1&gt;(LEN(AB956)-LEN(SUBSTITUTE(AB956,"[Aviso]","")))/7, "Con Incidencias", "Válido")))</f>
        <v/>
      </c>
      <c r="AB956" s="56">
        <f>IF(AND(A956="", B956="", E956=""), "", TEXTJOIN("; ", TRUE, IF(OR(TRIM(A956&amp;"")="", ISNUMBER(SEARCH("FALTA", A956))), "UPC faltante/inválido", ""), IF(AND(A956&lt;&gt;"", IFERROR(_xlfn.XMATCH(A956,$A$2:$A$1063,0,1)&lt;&gt;_xlfn.XMATCH(A956,$A$2:$A$1063,0,-1),FALSE)), "Código de barras duplicado", ""), IF(AND(E956&lt;&gt;"", COUNTIF($E$2:$E$1063, E956)&gt;1), "SKU duplicado", ""), IF(OR(J956="", J956=""), "[Aviso] División no capturada ()", IF(ISNA(MATCH(J956, Criterios!$A$123:$A$126, 0)), "División no válida", "")), IF(OR(K956="", K956=""), "[Aviso] Categoría no capturada ()", IF(ISNA(MATCH(K956, Criterios!$A$81:$A$120, 0)), "Categoría no válida", IF(AND(J956&lt;&gt;"", J956&lt;&gt;"", J956&lt;&gt;VLOOKUP(K956, Criterios!$A$81:$B$120, 2, FALSE)), "División no coincide con Categoría", ""))), IF(OR(L956="", L956=""), "[Aviso] Género no capturado ()", IF(ISNA(MATCH(L956, Criterios!$B$123:$B$127, 0)), "Género no válido", "")), IF(OR(N956="", N956=""), "[Aviso] Temporada no capturada ()", IF(ISNA(MATCH(N956, Criterios!$C$123:$C$128, 0)), "Temporada no válida", "")), IF(OR(O956="", O956=""), "[Aviso] Ciclo de vida no capturado ()", IF(ISNA(MATCH(O956, Criterios!$D$123:$D$124, 0)), "Ciclo de vida no válido", ""))))</f>
        <v/>
      </c>
      <c r="AC956" s="56" t="n"/>
      <c r="AD956" s="51" t="n"/>
      <c r="AE956" s="156" t="n"/>
      <c r="AF956" s="51" t="n"/>
      <c r="AG956" s="156" t="inlineStr">
        <is>
          <t>Nuevo – Carga Hoja2 01/10/2026</t>
        </is>
      </c>
      <c r="AH956" s="156" t="inlineStr">
        <is>
          <t>Alta 01/10/2026 desde Hoja2 (fila 988) | Homologación G1522 06/10/2026: Enlace de imagen: «» → «https://cdn.shopify.com/s/files/1/0005/9015/1741/files/WG444-818BK_1.webp?v=1770019157» (Completado por investigación en línea) · Validador Shopify: WB: precio con IVA no termina en 9</t>
        </is>
      </c>
      <c r="AI956" s="156" t="n"/>
      <c r="AJ956" s="156" t="n"/>
      <c r="AK956" s="155" t="inlineStr">
        <is>
          <t>Hoja2: fila 988 | Odoo: producto 30069 / plantilla 38825 | Investigación en línea 06/10/2026: https://montanawestworld.com/products/wrangler-cow-print-fringe-hobo-bag</t>
        </is>
      </c>
      <c r="AL956" s="58" t="n"/>
      <c r="AM956" s="58" t="n"/>
      <c r="AN956" s="155" t="inlineStr">
        <is>
          <t>Odoo Universal Unique Brands</t>
        </is>
      </c>
      <c r="AO956" s="59" t="n"/>
      <c r="AP956" s="59" t="n"/>
      <c r="AQ956" s="59" t="n">
        <v>-1</v>
      </c>
      <c r="AR956" s="155" t="n"/>
    </row>
    <row r="957">
      <c r="A957" s="50" t="inlineStr">
        <is>
          <t>717308773771</t>
        </is>
      </c>
      <c r="B957" s="51" t="inlineStr">
        <is>
          <t>30068</t>
        </is>
      </c>
      <c r="C957" s="156" t="inlineStr">
        <is>
          <t>Wrangler</t>
        </is>
      </c>
      <c r="D957" s="156" t="inlineStr">
        <is>
          <t>WG444-818CF</t>
        </is>
      </c>
      <c r="E957" s="156" t="inlineStr">
        <is>
          <t>WG444-818CF</t>
        </is>
      </c>
      <c r="F957" s="156" t="inlineStr">
        <is>
          <t>Talla única</t>
        </is>
      </c>
      <c r="G957" s="156" t="inlineStr">
        <is>
          <t>One Size</t>
        </is>
      </c>
      <c r="H957" s="156" t="inlineStr">
        <is>
          <t>Wrangler</t>
        </is>
      </c>
      <c r="I957" s="156" t="inlineStr">
        <is>
          <t>Bolsa Hobo De Hombro Wrangler Estampado De Vaca Con Flecos Café Oscuro</t>
        </is>
      </c>
      <c r="J957" s="156" t="inlineStr">
        <is>
          <t>Accesorios</t>
        </is>
      </c>
      <c r="K957" s="156" t="inlineStr">
        <is>
          <t>Bolsos</t>
        </is>
      </c>
      <c r="L957" s="156" t="inlineStr">
        <is>
          <t>Unisex</t>
        </is>
      </c>
      <c r="M957" s="156" t="inlineStr">
        <is>
          <t>Wrangler</t>
        </is>
      </c>
      <c r="N957" s="156" t="inlineStr">
        <is>
          <t>FW26</t>
        </is>
      </c>
      <c r="O957" s="156" t="inlineStr">
        <is>
          <t>Seasonal</t>
        </is>
      </c>
      <c r="P957" s="156" t="inlineStr">
        <is>
          <t>Cafe</t>
        </is>
      </c>
      <c r="Q957" s="156" t="n"/>
      <c r="R957" s="156" t="n"/>
      <c r="S957" s="156" t="n"/>
      <c r="T957" s="156" t="inlineStr">
        <is>
          <t>Bolsa Hobo De Hombro Wrangler. Modelo: Estampado De Vaca Con Flecos. Color: Café Oscuro. Talla única. Unisex. País de origen: México. Referencia: WG444-818CF.</t>
        </is>
      </c>
      <c r="U957" s="156" t="inlineStr">
        <is>
          <t>México</t>
        </is>
      </c>
      <c r="V957" s="156" t="inlineStr">
        <is>
          <t>PZS</t>
        </is>
      </c>
      <c r="W957" s="51" t="inlineStr">
        <is>
          <t>53121601</t>
        </is>
      </c>
      <c r="X957" s="156" t="inlineStr">
        <is>
          <t>https://cdn.shopify.com/s/files/1/0005/9015/1741/files/WG444-818CF_1_a2346c4e-0230-492d-ac62-77f4853741c1.webp?v=1770019157</t>
        </is>
      </c>
      <c r="Y957" s="54" t="n">
        <v>448</v>
      </c>
      <c r="Z957" s="54" t="n">
        <v>899.5</v>
      </c>
      <c r="AA957" s="55">
        <f>IF(AND(A957="", B957="", E957=""), "", IF(AB957="", "Válido", IF((LEN(AB957)-LEN(SUBSTITUTE(AB957,"; ","")))/2+1&gt;(LEN(AB957)-LEN(SUBSTITUTE(AB957,"[Aviso]","")))/7, "Con Incidencias", "Válido")))</f>
        <v/>
      </c>
      <c r="AB957" s="56">
        <f>IF(AND(A957="", B957="", E957=""), "", TEXTJOIN("; ", TRUE, IF(OR(TRIM(A957&amp;"")="", ISNUMBER(SEARCH("FALTA", A957))), "UPC faltante/inválido", ""), IF(AND(A957&lt;&gt;"", IFERROR(_xlfn.XMATCH(A957,$A$2:$A$1063,0,1)&lt;&gt;_xlfn.XMATCH(A957,$A$2:$A$1063,0,-1),FALSE)), "Código de barras duplicado", ""), IF(AND(E957&lt;&gt;"", COUNTIF($E$2:$E$1063, E957)&gt;1), "SKU duplicado", ""), IF(OR(J957="", J957=""), "[Aviso] División no capturada ()", IF(ISNA(MATCH(J957, Criterios!$A$123:$A$126, 0)), "División no válida", "")), IF(OR(K957="", K957=""), "[Aviso] Categoría no capturada ()", IF(ISNA(MATCH(K957, Criterios!$A$81:$A$120, 0)), "Categoría no válida", IF(AND(J957&lt;&gt;"", J957&lt;&gt;"", J957&lt;&gt;VLOOKUP(K957, Criterios!$A$81:$B$120, 2, FALSE)), "División no coincide con Categoría", ""))), IF(OR(L957="", L957=""), "[Aviso] Género no capturado ()", IF(ISNA(MATCH(L957, Criterios!$B$123:$B$127, 0)), "Género no válido", "")), IF(OR(N957="", N957=""), "[Aviso] Temporada no capturada ()", IF(ISNA(MATCH(N957, Criterios!$C$123:$C$128, 0)), "Temporada no válida", "")), IF(OR(O957="", O957=""), "[Aviso] Ciclo de vida no capturado ()", IF(ISNA(MATCH(O957, Criterios!$D$123:$D$124, 0)), "Ciclo de vida no válido", ""))))</f>
        <v/>
      </c>
      <c r="AC957" s="56" t="n"/>
      <c r="AD957" s="51" t="n"/>
      <c r="AE957" s="156" t="n"/>
      <c r="AF957" s="51" t="n"/>
      <c r="AG957" s="156" t="inlineStr">
        <is>
          <t>Nuevo – Carga Hoja2 01/10/2026</t>
        </is>
      </c>
      <c r="AH957" s="156" t="inlineStr">
        <is>
          <t>Alta 01/10/2026 desde Hoja2 (fila 989) | Homologación G1522 06/10/2026: Enlace de imagen: «» → «https://cdn.shopify.com/s/files/1/0005/9015/1741/files/WG444-818CF_1_a2346c4e-0230-492d-ac62-77f4853741c1.webp?v=1770019157» (Completado por investigación en línea) · Validador Shopify: WB: precio con IVA no termina en 9</t>
        </is>
      </c>
      <c r="AI957" s="156" t="n"/>
      <c r="AJ957" s="156" t="n"/>
      <c r="AK957" s="155" t="inlineStr">
        <is>
          <t>Hoja2: fila 989 | Odoo: producto 30068 / plantilla 38824 | Investigación en línea 06/10/2026: https://montanawestworld.com/products/wrangler-cow-print-fringe-hobo-bag</t>
        </is>
      </c>
      <c r="AL957" s="58" t="n"/>
      <c r="AM957" s="58" t="n"/>
      <c r="AN957" s="155" t="inlineStr">
        <is>
          <t>Odoo Universal Unique Brands</t>
        </is>
      </c>
      <c r="AO957" s="59" t="n"/>
      <c r="AP957" s="59" t="n"/>
      <c r="AQ957" s="59" t="n">
        <v>-7</v>
      </c>
      <c r="AR957" s="155" t="n"/>
    </row>
    <row r="958">
      <c r="A958" s="50" t="inlineStr">
        <is>
          <t>717308776123</t>
        </is>
      </c>
      <c r="B958" s="51" t="inlineStr">
        <is>
          <t>30062</t>
        </is>
      </c>
      <c r="C958" s="156" t="inlineStr">
        <is>
          <t>Wrangler</t>
        </is>
      </c>
      <c r="D958" s="156" t="inlineStr">
        <is>
          <t>WG454-2002TN</t>
        </is>
      </c>
      <c r="E958" s="156" t="inlineStr">
        <is>
          <t>WG454-2002TN</t>
        </is>
      </c>
      <c r="F958" s="156" t="inlineStr">
        <is>
          <t>Talla única</t>
        </is>
      </c>
      <c r="G958" s="156" t="inlineStr">
        <is>
          <t>One Size</t>
        </is>
      </c>
      <c r="H958" s="156" t="inlineStr">
        <is>
          <t>Wrangler</t>
        </is>
      </c>
      <c r="I958" s="156" t="inlineStr">
        <is>
          <t>Bolsa Tote Wrangler Trenzada Con Borlas Camel</t>
        </is>
      </c>
      <c r="J958" s="156" t="inlineStr">
        <is>
          <t>Accesorios</t>
        </is>
      </c>
      <c r="K958" s="156" t="inlineStr">
        <is>
          <t>Bolsos</t>
        </is>
      </c>
      <c r="L958" s="156" t="inlineStr">
        <is>
          <t>Unisex</t>
        </is>
      </c>
      <c r="M958" s="156" t="inlineStr">
        <is>
          <t>Wrangler</t>
        </is>
      </c>
      <c r="N958" s="156" t="inlineStr">
        <is>
          <t>FW26</t>
        </is>
      </c>
      <c r="O958" s="156" t="inlineStr">
        <is>
          <t>Seasonal</t>
        </is>
      </c>
      <c r="P958" s="156" t="inlineStr">
        <is>
          <t>Beige</t>
        </is>
      </c>
      <c r="Q958" s="156" t="n"/>
      <c r="R958" s="156" t="n"/>
      <c r="S958" s="156" t="n"/>
      <c r="T958" s="156" t="inlineStr">
        <is>
          <t>Bolsa Tote Wrangler. Modelo: Trenzada Con Borlas. Color: Camel. Talla única. Unisex. País de origen: México. Referencia: WG454-2002TN.</t>
        </is>
      </c>
      <c r="U958" s="156" t="inlineStr">
        <is>
          <t>México</t>
        </is>
      </c>
      <c r="V958" s="156" t="inlineStr">
        <is>
          <t>PZS</t>
        </is>
      </c>
      <c r="W958" s="51" t="inlineStr">
        <is>
          <t>53121601</t>
        </is>
      </c>
      <c r="X958" s="156" t="inlineStr">
        <is>
          <t>https://cdn.shopify.com/s/files/1/0005/9015/1741/files/WG454-2002TN.1.webp?v=1773903416</t>
        </is>
      </c>
      <c r="Y958" s="54" t="n">
        <v>392</v>
      </c>
      <c r="Z958" s="54" t="n">
        <v>774.5</v>
      </c>
      <c r="AA958" s="55">
        <f>IF(AND(A958="", B958="", E958=""), "", IF(AB958="", "Válido", IF((LEN(AB958)-LEN(SUBSTITUTE(AB958,"; ","")))/2+1&gt;(LEN(AB958)-LEN(SUBSTITUTE(AB958,"[Aviso]","")))/7, "Con Incidencias", "Válido")))</f>
        <v/>
      </c>
      <c r="AB958" s="56">
        <f>IF(AND(A958="", B958="", E958=""), "", TEXTJOIN("; ", TRUE, IF(OR(TRIM(A958&amp;"")="", ISNUMBER(SEARCH("FALTA", A958))), "UPC faltante/inválido", ""), IF(AND(A958&lt;&gt;"", IFERROR(_xlfn.XMATCH(A958,$A$2:$A$1063,0,1)&lt;&gt;_xlfn.XMATCH(A958,$A$2:$A$1063,0,-1),FALSE)), "Código de barras duplicado", ""), IF(AND(E958&lt;&gt;"", COUNTIF($E$2:$E$1063, E958)&gt;1), "SKU duplicado", ""), IF(OR(J958="", J958=""), "[Aviso] División no capturada ()", IF(ISNA(MATCH(J958, Criterios!$A$123:$A$126, 0)), "División no válida", "")), IF(OR(K958="", K958=""), "[Aviso] Categoría no capturada ()", IF(ISNA(MATCH(K958, Criterios!$A$81:$A$120, 0)), "Categoría no válida", IF(AND(J958&lt;&gt;"", J958&lt;&gt;"", J958&lt;&gt;VLOOKUP(K958, Criterios!$A$81:$B$120, 2, FALSE)), "División no coincide con Categoría", ""))), IF(OR(L958="", L958=""), "[Aviso] Género no capturado ()", IF(ISNA(MATCH(L958, Criterios!$B$123:$B$127, 0)), "Género no válido", "")), IF(OR(N958="", N958=""), "[Aviso] Temporada no capturada ()", IF(ISNA(MATCH(N958, Criterios!$C$123:$C$128, 0)), "Temporada no válida", "")), IF(OR(O958="", O958=""), "[Aviso] Ciclo de vida no capturado ()", IF(ISNA(MATCH(O958, Criterios!$D$123:$D$124, 0)), "Ciclo de vida no válido", ""))))</f>
        <v/>
      </c>
      <c r="AC958" s="56" t="n"/>
      <c r="AD958" s="51" t="n"/>
      <c r="AE958" s="156" t="n"/>
      <c r="AF958" s="51" t="n"/>
      <c r="AG958" s="156" t="inlineStr">
        <is>
          <t>Nuevo – Carga Hoja2 01/10/2026</t>
        </is>
      </c>
      <c r="AH958" s="156" t="inlineStr">
        <is>
          <t>Alta 01/10/2026 desde Hoja2 (fila 990) | Homologación G1522 06/10/2026: Enlace de imagen: «» → «https://cdn.shopify.com/s/files/1/0005/9015/1741/files/WG454-2002TN.1.webp?v=1773903416» (Completado por investigación en línea) · Validador Shopify: WB: precio con IVA no termina en 9</t>
        </is>
      </c>
      <c r="AI958" s="156" t="n"/>
      <c r="AJ958" s="156" t="n"/>
      <c r="AK958" s="155" t="inlineStr">
        <is>
          <t>Hoja2: fila 990 | Odoo: producto 30062 / plantilla 38818 | Investigación en línea 06/10/2026: https://montanawestworld.com/products/wrangler-western-fringe-tote-bag</t>
        </is>
      </c>
      <c r="AL958" s="58" t="n"/>
      <c r="AM958" s="58" t="n"/>
      <c r="AN958" s="155" t="inlineStr">
        <is>
          <t>Odoo Universal Unique Brands</t>
        </is>
      </c>
      <c r="AO958" s="59" t="n"/>
      <c r="AP958" s="59" t="n"/>
      <c r="AQ958" s="59" t="n">
        <v>-16</v>
      </c>
      <c r="AR958" s="155" t="n"/>
    </row>
    <row r="959">
      <c r="A959" s="50" t="inlineStr">
        <is>
          <t>717956437162</t>
        </is>
      </c>
      <c r="B959" s="51" t="inlineStr">
        <is>
          <t>30891</t>
        </is>
      </c>
      <c r="C959" s="156" t="inlineStr">
        <is>
          <t>Wrangler</t>
        </is>
      </c>
      <c r="D959" s="156" t="inlineStr">
        <is>
          <t>WG524-8120SCF</t>
        </is>
      </c>
      <c r="E959" s="156" t="inlineStr">
        <is>
          <t>WG524-8120SCF</t>
        </is>
      </c>
      <c r="F959" s="156" t="inlineStr">
        <is>
          <t>Talla única</t>
        </is>
      </c>
      <c r="G959" s="156" t="inlineStr">
        <is>
          <t>One Size</t>
        </is>
      </c>
      <c r="H959" s="156" t="inlineStr">
        <is>
          <t>Wrangler</t>
        </is>
      </c>
      <c r="I959" s="156" t="inlineStr">
        <is>
          <t>Bolsa De Hombro Wrangler Estampado Vaquero Western Café Oscuro</t>
        </is>
      </c>
      <c r="J959" s="156" t="inlineStr">
        <is>
          <t>Accesorios</t>
        </is>
      </c>
      <c r="K959" s="156" t="inlineStr">
        <is>
          <t>Bolsos</t>
        </is>
      </c>
      <c r="L959" s="156" t="inlineStr">
        <is>
          <t>Unisex</t>
        </is>
      </c>
      <c r="M959" s="156" t="inlineStr">
        <is>
          <t>Wrangler</t>
        </is>
      </c>
      <c r="N959" s="156" t="inlineStr">
        <is>
          <t>SS26</t>
        </is>
      </c>
      <c r="O959" s="156" t="n"/>
      <c r="P959" s="156" t="inlineStr">
        <is>
          <t>Cafe</t>
        </is>
      </c>
      <c r="Q959" s="156" t="n"/>
      <c r="R959" s="156" t="n"/>
      <c r="S959" s="156" t="n"/>
      <c r="T959" s="156" t="inlineStr">
        <is>
          <t>Bolsa De Hombro</t>
        </is>
      </c>
      <c r="U959" s="156" t="inlineStr">
        <is>
          <t>México</t>
        </is>
      </c>
      <c r="V959" s="156" t="inlineStr">
        <is>
          <t>PZS</t>
        </is>
      </c>
      <c r="W959" s="51" t="inlineStr">
        <is>
          <t>53121601</t>
        </is>
      </c>
      <c r="X959" s="156" t="inlineStr">
        <is>
          <t>https://cdn.shopify.com/s/files/1/0005/9015/1741/files/WG524-8120SCF.1.webp?v=1776692985</t>
        </is>
      </c>
      <c r="Y959" s="54" t="n">
        <v>350</v>
      </c>
      <c r="Z959" s="54" t="n">
        <v>699.5</v>
      </c>
      <c r="AA959" s="55">
        <f>IF(AND(A959="", B959="", E959=""), "", IF(AB959="", "Válido", IF((LEN(AB959)-LEN(SUBSTITUTE(AB959,"; ","")))/2+1&gt;(LEN(AB959)-LEN(SUBSTITUTE(AB959,"[Aviso]","")))/7, "Con Incidencias", "Válido")))</f>
        <v/>
      </c>
      <c r="AB959" s="56">
        <f>IF(AND(A959="", B959="", E959=""), "", TEXTJOIN("; ", TRUE, IF(OR(TRIM(A959&amp;"")="", ISNUMBER(SEARCH("FALTA", A959))), "UPC faltante/inválido", ""), IF(AND(A959&lt;&gt;"", IFERROR(_xlfn.XMATCH(A959,$A$2:$A$1063,0,1)&lt;&gt;_xlfn.XMATCH(A959,$A$2:$A$1063,0,-1),FALSE)), "Código de barras duplicado", ""), IF(AND(E959&lt;&gt;"", COUNTIF($E$2:$E$1063, E959)&gt;1), "SKU duplicado", ""), IF(OR(J959="", J959=""), "[Aviso] División no capturada ()", IF(ISNA(MATCH(J959, Criterios!$A$123:$A$126, 0)), "División no válida", "")), IF(OR(K959="", K959=""), "[Aviso] Categoría no capturada ()", IF(ISNA(MATCH(K959, Criterios!$A$81:$A$120, 0)), "Categoría no válida", IF(AND(J959&lt;&gt;"", J959&lt;&gt;"", J959&lt;&gt;VLOOKUP(K959, Criterios!$A$81:$B$120, 2, FALSE)), "División no coincide con Categoría", ""))), IF(OR(L959="", L959=""), "[Aviso] Género no capturado ()", IF(ISNA(MATCH(L959, Criterios!$B$123:$B$127, 0)), "Género no válido", "")), IF(OR(N959="", N959=""), "[Aviso] Temporada no capturada ()", IF(ISNA(MATCH(N959, Criterios!$C$123:$C$128, 0)), "Temporada no válida", "")), IF(OR(O959="", O959=""), "[Aviso] Ciclo de vida no capturado ()", IF(ISNA(MATCH(O959, Criterios!$D$123:$D$124, 0)), "Ciclo de vida no válido", ""))))</f>
        <v/>
      </c>
      <c r="AC959" s="56" t="n"/>
      <c r="AD959" s="51" t="n"/>
      <c r="AE959" s="156" t="n"/>
      <c r="AF959" s="51" t="n"/>
      <c r="AG959" s="156" t="inlineStr">
        <is>
          <t>Nuevo – Carga Hoja2 01/10/2026</t>
        </is>
      </c>
      <c r="AH959" s="156" t="inlineStr">
        <is>
          <t>Alta 01/10/2026 desde Hoja2 (fila 991); Atributos incompletos en origen: completar | 01/10/2026: complementado desde Odoo Universal Unique Brands (match por código de barras): WB Talla, WB Talla de EE. UU., WB División, WB Categoría, WB Temporada, WB Fit, WB Silueta, WB Descripción larga | Homologación G1522 06/10/2026: WB País de origen: «Mexico» → «México» (Corrección aplicada) · Enlace de imagen: «» → «https://cdn.shopify.com/s/files/1/0005/9015/1741/files/WG524-8120SCF.1.webp?v=1776692985» (Completado por investigación en línea) · Validador Shopify: WB: precio con IVA no termina en 9</t>
        </is>
      </c>
      <c r="AI959" s="156" t="n"/>
      <c r="AJ959" s="156" t="n"/>
      <c r="AK959" s="155" t="inlineStr">
        <is>
          <t>Hoja2: fila 991 | Odoo: producto 30891 / plantilla 39647 | Investigación en línea 06/10/2026: https://montanawestworld.com/products/wrangler-canvas-tote-bag</t>
        </is>
      </c>
      <c r="AL959" s="58" t="n"/>
      <c r="AM959" s="58" t="n"/>
      <c r="AN959" s="155" t="inlineStr">
        <is>
          <t>Odoo Universal Unique Brands</t>
        </is>
      </c>
      <c r="AO959" s="59" t="n"/>
      <c r="AP959" s="59" t="n"/>
      <c r="AQ959" s="59" t="n">
        <v>36</v>
      </c>
      <c r="AR959" s="155" t="inlineStr">
        <is>
          <t>Odoo Universal Unique Brands › Bodega 25 › Bodega 25/General: 36</t>
        </is>
      </c>
    </row>
    <row r="960">
      <c r="A960" s="50" t="inlineStr">
        <is>
          <t>717956437407</t>
        </is>
      </c>
      <c r="B960" s="51" t="inlineStr">
        <is>
          <t>30057</t>
        </is>
      </c>
      <c r="C960" s="156" t="inlineStr">
        <is>
          <t>Wrangler</t>
        </is>
      </c>
      <c r="D960" s="156" t="inlineStr">
        <is>
          <t>WG524-8182CF</t>
        </is>
      </c>
      <c r="E960" s="156" t="inlineStr">
        <is>
          <t>WG524-8182CF</t>
        </is>
      </c>
      <c r="F960" s="156" t="inlineStr">
        <is>
          <t>Talla única</t>
        </is>
      </c>
      <c r="G960" s="156" t="inlineStr">
        <is>
          <t>One Size</t>
        </is>
      </c>
      <c r="H960" s="156" t="inlineStr">
        <is>
          <t>Wrangler</t>
        </is>
      </c>
      <c r="I960" s="156" t="inlineStr">
        <is>
          <t>Bolsa De Hombro Wrangler Estampado Vaquera Western Café Oscuro</t>
        </is>
      </c>
      <c r="J960" s="156" t="inlineStr">
        <is>
          <t>Accesorios</t>
        </is>
      </c>
      <c r="K960" s="156" t="inlineStr">
        <is>
          <t>Bolsos</t>
        </is>
      </c>
      <c r="L960" s="156" t="inlineStr">
        <is>
          <t>Unisex</t>
        </is>
      </c>
      <c r="M960" s="156" t="inlineStr">
        <is>
          <t>Wrangler</t>
        </is>
      </c>
      <c r="N960" s="156" t="inlineStr">
        <is>
          <t>FW26</t>
        </is>
      </c>
      <c r="O960" s="156" t="inlineStr">
        <is>
          <t>Seasonal</t>
        </is>
      </c>
      <c r="P960" s="156" t="inlineStr">
        <is>
          <t>Cafe</t>
        </is>
      </c>
      <c r="Q960" s="156" t="n"/>
      <c r="R960" s="156" t="n"/>
      <c r="S960" s="156" t="n"/>
      <c r="T960" s="156" t="inlineStr">
        <is>
          <t>Bolsa De Hombro Wrangler. Modelo: Estampado Vaquera Western. Color: Café Oscuro. Talla única. Unisex. País de origen: México. Referencia: WG524-8182CF.</t>
        </is>
      </c>
      <c r="U960" s="156" t="inlineStr">
        <is>
          <t>México</t>
        </is>
      </c>
      <c r="V960" s="156" t="inlineStr">
        <is>
          <t>PZS</t>
        </is>
      </c>
      <c r="W960" s="51" t="inlineStr">
        <is>
          <t>53121601</t>
        </is>
      </c>
      <c r="X960" s="156" t="inlineStr">
        <is>
          <t>https://cdn.shopify.com/s/files/1/0005/9015/1741/files/WG524-8182CF.1.webp?v=1775118250</t>
        </is>
      </c>
      <c r="Y960" s="54" t="n">
        <v>472</v>
      </c>
      <c r="Z960" s="54" t="n">
        <v>749</v>
      </c>
      <c r="AA960" s="55">
        <f>IF(AND(A960="", B960="", E960=""), "", IF(AB960="", "Válido", IF((LEN(AB960)-LEN(SUBSTITUTE(AB960,"; ","")))/2+1&gt;(LEN(AB960)-LEN(SUBSTITUTE(AB960,"[Aviso]","")))/7, "Con Incidencias", "Válido")))</f>
        <v/>
      </c>
      <c r="AB960" s="56">
        <f>IF(AND(A960="", B960="", E960=""), "", TEXTJOIN("; ", TRUE, IF(OR(TRIM(A960&amp;"")="", ISNUMBER(SEARCH("FALTA", A960))), "UPC faltante/inválido", ""), IF(AND(A960&lt;&gt;"", IFERROR(_xlfn.XMATCH(A960,$A$2:$A$1063,0,1)&lt;&gt;_xlfn.XMATCH(A960,$A$2:$A$1063,0,-1),FALSE)), "Código de barras duplicado", ""), IF(AND(E960&lt;&gt;"", COUNTIF($E$2:$E$1063, E960)&gt;1), "SKU duplicado", ""), IF(OR(J960="", J960=""), "[Aviso] División no capturada ()", IF(ISNA(MATCH(J960, Criterios!$A$123:$A$126, 0)), "División no válida", "")), IF(OR(K960="", K960=""), "[Aviso] Categoría no capturada ()", IF(ISNA(MATCH(K960, Criterios!$A$81:$A$120, 0)), "Categoría no válida", IF(AND(J960&lt;&gt;"", J960&lt;&gt;"", J960&lt;&gt;VLOOKUP(K960, Criterios!$A$81:$B$120, 2, FALSE)), "División no coincide con Categoría", ""))), IF(OR(L960="", L960=""), "[Aviso] Género no capturado ()", IF(ISNA(MATCH(L960, Criterios!$B$123:$B$127, 0)), "Género no válido", "")), IF(OR(N960="", N960=""), "[Aviso] Temporada no capturada ()", IF(ISNA(MATCH(N960, Criterios!$C$123:$C$128, 0)), "Temporada no válida", "")), IF(OR(O960="", O960=""), "[Aviso] Ciclo de vida no capturado ()", IF(ISNA(MATCH(O960, Criterios!$D$123:$D$124, 0)), "Ciclo de vida no válido", ""))))</f>
        <v/>
      </c>
      <c r="AC960" s="56" t="n"/>
      <c r="AD960" s="51" t="n"/>
      <c r="AE960" s="156" t="n"/>
      <c r="AF960" s="51" t="n"/>
      <c r="AG960" s="156" t="inlineStr">
        <is>
          <t>Nuevo – Carga Hoja2 01/10/2026</t>
        </is>
      </c>
      <c r="AH960" s="156" t="inlineStr">
        <is>
          <t>Alta 01/10/2026 desde Hoja2 (fila 992) | Homologación G1522 06/10/2026: Enlace de imagen: «» → «https://cdn.shopify.com/s/files/1/0005/9015/1741/files/WG524-8182CF.1.webp?v=1775118250» (Completado por investigación en línea) · Validador Shopify: WB: precio con IVA no termina en 9</t>
        </is>
      </c>
      <c r="AI960" s="156" t="n"/>
      <c r="AJ960" s="156" t="n"/>
      <c r="AK960" s="155" t="inlineStr">
        <is>
          <t>Hoja2: fila 992 | Odoo: producto 30057 / plantilla 38813 | Investigación en línea 06/10/2026: https://montanawestworld.com/products/wrangler-braided-handle-shoulder-bag</t>
        </is>
      </c>
      <c r="AL960" s="58" t="n"/>
      <c r="AM960" s="58" t="n"/>
      <c r="AN960" s="155" t="inlineStr">
        <is>
          <t>Odoo Universal Unique Brands</t>
        </is>
      </c>
      <c r="AO960" s="59" t="n"/>
      <c r="AP960" s="59" t="n"/>
      <c r="AQ960" s="59" t="n">
        <v>-39</v>
      </c>
      <c r="AR960" s="155" t="n"/>
    </row>
    <row r="961">
      <c r="A961" s="50" t="inlineStr">
        <is>
          <t>717956437193</t>
        </is>
      </c>
      <c r="B961" s="51" t="inlineStr">
        <is>
          <t>30892</t>
        </is>
      </c>
      <c r="C961" s="156" t="inlineStr">
        <is>
          <t>Wrangler</t>
        </is>
      </c>
      <c r="D961" s="156" t="inlineStr">
        <is>
          <t>WG524-8182PK</t>
        </is>
      </c>
      <c r="E961" s="156" t="inlineStr">
        <is>
          <t>WG524-8120SPK</t>
        </is>
      </c>
      <c r="F961" s="156" t="inlineStr">
        <is>
          <t>Talla única</t>
        </is>
      </c>
      <c r="G961" s="156" t="inlineStr">
        <is>
          <t>One Size</t>
        </is>
      </c>
      <c r="H961" s="156" t="inlineStr">
        <is>
          <t>Wrangler</t>
        </is>
      </c>
      <c r="I961" s="156" t="inlineStr">
        <is>
          <t>Bolsa De Hombro Wrangler Estampado Vaquero Western Rosa</t>
        </is>
      </c>
      <c r="J961" s="156" t="inlineStr">
        <is>
          <t>Accesorios</t>
        </is>
      </c>
      <c r="K961" s="156" t="inlineStr">
        <is>
          <t>Bolsos</t>
        </is>
      </c>
      <c r="L961" s="156" t="inlineStr">
        <is>
          <t>Mujer</t>
        </is>
      </c>
      <c r="M961" s="156" t="inlineStr">
        <is>
          <t>Wrangler</t>
        </is>
      </c>
      <c r="N961" s="156" t="inlineStr">
        <is>
          <t>SS26</t>
        </is>
      </c>
      <c r="O961" s="156" t="n"/>
      <c r="P961" s="156" t="inlineStr">
        <is>
          <t>Rosa</t>
        </is>
      </c>
      <c r="Q961" s="156" t="n"/>
      <c r="R961" s="156" t="n"/>
      <c r="S961" s="156" t="n"/>
      <c r="T961" s="156" t="inlineStr">
        <is>
          <t>Bolsa De Hombro</t>
        </is>
      </c>
      <c r="U961" s="156" t="inlineStr">
        <is>
          <t>México</t>
        </is>
      </c>
      <c r="V961" s="156" t="inlineStr">
        <is>
          <t>PZS</t>
        </is>
      </c>
      <c r="W961" s="51" t="inlineStr">
        <is>
          <t>53121601</t>
        </is>
      </c>
      <c r="X961" s="156" t="inlineStr">
        <is>
          <t>https://cdn.shopify.com/s/files/1/0005/9015/1741/files/WG524-8120SPK.1.webp?v=1775118101</t>
        </is>
      </c>
      <c r="Y961" s="54" t="n">
        <v>350</v>
      </c>
      <c r="Z961" s="54" t="n">
        <v>699.5</v>
      </c>
      <c r="AA961" s="55">
        <f>IF(AND(A961="", B961="", E961=""), "", IF(AB961="", "Válido", IF((LEN(AB961)-LEN(SUBSTITUTE(AB961,"; ","")))/2+1&gt;(LEN(AB961)-LEN(SUBSTITUTE(AB961,"[Aviso]","")))/7, "Con Incidencias", "Válido")))</f>
        <v/>
      </c>
      <c r="AB961" s="56">
        <f>IF(AND(A961="", B961="", E961=""), "", TEXTJOIN("; ", TRUE, IF(OR(TRIM(A961&amp;"")="", ISNUMBER(SEARCH("FALTA", A961))), "UPC faltante/inválido", ""), IF(AND(A961&lt;&gt;"", IFERROR(_xlfn.XMATCH(A961,$A$2:$A$1063,0,1)&lt;&gt;_xlfn.XMATCH(A961,$A$2:$A$1063,0,-1),FALSE)), "Código de barras duplicado", ""), IF(AND(E961&lt;&gt;"", COUNTIF($E$2:$E$1063, E961)&gt;1), "SKU duplicado", ""), IF(OR(J961="", J961=""), "[Aviso] División no capturada ()", IF(ISNA(MATCH(J961, Criterios!$A$123:$A$126, 0)), "División no válida", "")), IF(OR(K961="", K961=""), "[Aviso] Categoría no capturada ()", IF(ISNA(MATCH(K961, Criterios!$A$81:$A$120, 0)), "Categoría no válida", IF(AND(J961&lt;&gt;"", J961&lt;&gt;"", J961&lt;&gt;VLOOKUP(K961, Criterios!$A$81:$B$120, 2, FALSE)), "División no coincide con Categoría", ""))), IF(OR(L961="", L961=""), "[Aviso] Género no capturado ()", IF(ISNA(MATCH(L961, Criterios!$B$123:$B$127, 0)), "Género no válido", "")), IF(OR(N961="", N961=""), "[Aviso] Temporada no capturada ()", IF(ISNA(MATCH(N961, Criterios!$C$123:$C$128, 0)), "Temporada no válida", "")), IF(OR(O961="", O961=""), "[Aviso] Ciclo de vida no capturado ()", IF(ISNA(MATCH(O961, Criterios!$D$123:$D$124, 0)), "Ciclo de vida no válido", ""))))</f>
        <v/>
      </c>
      <c r="AC961" s="56" t="n"/>
      <c r="AD961" s="51" t="n"/>
      <c r="AE961" s="156" t="n"/>
      <c r="AF961" s="51" t="n"/>
      <c r="AG961" s="156" t="inlineStr">
        <is>
          <t>Nuevo – Carga Hoja2 01/10/2026</t>
        </is>
      </c>
      <c r="AH961" s="156" t="inlineStr">
        <is>
          <t>Alta 01/10/2026 desde Hoja2 (fila 993) | 01/10/2026: complementado desde Odoo Universal Unique Brands (match por código de barras): WB Descripción larga | Homologación G1522 06/10/2026: WB País de origen: «Mexico» → «México» (Corrección aplicada) · Enlace de imagen: «» → «https://cdn.shopify.com/s/files/1/0005/9015/1741/files/WG524-8120SPK.1.webp?v=1775118101» (Completado por investigación en línea) · Validador Shopify: WB: precio con IVA no termina en 9</t>
        </is>
      </c>
      <c r="AI961" s="156" t="n"/>
      <c r="AJ961" s="156" t="n"/>
      <c r="AK961" s="155" t="inlineStr">
        <is>
          <t>Hoja2: fila 993 | Odoo: producto 30892 / plantilla 39648 | Investigación en línea 06/10/2026: https://montanawestworld.com/products/wrangler-canvas-tote-bag</t>
        </is>
      </c>
      <c r="AL961" s="58" t="n"/>
      <c r="AM961" s="58" t="n"/>
      <c r="AN961" s="155" t="inlineStr">
        <is>
          <t>Odoo Universal Unique Brands</t>
        </is>
      </c>
      <c r="AO961" s="59" t="n"/>
      <c r="AP961" s="59" t="n"/>
      <c r="AQ961" s="59" t="n">
        <v>16</v>
      </c>
      <c r="AR961" s="155" t="inlineStr">
        <is>
          <t>Odoo Universal Unique Brands › Bodega 25 › Bodega 25/General: 16</t>
        </is>
      </c>
    </row>
    <row r="962">
      <c r="A962" s="50" t="inlineStr">
        <is>
          <t>717956437438</t>
        </is>
      </c>
      <c r="B962" s="51" t="inlineStr">
        <is>
          <t>30058</t>
        </is>
      </c>
      <c r="C962" s="156" t="inlineStr">
        <is>
          <t>Wrangler</t>
        </is>
      </c>
      <c r="D962" s="156" t="inlineStr">
        <is>
          <t>WG524-8182PK</t>
        </is>
      </c>
      <c r="E962" s="156" t="inlineStr">
        <is>
          <t>WG524-8182PK</t>
        </is>
      </c>
      <c r="F962" s="156" t="inlineStr">
        <is>
          <t>Talla única</t>
        </is>
      </c>
      <c r="G962" s="156" t="inlineStr">
        <is>
          <t>One Size</t>
        </is>
      </c>
      <c r="H962" s="156" t="inlineStr">
        <is>
          <t>Wrangler</t>
        </is>
      </c>
      <c r="I962" s="156" t="inlineStr">
        <is>
          <t>Bolsa De Hombro Wrangler Estampado Vaquera Western Rosa</t>
        </is>
      </c>
      <c r="J962" s="156" t="inlineStr">
        <is>
          <t>Accesorios</t>
        </is>
      </c>
      <c r="K962" s="156" t="inlineStr">
        <is>
          <t>Bolsos</t>
        </is>
      </c>
      <c r="L962" s="156" t="inlineStr">
        <is>
          <t>Unisex</t>
        </is>
      </c>
      <c r="M962" s="156" t="inlineStr">
        <is>
          <t>Wrangler</t>
        </is>
      </c>
      <c r="N962" s="156" t="inlineStr">
        <is>
          <t>FW26</t>
        </is>
      </c>
      <c r="O962" s="156" t="inlineStr">
        <is>
          <t>Seasonal</t>
        </is>
      </c>
      <c r="P962" s="156" t="inlineStr">
        <is>
          <t>Rosa</t>
        </is>
      </c>
      <c r="Q962" s="156" t="n"/>
      <c r="R962" s="156" t="n"/>
      <c r="S962" s="156" t="n"/>
      <c r="T962" s="156" t="inlineStr">
        <is>
          <t>Bolsa De Hombro Wrangler. Modelo: Estampado Vaquera Western. Color: Rosa. Talla única. Unisex. País de origen: México. Referencia: WG524-8182PK.</t>
        </is>
      </c>
      <c r="U962" s="156" t="inlineStr">
        <is>
          <t>México</t>
        </is>
      </c>
      <c r="V962" s="156" t="inlineStr">
        <is>
          <t>PZS</t>
        </is>
      </c>
      <c r="W962" s="51" t="inlineStr">
        <is>
          <t>53121601</t>
        </is>
      </c>
      <c r="X962" s="156" t="inlineStr">
        <is>
          <t>https://cdn.shopify.com/s/files/1/0005/9015/1741/files/WG524-8182PK.1.webp?v=1775113301</t>
        </is>
      </c>
      <c r="Y962" s="54" t="n">
        <v>472</v>
      </c>
      <c r="Z962" s="54" t="n">
        <v>749</v>
      </c>
      <c r="AA962" s="55">
        <f>IF(AND(A962="", B962="", E962=""), "", IF(AB962="", "Válido", IF((LEN(AB962)-LEN(SUBSTITUTE(AB962,"; ","")))/2+1&gt;(LEN(AB962)-LEN(SUBSTITUTE(AB962,"[Aviso]","")))/7, "Con Incidencias", "Válido")))</f>
        <v/>
      </c>
      <c r="AB962" s="56">
        <f>IF(AND(A962="", B962="", E962=""), "", TEXTJOIN("; ", TRUE, IF(OR(TRIM(A962&amp;"")="", ISNUMBER(SEARCH("FALTA", A962))), "UPC faltante/inválido", ""), IF(AND(A962&lt;&gt;"", IFERROR(_xlfn.XMATCH(A962,$A$2:$A$1063,0,1)&lt;&gt;_xlfn.XMATCH(A962,$A$2:$A$1063,0,-1),FALSE)), "Código de barras duplicado", ""), IF(AND(E962&lt;&gt;"", COUNTIF($E$2:$E$1063, E962)&gt;1), "SKU duplicado", ""), IF(OR(J962="", J962=""), "[Aviso] División no capturada ()", IF(ISNA(MATCH(J962, Criterios!$A$123:$A$126, 0)), "División no válida", "")), IF(OR(K962="", K962=""), "[Aviso] Categoría no capturada ()", IF(ISNA(MATCH(K962, Criterios!$A$81:$A$120, 0)), "Categoría no válida", IF(AND(J962&lt;&gt;"", J962&lt;&gt;"", J962&lt;&gt;VLOOKUP(K962, Criterios!$A$81:$B$120, 2, FALSE)), "División no coincide con Categoría", ""))), IF(OR(L962="", L962=""), "[Aviso] Género no capturado ()", IF(ISNA(MATCH(L962, Criterios!$B$123:$B$127, 0)), "Género no válido", "")), IF(OR(N962="", N962=""), "[Aviso] Temporada no capturada ()", IF(ISNA(MATCH(N962, Criterios!$C$123:$C$128, 0)), "Temporada no válida", "")), IF(OR(O962="", O962=""), "[Aviso] Ciclo de vida no capturado ()", IF(ISNA(MATCH(O962, Criterios!$D$123:$D$124, 0)), "Ciclo de vida no válido", ""))))</f>
        <v/>
      </c>
      <c r="AC962" s="56" t="n"/>
      <c r="AD962" s="51" t="n"/>
      <c r="AE962" s="156" t="n"/>
      <c r="AF962" s="51" t="n"/>
      <c r="AG962" s="156" t="inlineStr">
        <is>
          <t>Nuevo – Carga Hoja2 01/10/2026</t>
        </is>
      </c>
      <c r="AH962" s="156" t="inlineStr">
        <is>
          <t>Alta 01/10/2026 desde Hoja2 (fila 994) | Homologación G1522 06/10/2026: Enlace de imagen: «» → «https://cdn.shopify.com/s/files/1/0005/9015/1741/files/WG524-8182PK.1.webp?v=1775113301» (Completado por investigación en línea) · Validador Shopify: WB: precio con IVA no termina en 9</t>
        </is>
      </c>
      <c r="AI962" s="156" t="n"/>
      <c r="AJ962" s="156" t="n"/>
      <c r="AK962" s="155" t="inlineStr">
        <is>
          <t>Hoja2: fila 994 | Odoo: producto 30058 / plantilla 38814 | Investigación en línea 06/10/2026: https://montanawestworld.com/products/wrangler-braided-handle-shoulder-bag</t>
        </is>
      </c>
      <c r="AL962" s="58" t="n"/>
      <c r="AM962" s="58" t="n"/>
      <c r="AN962" s="155" t="inlineStr">
        <is>
          <t>Odoo Universal Unique Brands</t>
        </is>
      </c>
      <c r="AO962" s="59" t="n"/>
      <c r="AP962" s="59" t="n"/>
      <c r="AQ962" s="59" t="n">
        <v>-38</v>
      </c>
      <c r="AR962" s="155" t="n"/>
    </row>
    <row r="963">
      <c r="A963" s="50" t="inlineStr">
        <is>
          <t>717690428587</t>
        </is>
      </c>
      <c r="B963" s="51" t="inlineStr">
        <is>
          <t>22149</t>
        </is>
      </c>
      <c r="C963" s="156" t="inlineStr">
        <is>
          <t>Wrangler</t>
        </is>
      </c>
      <c r="D963" s="156" t="inlineStr">
        <is>
          <t>WG60-1812DBR</t>
        </is>
      </c>
      <c r="E963" s="156" t="inlineStr">
        <is>
          <t>WG60-1812DBR</t>
        </is>
      </c>
      <c r="F963" s="156" t="inlineStr">
        <is>
          <t>Talla única</t>
        </is>
      </c>
      <c r="G963" s="156" t="inlineStr">
        <is>
          <t>One Size</t>
        </is>
      </c>
      <c r="H963" s="156" t="inlineStr">
        <is>
          <t>Wrangler</t>
        </is>
      </c>
      <c r="I963" s="156" t="inlineStr">
        <is>
          <t>Cartera Cruzada Wrangler Estampado Vaquero Retro Vintage Café Oscuro</t>
        </is>
      </c>
      <c r="J963" s="156" t="inlineStr">
        <is>
          <t>Accesorios</t>
        </is>
      </c>
      <c r="K963" s="156" t="inlineStr">
        <is>
          <t>Carteras</t>
        </is>
      </c>
      <c r="L963" s="156" t="inlineStr">
        <is>
          <t>Unisex</t>
        </is>
      </c>
      <c r="M963" s="156" t="inlineStr">
        <is>
          <t>Wrangler</t>
        </is>
      </c>
      <c r="N963" s="156" t="n"/>
      <c r="O963" s="156" t="inlineStr">
        <is>
          <t>Core</t>
        </is>
      </c>
      <c r="P963" s="156" t="inlineStr">
        <is>
          <t>Cafe</t>
        </is>
      </c>
      <c r="Q963" s="156" t="n"/>
      <c r="R963" s="156" t="n"/>
      <c r="S963" s="156" t="n"/>
      <c r="T963" s="156" t="inlineStr">
        <is>
          <t>Cartera Cruzada Wrangler. Modelo: Estampado Vaquero Retro Vintage. Color: Café Oscuro. Talla única. Unisex. País de origen: México. Referencia: WG60-1812DBR.</t>
        </is>
      </c>
      <c r="U963" s="156" t="inlineStr">
        <is>
          <t>México</t>
        </is>
      </c>
      <c r="V963" s="156" t="inlineStr">
        <is>
          <t>PZS</t>
        </is>
      </c>
      <c r="W963" s="51" t="inlineStr">
        <is>
          <t>53121700</t>
        </is>
      </c>
      <c r="X963" s="156" t="inlineStr">
        <is>
          <t>https://cdn.shopify.com/s/files/1/0005/9015/1741/files/WG60-1812DBR.webp?v=1756350132</t>
        </is>
      </c>
      <c r="Y963" s="54" t="n">
        <v>22.5</v>
      </c>
      <c r="Z963" s="54" t="n">
        <v>839</v>
      </c>
      <c r="AA963" s="55">
        <f>IF(AND(A963="", B963="", E963=""), "", IF(AB963="", "Válido", IF((LEN(AB963)-LEN(SUBSTITUTE(AB963,"; ","")))/2+1&gt;(LEN(AB963)-LEN(SUBSTITUTE(AB963,"[Aviso]","")))/7, "Con Incidencias", "Válido")))</f>
        <v/>
      </c>
      <c r="AB963" s="56">
        <f>IF(AND(A963="", B963="", E963=""), "", TEXTJOIN("; ", TRUE, IF(OR(TRIM(A963&amp;"")="", ISNUMBER(SEARCH("FALTA", A963))), "UPC faltante/inválido", ""), IF(AND(A963&lt;&gt;"", IFERROR(_xlfn.XMATCH(A963,$A$2:$A$1063,0,1)&lt;&gt;_xlfn.XMATCH(A963,$A$2:$A$1063,0,-1),FALSE)), "Código de barras duplicado", ""), IF(AND(E963&lt;&gt;"", COUNTIF($E$2:$E$1063, E963)&gt;1), "SKU duplicado", ""), IF(OR(J963="", J963=""), "[Aviso] División no capturada ()", IF(ISNA(MATCH(J963, Criterios!$A$123:$A$126, 0)), "División no válida", "")), IF(OR(K963="", K963=""), "[Aviso] Categoría no capturada ()", IF(ISNA(MATCH(K963, Criterios!$A$81:$A$120, 0)), "Categoría no válida", IF(AND(J963&lt;&gt;"", J963&lt;&gt;"", J963&lt;&gt;VLOOKUP(K963, Criterios!$A$81:$B$120, 2, FALSE)), "División no coincide con Categoría", ""))), IF(OR(L963="", L963=""), "[Aviso] Género no capturado ()", IF(ISNA(MATCH(L963, Criterios!$B$123:$B$127, 0)), "Género no válido", "")), IF(OR(N963="", N963=""), "[Aviso] Temporada no capturada ()", IF(ISNA(MATCH(N963, Criterios!$C$123:$C$128, 0)), "Temporada no válida", "")), IF(OR(O963="", O963=""), "[Aviso] Ciclo de vida no capturado ()", IF(ISNA(MATCH(O963, Criterios!$D$123:$D$124, 0)), "Ciclo de vida no válido", ""))))</f>
        <v/>
      </c>
      <c r="AC963" s="56" t="n"/>
      <c r="AD963" s="51" t="n"/>
      <c r="AE963" s="156" t="n"/>
      <c r="AF963" s="51" t="n"/>
      <c r="AG963" s="156" t="inlineStr">
        <is>
          <t>Nuevo – Carga Hoja2 01/10/2026</t>
        </is>
      </c>
      <c r="AH963" s="156" t="inlineStr">
        <is>
          <t>Alta 01/10/2026 desde Hoja2 (fila 995) | 01/10/2026: Odoo Universal Unique Brands trae Marca «Montana West» — se conservó el valor de Productos | Homologación G1522 06/10/2026: Enlace de imagen: «» → «https://cdn.shopify.com/s/files/1/0005/9015/1741/files/WG60-1812DBR.webp?v=1756350132» (Completado por investigación en línea) · Validador Shopify: WB: precio con IVA no termina en 9</t>
        </is>
      </c>
      <c r="AI963" s="156" t="n"/>
      <c r="AJ963" s="156" t="n"/>
      <c r="AK963" s="155" t="inlineStr">
        <is>
          <t>Hoja2: fila 995 | Odoo: producto 22149 / plantilla 28292 | Odoo: producto 27512 / plantilla 34212 | Investigación en línea 06/10/2026: https://montanawestworld.com/products/wrangler-cowboy-print-mini-crossbody-bag</t>
        </is>
      </c>
      <c r="AL963" s="58" t="n"/>
      <c r="AM963" s="58" t="n"/>
      <c r="AN963" s="155" t="inlineStr">
        <is>
          <t>Odoo Universal Unique Brands</t>
        </is>
      </c>
      <c r="AO963" s="59" t="n"/>
      <c r="AP963" s="59" t="n"/>
      <c r="AQ963" s="59" t="n">
        <v>6</v>
      </c>
      <c r="AR963" s="155" t="inlineStr">
        <is>
          <t>Odoo Universal Unique Brands › Bodega 25 › Bodega 25/General: 1 | Odoo Universal Unique Brands › Bodega 25 › Bodega 25/General: 5</t>
        </is>
      </c>
    </row>
    <row r="964">
      <c r="A964" s="50" t="inlineStr">
        <is>
          <t>717690428105</t>
        </is>
      </c>
      <c r="B964" s="51" t="inlineStr">
        <is>
          <t>22150</t>
        </is>
      </c>
      <c r="C964" s="156" t="inlineStr">
        <is>
          <t>Wrangler</t>
        </is>
      </c>
      <c r="D964" s="156" t="inlineStr">
        <is>
          <t>WG60-9110DK-YL</t>
        </is>
      </c>
      <c r="E964" s="156" t="inlineStr">
        <is>
          <t>WG60-9110DK-YL</t>
        </is>
      </c>
      <c r="F964" s="156" t="inlineStr">
        <is>
          <t>Talla única</t>
        </is>
      </c>
      <c r="G964" s="156" t="inlineStr">
        <is>
          <t>One Size</t>
        </is>
      </c>
      <c r="H964" s="156" t="inlineStr">
        <is>
          <t>Wrangler</t>
        </is>
      </c>
      <c r="I964" s="156" t="inlineStr">
        <is>
          <t>Mochila Wrangler Estampado Vaquero Retro Vintage Amarillo Oscuro</t>
        </is>
      </c>
      <c r="J964" s="156" t="inlineStr">
        <is>
          <t>Accesorios</t>
        </is>
      </c>
      <c r="K964" s="156" t="inlineStr">
        <is>
          <t>Mochilas</t>
        </is>
      </c>
      <c r="L964" s="156" t="inlineStr">
        <is>
          <t>Unisex</t>
        </is>
      </c>
      <c r="M964" s="156" t="inlineStr">
        <is>
          <t>Wrangler</t>
        </is>
      </c>
      <c r="N964" s="156" t="n"/>
      <c r="O964" s="156" t="inlineStr">
        <is>
          <t>Core</t>
        </is>
      </c>
      <c r="P964" s="156" t="inlineStr">
        <is>
          <t>Amarillo</t>
        </is>
      </c>
      <c r="Q964" s="156" t="n"/>
      <c r="R964" s="156" t="n"/>
      <c r="S964" s="156" t="inlineStr">
        <is>
          <t>Exterior: lona</t>
        </is>
      </c>
      <c r="T964" s="156" t="inlineStr">
        <is>
          <t>Mochila Wrangler. Modelo: Estampado Vaquero Retro Vintage. Color: Amarillo Oscuro. Talla única. Unisex. Exterior: lona. País de origen: México. Referencia: WG60-9110DK-YL.</t>
        </is>
      </c>
      <c r="U964" s="156" t="inlineStr">
        <is>
          <t>México</t>
        </is>
      </c>
      <c r="V964" s="156" t="inlineStr">
        <is>
          <t>PZS</t>
        </is>
      </c>
      <c r="W964" s="51" t="inlineStr">
        <is>
          <t>53121601</t>
        </is>
      </c>
      <c r="X964" s="156" t="inlineStr">
        <is>
          <t>https://cdn.shopify.com/s/files/1/0005/9015/1741/files/WG60-9110DK-YL0.webp?v=1758248026</t>
        </is>
      </c>
      <c r="Y964" s="54" t="n">
        <v>13.5</v>
      </c>
      <c r="Z964" s="54" t="n">
        <v>519</v>
      </c>
      <c r="AA964" s="55">
        <f>IF(AND(A964="", B964="", E964=""), "", IF(AB964="", "Válido", IF((LEN(AB964)-LEN(SUBSTITUTE(AB964,"; ","")))/2+1&gt;(LEN(AB964)-LEN(SUBSTITUTE(AB964,"[Aviso]","")))/7, "Con Incidencias", "Válido")))</f>
        <v/>
      </c>
      <c r="AB964" s="56">
        <f>IF(AND(A964="", B964="", E964=""), "", TEXTJOIN("; ", TRUE, IF(OR(TRIM(A964&amp;"")="", ISNUMBER(SEARCH("FALTA", A964))), "UPC faltante/inválido", ""), IF(AND(A964&lt;&gt;"", IFERROR(_xlfn.XMATCH(A964,$A$2:$A$1063,0,1)&lt;&gt;_xlfn.XMATCH(A964,$A$2:$A$1063,0,-1),FALSE)), "Código de barras duplicado", ""), IF(AND(E964&lt;&gt;"", COUNTIF($E$2:$E$1063, E964)&gt;1), "SKU duplicado", ""), IF(OR(J964="", J964=""), "[Aviso] División no capturada ()", IF(ISNA(MATCH(J964, Criterios!$A$123:$A$126, 0)), "División no válida", "")), IF(OR(K964="", K964=""), "[Aviso] Categoría no capturada ()", IF(ISNA(MATCH(K964, Criterios!$A$81:$A$120, 0)), "Categoría no válida", IF(AND(J964&lt;&gt;"", J964&lt;&gt;"", J964&lt;&gt;VLOOKUP(K964, Criterios!$A$81:$B$120, 2, FALSE)), "División no coincide con Categoría", ""))), IF(OR(L964="", L964=""), "[Aviso] Género no capturado ()", IF(ISNA(MATCH(L964, Criterios!$B$123:$B$127, 0)), "Género no válido", "")), IF(OR(N964="", N964=""), "[Aviso] Temporada no capturada ()", IF(ISNA(MATCH(N964, Criterios!$C$123:$C$128, 0)), "Temporada no válida", "")), IF(OR(O964="", O964=""), "[Aviso] Ciclo de vida no capturado ()", IF(ISNA(MATCH(O964, Criterios!$D$123:$D$124, 0)), "Ciclo de vida no válido", ""))))</f>
        <v/>
      </c>
      <c r="AC964" s="56" t="n"/>
      <c r="AD964" s="51" t="n"/>
      <c r="AE964" s="156" t="n"/>
      <c r="AF964" s="51" t="n"/>
      <c r="AG964" s="156" t="inlineStr">
        <is>
          <t>Nuevo – Carga Hoja2 01/10/2026</t>
        </is>
      </c>
      <c r="AH964" s="156" t="inlineStr">
        <is>
          <t>Alta 01/10/2026 desde Hoja2 (fila 996) | 01/10/2026: Odoo Universal Unique Brands trae Marca «Montana West» — se conservó el valor de Productos | Homologación G1522 06/10/2026: Enlace de imagen: «» → «https://cdn.shopify.com/s/files/1/0005/9015/1741/files/WG60-9110DK-YL0.webp?v=1758248026» (Completado por investigación en línea) · Validación G1522: [Aviso] Precio de compra posiblemente en USD · Validador Shopify: WB: precio con IVA no termina en 9</t>
        </is>
      </c>
      <c r="AI964" s="156" t="n"/>
      <c r="AJ964" s="156" t="n"/>
      <c r="AK964" s="155" t="inlineStr">
        <is>
          <t>Hoja2: fila 996 | Odoo: producto 22150 / plantilla 28293 | Odoo: producto 27515 / plantilla 34215 | Investigación en línea 06/10/2026: https://montanawestworld.com/products/wrangler-cowboy-print-diaper-bag</t>
        </is>
      </c>
      <c r="AL964" s="58" t="n"/>
      <c r="AM964" s="58" t="n"/>
      <c r="AN964" s="155" t="inlineStr">
        <is>
          <t>Odoo Universal Unique Brands</t>
        </is>
      </c>
      <c r="AO964" s="59" t="n"/>
      <c r="AP964" s="59" t="n"/>
      <c r="AQ964" s="59" t="n">
        <v>3</v>
      </c>
      <c r="AR964" s="155" t="inlineStr">
        <is>
          <t>Odoo Universal Unique Brands › Bodega 25 › Bodega 25/General: 1 | Odoo Universal Unique Brands › Bodega 25 › Bodega 25/General: 2</t>
        </is>
      </c>
    </row>
    <row r="965">
      <c r="A965" s="50" t="inlineStr">
        <is>
          <t>717019725380</t>
        </is>
      </c>
      <c r="B965" s="51" t="inlineStr">
        <is>
          <t>14895</t>
        </is>
      </c>
      <c r="C965" s="156" t="inlineStr">
        <is>
          <t>Wrangler</t>
        </is>
      </c>
      <c r="D965" s="156" t="inlineStr">
        <is>
          <t>WG70S-8120BR</t>
        </is>
      </c>
      <c r="E965" s="156" t="inlineStr">
        <is>
          <t>WG70S-8120BR</t>
        </is>
      </c>
      <c r="F965" s="156" t="inlineStr">
        <is>
          <t>Talla única</t>
        </is>
      </c>
      <c r="G965" s="156" t="inlineStr">
        <is>
          <t>One Size</t>
        </is>
      </c>
      <c r="H965" s="156" t="inlineStr">
        <is>
          <t>Wrangler</t>
        </is>
      </c>
      <c r="I965" s="156" t="inlineStr">
        <is>
          <t>WG70S-8120BR</t>
        </is>
      </c>
      <c r="J965" s="156" t="inlineStr">
        <is>
          <t>Accesorios</t>
        </is>
      </c>
      <c r="K965" s="156" t="inlineStr">
        <is>
          <t>Bolsos</t>
        </is>
      </c>
      <c r="L965" s="156" t="inlineStr">
        <is>
          <t>Unisex</t>
        </is>
      </c>
      <c r="M965" s="156" t="inlineStr">
        <is>
          <t>Wrangler</t>
        </is>
      </c>
      <c r="N965" s="156" t="n"/>
      <c r="O965" s="156" t="n"/>
      <c r="P965" s="156" t="inlineStr">
        <is>
          <t>Cafe</t>
        </is>
      </c>
      <c r="Q965" s="156" t="n"/>
      <c r="R965" s="156" t="n"/>
      <c r="S965" s="156" t="n"/>
      <c r="T965" s="156" t="n"/>
      <c r="U965" s="156" t="inlineStr">
        <is>
          <t>México</t>
        </is>
      </c>
      <c r="V965" s="156" t="inlineStr">
        <is>
          <t>PZS</t>
        </is>
      </c>
      <c r="W965" s="51" t="inlineStr">
        <is>
          <t>53121600</t>
        </is>
      </c>
      <c r="X965" s="156" t="n"/>
      <c r="Y965" s="54" t="n"/>
      <c r="Z965" s="54" t="n">
        <v>449</v>
      </c>
      <c r="AA965" s="55">
        <f>IF(AND(A965="", B965="", E965=""), "", IF(AB965="", "Válido", IF((LEN(AB965)-LEN(SUBSTITUTE(AB965,"; ","")))/2+1&gt;(LEN(AB965)-LEN(SUBSTITUTE(AB965,"[Aviso]","")))/7, "Con Incidencias", "Válido")))</f>
        <v/>
      </c>
      <c r="AB965" s="56">
        <f>IF(AND(A965="", B965="", E965=""), "", TEXTJOIN("; ", TRUE, IF(OR(TRIM(A965&amp;"")="", ISNUMBER(SEARCH("FALTA", A965))), "UPC faltante/inválido", ""), IF(AND(A965&lt;&gt;"", IFERROR(_xlfn.XMATCH(A965,$A$2:$A$1063,0,1)&lt;&gt;_xlfn.XMATCH(A965,$A$2:$A$1063,0,-1),FALSE)), "Código de barras duplicado", ""), IF(AND(E965&lt;&gt;"", COUNTIF($E$2:$E$1063, E965)&gt;1), "SKU duplicado", ""), IF(OR(J965="", J965=""), "[Aviso] División no capturada ()", IF(ISNA(MATCH(J965, Criterios!$A$123:$A$126, 0)), "División no válida", "")), IF(OR(K965="", K965=""), "[Aviso] Categoría no capturada ()", IF(ISNA(MATCH(K965, Criterios!$A$81:$A$120, 0)), "Categoría no válida", IF(AND(J965&lt;&gt;"", J965&lt;&gt;"", J965&lt;&gt;VLOOKUP(K965, Criterios!$A$81:$B$120, 2, FALSE)), "División no coincide con Categoría", ""))), IF(OR(L965="", L965=""), "[Aviso] Género no capturado ()", IF(ISNA(MATCH(L965, Criterios!$B$123:$B$127, 0)), "Género no válido", "")), IF(OR(N965="", N965=""), "[Aviso] Temporada no capturada ()", IF(ISNA(MATCH(N965, Criterios!$C$123:$C$128, 0)), "Temporada no válida", "")), IF(OR(O965="", O965=""), "[Aviso] Ciclo de vida no capturado ()", IF(ISNA(MATCH(O965, Criterios!$D$123:$D$124, 0)), "Ciclo de vida no válido", ""))))</f>
        <v/>
      </c>
      <c r="AC965" s="56" t="n"/>
      <c r="AD965" s="51" t="n"/>
      <c r="AE965" s="156" t="n"/>
      <c r="AF965" s="51" t="n"/>
      <c r="AG965" s="156" t="inlineStr">
        <is>
          <t>Nuevo – Carga Hoja2 01/10/2026</t>
        </is>
      </c>
      <c r="AH965" s="156" t="inlineStr">
        <is>
          <t>Alta 01/10/2026 desde Hoja2 (fila 999); Precio de compra en 0/vacío en origen | 01/10/2026: complementado desde Odoo Universal Unique Brands (match por código de barras): WB Talla, WB Talla de EE. UU. | Homologación G1522 06/10/2026: WB País de origen: «Mexico» → «México» (Corrección aplicada) · Validador Shopify: WB: precio con IVA no termina en 9</t>
        </is>
      </c>
      <c r="AI965" s="156" t="n"/>
      <c r="AJ965" s="156" t="n"/>
      <c r="AK965" s="155" t="inlineStr">
        <is>
          <t>Hoja2: fila 999 | Odoo: producto 14895 / plantilla 19248</t>
        </is>
      </c>
      <c r="AL965" s="58" t="n"/>
      <c r="AM965" s="58" t="n"/>
      <c r="AN965" s="155" t="inlineStr">
        <is>
          <t>Odoo Universal Unique Brands</t>
        </is>
      </c>
      <c r="AO965" s="59" t="n"/>
      <c r="AP965" s="59" t="n"/>
      <c r="AQ965" s="59" t="n">
        <v>0</v>
      </c>
      <c r="AR965" s="155" t="n"/>
    </row>
    <row r="966">
      <c r="A966" s="50" t="inlineStr">
        <is>
          <t>717019725359</t>
        </is>
      </c>
      <c r="B966" s="51" t="inlineStr">
        <is>
          <t>14900</t>
        </is>
      </c>
      <c r="C966" s="156" t="inlineStr">
        <is>
          <t>Wrangler</t>
        </is>
      </c>
      <c r="D966" s="156" t="inlineStr">
        <is>
          <t>WG70S-8120KH</t>
        </is>
      </c>
      <c r="E966" s="156" t="inlineStr">
        <is>
          <t>WG70S-8120KH</t>
        </is>
      </c>
      <c r="F966" s="156" t="inlineStr">
        <is>
          <t>Talla única</t>
        </is>
      </c>
      <c r="G966" s="156" t="inlineStr">
        <is>
          <t>One Size</t>
        </is>
      </c>
      <c r="H966" s="156" t="inlineStr">
        <is>
          <t>Wrangler</t>
        </is>
      </c>
      <c r="I966" s="156" t="inlineStr">
        <is>
          <t>Wrangler Ladies Khaki Whipstitch Mini Crossbody Tote</t>
        </is>
      </c>
      <c r="J966" s="156" t="inlineStr">
        <is>
          <t>Accesorios</t>
        </is>
      </c>
      <c r="K966" s="156" t="inlineStr">
        <is>
          <t>Bolsos</t>
        </is>
      </c>
      <c r="L966" s="156" t="inlineStr">
        <is>
          <t>Unisex</t>
        </is>
      </c>
      <c r="M966" s="156" t="inlineStr">
        <is>
          <t>Wrangler</t>
        </is>
      </c>
      <c r="N966" s="156" t="n"/>
      <c r="O966" s="156" t="n"/>
      <c r="P966" s="156" t="inlineStr">
        <is>
          <t>Beige</t>
        </is>
      </c>
      <c r="Q966" s="156" t="n"/>
      <c r="R966" s="156" t="n"/>
      <c r="S966" s="156" t="n"/>
      <c r="T966" s="156" t="inlineStr">
        <is>
          <t>Bolsa Tote Mini</t>
        </is>
      </c>
      <c r="U966" s="156" t="inlineStr">
        <is>
          <t>México</t>
        </is>
      </c>
      <c r="V966" s="156" t="inlineStr">
        <is>
          <t>PZS</t>
        </is>
      </c>
      <c r="W966" s="51" t="inlineStr">
        <is>
          <t>53121600</t>
        </is>
      </c>
      <c r="X966" s="156" t="n"/>
      <c r="Y966" s="54" t="n"/>
      <c r="Z966" s="54" t="n">
        <v>449</v>
      </c>
      <c r="AA966" s="55">
        <f>IF(AND(A966="", B966="", E966=""), "", IF(AB966="", "Válido", IF((LEN(AB966)-LEN(SUBSTITUTE(AB966,"; ","")))/2+1&gt;(LEN(AB966)-LEN(SUBSTITUTE(AB966,"[Aviso]","")))/7, "Con Incidencias", "Válido")))</f>
        <v/>
      </c>
      <c r="AB966" s="56">
        <f>IF(AND(A966="", B966="", E966=""), "", TEXTJOIN("; ", TRUE, IF(OR(TRIM(A966&amp;"")="", ISNUMBER(SEARCH("FALTA", A966))), "UPC faltante/inválido", ""), IF(AND(A966&lt;&gt;"", IFERROR(_xlfn.XMATCH(A966,$A$2:$A$1063,0,1)&lt;&gt;_xlfn.XMATCH(A966,$A$2:$A$1063,0,-1),FALSE)), "Código de barras duplicado", ""), IF(AND(E966&lt;&gt;"", COUNTIF($E$2:$E$1063, E966)&gt;1), "SKU duplicado", ""), IF(OR(J966="", J966=""), "[Aviso] División no capturada ()", IF(ISNA(MATCH(J966, Criterios!$A$123:$A$126, 0)), "División no válida", "")), IF(OR(K966="", K966=""), "[Aviso] Categoría no capturada ()", IF(ISNA(MATCH(K966, Criterios!$A$81:$A$120, 0)), "Categoría no válida", IF(AND(J966&lt;&gt;"", J966&lt;&gt;"", J966&lt;&gt;VLOOKUP(K966, Criterios!$A$81:$B$120, 2, FALSE)), "División no coincide con Categoría", ""))), IF(OR(L966="", L966=""), "[Aviso] Género no capturado ()", IF(ISNA(MATCH(L966, Criterios!$B$123:$B$127, 0)), "Género no válido", "")), IF(OR(N966="", N966=""), "[Aviso] Temporada no capturada ()", IF(ISNA(MATCH(N966, Criterios!$C$123:$C$128, 0)), "Temporada no válida", "")), IF(OR(O966="", O966=""), "[Aviso] Ciclo de vida no capturado ()", IF(ISNA(MATCH(O966, Criterios!$D$123:$D$124, 0)), "Ciclo de vida no válido", ""))))</f>
        <v/>
      </c>
      <c r="AC966" s="56" t="n"/>
      <c r="AD966" s="51" t="n"/>
      <c r="AE966" s="156" t="n"/>
      <c r="AF966" s="51" t="n"/>
      <c r="AG966" s="156" t="inlineStr">
        <is>
          <t>Nuevo – Carga Hoja2 01/10/2026</t>
        </is>
      </c>
      <c r="AH966" s="156" t="inlineStr">
        <is>
          <t>Alta 01/10/2026 desde Hoja2 (fila 1001); Precio de compra en 0/vacío en origen | 01/10/2026: complementado desde Odoo Universal Unique Brands (match por código de barras): WB Talla, WB Talla de EE. UU. | 01/10/2026: Odoo Universal Unique Brands trae Género «Mujer» — se conservó el valor de Productos | 01/10/2026: complementado desde Odoo Universal Unique Brands (match por SKU): WB Descripción larga | Homologación G1522 06/10/2026: WB País de origen: «Mexico» → «México» (Corrección aplicada) · Validador Shopify: WB: precio con IVA no termina en 9</t>
        </is>
      </c>
      <c r="AI966" s="156" t="n"/>
      <c r="AJ966" s="156" t="n"/>
      <c r="AK966" s="155" t="inlineStr">
        <is>
          <t>Hoja2: fila 1001 | Odoo: producto 14900 / plantilla 19253 | Odoo: producto 19122 / plantilla 23475</t>
        </is>
      </c>
      <c r="AL966" s="58" t="n"/>
      <c r="AM966" s="58" t="n"/>
      <c r="AN966" s="155" t="inlineStr">
        <is>
          <t>Odoo Universal Unique Brands</t>
        </is>
      </c>
      <c r="AO966" s="59" t="n"/>
      <c r="AP966" s="59" t="n"/>
      <c r="AQ966" s="59" t="n">
        <v>6</v>
      </c>
      <c r="AR966" s="155" t="inlineStr">
        <is>
          <t>Odoo Universal Unique Brands › Bodega 25 › Bodega 25/General: 6</t>
        </is>
      </c>
    </row>
    <row r="967">
      <c r="A967" s="50" t="inlineStr">
        <is>
          <t>717012192448</t>
        </is>
      </c>
      <c r="B967" s="51" t="n"/>
      <c r="C967" s="156" t="inlineStr">
        <is>
          <t>Wrangler</t>
        </is>
      </c>
      <c r="D967" s="156" t="inlineStr">
        <is>
          <t>WG2204-9110TN</t>
        </is>
      </c>
      <c r="E967" s="156" t="inlineStr">
        <is>
          <t>WG2204-9110TN</t>
        </is>
      </c>
      <c r="F967" s="156" t="inlineStr">
        <is>
          <t>Talla única</t>
        </is>
      </c>
      <c r="G967" s="156" t="inlineStr">
        <is>
          <t>One Size</t>
        </is>
      </c>
      <c r="H967" s="156" t="inlineStr">
        <is>
          <t>Wrangler</t>
        </is>
      </c>
      <c r="I967" s="156" t="inlineStr">
        <is>
          <t>Pañalera Wrangler Estampado Azteca Completo Camel</t>
        </is>
      </c>
      <c r="J967" s="156" t="inlineStr">
        <is>
          <t>Accesorios</t>
        </is>
      </c>
      <c r="K967" s="156" t="inlineStr">
        <is>
          <t>Mochilas</t>
        </is>
      </c>
      <c r="L967" s="156" t="inlineStr">
        <is>
          <t>Unisex</t>
        </is>
      </c>
      <c r="M967" s="156" t="inlineStr">
        <is>
          <t>Wrangler</t>
        </is>
      </c>
      <c r="N967" s="156" t="n"/>
      <c r="O967" s="156" t="inlineStr">
        <is>
          <t>Core</t>
        </is>
      </c>
      <c r="P967" s="156" t="inlineStr">
        <is>
          <t>Beige</t>
        </is>
      </c>
      <c r="Q967" s="156" t="n"/>
      <c r="R967" s="156" t="n"/>
      <c r="S967" s="156" t="n"/>
      <c r="T967" s="156" t="inlineStr">
        <is>
          <t>Pañalera Wrangler. Modelo: Estampado Azteca Completo. Color: Camel. Talla única. Unisex. Referencia: WG2204-9110TN.</t>
        </is>
      </c>
      <c r="U967" s="156" t="n"/>
      <c r="V967" s="156" t="inlineStr">
        <is>
          <t>PZS</t>
        </is>
      </c>
      <c r="W967" s="51" t="inlineStr">
        <is>
          <t>53121601</t>
        </is>
      </c>
      <c r="X967" s="156" t="n"/>
      <c r="Y967" s="54" t="n"/>
      <c r="Z967" s="54" t="n"/>
      <c r="AA967" s="55">
        <f>IF(AND(A967="", B967="", E967=""), "", IF(AB967="", "Válido", IF((LEN(AB967)-LEN(SUBSTITUTE(AB967,"; ","")))/2+1&gt;(LEN(AB967)-LEN(SUBSTITUTE(AB967,"[Aviso]","")))/7, "Con Incidencias", "Válido")))</f>
        <v/>
      </c>
      <c r="AB967" s="56">
        <f>IF(AND(A967="", B967="", E967=""), "", TEXTJOIN("; ", TRUE, IF(OR(TRIM(A967&amp;"")="", ISNUMBER(SEARCH("FALTA", A967))), "UPC faltante/inválido", ""), IF(AND(A967&lt;&gt;"", IFERROR(_xlfn.XMATCH(A967,$A$2:$A$1063,0,1)&lt;&gt;_xlfn.XMATCH(A967,$A$2:$A$1063,0,-1),FALSE)), "Código de barras duplicado", ""), IF(AND(E967&lt;&gt;"", COUNTIF($E$2:$E$1063, E967)&gt;1), "SKU duplicado", ""), IF(OR(J967="", J967=""), "[Aviso] División no capturada ()", IF(ISNA(MATCH(J967, Criterios!$A$123:$A$126, 0)), "División no válida", "")), IF(OR(K967="", K967=""), "[Aviso] Categoría no capturada ()", IF(ISNA(MATCH(K967, Criterios!$A$81:$A$120, 0)), "Categoría no válida", IF(AND(J967&lt;&gt;"", J967&lt;&gt;"", J967&lt;&gt;VLOOKUP(K967, Criterios!$A$81:$B$120, 2, FALSE)), "División no coincide con Categoría", ""))), IF(OR(L967="", L967=""), "[Aviso] Género no capturado ()", IF(ISNA(MATCH(L967, Criterios!$B$123:$B$127, 0)), "Género no válido", "")), IF(OR(N967="", N967=""), "[Aviso] Temporada no capturada ()", IF(ISNA(MATCH(N967, Criterios!$C$123:$C$128, 0)), "Temporada no válida", "")), IF(OR(O967="", O967=""), "[Aviso] Ciclo de vida no capturado ()", IF(ISNA(MATCH(O967, Criterios!$D$123:$D$124, 0)), "Ciclo de vida no válido", ""))))</f>
        <v/>
      </c>
      <c r="AC967" s="56" t="n"/>
      <c r="AD967" s="51" t="n"/>
      <c r="AE967" s="156" t="n"/>
      <c r="AF967" s="51" t="n"/>
      <c r="AG967" s="156" t="inlineStr">
        <is>
          <t>Nuevo – Carga Hoja2 01/10/2026</t>
        </is>
      </c>
      <c r="AH967" s="156" t="inlineStr">
        <is>
          <t>Alta 01/10/2026 desde Hoja2 (fila 1003); Precio de compra en 0/vacío en origen; Precio de venta en 0/vacío en origen</t>
        </is>
      </c>
      <c r="AI967" s="156" t="n"/>
      <c r="AJ967" s="156" t="n"/>
      <c r="AK967" s="155" t="inlineStr">
        <is>
          <t>Hoja2: fila 1003 | Odoo: producto 27573 / plantilla 34273</t>
        </is>
      </c>
      <c r="AL967" s="58" t="n"/>
      <c r="AM967" s="58" t="n"/>
      <c r="AN967" s="155" t="inlineStr">
        <is>
          <t>Odoo Universal Unique Brands</t>
        </is>
      </c>
      <c r="AO967" s="59" t="n"/>
      <c r="AP967" s="59" t="n"/>
      <c r="AQ967" s="59" t="n">
        <v>1</v>
      </c>
      <c r="AR967" s="155" t="inlineStr">
        <is>
          <t>Odoo Universal Unique Brands › Bodega 25 › Bodega 25/General: 1</t>
        </is>
      </c>
    </row>
    <row r="968">
      <c r="A968" s="50" t="inlineStr">
        <is>
          <t>717012198372</t>
        </is>
      </c>
      <c r="B968" s="51" t="n"/>
      <c r="C968" s="156" t="inlineStr">
        <is>
          <t>Wrangler</t>
        </is>
      </c>
      <c r="D968" s="156" t="inlineStr">
        <is>
          <t>WG2203-8120SWTQ</t>
        </is>
      </c>
      <c r="E968" s="156" t="inlineStr">
        <is>
          <t>WG2203-8120SWTQ</t>
        </is>
      </c>
      <c r="F968" s="156" t="inlineStr">
        <is>
          <t>Talla única</t>
        </is>
      </c>
      <c r="G968" s="156" t="inlineStr">
        <is>
          <t>One Size</t>
        </is>
      </c>
      <c r="H968" s="156" t="inlineStr">
        <is>
          <t>Wrangler</t>
        </is>
      </c>
      <c r="I968" s="156" t="inlineStr">
        <is>
          <t>Bolsa Wrangler Turquesa</t>
        </is>
      </c>
      <c r="J968" s="156" t="inlineStr">
        <is>
          <t>Accesorios</t>
        </is>
      </c>
      <c r="K968" s="156" t="inlineStr">
        <is>
          <t>Bolsos</t>
        </is>
      </c>
      <c r="L968" s="156" t="inlineStr">
        <is>
          <t>Unisex</t>
        </is>
      </c>
      <c r="M968" s="156" t="inlineStr">
        <is>
          <t>Wrangler</t>
        </is>
      </c>
      <c r="N968" s="156" t="n"/>
      <c r="O968" s="156" t="inlineStr">
        <is>
          <t>Core</t>
        </is>
      </c>
      <c r="P968" s="156" t="inlineStr">
        <is>
          <t>Azul</t>
        </is>
      </c>
      <c r="Q968" s="156" t="n"/>
      <c r="R968" s="156" t="n"/>
      <c r="S968" s="156" t="n"/>
      <c r="T968" s="156" t="inlineStr">
        <is>
          <t>Bolsa Wrangler. Color: Turquesa. Talla única. Unisex. Referencia: WG2203-8120SWTQ.</t>
        </is>
      </c>
      <c r="U968" s="156" t="n"/>
      <c r="V968" s="156" t="inlineStr">
        <is>
          <t>PZS</t>
        </is>
      </c>
      <c r="W968" s="51" t="inlineStr">
        <is>
          <t>53121601</t>
        </is>
      </c>
      <c r="X968" s="156" t="n"/>
      <c r="Y968" s="54" t="n"/>
      <c r="Z968" s="54" t="n"/>
      <c r="AA968" s="55">
        <f>IF(AND(A968="", B968="", E968=""), "", IF(AB968="", "Válido", IF((LEN(AB968)-LEN(SUBSTITUTE(AB968,"; ","")))/2+1&gt;(LEN(AB968)-LEN(SUBSTITUTE(AB968,"[Aviso]","")))/7, "Con Incidencias", "Válido")))</f>
        <v/>
      </c>
      <c r="AB968" s="56">
        <f>IF(AND(A968="", B968="", E968=""), "", TEXTJOIN("; ", TRUE, IF(OR(TRIM(A968&amp;"")="", ISNUMBER(SEARCH("FALTA", A968))), "UPC faltante/inválido", ""), IF(AND(A968&lt;&gt;"", IFERROR(_xlfn.XMATCH(A968,$A$2:$A$1063,0,1)&lt;&gt;_xlfn.XMATCH(A968,$A$2:$A$1063,0,-1),FALSE)), "Código de barras duplicado", ""), IF(AND(E968&lt;&gt;"", COUNTIF($E$2:$E$1063, E968)&gt;1), "SKU duplicado", ""), IF(OR(J968="", J968=""), "[Aviso] División no capturada ()", IF(ISNA(MATCH(J968, Criterios!$A$123:$A$126, 0)), "División no válida", "")), IF(OR(K968="", K968=""), "[Aviso] Categoría no capturada ()", IF(ISNA(MATCH(K968, Criterios!$A$81:$A$120, 0)), "Categoría no válida", IF(AND(J968&lt;&gt;"", J968&lt;&gt;"", J968&lt;&gt;VLOOKUP(K968, Criterios!$A$81:$B$120, 2, FALSE)), "División no coincide con Categoría", ""))), IF(OR(L968="", L968=""), "[Aviso] Género no capturado ()", IF(ISNA(MATCH(L968, Criterios!$B$123:$B$127, 0)), "Género no válido", "")), IF(OR(N968="", N968=""), "[Aviso] Temporada no capturada ()", IF(ISNA(MATCH(N968, Criterios!$C$123:$C$128, 0)), "Temporada no válida", "")), IF(OR(O968="", O968=""), "[Aviso] Ciclo de vida no capturado ()", IF(ISNA(MATCH(O968, Criterios!$D$123:$D$124, 0)), "Ciclo de vida no válido", ""))))</f>
        <v/>
      </c>
      <c r="AC968" s="56" t="n"/>
      <c r="AD968" s="51" t="n"/>
      <c r="AE968" s="156" t="n"/>
      <c r="AF968" s="51" t="n"/>
      <c r="AG968" s="156" t="inlineStr">
        <is>
          <t>Nuevo – Carga Hoja2 01/10/2026</t>
        </is>
      </c>
      <c r="AH968" s="156" t="inlineStr">
        <is>
          <t>Alta 01/10/2026 desde Hoja2 (fila 1004); Precio de compra en 0/vacío en origen; Precio de venta en 0/vacío en origen</t>
        </is>
      </c>
      <c r="AI968" s="156" t="n"/>
      <c r="AJ968" s="156" t="n"/>
      <c r="AK968" s="155" t="inlineStr">
        <is>
          <t>Hoja2: fila 1004</t>
        </is>
      </c>
      <c r="AL968" s="58" t="n"/>
      <c r="AM968" s="58" t="n"/>
      <c r="AN968" s="155" t="n"/>
      <c r="AO968" s="59" t="n"/>
      <c r="AP968" s="59" t="n"/>
      <c r="AQ968" s="59" t="n"/>
      <c r="AR968" s="155" t="n"/>
    </row>
    <row r="969">
      <c r="A969" s="50" t="inlineStr">
        <is>
          <t>717012198433</t>
        </is>
      </c>
      <c r="B969" s="51" t="n"/>
      <c r="C969" s="156" t="inlineStr">
        <is>
          <t>Wrangler</t>
        </is>
      </c>
      <c r="D969" s="156" t="inlineStr">
        <is>
          <t>WG2203-8120SWBDY</t>
        </is>
      </c>
      <c r="E969" s="156" t="inlineStr">
        <is>
          <t>WG2203-8120SWBDY</t>
        </is>
      </c>
      <c r="F969" s="156" t="inlineStr">
        <is>
          <t>Talla única</t>
        </is>
      </c>
      <c r="G969" s="156" t="inlineStr">
        <is>
          <t>One Size</t>
        </is>
      </c>
      <c r="H969" s="156" t="inlineStr">
        <is>
          <t>Wrangler</t>
        </is>
      </c>
      <c r="I969" s="156" t="inlineStr">
        <is>
          <t>Bolsa Wrangler Vino</t>
        </is>
      </c>
      <c r="J969" s="156" t="inlineStr">
        <is>
          <t>Accesorios</t>
        </is>
      </c>
      <c r="K969" s="156" t="inlineStr">
        <is>
          <t>Bolsos</t>
        </is>
      </c>
      <c r="L969" s="156" t="inlineStr">
        <is>
          <t>Unisex</t>
        </is>
      </c>
      <c r="M969" s="156" t="inlineStr">
        <is>
          <t>Wrangler</t>
        </is>
      </c>
      <c r="N969" s="156" t="n"/>
      <c r="O969" s="156" t="inlineStr">
        <is>
          <t>Core</t>
        </is>
      </c>
      <c r="P969" s="156" t="inlineStr">
        <is>
          <t>Rojo</t>
        </is>
      </c>
      <c r="Q969" s="156" t="n"/>
      <c r="R969" s="156" t="n"/>
      <c r="S969" s="156" t="n"/>
      <c r="T969" s="156" t="inlineStr">
        <is>
          <t>Bolsa Wrangler. Color: Vino. Talla única. Unisex. Referencia: WG2203-8120SWBDY.</t>
        </is>
      </c>
      <c r="U969" s="156" t="n"/>
      <c r="V969" s="156" t="inlineStr">
        <is>
          <t>PZS</t>
        </is>
      </c>
      <c r="W969" s="51" t="inlineStr">
        <is>
          <t>53121601</t>
        </is>
      </c>
      <c r="X969" s="156" t="n"/>
      <c r="Y969" s="54" t="n"/>
      <c r="Z969" s="54" t="n"/>
      <c r="AA969" s="55">
        <f>IF(AND(A969="", B969="", E969=""), "", IF(AB969="", "Válido", IF((LEN(AB969)-LEN(SUBSTITUTE(AB969,"; ","")))/2+1&gt;(LEN(AB969)-LEN(SUBSTITUTE(AB969,"[Aviso]","")))/7, "Con Incidencias", "Válido")))</f>
        <v/>
      </c>
      <c r="AB969" s="56">
        <f>IF(AND(A969="", B969="", E969=""), "", TEXTJOIN("; ", TRUE, IF(OR(TRIM(A969&amp;"")="", ISNUMBER(SEARCH("FALTA", A969))), "UPC faltante/inválido", ""), IF(AND(A969&lt;&gt;"", IFERROR(_xlfn.XMATCH(A969,$A$2:$A$1063,0,1)&lt;&gt;_xlfn.XMATCH(A969,$A$2:$A$1063,0,-1),FALSE)), "Código de barras duplicado", ""), IF(AND(E969&lt;&gt;"", COUNTIF($E$2:$E$1063, E969)&gt;1), "SKU duplicado", ""), IF(OR(J969="", J969=""), "[Aviso] División no capturada ()", IF(ISNA(MATCH(J969, Criterios!$A$123:$A$126, 0)), "División no válida", "")), IF(OR(K969="", K969=""), "[Aviso] Categoría no capturada ()", IF(ISNA(MATCH(K969, Criterios!$A$81:$A$120, 0)), "Categoría no válida", IF(AND(J969&lt;&gt;"", J969&lt;&gt;"", J969&lt;&gt;VLOOKUP(K969, Criterios!$A$81:$B$120, 2, FALSE)), "División no coincide con Categoría", ""))), IF(OR(L969="", L969=""), "[Aviso] Género no capturado ()", IF(ISNA(MATCH(L969, Criterios!$B$123:$B$127, 0)), "Género no válido", "")), IF(OR(N969="", N969=""), "[Aviso] Temporada no capturada ()", IF(ISNA(MATCH(N969, Criterios!$C$123:$C$128, 0)), "Temporada no válida", "")), IF(OR(O969="", O969=""), "[Aviso] Ciclo de vida no capturado ()", IF(ISNA(MATCH(O969, Criterios!$D$123:$D$124, 0)), "Ciclo de vida no válido", ""))))</f>
        <v/>
      </c>
      <c r="AC969" s="56" t="n"/>
      <c r="AD969" s="51" t="n"/>
      <c r="AE969" s="156" t="n"/>
      <c r="AF969" s="51" t="n"/>
      <c r="AG969" s="156" t="inlineStr">
        <is>
          <t>Nuevo – Carga Hoja2 01/10/2026</t>
        </is>
      </c>
      <c r="AH969" s="156" t="inlineStr">
        <is>
          <t>Alta 01/10/2026 desde Hoja2 (fila 1005); Precio de compra en 0/vacío en origen; Precio de venta en 0/vacío en origen</t>
        </is>
      </c>
      <c r="AI969" s="156" t="n"/>
      <c r="AJ969" s="156" t="n"/>
      <c r="AK969" s="155" t="inlineStr">
        <is>
          <t>Hoja2: fila 1005</t>
        </is>
      </c>
      <c r="AL969" s="58" t="n"/>
      <c r="AM969" s="58" t="n"/>
      <c r="AN969" s="155" t="n"/>
      <c r="AO969" s="59" t="n"/>
      <c r="AP969" s="59" t="n"/>
      <c r="AQ969" s="59" t="n"/>
      <c r="AR969" s="155" t="n"/>
    </row>
    <row r="970">
      <c r="A970" s="50" t="inlineStr">
        <is>
          <t>717019691517</t>
        </is>
      </c>
      <c r="B970" s="51" t="n"/>
      <c r="C970" s="156" t="inlineStr">
        <is>
          <t>Wrangler</t>
        </is>
      </c>
      <c r="D970" s="156" t="inlineStr">
        <is>
          <t>WG2211-W006DPK</t>
        </is>
      </c>
      <c r="E970" s="156" t="inlineStr">
        <is>
          <t>WG2211-W006DPK</t>
        </is>
      </c>
      <c r="F970" s="156" t="inlineStr">
        <is>
          <t>Talla única</t>
        </is>
      </c>
      <c r="G970" s="156" t="inlineStr">
        <is>
          <t>One Size</t>
        </is>
      </c>
      <c r="H970" s="156" t="inlineStr">
        <is>
          <t>Wrangler</t>
        </is>
      </c>
      <c r="I970" s="156" t="inlineStr">
        <is>
          <t>Cartera Wrangler Estampado Artístico Suroeste Rosa Oscuro</t>
        </is>
      </c>
      <c r="J970" s="156" t="inlineStr">
        <is>
          <t>Accesorios</t>
        </is>
      </c>
      <c r="K970" s="156" t="inlineStr">
        <is>
          <t>Carteras</t>
        </is>
      </c>
      <c r="L970" s="156" t="inlineStr">
        <is>
          <t>Unisex</t>
        </is>
      </c>
      <c r="M970" s="156" t="inlineStr">
        <is>
          <t>Wrangler</t>
        </is>
      </c>
      <c r="N970" s="156" t="n"/>
      <c r="O970" s="156" t="inlineStr">
        <is>
          <t>Core</t>
        </is>
      </c>
      <c r="P970" s="156" t="inlineStr">
        <is>
          <t>Rosa</t>
        </is>
      </c>
      <c r="Q970" s="156" t="n"/>
      <c r="R970" s="156" t="n"/>
      <c r="S970" s="156" t="n"/>
      <c r="T970" s="156" t="inlineStr">
        <is>
          <t>Cartera Wrangler. Modelo: Estampado Artístico Suroeste. Color: Rosa Oscuro. Talla única. Unisex. Referencia: WG2211-W006DPK.</t>
        </is>
      </c>
      <c r="U970" s="156" t="n"/>
      <c r="V970" s="156" t="inlineStr">
        <is>
          <t>PZS</t>
        </is>
      </c>
      <c r="W970" s="51" t="inlineStr">
        <is>
          <t>53121700</t>
        </is>
      </c>
      <c r="X970" s="156" t="n"/>
      <c r="Y970" s="54" t="n"/>
      <c r="Z970" s="54" t="n"/>
      <c r="AA970" s="55">
        <f>IF(AND(A970="", B970="", E970=""), "", IF(AB970="", "Válido", IF((LEN(AB970)-LEN(SUBSTITUTE(AB970,"; ","")))/2+1&gt;(LEN(AB970)-LEN(SUBSTITUTE(AB970,"[Aviso]","")))/7, "Con Incidencias", "Válido")))</f>
        <v/>
      </c>
      <c r="AB970" s="56">
        <f>IF(AND(A970="", B970="", E970=""), "", TEXTJOIN("; ", TRUE, IF(OR(TRIM(A970&amp;"")="", ISNUMBER(SEARCH("FALTA", A970))), "UPC faltante/inválido", ""), IF(AND(A970&lt;&gt;"", IFERROR(_xlfn.XMATCH(A970,$A$2:$A$1063,0,1)&lt;&gt;_xlfn.XMATCH(A970,$A$2:$A$1063,0,-1),FALSE)), "Código de barras duplicado", ""), IF(AND(E970&lt;&gt;"", COUNTIF($E$2:$E$1063, E970)&gt;1), "SKU duplicado", ""), IF(OR(J970="", J970=""), "[Aviso] División no capturada ()", IF(ISNA(MATCH(J970, Criterios!$A$123:$A$126, 0)), "División no válida", "")), IF(OR(K970="", K970=""), "[Aviso] Categoría no capturada ()", IF(ISNA(MATCH(K970, Criterios!$A$81:$A$120, 0)), "Categoría no válida", IF(AND(J970&lt;&gt;"", J970&lt;&gt;"", J970&lt;&gt;VLOOKUP(K970, Criterios!$A$81:$B$120, 2, FALSE)), "División no coincide con Categoría", ""))), IF(OR(L970="", L970=""), "[Aviso] Género no capturado ()", IF(ISNA(MATCH(L970, Criterios!$B$123:$B$127, 0)), "Género no válido", "")), IF(OR(N970="", N970=""), "[Aviso] Temporada no capturada ()", IF(ISNA(MATCH(N970, Criterios!$C$123:$C$128, 0)), "Temporada no válida", "")), IF(OR(O970="", O970=""), "[Aviso] Ciclo de vida no capturado ()", IF(ISNA(MATCH(O970, Criterios!$D$123:$D$124, 0)), "Ciclo de vida no válido", ""))))</f>
        <v/>
      </c>
      <c r="AC970" s="56" t="n"/>
      <c r="AD970" s="51" t="n"/>
      <c r="AE970" s="156" t="n"/>
      <c r="AF970" s="51" t="n"/>
      <c r="AG970" s="156" t="inlineStr">
        <is>
          <t>Nuevo – Carga Hoja2 01/10/2026</t>
        </is>
      </c>
      <c r="AH970" s="156" t="inlineStr">
        <is>
          <t>Alta 01/10/2026 desde Hoja2 (fila 1006); Precio de compra en 0/vacío en origen; Precio de venta en 0/vacío en origen</t>
        </is>
      </c>
      <c r="AI970" s="156" t="n"/>
      <c r="AJ970" s="156" t="n"/>
      <c r="AK970" s="155" t="inlineStr">
        <is>
          <t>Hoja2: fila 1006</t>
        </is>
      </c>
      <c r="AL970" s="58" t="n"/>
      <c r="AM970" s="58" t="n"/>
      <c r="AN970" s="155" t="n"/>
      <c r="AO970" s="59" t="n"/>
      <c r="AP970" s="59" t="n"/>
      <c r="AQ970" s="59" t="n"/>
      <c r="AR970" s="155" t="n"/>
    </row>
    <row r="971">
      <c r="A971" s="50" t="inlineStr">
        <is>
          <t>717019691876</t>
        </is>
      </c>
      <c r="B971" s="51" t="n"/>
      <c r="C971" s="156" t="inlineStr">
        <is>
          <t>Wrangler</t>
        </is>
      </c>
      <c r="D971" s="156" t="inlineStr">
        <is>
          <t>WG145G-9250JN</t>
        </is>
      </c>
      <c r="E971" s="156" t="inlineStr">
        <is>
          <t>WG145G-9250JN</t>
        </is>
      </c>
      <c r="F971" s="156" t="inlineStr">
        <is>
          <t>Talla única</t>
        </is>
      </c>
      <c r="G971" s="156" t="inlineStr">
        <is>
          <t>One Size</t>
        </is>
      </c>
      <c r="H971" s="156" t="inlineStr">
        <is>
          <t>Wrangler</t>
        </is>
      </c>
      <c r="I971" s="156" t="inlineStr">
        <is>
          <t>Bolsa Tote Cruzada Wrangler Bordada Mezclilla</t>
        </is>
      </c>
      <c r="J971" s="156" t="inlineStr">
        <is>
          <t>Accesorios</t>
        </is>
      </c>
      <c r="K971" s="156" t="inlineStr">
        <is>
          <t>Bolsos</t>
        </is>
      </c>
      <c r="L971" s="156" t="inlineStr">
        <is>
          <t>Unisex</t>
        </is>
      </c>
      <c r="M971" s="156" t="inlineStr">
        <is>
          <t>Wrangler</t>
        </is>
      </c>
      <c r="N971" s="156" t="n"/>
      <c r="O971" s="156" t="inlineStr">
        <is>
          <t>Core</t>
        </is>
      </c>
      <c r="P971" s="156" t="inlineStr">
        <is>
          <t>Varios</t>
        </is>
      </c>
      <c r="Q971" s="156" t="n"/>
      <c r="R971" s="156" t="n"/>
      <c r="S971" s="156" t="n"/>
      <c r="T971" s="156" t="inlineStr">
        <is>
          <t>Bolsa Tote Cruzada Wrangler. Modelo: Bordada. Color: Mezclilla. Talla única. Unisex. Referencia: WG145G-9250JN.</t>
        </is>
      </c>
      <c r="U971" s="156" t="n"/>
      <c r="V971" s="156" t="inlineStr">
        <is>
          <t>PZS</t>
        </is>
      </c>
      <c r="W971" s="51" t="inlineStr">
        <is>
          <t>53121601</t>
        </is>
      </c>
      <c r="X971" s="156" t="n"/>
      <c r="Y971" s="54" t="n"/>
      <c r="Z971" s="54" t="n"/>
      <c r="AA971" s="55">
        <f>IF(AND(A971="", B971="", E971=""), "", IF(AB971="", "Válido", IF((LEN(AB971)-LEN(SUBSTITUTE(AB971,"; ","")))/2+1&gt;(LEN(AB971)-LEN(SUBSTITUTE(AB971,"[Aviso]","")))/7, "Con Incidencias", "Válido")))</f>
        <v/>
      </c>
      <c r="AB971" s="56">
        <f>IF(AND(A971="", B971="", E971=""), "", TEXTJOIN("; ", TRUE, IF(OR(TRIM(A971&amp;"")="", ISNUMBER(SEARCH("FALTA", A971))), "UPC faltante/inválido", ""), IF(AND(A971&lt;&gt;"", IFERROR(_xlfn.XMATCH(A971,$A$2:$A$1063,0,1)&lt;&gt;_xlfn.XMATCH(A971,$A$2:$A$1063,0,-1),FALSE)), "Código de barras duplicado", ""), IF(AND(E971&lt;&gt;"", COUNTIF($E$2:$E$1063, E971)&gt;1), "SKU duplicado", ""), IF(OR(J971="", J971=""), "[Aviso] División no capturada ()", IF(ISNA(MATCH(J971, Criterios!$A$123:$A$126, 0)), "División no válida", "")), IF(OR(K971="", K971=""), "[Aviso] Categoría no capturada ()", IF(ISNA(MATCH(K971, Criterios!$A$81:$A$120, 0)), "Categoría no válida", IF(AND(J971&lt;&gt;"", J971&lt;&gt;"", J971&lt;&gt;VLOOKUP(K971, Criterios!$A$81:$B$120, 2, FALSE)), "División no coincide con Categoría", ""))), IF(OR(L971="", L971=""), "[Aviso] Género no capturado ()", IF(ISNA(MATCH(L971, Criterios!$B$123:$B$127, 0)), "Género no válido", "")), IF(OR(N971="", N971=""), "[Aviso] Temporada no capturada ()", IF(ISNA(MATCH(N971, Criterios!$C$123:$C$128, 0)), "Temporada no válida", "")), IF(OR(O971="", O971=""), "[Aviso] Ciclo de vida no capturado ()", IF(ISNA(MATCH(O971, Criterios!$D$123:$D$124, 0)), "Ciclo de vida no válido", ""))))</f>
        <v/>
      </c>
      <c r="AC971" s="56" t="n"/>
      <c r="AD971" s="51" t="n"/>
      <c r="AE971" s="156" t="n"/>
      <c r="AF971" s="51" t="n"/>
      <c r="AG971" s="156" t="inlineStr">
        <is>
          <t>Nuevo – Carga Hoja2 01/10/2026</t>
        </is>
      </c>
      <c r="AH971" s="156" t="inlineStr">
        <is>
          <t>Alta 01/10/2026 desde Hoja2 (fila 1007); Precio de compra en 0/vacío en origen; Precio de venta en 0/vacío en origen</t>
        </is>
      </c>
      <c r="AI971" s="156" t="n"/>
      <c r="AJ971" s="156" t="n"/>
      <c r="AK971" s="155" t="inlineStr">
        <is>
          <t>Hoja2: fila 1007</t>
        </is>
      </c>
      <c r="AL971" s="58" t="n"/>
      <c r="AM971" s="58" t="n"/>
      <c r="AN971" s="155" t="n"/>
      <c r="AO971" s="59" t="n"/>
      <c r="AP971" s="59" t="n"/>
      <c r="AQ971" s="59" t="n"/>
      <c r="AR971" s="155" t="n"/>
    </row>
    <row r="972">
      <c r="A972" s="50" t="inlineStr">
        <is>
          <t>717019745005</t>
        </is>
      </c>
      <c r="B972" s="51" t="n"/>
      <c r="C972" s="156" t="inlineStr">
        <is>
          <t>Wrangler</t>
        </is>
      </c>
      <c r="D972" s="156" t="inlineStr">
        <is>
          <t>WG70S-8120DGN</t>
        </is>
      </c>
      <c r="E972" s="156" t="inlineStr">
        <is>
          <t>WG70S-8120DGN</t>
        </is>
      </c>
      <c r="F972" s="156" t="inlineStr">
        <is>
          <t>Talla única</t>
        </is>
      </c>
      <c r="G972" s="156" t="inlineStr">
        <is>
          <t>One Size</t>
        </is>
      </c>
      <c r="H972" s="156" t="inlineStr">
        <is>
          <t>Wrangler</t>
        </is>
      </c>
      <c r="I972" s="156" t="inlineStr">
        <is>
          <t>Bolsa Wrangler Verde Oscuro</t>
        </is>
      </c>
      <c r="J972" s="156" t="inlineStr">
        <is>
          <t>Accesorios</t>
        </is>
      </c>
      <c r="K972" s="156" t="inlineStr">
        <is>
          <t>Bolsos</t>
        </is>
      </c>
      <c r="L972" s="156" t="inlineStr">
        <is>
          <t>Unisex</t>
        </is>
      </c>
      <c r="M972" s="156" t="inlineStr">
        <is>
          <t>Wrangler</t>
        </is>
      </c>
      <c r="N972" s="156" t="n"/>
      <c r="O972" s="156" t="inlineStr">
        <is>
          <t>Core</t>
        </is>
      </c>
      <c r="P972" s="156" t="inlineStr">
        <is>
          <t>Verde</t>
        </is>
      </c>
      <c r="Q972" s="156" t="n"/>
      <c r="R972" s="156" t="n"/>
      <c r="S972" s="156" t="n"/>
      <c r="T972" s="156" t="inlineStr">
        <is>
          <t>Bolsa Wrangler. Color: Verde Oscuro. Talla única. Unisex. Referencia: WG70S-8120DGN.</t>
        </is>
      </c>
      <c r="U972" s="156" t="n"/>
      <c r="V972" s="156" t="inlineStr">
        <is>
          <t>PZS</t>
        </is>
      </c>
      <c r="W972" s="51" t="inlineStr">
        <is>
          <t>53121601</t>
        </is>
      </c>
      <c r="X972" s="156" t="n"/>
      <c r="Y972" s="54" t="n"/>
      <c r="Z972" s="54" t="n">
        <v>499</v>
      </c>
      <c r="AA972" s="55">
        <f>IF(AND(A972="", B972="", E972=""), "", IF(AB972="", "Válido", IF((LEN(AB972)-LEN(SUBSTITUTE(AB972,"; ","")))/2+1&gt;(LEN(AB972)-LEN(SUBSTITUTE(AB972,"[Aviso]","")))/7, "Con Incidencias", "Válido")))</f>
        <v/>
      </c>
      <c r="AB972" s="56">
        <f>IF(AND(A972="", B972="", E972=""), "", TEXTJOIN("; ", TRUE, IF(OR(TRIM(A972&amp;"")="", ISNUMBER(SEARCH("FALTA", A972))), "UPC faltante/inválido", ""), IF(AND(A972&lt;&gt;"", IFERROR(_xlfn.XMATCH(A972,$A$2:$A$1063,0,1)&lt;&gt;_xlfn.XMATCH(A972,$A$2:$A$1063,0,-1),FALSE)), "Código de barras duplicado", ""), IF(AND(E972&lt;&gt;"", COUNTIF($E$2:$E$1063, E972)&gt;1), "SKU duplicado", ""), IF(OR(J972="", J972=""), "[Aviso] División no capturada ()", IF(ISNA(MATCH(J972, Criterios!$A$123:$A$126, 0)), "División no válida", "")), IF(OR(K972="", K972=""), "[Aviso] Categoría no capturada ()", IF(ISNA(MATCH(K972, Criterios!$A$81:$A$120, 0)), "Categoría no válida", IF(AND(J972&lt;&gt;"", J972&lt;&gt;"", J972&lt;&gt;VLOOKUP(K972, Criterios!$A$81:$B$120, 2, FALSE)), "División no coincide con Categoría", ""))), IF(OR(L972="", L972=""), "[Aviso] Género no capturado ()", IF(ISNA(MATCH(L972, Criterios!$B$123:$B$127, 0)), "Género no válido", "")), IF(OR(N972="", N972=""), "[Aviso] Temporada no capturada ()", IF(ISNA(MATCH(N972, Criterios!$C$123:$C$128, 0)), "Temporada no válida", "")), IF(OR(O972="", O972=""), "[Aviso] Ciclo de vida no capturado ()", IF(ISNA(MATCH(O972, Criterios!$D$123:$D$124, 0)), "Ciclo de vida no válido", ""))))</f>
        <v/>
      </c>
      <c r="AC972" s="56" t="n"/>
      <c r="AD972" s="51" t="n"/>
      <c r="AE972" s="156" t="n"/>
      <c r="AF972" s="51" t="n"/>
      <c r="AG972" s="156" t="inlineStr">
        <is>
          <t>Nuevo – Carga Hoja2 01/10/2026</t>
        </is>
      </c>
      <c r="AH972" s="156" t="inlineStr">
        <is>
          <t>Alta 01/10/2026 desde Hoja2 (fila 1008); Precio de compra en 0/vacío en origen | Homologación G1522 06/10/2026: Validador Shopify: WB: precio con IVA no termina en 9</t>
        </is>
      </c>
      <c r="AI972" s="156" t="n"/>
      <c r="AJ972" s="156" t="n"/>
      <c r="AK972" s="155" t="inlineStr">
        <is>
          <t>Hoja2: fila 1008</t>
        </is>
      </c>
      <c r="AL972" s="58" t="n"/>
      <c r="AM972" s="58" t="n"/>
      <c r="AN972" s="155" t="n"/>
      <c r="AO972" s="59" t="n"/>
      <c r="AP972" s="59" t="n"/>
      <c r="AQ972" s="59" t="n"/>
      <c r="AR972" s="155" t="n"/>
    </row>
    <row r="973">
      <c r="A973" s="50" t="inlineStr">
        <is>
          <t>717325229534</t>
        </is>
      </c>
      <c r="B973" s="51" t="n"/>
      <c r="C973" s="156" t="inlineStr">
        <is>
          <t>Wrangler</t>
        </is>
      </c>
      <c r="D973" s="156" t="inlineStr">
        <is>
          <t>WG130-3003DPK</t>
        </is>
      </c>
      <c r="E973" s="156" t="inlineStr">
        <is>
          <t>WG130-3003DPK</t>
        </is>
      </c>
      <c r="F973" s="156" t="inlineStr">
        <is>
          <t>Talla única</t>
        </is>
      </c>
      <c r="G973" s="156" t="inlineStr">
        <is>
          <t>One Size</t>
        </is>
      </c>
      <c r="H973" s="156" t="inlineStr">
        <is>
          <t>Wrangler</t>
        </is>
      </c>
      <c r="I973" s="156" t="inlineStr">
        <is>
          <t>Bolsa Wrangler Rosa Oscuro</t>
        </is>
      </c>
      <c r="J973" s="156" t="inlineStr">
        <is>
          <t>Accesorios</t>
        </is>
      </c>
      <c r="K973" s="156" t="inlineStr">
        <is>
          <t>Bolsos</t>
        </is>
      </c>
      <c r="L973" s="156" t="inlineStr">
        <is>
          <t>Unisex</t>
        </is>
      </c>
      <c r="M973" s="156" t="inlineStr">
        <is>
          <t>Wrangler</t>
        </is>
      </c>
      <c r="N973" s="156" t="n"/>
      <c r="O973" s="156" t="inlineStr">
        <is>
          <t>Core</t>
        </is>
      </c>
      <c r="P973" s="156" t="inlineStr">
        <is>
          <t>Rosa</t>
        </is>
      </c>
      <c r="Q973" s="156" t="n"/>
      <c r="R973" s="156" t="n"/>
      <c r="S973" s="156" t="n"/>
      <c r="T973" s="156" t="inlineStr">
        <is>
          <t>Bolsa Wrangler. Color: Rosa Oscuro. Talla única. Unisex. Referencia: WG130-3003DPK.</t>
        </is>
      </c>
      <c r="U973" s="156" t="n"/>
      <c r="V973" s="156" t="inlineStr">
        <is>
          <t>PZS</t>
        </is>
      </c>
      <c r="W973" s="51" t="inlineStr">
        <is>
          <t>53121601</t>
        </is>
      </c>
      <c r="X973" s="156" t="inlineStr">
        <is>
          <t>https://cdn.shopify.com/s/files/1/0005/9015/1741/files/Wrangler_Aztce_Dual_Sided_Print_Crossbody_Purse_Dark_Pink3.webp?v=1750662807</t>
        </is>
      </c>
      <c r="Y973" s="54" t="n"/>
      <c r="Z973" s="54" t="n">
        <v>609</v>
      </c>
      <c r="AA973" s="55">
        <f>IF(AND(A973="", B973="", E973=""), "", IF(AB973="", "Válido", IF((LEN(AB973)-LEN(SUBSTITUTE(AB973,"; ","")))/2+1&gt;(LEN(AB973)-LEN(SUBSTITUTE(AB973,"[Aviso]","")))/7, "Con Incidencias", "Válido")))</f>
        <v/>
      </c>
      <c r="AB973" s="56">
        <f>IF(AND(A973="", B973="", E973=""), "", TEXTJOIN("; ", TRUE, IF(OR(TRIM(A973&amp;"")="", ISNUMBER(SEARCH("FALTA", A973))), "UPC faltante/inválido", ""), IF(AND(A973&lt;&gt;"", IFERROR(_xlfn.XMATCH(A973,$A$2:$A$1063,0,1)&lt;&gt;_xlfn.XMATCH(A973,$A$2:$A$1063,0,-1),FALSE)), "Código de barras duplicado", ""), IF(AND(E973&lt;&gt;"", COUNTIF($E$2:$E$1063, E973)&gt;1), "SKU duplicado", ""), IF(OR(J973="", J973=""), "[Aviso] División no capturada ()", IF(ISNA(MATCH(J973, Criterios!$A$123:$A$126, 0)), "División no válida", "")), IF(OR(K973="", K973=""), "[Aviso] Categoría no capturada ()", IF(ISNA(MATCH(K973, Criterios!$A$81:$A$120, 0)), "Categoría no válida", IF(AND(J973&lt;&gt;"", J973&lt;&gt;"", J973&lt;&gt;VLOOKUP(K973, Criterios!$A$81:$B$120, 2, FALSE)), "División no coincide con Categoría", ""))), IF(OR(L973="", L973=""), "[Aviso] Género no capturado ()", IF(ISNA(MATCH(L973, Criterios!$B$123:$B$127, 0)), "Género no válido", "")), IF(OR(N973="", N973=""), "[Aviso] Temporada no capturada ()", IF(ISNA(MATCH(N973, Criterios!$C$123:$C$128, 0)), "Temporada no válida", "")), IF(OR(O973="", O973=""), "[Aviso] Ciclo de vida no capturado ()", IF(ISNA(MATCH(O973, Criterios!$D$123:$D$124, 0)), "Ciclo de vida no válido", ""))))</f>
        <v/>
      </c>
      <c r="AC973" s="56" t="n"/>
      <c r="AD973" s="51" t="n"/>
      <c r="AE973" s="156" t="n"/>
      <c r="AF973" s="51" t="n"/>
      <c r="AG973" s="156" t="inlineStr">
        <is>
          <t>Nuevo – Carga Hoja2 01/10/2026</t>
        </is>
      </c>
      <c r="AH973" s="156" t="inlineStr">
        <is>
          <t>Alta 01/10/2026 desde Hoja2 (fila 1009); Precio de compra en 0/vacío en origen | Homologación G1522 06/10/2026: Enlace de imagen: «» → «https://cdn.shopify.com/s/files/1/0005/9015/1741/files/Wrangler_Aztce_Dual_Sided_Print_Crossbody_Purse_Dark_Pink3.webp?v=1750662807» (Completado por investigación en línea) · Validador Shopify: WB: precio con IVA no termina en 9</t>
        </is>
      </c>
      <c r="AI973" s="156" t="n"/>
      <c r="AJ973" s="156" t="n"/>
      <c r="AK973" s="155" t="inlineStr">
        <is>
          <t>Hoja2: fila 1009 | Investigación en línea 06/10/2026: https://montanawestworld.com/products/wrangler-aztce-dual-sided-print-crossbody-purse</t>
        </is>
      </c>
      <c r="AL973" s="58" t="n"/>
      <c r="AM973" s="58" t="n"/>
      <c r="AN973" s="155" t="n"/>
      <c r="AO973" s="59" t="n"/>
      <c r="AP973" s="59" t="n"/>
      <c r="AQ973" s="59" t="n"/>
      <c r="AR973" s="155" t="n"/>
    </row>
    <row r="974">
      <c r="A974" s="50" t="inlineStr">
        <is>
          <t>717690427740</t>
        </is>
      </c>
      <c r="B974" s="51" t="n"/>
      <c r="C974" s="156" t="inlineStr">
        <is>
          <t>Wrangler</t>
        </is>
      </c>
      <c r="D974" s="156" t="inlineStr">
        <is>
          <t>WG145G-8300RD</t>
        </is>
      </c>
      <c r="E974" s="156" t="inlineStr">
        <is>
          <t>WG145G-8300RD</t>
        </is>
      </c>
      <c r="F974" s="156" t="inlineStr">
        <is>
          <t>Talla única</t>
        </is>
      </c>
      <c r="G974" s="156" t="inlineStr">
        <is>
          <t>One Size</t>
        </is>
      </c>
      <c r="H974" s="156" t="inlineStr">
        <is>
          <t>Wrangler</t>
        </is>
      </c>
      <c r="I974" s="156" t="inlineStr">
        <is>
          <t>Bolsa Tote Cruzada Wrangler Bordada Trapezoidal Con Compartimento Oculto Rojo</t>
        </is>
      </c>
      <c r="J974" s="156" t="inlineStr">
        <is>
          <t>Accesorios</t>
        </is>
      </c>
      <c r="K974" s="156" t="inlineStr">
        <is>
          <t>Bolsos</t>
        </is>
      </c>
      <c r="L974" s="156" t="inlineStr">
        <is>
          <t>Unisex</t>
        </is>
      </c>
      <c r="M974" s="156" t="inlineStr">
        <is>
          <t>Wrangler</t>
        </is>
      </c>
      <c r="N974" s="156" t="n"/>
      <c r="O974" s="156" t="inlineStr">
        <is>
          <t>Core</t>
        </is>
      </c>
      <c r="P974" s="156" t="inlineStr">
        <is>
          <t>Rojo</t>
        </is>
      </c>
      <c r="Q974" s="156" t="n"/>
      <c r="R974" s="156" t="n"/>
      <c r="S974" s="156" t="n"/>
      <c r="T974" s="156" t="inlineStr">
        <is>
          <t>Bolsa Tote Cruzada Wrangler. Modelo: Bordada Trapezoidal Con Compartimento Oculto. Color: Rojo. Talla única. Unisex. Referencia: WG145G-8300RD.</t>
        </is>
      </c>
      <c r="U974" s="156" t="n"/>
      <c r="V974" s="156" t="inlineStr">
        <is>
          <t>PZS</t>
        </is>
      </c>
      <c r="W974" s="51" t="inlineStr">
        <is>
          <t>53121601</t>
        </is>
      </c>
      <c r="X974" s="156" t="n"/>
      <c r="Y974" s="54" t="n"/>
      <c r="Z974" s="54" t="n">
        <v>829</v>
      </c>
      <c r="AA974" s="55">
        <f>IF(AND(A974="", B974="", E974=""), "", IF(AB974="", "Válido", IF((LEN(AB974)-LEN(SUBSTITUTE(AB974,"; ","")))/2+1&gt;(LEN(AB974)-LEN(SUBSTITUTE(AB974,"[Aviso]","")))/7, "Con Incidencias", "Válido")))</f>
        <v/>
      </c>
      <c r="AB974" s="56">
        <f>IF(AND(A974="", B974="", E974=""), "", TEXTJOIN("; ", TRUE, IF(OR(TRIM(A974&amp;"")="", ISNUMBER(SEARCH("FALTA", A974))), "UPC faltante/inválido", ""), IF(AND(A974&lt;&gt;"", IFERROR(_xlfn.XMATCH(A974,$A$2:$A$1063,0,1)&lt;&gt;_xlfn.XMATCH(A974,$A$2:$A$1063,0,-1),FALSE)), "Código de barras duplicado", ""), IF(AND(E974&lt;&gt;"", COUNTIF($E$2:$E$1063, E974)&gt;1), "SKU duplicado", ""), IF(OR(J974="", J974=""), "[Aviso] División no capturada ()", IF(ISNA(MATCH(J974, Criterios!$A$123:$A$126, 0)), "División no válida", "")), IF(OR(K974="", K974=""), "[Aviso] Categoría no capturada ()", IF(ISNA(MATCH(K974, Criterios!$A$81:$A$120, 0)), "Categoría no válida", IF(AND(J974&lt;&gt;"", J974&lt;&gt;"", J974&lt;&gt;VLOOKUP(K974, Criterios!$A$81:$B$120, 2, FALSE)), "División no coincide con Categoría", ""))), IF(OR(L974="", L974=""), "[Aviso] Género no capturado ()", IF(ISNA(MATCH(L974, Criterios!$B$123:$B$127, 0)), "Género no válido", "")), IF(OR(N974="", N974=""), "[Aviso] Temporada no capturada ()", IF(ISNA(MATCH(N974, Criterios!$C$123:$C$128, 0)), "Temporada no válida", "")), IF(OR(O974="", O974=""), "[Aviso] Ciclo de vida no capturado ()", IF(ISNA(MATCH(O974, Criterios!$D$123:$D$124, 0)), "Ciclo de vida no válido", ""))))</f>
        <v/>
      </c>
      <c r="AC974" s="56" t="n"/>
      <c r="AD974" s="51" t="n"/>
      <c r="AE974" s="156" t="n"/>
      <c r="AF974" s="51" t="n"/>
      <c r="AG974" s="156" t="inlineStr">
        <is>
          <t>Nuevo – Carga Hoja2 01/10/2026</t>
        </is>
      </c>
      <c r="AH974" s="156" t="inlineStr">
        <is>
          <t>Alta 01/10/2026 desde Hoja2 (fila 1010); Precio de compra en 0/vacío en origen | Homologación G1522 06/10/2026: Validador Shopify: WB: precio con IVA no termina en 9</t>
        </is>
      </c>
      <c r="AI974" s="156" t="n"/>
      <c r="AJ974" s="156" t="n"/>
      <c r="AK974" s="155" t="inlineStr">
        <is>
          <t>Hoja2: fila 1010</t>
        </is>
      </c>
      <c r="AL974" s="58" t="n"/>
      <c r="AM974" s="58" t="n"/>
      <c r="AN974" s="155" t="n"/>
      <c r="AO974" s="59" t="n"/>
      <c r="AP974" s="59" t="n"/>
      <c r="AQ974" s="59" t="n"/>
      <c r="AR974" s="155" t="n"/>
    </row>
    <row r="975">
      <c r="A975" s="50" t="inlineStr">
        <is>
          <t>717690431150</t>
        </is>
      </c>
      <c r="B975" s="51" t="n"/>
      <c r="C975" s="156" t="inlineStr">
        <is>
          <t>Wrangler</t>
        </is>
      </c>
      <c r="D975" s="156" t="inlineStr">
        <is>
          <t>WG218-W068BK</t>
        </is>
      </c>
      <c r="E975" s="156" t="inlineStr">
        <is>
          <t>WG218-W068BK</t>
        </is>
      </c>
      <c r="F975" s="156" t="inlineStr">
        <is>
          <t>Talla única</t>
        </is>
      </c>
      <c r="G975" s="156" t="inlineStr">
        <is>
          <t>One Size</t>
        </is>
      </c>
      <c r="H975" s="156" t="inlineStr">
        <is>
          <t>Wrangler</t>
        </is>
      </c>
      <c r="I975" s="156" t="inlineStr">
        <is>
          <t>Cartera Muñequera Wrangler Bordada Azteca Negro</t>
        </is>
      </c>
      <c r="J975" s="156" t="inlineStr">
        <is>
          <t>Accesorios</t>
        </is>
      </c>
      <c r="K975" s="156" t="inlineStr">
        <is>
          <t>Carteras</t>
        </is>
      </c>
      <c r="L975" s="156" t="inlineStr">
        <is>
          <t>Unisex</t>
        </is>
      </c>
      <c r="M975" s="156" t="inlineStr">
        <is>
          <t>Wrangler</t>
        </is>
      </c>
      <c r="N975" s="156" t="n"/>
      <c r="O975" s="156" t="inlineStr">
        <is>
          <t>Core</t>
        </is>
      </c>
      <c r="P975" s="156" t="inlineStr">
        <is>
          <t>Negro</t>
        </is>
      </c>
      <c r="Q975" s="156" t="n"/>
      <c r="R975" s="156" t="n"/>
      <c r="S975" s="156" t="n"/>
      <c r="T975" s="156" t="inlineStr">
        <is>
          <t>Cartera Muñequera Wrangler. Modelo: Bordada Azteca. Color: Negro. Talla única. Unisex. Referencia: WG218-W068BK.</t>
        </is>
      </c>
      <c r="U975" s="156" t="n"/>
      <c r="V975" s="156" t="inlineStr">
        <is>
          <t>PZS</t>
        </is>
      </c>
      <c r="W975" s="51" t="inlineStr">
        <is>
          <t>53121700</t>
        </is>
      </c>
      <c r="X975" s="156" t="n"/>
      <c r="Y975" s="54" t="n"/>
      <c r="Z975" s="54" t="n">
        <v>449</v>
      </c>
      <c r="AA975" s="55">
        <f>IF(AND(A975="", B975="", E975=""), "", IF(AB975="", "Válido", IF((LEN(AB975)-LEN(SUBSTITUTE(AB975,"; ","")))/2+1&gt;(LEN(AB975)-LEN(SUBSTITUTE(AB975,"[Aviso]","")))/7, "Con Incidencias", "Válido")))</f>
        <v/>
      </c>
      <c r="AB975" s="56">
        <f>IF(AND(A975="", B975="", E975=""), "", TEXTJOIN("; ", TRUE, IF(OR(TRIM(A975&amp;"")="", ISNUMBER(SEARCH("FALTA", A975))), "UPC faltante/inválido", ""), IF(AND(A975&lt;&gt;"", IFERROR(_xlfn.XMATCH(A975,$A$2:$A$1063,0,1)&lt;&gt;_xlfn.XMATCH(A975,$A$2:$A$1063,0,-1),FALSE)), "Código de barras duplicado", ""), IF(AND(E975&lt;&gt;"", COUNTIF($E$2:$E$1063, E975)&gt;1), "SKU duplicado", ""), IF(OR(J975="", J975=""), "[Aviso] División no capturada ()", IF(ISNA(MATCH(J975, Criterios!$A$123:$A$126, 0)), "División no válida", "")), IF(OR(K975="", K975=""), "[Aviso] Categoría no capturada ()", IF(ISNA(MATCH(K975, Criterios!$A$81:$A$120, 0)), "Categoría no válida", IF(AND(J975&lt;&gt;"", J975&lt;&gt;"", J975&lt;&gt;VLOOKUP(K975, Criterios!$A$81:$B$120, 2, FALSE)), "División no coincide con Categoría", ""))), IF(OR(L975="", L975=""), "[Aviso] Género no capturado ()", IF(ISNA(MATCH(L975, Criterios!$B$123:$B$127, 0)), "Género no válido", "")), IF(OR(N975="", N975=""), "[Aviso] Temporada no capturada ()", IF(ISNA(MATCH(N975, Criterios!$C$123:$C$128, 0)), "Temporada no válida", "")), IF(OR(O975="", O975=""), "[Aviso] Ciclo de vida no capturado ()", IF(ISNA(MATCH(O975, Criterios!$D$123:$D$124, 0)), "Ciclo de vida no válido", ""))))</f>
        <v/>
      </c>
      <c r="AC975" s="56" t="n"/>
      <c r="AD975" s="51" t="n"/>
      <c r="AE975" s="156" t="n"/>
      <c r="AF975" s="51" t="n"/>
      <c r="AG975" s="156" t="inlineStr">
        <is>
          <t>Nuevo – Carga Hoja2 01/10/2026</t>
        </is>
      </c>
      <c r="AH975" s="156" t="inlineStr">
        <is>
          <t>Alta 01/10/2026 desde Hoja2 (fila 1011); Precio de compra en 0/vacío en origen | Homologación G1522 06/10/2026: Validador Shopify: WB: precio con IVA no termina en 9</t>
        </is>
      </c>
      <c r="AI975" s="156" t="n"/>
      <c r="AJ975" s="156" t="n"/>
      <c r="AK975" s="155" t="inlineStr">
        <is>
          <t>Hoja2: fila 1011 | Odoo: producto 27578 / plantilla 34278</t>
        </is>
      </c>
      <c r="AL975" s="58" t="n"/>
      <c r="AM975" s="58" t="n"/>
      <c r="AN975" s="155" t="inlineStr">
        <is>
          <t>Odoo Universal Unique Brands</t>
        </is>
      </c>
      <c r="AO975" s="59" t="n"/>
      <c r="AP975" s="59" t="n"/>
      <c r="AQ975" s="59" t="n">
        <v>-13</v>
      </c>
      <c r="AR975" s="155" t="n"/>
    </row>
    <row r="976">
      <c r="A976" s="50" t="inlineStr">
        <is>
          <t>717690433918</t>
        </is>
      </c>
      <c r="B976" s="51" t="n"/>
      <c r="C976" s="156" t="inlineStr">
        <is>
          <t>Wrangler</t>
        </is>
      </c>
      <c r="D976" s="156" t="inlineStr">
        <is>
          <t>WG226G-8119BG</t>
        </is>
      </c>
      <c r="E976" s="156" t="inlineStr">
        <is>
          <t>WG226G-8119BG</t>
        </is>
      </c>
      <c r="F976" s="156" t="inlineStr">
        <is>
          <t>Talla única</t>
        </is>
      </c>
      <c r="G976" s="156" t="inlineStr">
        <is>
          <t>One Size</t>
        </is>
      </c>
      <c r="H976" s="156" t="inlineStr">
        <is>
          <t>Wrangler</t>
        </is>
      </c>
      <c r="I976" s="156" t="inlineStr">
        <is>
          <t>Bolsa Tote Grande Wrangler Estampado Grabado Patrón Azteca Vintage Con Compartimento Oculto Beige</t>
        </is>
      </c>
      <c r="J976" s="156" t="inlineStr">
        <is>
          <t>Accesorios</t>
        </is>
      </c>
      <c r="K976" s="156" t="inlineStr">
        <is>
          <t>Bolsos</t>
        </is>
      </c>
      <c r="L976" s="156" t="inlineStr">
        <is>
          <t>Unisex</t>
        </is>
      </c>
      <c r="M976" s="156" t="inlineStr">
        <is>
          <t>Wrangler</t>
        </is>
      </c>
      <c r="N976" s="156" t="n"/>
      <c r="O976" s="156" t="inlineStr">
        <is>
          <t>Core</t>
        </is>
      </c>
      <c r="P976" s="156" t="inlineStr">
        <is>
          <t>Beige</t>
        </is>
      </c>
      <c r="Q976" s="156" t="n"/>
      <c r="R976" s="156" t="n"/>
      <c r="S976" s="156" t="n"/>
      <c r="T976" s="156" t="inlineStr">
        <is>
          <t>Bolsa Tote Grande Wrangler. Modelo: Estampado Grabado Patrón Azteca Vintage Con Compartimento Oculto. Color: Beige. Talla única. Unisex. Referencia: WG226G-8119BG.</t>
        </is>
      </c>
      <c r="U976" s="156" t="n"/>
      <c r="V976" s="156" t="inlineStr">
        <is>
          <t>PZS</t>
        </is>
      </c>
      <c r="W976" s="51" t="inlineStr">
        <is>
          <t>53121601</t>
        </is>
      </c>
      <c r="X976" s="156" t="n"/>
      <c r="Y976" s="54" t="n"/>
      <c r="Z976" s="54" t="n"/>
      <c r="AA976" s="55">
        <f>IF(AND(A976="", B976="", E976=""), "", IF(AB976="", "Válido", IF((LEN(AB976)-LEN(SUBSTITUTE(AB976,"; ","")))/2+1&gt;(LEN(AB976)-LEN(SUBSTITUTE(AB976,"[Aviso]","")))/7, "Con Incidencias", "Válido")))</f>
        <v/>
      </c>
      <c r="AB976" s="56">
        <f>IF(AND(A976="", B976="", E976=""), "", TEXTJOIN("; ", TRUE, IF(OR(TRIM(A976&amp;"")="", ISNUMBER(SEARCH("FALTA", A976))), "UPC faltante/inválido", ""), IF(AND(A976&lt;&gt;"", IFERROR(_xlfn.XMATCH(A976,$A$2:$A$1063,0,1)&lt;&gt;_xlfn.XMATCH(A976,$A$2:$A$1063,0,-1),FALSE)), "Código de barras duplicado", ""), IF(AND(E976&lt;&gt;"", COUNTIF($E$2:$E$1063, E976)&gt;1), "SKU duplicado", ""), IF(OR(J976="", J976=""), "[Aviso] División no capturada ()", IF(ISNA(MATCH(J976, Criterios!$A$123:$A$126, 0)), "División no válida", "")), IF(OR(K976="", K976=""), "[Aviso] Categoría no capturada ()", IF(ISNA(MATCH(K976, Criterios!$A$81:$A$120, 0)), "Categoría no válida", IF(AND(J976&lt;&gt;"", J976&lt;&gt;"", J976&lt;&gt;VLOOKUP(K976, Criterios!$A$81:$B$120, 2, FALSE)), "División no coincide con Categoría", ""))), IF(OR(L976="", L976=""), "[Aviso] Género no capturado ()", IF(ISNA(MATCH(L976, Criterios!$B$123:$B$127, 0)), "Género no válido", "")), IF(OR(N976="", N976=""), "[Aviso] Temporada no capturada ()", IF(ISNA(MATCH(N976, Criterios!$C$123:$C$128, 0)), "Temporada no válida", "")), IF(OR(O976="", O976=""), "[Aviso] Ciclo de vida no capturado ()", IF(ISNA(MATCH(O976, Criterios!$D$123:$D$124, 0)), "Ciclo de vida no válido", ""))))</f>
        <v/>
      </c>
      <c r="AC976" s="56" t="n"/>
      <c r="AD976" s="51" t="n"/>
      <c r="AE976" s="156" t="n"/>
      <c r="AF976" s="51" t="n"/>
      <c r="AG976" s="156" t="inlineStr">
        <is>
          <t>Nuevo – Carga Hoja2 01/10/2026</t>
        </is>
      </c>
      <c r="AH976" s="156" t="inlineStr">
        <is>
          <t>Alta 01/10/2026 desde Hoja2 (fila 1012); Precio de compra en 0/vacío en origen; Precio de venta en 0/vacío en origen</t>
        </is>
      </c>
      <c r="AI976" s="156" t="n"/>
      <c r="AJ976" s="156" t="n"/>
      <c r="AK976" s="155" t="inlineStr">
        <is>
          <t>Hoja2: fila 1012</t>
        </is>
      </c>
      <c r="AL976" s="58" t="n"/>
      <c r="AM976" s="58" t="n"/>
      <c r="AN976" s="155" t="n"/>
      <c r="AO976" s="59" t="n"/>
      <c r="AP976" s="59" t="n"/>
      <c r="AQ976" s="59" t="n"/>
      <c r="AR976" s="155" t="n"/>
    </row>
    <row r="977">
      <c r="A977" s="50" t="inlineStr">
        <is>
          <t>717690434670</t>
        </is>
      </c>
      <c r="B977" s="51" t="n"/>
      <c r="C977" s="156" t="inlineStr">
        <is>
          <t>Wrangler</t>
        </is>
      </c>
      <c r="D977" s="156" t="inlineStr">
        <is>
          <t>WG226-8120SBG</t>
        </is>
      </c>
      <c r="E977" s="156" t="inlineStr">
        <is>
          <t>WG226-8120SBG</t>
        </is>
      </c>
      <c r="F977" s="156" t="inlineStr">
        <is>
          <t>Talla única</t>
        </is>
      </c>
      <c r="G977" s="156" t="inlineStr">
        <is>
          <t>One Size</t>
        </is>
      </c>
      <c r="H977" s="156" t="inlineStr">
        <is>
          <t>Wrangler</t>
        </is>
      </c>
      <c r="I977" s="156" t="inlineStr">
        <is>
          <t>Bolsa Wrangler Beige</t>
        </is>
      </c>
      <c r="J977" s="156" t="inlineStr">
        <is>
          <t>Accesorios</t>
        </is>
      </c>
      <c r="K977" s="156" t="inlineStr">
        <is>
          <t>Bolsos</t>
        </is>
      </c>
      <c r="L977" s="156" t="inlineStr">
        <is>
          <t>Unisex</t>
        </is>
      </c>
      <c r="M977" s="156" t="inlineStr">
        <is>
          <t>Wrangler</t>
        </is>
      </c>
      <c r="N977" s="156" t="n"/>
      <c r="O977" s="156" t="inlineStr">
        <is>
          <t>Core</t>
        </is>
      </c>
      <c r="P977" s="156" t="inlineStr">
        <is>
          <t>Beige</t>
        </is>
      </c>
      <c r="Q977" s="156" t="n"/>
      <c r="R977" s="156" t="n"/>
      <c r="S977" s="156" t="n"/>
      <c r="T977" s="156" t="inlineStr">
        <is>
          <t>Bolsa Wrangler. Color: Beige. Talla única. Unisex. Referencia: WG226-8120SBG.</t>
        </is>
      </c>
      <c r="U977" s="156" t="n"/>
      <c r="V977" s="156" t="inlineStr">
        <is>
          <t>PZS</t>
        </is>
      </c>
      <c r="W977" s="51" t="inlineStr">
        <is>
          <t>53121601</t>
        </is>
      </c>
      <c r="X977" s="156" t="n"/>
      <c r="Y977" s="54" t="n"/>
      <c r="Z977" s="54" t="n">
        <v>1</v>
      </c>
      <c r="AA977" s="55">
        <f>IF(AND(A977="", B977="", E977=""), "", IF(AB977="", "Válido", IF((LEN(AB977)-LEN(SUBSTITUTE(AB977,"; ","")))/2+1&gt;(LEN(AB977)-LEN(SUBSTITUTE(AB977,"[Aviso]","")))/7, "Con Incidencias", "Válido")))</f>
        <v/>
      </c>
      <c r="AB977" s="56">
        <f>IF(AND(A977="", B977="", E977=""), "", TEXTJOIN("; ", TRUE, IF(OR(TRIM(A977&amp;"")="", ISNUMBER(SEARCH("FALTA", A977))), "UPC faltante/inválido", ""), IF(AND(A977&lt;&gt;"", IFERROR(_xlfn.XMATCH(A977,$A$2:$A$1063,0,1)&lt;&gt;_xlfn.XMATCH(A977,$A$2:$A$1063,0,-1),FALSE)), "Código de barras duplicado", ""), IF(AND(E977&lt;&gt;"", COUNTIF($E$2:$E$1063, E977)&gt;1), "SKU duplicado", ""), IF(OR(J977="", J977=""), "[Aviso] División no capturada ()", IF(ISNA(MATCH(J977, Criterios!$A$123:$A$126, 0)), "División no válida", "")), IF(OR(K977="", K977=""), "[Aviso] Categoría no capturada ()", IF(ISNA(MATCH(K977, Criterios!$A$81:$A$120, 0)), "Categoría no válida", IF(AND(J977&lt;&gt;"", J977&lt;&gt;"", J977&lt;&gt;VLOOKUP(K977, Criterios!$A$81:$B$120, 2, FALSE)), "División no coincide con Categoría", ""))), IF(OR(L977="", L977=""), "[Aviso] Género no capturado ()", IF(ISNA(MATCH(L977, Criterios!$B$123:$B$127, 0)), "Género no válido", "")), IF(OR(N977="", N977=""), "[Aviso] Temporada no capturada ()", IF(ISNA(MATCH(N977, Criterios!$C$123:$C$128, 0)), "Temporada no válida", "")), IF(OR(O977="", O977=""), "[Aviso] Ciclo de vida no capturado ()", IF(ISNA(MATCH(O977, Criterios!$D$123:$D$124, 0)), "Ciclo de vida no válido", ""))))</f>
        <v/>
      </c>
      <c r="AC977" s="56" t="n"/>
      <c r="AD977" s="51" t="n"/>
      <c r="AE977" s="156" t="n"/>
      <c r="AF977" s="51" t="n"/>
      <c r="AG977" s="156" t="inlineStr">
        <is>
          <t>Nuevo – Carga Hoja2 01/10/2026</t>
        </is>
      </c>
      <c r="AH977" s="156" t="inlineStr">
        <is>
          <t>Alta 01/10/2026 desde Hoja2 (fila 1013); Precio de compra en 0/vacío en origen; Precio de venta = 1 en origen (posible precio de prueba): validar | Homologación G1522 06/10/2026: Validador Shopify: WB: precio con IVA no termina en 9</t>
        </is>
      </c>
      <c r="AI977" s="156" t="n"/>
      <c r="AJ977" s="156" t="n"/>
      <c r="AK977" s="155" t="inlineStr">
        <is>
          <t>Hoja2: fila 1013</t>
        </is>
      </c>
      <c r="AL977" s="58" t="n"/>
      <c r="AM977" s="58" t="n"/>
      <c r="AN977" s="155" t="n"/>
      <c r="AO977" s="59" t="n"/>
      <c r="AP977" s="59" t="n"/>
      <c r="AQ977" s="59" t="n"/>
      <c r="AR977" s="155" t="n"/>
    </row>
    <row r="978">
      <c r="A978" s="50" t="inlineStr">
        <is>
          <t>7506674602791</t>
        </is>
      </c>
      <c r="B978" s="51" t="inlineStr">
        <is>
          <t>30901</t>
        </is>
      </c>
      <c r="C978" s="156" t="inlineStr">
        <is>
          <t>Wrangler</t>
        </is>
      </c>
      <c r="D978" s="156" t="inlineStr">
        <is>
          <t>C47572-27</t>
        </is>
      </c>
      <c r="E978" s="156" t="inlineStr">
        <is>
          <t>C47572-27-44</t>
        </is>
      </c>
      <c r="F978" s="156" t="inlineStr">
        <is>
          <t>44</t>
        </is>
      </c>
      <c r="G978" s="156" t="inlineStr">
        <is>
          <t>44</t>
        </is>
      </c>
      <c r="H978" s="156" t="inlineStr">
        <is>
          <t>Wrangler</t>
        </is>
      </c>
      <c r="I978" s="156" t="inlineStr">
        <is>
          <t>Cinturon de hombre C47572-27 Café</t>
        </is>
      </c>
      <c r="J978" s="156" t="inlineStr">
        <is>
          <t>Accesorios</t>
        </is>
      </c>
      <c r="K978" s="156" t="inlineStr">
        <is>
          <t>Cinturones</t>
        </is>
      </c>
      <c r="L978" s="156" t="inlineStr">
        <is>
          <t>Hombre</t>
        </is>
      </c>
      <c r="M978" s="156" t="inlineStr">
        <is>
          <t>Wrangler</t>
        </is>
      </c>
      <c r="N978" s="156" t="inlineStr">
        <is>
          <t>FW26</t>
        </is>
      </c>
      <c r="O978" s="156" t="n"/>
      <c r="P978" s="156" t="inlineStr">
        <is>
          <t>Cafe</t>
        </is>
      </c>
      <c r="Q978" s="156" t="n"/>
      <c r="R978" s="156" t="n"/>
      <c r="S978" s="156" t="inlineStr">
        <is>
          <t>100% PIEL VACUNO</t>
        </is>
      </c>
      <c r="T978" s="156" t="inlineStr">
        <is>
          <t>Cinturón para Caballero de Piel</t>
        </is>
      </c>
      <c r="U978" s="156" t="inlineStr">
        <is>
          <t>México</t>
        </is>
      </c>
      <c r="V978" s="156" t="inlineStr">
        <is>
          <t>PZS</t>
        </is>
      </c>
      <c r="W978" s="51" t="inlineStr">
        <is>
          <t>53102501</t>
        </is>
      </c>
      <c r="X978" s="156" t="n"/>
      <c r="Y978" s="54" t="n">
        <v>292.76</v>
      </c>
      <c r="Z978" s="54" t="n">
        <v>430.603448</v>
      </c>
      <c r="AA978" s="55">
        <f>IF(AND(A978="", B978="", E978=""), "", IF(AB978="", "Válido", IF((LEN(AB978)-LEN(SUBSTITUTE(AB978,"; ","")))/2+1&gt;(LEN(AB978)-LEN(SUBSTITUTE(AB978,"[Aviso]","")))/7, "Con Incidencias", "Válido")))</f>
        <v/>
      </c>
      <c r="AB978" s="56">
        <f>IF(AND(A978="", B978="", E978=""), "", TEXTJOIN("; ", TRUE, IF(OR(TRIM(A978&amp;"")="", ISNUMBER(SEARCH("FALTA", A978))), "UPC faltante/inválido", ""), IF(AND(A978&lt;&gt;"", IFERROR(_xlfn.XMATCH(A978,$A$2:$A$1063,0,1)&lt;&gt;_xlfn.XMATCH(A978,$A$2:$A$1063,0,-1),FALSE)), "Código de barras duplicado", ""), IF(AND(E978&lt;&gt;"", COUNTIF($E$2:$E$1063, E978)&gt;1), "SKU duplicado", ""), IF(OR(J978="", J978=""), "[Aviso] División no capturada ()", IF(ISNA(MATCH(J978, Criterios!$A$123:$A$126, 0)), "División no válida", "")), IF(OR(K978="", K978=""), "[Aviso] Categoría no capturada ()", IF(ISNA(MATCH(K978, Criterios!$A$81:$A$120, 0)), "Categoría no válida", IF(AND(J978&lt;&gt;"", J978&lt;&gt;"", J978&lt;&gt;VLOOKUP(K978, Criterios!$A$81:$B$120, 2, FALSE)), "División no coincide con Categoría", ""))), IF(OR(L978="", L978=""), "[Aviso] Género no capturado ()", IF(ISNA(MATCH(L978, Criterios!$B$123:$B$127, 0)), "Género no válido", "")), IF(OR(N978="", N978=""), "[Aviso] Temporada no capturada ()", IF(ISNA(MATCH(N978, Criterios!$C$123:$C$128, 0)), "Temporada no válida", "")), IF(OR(O978="", O978=""), "[Aviso] Ciclo de vida no capturado ()", IF(ISNA(MATCH(O978, Criterios!$D$123:$D$124, 0)), "Ciclo de vida no válido", ""))))</f>
        <v/>
      </c>
      <c r="AC978" s="56" t="n"/>
      <c r="AD978" s="51" t="n"/>
      <c r="AE978" s="156" t="n"/>
      <c r="AF978" s="51" t="n"/>
      <c r="AG978" s="156" t="inlineStr">
        <is>
          <t>Nuevo – Carga Hoja3 01/10/2026</t>
        </is>
      </c>
      <c r="AH978" s="156" t="inlineStr">
        <is>
          <t>Alta 01/10/2026 desde Hoja3 (fila 659); Mismo SKU que la fila 2496 con otro código/ID; revisar cuál es el vigente | 01/10/2026: complementado desde Odoo Universal Unique Brands (match por código de barras): WB Talla de EE. UU. | Homologación G1522 06/10/2026: WB País de origen: «Mexico» → «México» (Corrección aplicada) · WB SKU: Colisión de captura: mismo WB SKU pero estilo, talla o color distintos; corregir el valor equivocado (Requiere revisión) · Validación G1522: WB SKU duplicado · Validador NetSuite / Odoo: V4: SKU repetido · Validador Shopify: V4: SKU repetido</t>
        </is>
      </c>
      <c r="AI978" s="156" t="n"/>
      <c r="AJ978" s="156" t="n"/>
      <c r="AK978" s="155" t="inlineStr">
        <is>
          <t>Hoja3: fila 659 | Odoo: producto 30901 / plantilla 39651</t>
        </is>
      </c>
      <c r="AL978" s="58" t="n"/>
      <c r="AM978" s="58" t="n"/>
      <c r="AN978" s="155" t="inlineStr">
        <is>
          <t>Odoo Universal Unique Brands</t>
        </is>
      </c>
      <c r="AO978" s="59" t="n"/>
      <c r="AP978" s="59" t="n"/>
      <c r="AQ978" s="59" t="n">
        <v>15</v>
      </c>
      <c r="AR978" s="155" t="inlineStr">
        <is>
          <t>Odoo Universal Unique Brands › Bodega 25 › Bodega 25/General: 15</t>
        </is>
      </c>
    </row>
    <row r="979">
      <c r="A979" s="50" t="inlineStr">
        <is>
          <t>7503063066981</t>
        </is>
      </c>
      <c r="B979" s="51" t="inlineStr">
        <is>
          <t>30902</t>
        </is>
      </c>
      <c r="C979" s="156" t="inlineStr">
        <is>
          <t>Wrangler</t>
        </is>
      </c>
      <c r="D979" s="156" t="inlineStr">
        <is>
          <t>C49628-27</t>
        </is>
      </c>
      <c r="E979" s="156" t="inlineStr">
        <is>
          <t>C49628-27-32</t>
        </is>
      </c>
      <c r="F979" s="156" t="inlineStr">
        <is>
          <t>32</t>
        </is>
      </c>
      <c r="G979" s="156" t="inlineStr">
        <is>
          <t>32</t>
        </is>
      </c>
      <c r="H979" s="156" t="inlineStr">
        <is>
          <t>Wrangler</t>
        </is>
      </c>
      <c r="I979" s="156" t="inlineStr">
        <is>
          <t>Cinturon de hombre C49628-27 Café</t>
        </is>
      </c>
      <c r="J979" s="156" t="inlineStr">
        <is>
          <t>Accesorios</t>
        </is>
      </c>
      <c r="K979" s="156" t="inlineStr">
        <is>
          <t>Cinturones</t>
        </is>
      </c>
      <c r="L979" s="156" t="inlineStr">
        <is>
          <t>Hombre</t>
        </is>
      </c>
      <c r="M979" s="156" t="inlineStr">
        <is>
          <t>Wrangler</t>
        </is>
      </c>
      <c r="N979" s="156" t="inlineStr">
        <is>
          <t>FW26</t>
        </is>
      </c>
      <c r="O979" s="156" t="inlineStr">
        <is>
          <t>Seasonal</t>
        </is>
      </c>
      <c r="P979" s="156" t="inlineStr">
        <is>
          <t>Cafe</t>
        </is>
      </c>
      <c r="Q979" s="156" t="n"/>
      <c r="R979" s="156" t="n"/>
      <c r="S979" s="156" t="inlineStr">
        <is>
          <t>100% PIEL VACUNO</t>
        </is>
      </c>
      <c r="T979" s="156" t="inlineStr">
        <is>
          <t>Cinturón para Caballero de Piel</t>
        </is>
      </c>
      <c r="U979" s="156" t="inlineStr">
        <is>
          <t>México</t>
        </is>
      </c>
      <c r="V979" s="156" t="inlineStr">
        <is>
          <t>PZS</t>
        </is>
      </c>
      <c r="W979" s="51" t="inlineStr">
        <is>
          <t>53102501</t>
        </is>
      </c>
      <c r="X979" s="156" t="n"/>
      <c r="Y979" s="54" t="n">
        <v>292.76</v>
      </c>
      <c r="Z979" s="54" t="n">
        <v>365.948276</v>
      </c>
      <c r="AA979" s="55">
        <f>IF(AND(A979="", B979="", E979=""), "", IF(AB979="", "Válido", IF((LEN(AB979)-LEN(SUBSTITUTE(AB979,"; ","")))/2+1&gt;(LEN(AB979)-LEN(SUBSTITUTE(AB979,"[Aviso]","")))/7, "Con Incidencias", "Válido")))</f>
        <v/>
      </c>
      <c r="AB979" s="56">
        <f>IF(AND(A979="", B979="", E979=""), "", TEXTJOIN("; ", TRUE, IF(OR(TRIM(A979&amp;"")="", ISNUMBER(SEARCH("FALTA", A979))), "UPC faltante/inválido", ""), IF(AND(A979&lt;&gt;"", IFERROR(_xlfn.XMATCH(A979,$A$2:$A$1063,0,1)&lt;&gt;_xlfn.XMATCH(A979,$A$2:$A$1063,0,-1),FALSE)), "Código de barras duplicado", ""), IF(AND(E979&lt;&gt;"", COUNTIF($E$2:$E$1063, E979)&gt;1), "SKU duplicado", ""), IF(OR(J979="", J979=""), "[Aviso] División no capturada ()", IF(ISNA(MATCH(J979, Criterios!$A$123:$A$126, 0)), "División no válida", "")), IF(OR(K979="", K979=""), "[Aviso] Categoría no capturada ()", IF(ISNA(MATCH(K979, Criterios!$A$81:$A$120, 0)), "Categoría no válida", IF(AND(J979&lt;&gt;"", J979&lt;&gt;"", J979&lt;&gt;VLOOKUP(K979, Criterios!$A$81:$B$120, 2, FALSE)), "División no coincide con Categoría", ""))), IF(OR(L979="", L979=""), "[Aviso] Género no capturado ()", IF(ISNA(MATCH(L979, Criterios!$B$123:$B$127, 0)), "Género no válido", "")), IF(OR(N979="", N979=""), "[Aviso] Temporada no capturada ()", IF(ISNA(MATCH(N979, Criterios!$C$123:$C$128, 0)), "Temporada no válida", "")), IF(OR(O979="", O979=""), "[Aviso] Ciclo de vida no capturado ()", IF(ISNA(MATCH(O979, Criterios!$D$123:$D$124, 0)), "Ciclo de vida no válido", ""))))</f>
        <v/>
      </c>
      <c r="AC979" s="56" t="inlineStr">
        <is>
          <t>Homologación G1522: integra 1 registro(s) iguales por mismo WB SKU; códigos de barras alternos: 7506674600543</t>
        </is>
      </c>
      <c r="AD979" s="51" t="n">
        <v>1</v>
      </c>
      <c r="AE979" s="156" t="inlineStr">
        <is>
          <t>WB OUTLET LERMA (1)</t>
        </is>
      </c>
      <c r="AF979" s="51" t="n">
        <v>1</v>
      </c>
      <c r="AG979" s="156" t="inlineStr">
        <is>
          <t>Nuevo – Carga Hoja3 01/10/2026</t>
        </is>
      </c>
      <c r="AH979" s="156" t="inlineStr">
        <is>
          <t>Alta 01/10/2026 desde Hoja3 (fila 668); Mismo SKU que la fila 2483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«7506674600543» → «7503063066981» (Requiere revisión) · WB Descripcion: «Cinturón Wrangler Una Vista Casual para Hombre, Color Cafe» → «Cinturon de hombre C49628-27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79" s="156" t="n"/>
      <c r="AJ979" s="156" t="n"/>
      <c r="AK979" s="155" t="inlineStr">
        <is>
          <t>Hoja3: fila 668 | Odoo: producto 30902 / plantilla 39652; | Hoja a Revisar: fila 196026 (ID 117934, misma clave UPC); G1522_Extraccion_Articulos_NetSuite_2026-09-30.xlsx: fila 64175 [Z] | Shopify WB: producto 10310436978873 / variante 50512592928953</t>
        </is>
      </c>
      <c r="AL979" s="58" t="n"/>
      <c r="AM979" s="58" t="n"/>
      <c r="AN979" s="155" t="inlineStr">
        <is>
          <t>Odoo Universal Unique Brands; Shopify Western Brothers</t>
        </is>
      </c>
      <c r="AO979" s="59" t="n"/>
      <c r="AP979" s="59" t="n">
        <v>1</v>
      </c>
      <c r="AQ979" s="59" t="n">
        <v>5</v>
      </c>
      <c r="AR979" s="155" t="inlineStr">
        <is>
          <t>Odoo Universal Unique Brands › Bodega 25 › Bodega 25/General: 5; Shopify Western Brothers › Western Brothers Outlet Lerma: 1</t>
        </is>
      </c>
    </row>
    <row r="980">
      <c r="A980" s="50" t="inlineStr">
        <is>
          <t>7503063066998</t>
        </is>
      </c>
      <c r="B980" s="51" t="inlineStr">
        <is>
          <t>30903</t>
        </is>
      </c>
      <c r="C980" s="156" t="inlineStr">
        <is>
          <t>Wrangler</t>
        </is>
      </c>
      <c r="D980" s="156" t="inlineStr">
        <is>
          <t>C49628-27</t>
        </is>
      </c>
      <c r="E980" s="156" t="inlineStr">
        <is>
          <t>C49628-27-34</t>
        </is>
      </c>
      <c r="F980" s="156" t="inlineStr">
        <is>
          <t>34</t>
        </is>
      </c>
      <c r="G980" s="156" t="inlineStr">
        <is>
          <t>34</t>
        </is>
      </c>
      <c r="H980" s="156" t="inlineStr">
        <is>
          <t>Wrangler</t>
        </is>
      </c>
      <c r="I980" s="156" t="inlineStr">
        <is>
          <t>Cinturon de hombre C49628-27 Café</t>
        </is>
      </c>
      <c r="J980" s="156" t="inlineStr">
        <is>
          <t>Accesorios</t>
        </is>
      </c>
      <c r="K980" s="156" t="inlineStr">
        <is>
          <t>Cinturones</t>
        </is>
      </c>
      <c r="L980" s="156" t="inlineStr">
        <is>
          <t>Hombre</t>
        </is>
      </c>
      <c r="M980" s="156" t="inlineStr">
        <is>
          <t>Wrangler</t>
        </is>
      </c>
      <c r="N980" s="156" t="inlineStr">
        <is>
          <t>FW26</t>
        </is>
      </c>
      <c r="O980" s="156" t="inlineStr">
        <is>
          <t>Seasonal</t>
        </is>
      </c>
      <c r="P980" s="156" t="inlineStr">
        <is>
          <t>Cafe</t>
        </is>
      </c>
      <c r="Q980" s="156" t="n"/>
      <c r="R980" s="156" t="n"/>
      <c r="S980" s="156" t="inlineStr">
        <is>
          <t>100% PIEL VACUNO</t>
        </is>
      </c>
      <c r="T980" s="156" t="inlineStr">
        <is>
          <t>Cinturón para Caballero de Piel</t>
        </is>
      </c>
      <c r="U980" s="156" t="inlineStr">
        <is>
          <t>México</t>
        </is>
      </c>
      <c r="V980" s="156" t="inlineStr">
        <is>
          <t>PZS</t>
        </is>
      </c>
      <c r="W980" s="51" t="inlineStr">
        <is>
          <t>53102501</t>
        </is>
      </c>
      <c r="X980" s="156" t="n"/>
      <c r="Y980" s="54" t="n">
        <v>292.76</v>
      </c>
      <c r="Z980" s="54" t="n">
        <v>365.948276</v>
      </c>
      <c r="AA980" s="55">
        <f>IF(AND(A980="", B980="", E980=""), "", IF(AB980="", "Válido", IF((LEN(AB980)-LEN(SUBSTITUTE(AB980,"; ","")))/2+1&gt;(LEN(AB980)-LEN(SUBSTITUTE(AB980,"[Aviso]","")))/7, "Con Incidencias", "Válido")))</f>
        <v/>
      </c>
      <c r="AB980" s="56">
        <f>IF(AND(A980="", B980="", E980=""), "", TEXTJOIN("; ", TRUE, IF(OR(TRIM(A980&amp;"")="", ISNUMBER(SEARCH("FALTA", A980))), "UPC faltante/inválido", ""), IF(AND(A980&lt;&gt;"", IFERROR(_xlfn.XMATCH(A980,$A$2:$A$1063,0,1)&lt;&gt;_xlfn.XMATCH(A980,$A$2:$A$1063,0,-1),FALSE)), "Código de barras duplicado", ""), IF(AND(E980&lt;&gt;"", COUNTIF($E$2:$E$1063, E980)&gt;1), "SKU duplicado", ""), IF(OR(J980="", J980=""), "[Aviso] División no capturada ()", IF(ISNA(MATCH(J980, Criterios!$A$123:$A$126, 0)), "División no válida", "")), IF(OR(K980="", K980=""), "[Aviso] Categoría no capturada ()", IF(ISNA(MATCH(K980, Criterios!$A$81:$A$120, 0)), "Categoría no válida", IF(AND(J980&lt;&gt;"", J980&lt;&gt;"", J980&lt;&gt;VLOOKUP(K980, Criterios!$A$81:$B$120, 2, FALSE)), "División no coincide con Categoría", ""))), IF(OR(L980="", L980=""), "[Aviso] Género no capturado ()", IF(ISNA(MATCH(L980, Criterios!$B$123:$B$127, 0)), "Género no válido", "")), IF(OR(N980="", N980=""), "[Aviso] Temporada no capturada ()", IF(ISNA(MATCH(N980, Criterios!$C$123:$C$128, 0)), "Temporada no válida", "")), IF(OR(O980="", O980=""), "[Aviso] Ciclo de vida no capturado ()", IF(ISNA(MATCH(O980, Criterios!$D$123:$D$124, 0)), "Ciclo de vida no válido", ""))))</f>
        <v/>
      </c>
      <c r="AC980" s="56" t="inlineStr">
        <is>
          <t>Homologación G1522: integra 1 registro(s) iguales por mismo WB SKU; códigos de barras alternos: 7506674600550</t>
        </is>
      </c>
      <c r="AD980" s="51" t="n">
        <v>2</v>
      </c>
      <c r="AE980" s="156" t="inlineStr">
        <is>
          <t>WB OUTLET LERMA (2)</t>
        </is>
      </c>
      <c r="AF980" s="51" t="n">
        <v>2</v>
      </c>
      <c r="AG980" s="156" t="inlineStr">
        <is>
          <t>Nuevo – Carga Hoja3 01/10/2026</t>
        </is>
      </c>
      <c r="AH980" s="156" t="inlineStr">
        <is>
          <t>Alta 01/10/2026 desde Hoja3 (fila 669); Mismo SKU que la fila 2484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«7506674600550» → «7503063066998» (Requiere revisión) · WB Descripcion: «Cinturón Wrangler Una Vista Casual para Hombre, Color Cafe» → «Cinturon de hombre C49628-27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80" s="156" t="n"/>
      <c r="AJ980" s="156" t="n"/>
      <c r="AK980" s="155" t="inlineStr">
        <is>
          <t>Hoja3: fila 669 | Odoo: producto 30903 / plantilla 39652; | Hoja a Revisar: fila 196027 (ID 117935, misma clave UPC); G1522_Extraccion_Articulos_NetSuite_2026-09-30.xlsx: fila 64176 [Z] | Shopify WB: producto 10310436978873 / variante 50512592961721</t>
        </is>
      </c>
      <c r="AL980" s="58" t="n"/>
      <c r="AM980" s="58" t="n"/>
      <c r="AN980" s="155" t="inlineStr">
        <is>
          <t>Odoo Universal Unique Brands; Shopify Western Brothers</t>
        </is>
      </c>
      <c r="AO980" s="59" t="n"/>
      <c r="AP980" s="59" t="n">
        <v>2</v>
      </c>
      <c r="AQ980" s="59" t="n">
        <v>10</v>
      </c>
      <c r="AR980" s="155" t="inlineStr">
        <is>
          <t>Odoo Universal Unique Brands › Bodega 25 › Bodega 25/General: 10; Shopify Western Brothers › Western Brothers Outlet Lerma: 2</t>
        </is>
      </c>
    </row>
    <row r="981">
      <c r="A981" s="50" t="inlineStr">
        <is>
          <t>7506674600001</t>
        </is>
      </c>
      <c r="B981" s="51" t="inlineStr">
        <is>
          <t>30904</t>
        </is>
      </c>
      <c r="C981" s="156" t="inlineStr">
        <is>
          <t>Wrangler</t>
        </is>
      </c>
      <c r="D981" s="156" t="inlineStr">
        <is>
          <t>C49628-27</t>
        </is>
      </c>
      <c r="E981" s="156" t="inlineStr">
        <is>
          <t>C49628-27-36</t>
        </is>
      </c>
      <c r="F981" s="156" t="inlineStr">
        <is>
          <t>36</t>
        </is>
      </c>
      <c r="G981" s="156" t="inlineStr">
        <is>
          <t>36</t>
        </is>
      </c>
      <c r="H981" s="156" t="inlineStr">
        <is>
          <t>Wrangler</t>
        </is>
      </c>
      <c r="I981" s="156" t="inlineStr">
        <is>
          <t>Cinturon de hombre C49628-27 Café</t>
        </is>
      </c>
      <c r="J981" s="156" t="inlineStr">
        <is>
          <t>Accesorios</t>
        </is>
      </c>
      <c r="K981" s="156" t="inlineStr">
        <is>
          <t>Cinturones</t>
        </is>
      </c>
      <c r="L981" s="156" t="inlineStr">
        <is>
          <t>Hombre</t>
        </is>
      </c>
      <c r="M981" s="156" t="inlineStr">
        <is>
          <t>Wrangler</t>
        </is>
      </c>
      <c r="N981" s="156" t="inlineStr">
        <is>
          <t>FW26</t>
        </is>
      </c>
      <c r="O981" s="156" t="inlineStr">
        <is>
          <t>Seasonal</t>
        </is>
      </c>
      <c r="P981" s="156" t="inlineStr">
        <is>
          <t>Cafe</t>
        </is>
      </c>
      <c r="Q981" s="156" t="n"/>
      <c r="R981" s="156" t="n"/>
      <c r="S981" s="156" t="inlineStr">
        <is>
          <t>100% PIEL VACUNO</t>
        </is>
      </c>
      <c r="T981" s="156" t="inlineStr">
        <is>
          <t>Cinturón para Caballero de Piel</t>
        </is>
      </c>
      <c r="U981" s="156" t="inlineStr">
        <is>
          <t>México</t>
        </is>
      </c>
      <c r="V981" s="156" t="inlineStr">
        <is>
          <t>PZS</t>
        </is>
      </c>
      <c r="W981" s="51" t="inlineStr">
        <is>
          <t>53102501</t>
        </is>
      </c>
      <c r="X981" s="156" t="n"/>
      <c r="Y981" s="54" t="n">
        <v>292.76</v>
      </c>
      <c r="Z981" s="54" t="n">
        <v>365.948276</v>
      </c>
      <c r="AA981" s="55">
        <f>IF(AND(A981="", B981="", E981=""), "", IF(AB981="", "Válido", IF((LEN(AB981)-LEN(SUBSTITUTE(AB981,"; ","")))/2+1&gt;(LEN(AB981)-LEN(SUBSTITUTE(AB981,"[Aviso]","")))/7, "Con Incidencias", "Válido")))</f>
        <v/>
      </c>
      <c r="AB981" s="56">
        <f>IF(AND(A981="", B981="", E981=""), "", TEXTJOIN("; ", TRUE, IF(OR(TRIM(A981&amp;"")="", ISNUMBER(SEARCH("FALTA", A981))), "UPC faltante/inválido", ""), IF(AND(A981&lt;&gt;"", IFERROR(_xlfn.XMATCH(A981,$A$2:$A$1063,0,1)&lt;&gt;_xlfn.XMATCH(A981,$A$2:$A$1063,0,-1),FALSE)), "Código de barras duplicado", ""), IF(AND(E981&lt;&gt;"", COUNTIF($E$2:$E$1063, E981)&gt;1), "SKU duplicado", ""), IF(OR(J981="", J981=""), "[Aviso] División no capturada ()", IF(ISNA(MATCH(J981, Criterios!$A$123:$A$126, 0)), "División no válida", "")), IF(OR(K981="", K981=""), "[Aviso] Categoría no capturada ()", IF(ISNA(MATCH(K981, Criterios!$A$81:$A$120, 0)), "Categoría no válida", IF(AND(J981&lt;&gt;"", J981&lt;&gt;"", J981&lt;&gt;VLOOKUP(K981, Criterios!$A$81:$B$120, 2, FALSE)), "División no coincide con Categoría", ""))), IF(OR(L981="", L981=""), "[Aviso] Género no capturado ()", IF(ISNA(MATCH(L981, Criterios!$B$123:$B$127, 0)), "Género no válido", "")), IF(OR(N981="", N981=""), "[Aviso] Temporada no capturada ()", IF(ISNA(MATCH(N981, Criterios!$C$123:$C$128, 0)), "Temporada no válida", "")), IF(OR(O981="", O981=""), "[Aviso] Ciclo de vida no capturado ()", IF(ISNA(MATCH(O981, Criterios!$D$123:$D$124, 0)), "Ciclo de vida no válido", ""))))</f>
        <v/>
      </c>
      <c r="AC981" s="56" t="inlineStr">
        <is>
          <t>Homologación G1522: integra 1 registro(s) iguales por mismo WB SKU; códigos de barras alternos: 7506674600567</t>
        </is>
      </c>
      <c r="AD981" s="51" t="n">
        <v>2</v>
      </c>
      <c r="AE981" s="156" t="inlineStr">
        <is>
          <t>WB OUTLET LERMA (2)</t>
        </is>
      </c>
      <c r="AF981" s="51" t="n">
        <v>2</v>
      </c>
      <c r="AG981" s="156" t="inlineStr">
        <is>
          <t>Nuevo – Carga Hoja3 01/10/2026</t>
        </is>
      </c>
      <c r="AH981" s="156" t="inlineStr">
        <is>
          <t>Alta 01/10/2026 desde Hoja3 (fila 670); Mismo SKU que la fila 2485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«7506674600567» → «7506674600001» (Requiere revisión) · WB Descripcion: «Cinturón Wrangler Una Vista Casual para Hombre, Color Cafe» → «Cinturon de hombre C49628-27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81" s="156" t="n"/>
      <c r="AJ981" s="156" t="n"/>
      <c r="AK981" s="155" t="inlineStr">
        <is>
          <t>Hoja3: fila 670 | Odoo: producto 30904 / plantilla 39652; | Hoja a Revisar: fila 196028 (ID 117936, misma clave UPC); G1522_Extraccion_Articulos_NetSuite_2026-09-30.xlsx: fila 64177 [Z] | Shopify WB: producto 10310436978873 / variante 50512592994489</t>
        </is>
      </c>
      <c r="AL981" s="58" t="n"/>
      <c r="AM981" s="58" t="n"/>
      <c r="AN981" s="155" t="inlineStr">
        <is>
          <t>Odoo Universal Unique Brands; Shopify Western Brothers</t>
        </is>
      </c>
      <c r="AO981" s="59" t="n"/>
      <c r="AP981" s="59" t="n">
        <v>2</v>
      </c>
      <c r="AQ981" s="59" t="n">
        <v>10</v>
      </c>
      <c r="AR981" s="155" t="inlineStr">
        <is>
          <t>Odoo Universal Unique Brands › Bodega 25 › Bodega 25/General: 10; Shopify Western Brothers › Western Brothers Outlet Lerma: 2</t>
        </is>
      </c>
    </row>
    <row r="982">
      <c r="A982" s="50" t="inlineStr">
        <is>
          <t>7506674600018</t>
        </is>
      </c>
      <c r="B982" s="51" t="inlineStr">
        <is>
          <t>30905</t>
        </is>
      </c>
      <c r="C982" s="156" t="inlineStr">
        <is>
          <t>Wrangler</t>
        </is>
      </c>
      <c r="D982" s="156" t="inlineStr">
        <is>
          <t>C49628-27</t>
        </is>
      </c>
      <c r="E982" s="156" t="inlineStr">
        <is>
          <t>C49628-27-38</t>
        </is>
      </c>
      <c r="F982" s="156" t="inlineStr">
        <is>
          <t>38</t>
        </is>
      </c>
      <c r="G982" s="156" t="inlineStr">
        <is>
          <t>38</t>
        </is>
      </c>
      <c r="H982" s="156" t="inlineStr">
        <is>
          <t>Wrangler</t>
        </is>
      </c>
      <c r="I982" s="156" t="inlineStr">
        <is>
          <t>Cinturon de hombre C49628-27 Café</t>
        </is>
      </c>
      <c r="J982" s="156" t="inlineStr">
        <is>
          <t>Accesorios</t>
        </is>
      </c>
      <c r="K982" s="156" t="inlineStr">
        <is>
          <t>Cinturones</t>
        </is>
      </c>
      <c r="L982" s="156" t="inlineStr">
        <is>
          <t>Hombre</t>
        </is>
      </c>
      <c r="M982" s="156" t="inlineStr">
        <is>
          <t>Wrangler</t>
        </is>
      </c>
      <c r="N982" s="156" t="inlineStr">
        <is>
          <t>FW26</t>
        </is>
      </c>
      <c r="O982" s="156" t="inlineStr">
        <is>
          <t>Seasonal</t>
        </is>
      </c>
      <c r="P982" s="156" t="inlineStr">
        <is>
          <t>Cafe</t>
        </is>
      </c>
      <c r="Q982" s="156" t="n"/>
      <c r="R982" s="156" t="n"/>
      <c r="S982" s="156" t="inlineStr">
        <is>
          <t>100% PIEL VACUNO</t>
        </is>
      </c>
      <c r="T982" s="156" t="inlineStr">
        <is>
          <t>Cinturón para Caballero de Piel</t>
        </is>
      </c>
      <c r="U982" s="156" t="inlineStr">
        <is>
          <t>México</t>
        </is>
      </c>
      <c r="V982" s="156" t="inlineStr">
        <is>
          <t>PZS</t>
        </is>
      </c>
      <c r="W982" s="51" t="inlineStr">
        <is>
          <t>53102501</t>
        </is>
      </c>
      <c r="X982" s="156" t="n"/>
      <c r="Y982" s="54" t="n">
        <v>292.76</v>
      </c>
      <c r="Z982" s="54" t="n">
        <v>365.948276</v>
      </c>
      <c r="AA982" s="55">
        <f>IF(AND(A982="", B982="", E982=""), "", IF(AB982="", "Válido", IF((LEN(AB982)-LEN(SUBSTITUTE(AB982,"; ","")))/2+1&gt;(LEN(AB982)-LEN(SUBSTITUTE(AB982,"[Aviso]","")))/7, "Con Incidencias", "Válido")))</f>
        <v/>
      </c>
      <c r="AB982" s="56">
        <f>IF(AND(A982="", B982="", E982=""), "", TEXTJOIN("; ", TRUE, IF(OR(TRIM(A982&amp;"")="", ISNUMBER(SEARCH("FALTA", A982))), "UPC faltante/inválido", ""), IF(AND(A982&lt;&gt;"", IFERROR(_xlfn.XMATCH(A982,$A$2:$A$1063,0,1)&lt;&gt;_xlfn.XMATCH(A982,$A$2:$A$1063,0,-1),FALSE)), "Código de barras duplicado", ""), IF(AND(E982&lt;&gt;"", COUNTIF($E$2:$E$1063, E982)&gt;1), "SKU duplicado", ""), IF(OR(J982="", J982=""), "[Aviso] División no capturada ()", IF(ISNA(MATCH(J982, Criterios!$A$123:$A$126, 0)), "División no válida", "")), IF(OR(K982="", K982=""), "[Aviso] Categoría no capturada ()", IF(ISNA(MATCH(K982, Criterios!$A$81:$A$120, 0)), "Categoría no válida", IF(AND(J982&lt;&gt;"", J982&lt;&gt;"", J982&lt;&gt;VLOOKUP(K982, Criterios!$A$81:$B$120, 2, FALSE)), "División no coincide con Categoría", ""))), IF(OR(L982="", L982=""), "[Aviso] Género no capturado ()", IF(ISNA(MATCH(L982, Criterios!$B$123:$B$127, 0)), "Género no válido", "")), IF(OR(N982="", N982=""), "[Aviso] Temporada no capturada ()", IF(ISNA(MATCH(N982, Criterios!$C$123:$C$128, 0)), "Temporada no válida", "")), IF(OR(O982="", O982=""), "[Aviso] Ciclo de vida no capturado ()", IF(ISNA(MATCH(O982, Criterios!$D$123:$D$124, 0)), "Ciclo de vida no válido", ""))))</f>
        <v/>
      </c>
      <c r="AC982" s="56" t="inlineStr">
        <is>
          <t>Homologación G1522: integra 1 registro(s) iguales por mismo WB SKU; códigos de barras alternos: 7506674600574</t>
        </is>
      </c>
      <c r="AD982" s="51" t="n">
        <v>3</v>
      </c>
      <c r="AE982" s="156" t="inlineStr">
        <is>
          <t>WB OUTLET LERMA (3)</t>
        </is>
      </c>
      <c r="AF982" s="51" t="n">
        <v>3</v>
      </c>
      <c r="AG982" s="156" t="inlineStr">
        <is>
          <t>Nuevo – Carga Hoja3 01/10/2026</t>
        </is>
      </c>
      <c r="AH982" s="156" t="inlineStr">
        <is>
          <t>Alta 01/10/2026 desde Hoja3 (fila 671); Mismo SKU que la fila 2486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«7506674600574» → «7506674600018» (Requiere revisión) · WB Descripcion: «Cinturón Wrangler Una Vista Casual para Hombre, Color Cafe» → «Cinturon de hombre C49628-27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82" s="156" t="n"/>
      <c r="AJ982" s="156" t="n"/>
      <c r="AK982" s="155" t="inlineStr">
        <is>
          <t>Hoja3: fila 671 | Odoo: producto 30905 / plantilla 39652; | Hoja a Revisar: fila 196029 (ID 117937, misma clave UPC); G1522_Extraccion_Articulos_NetSuite_2026-09-30.xlsx: fila 64178 [Z] | Shopify WB: producto 10310436978873 / variante 50512593027257</t>
        </is>
      </c>
      <c r="AL982" s="58" t="n"/>
      <c r="AM982" s="58" t="n"/>
      <c r="AN982" s="155" t="inlineStr">
        <is>
          <t>Odoo Universal Unique Brands; Shopify Western Brothers</t>
        </is>
      </c>
      <c r="AO982" s="59" t="n"/>
      <c r="AP982" s="59" t="n">
        <v>3</v>
      </c>
      <c r="AQ982" s="59" t="n">
        <v>15</v>
      </c>
      <c r="AR982" s="155" t="inlineStr">
        <is>
          <t>Odoo Universal Unique Brands › Bodega 25 › Bodega 25/General: 15; Shopify Western Brothers › Western Brothers Outlet Lerma: 3</t>
        </is>
      </c>
    </row>
    <row r="983">
      <c r="A983" s="50" t="inlineStr">
        <is>
          <t>7506674600025</t>
        </is>
      </c>
      <c r="B983" s="51" t="inlineStr">
        <is>
          <t>30906</t>
        </is>
      </c>
      <c r="C983" s="156" t="inlineStr">
        <is>
          <t>Wrangler</t>
        </is>
      </c>
      <c r="D983" s="156" t="inlineStr">
        <is>
          <t>C49628-27</t>
        </is>
      </c>
      <c r="E983" s="156" t="inlineStr">
        <is>
          <t>C49628-27-40</t>
        </is>
      </c>
      <c r="F983" s="156" t="inlineStr">
        <is>
          <t>40</t>
        </is>
      </c>
      <c r="G983" s="156" t="inlineStr">
        <is>
          <t>40</t>
        </is>
      </c>
      <c r="H983" s="156" t="inlineStr">
        <is>
          <t>Wrangler</t>
        </is>
      </c>
      <c r="I983" s="156" t="inlineStr">
        <is>
          <t>Cinturon de hombre C49628-27 Café</t>
        </is>
      </c>
      <c r="J983" s="156" t="inlineStr">
        <is>
          <t>Accesorios</t>
        </is>
      </c>
      <c r="K983" s="156" t="inlineStr">
        <is>
          <t>Cinturones</t>
        </is>
      </c>
      <c r="L983" s="156" t="inlineStr">
        <is>
          <t>Hombre</t>
        </is>
      </c>
      <c r="M983" s="156" t="inlineStr">
        <is>
          <t>Wrangler</t>
        </is>
      </c>
      <c r="N983" s="156" t="inlineStr">
        <is>
          <t>FW26</t>
        </is>
      </c>
      <c r="O983" s="156" t="inlineStr">
        <is>
          <t>Seasonal</t>
        </is>
      </c>
      <c r="P983" s="156" t="inlineStr">
        <is>
          <t>Cafe</t>
        </is>
      </c>
      <c r="Q983" s="156" t="n"/>
      <c r="R983" s="156" t="n"/>
      <c r="S983" s="156" t="inlineStr">
        <is>
          <t>100% PIEL VACUNO</t>
        </is>
      </c>
      <c r="T983" s="156" t="inlineStr">
        <is>
          <t>Cinturón para Caballero de Piel</t>
        </is>
      </c>
      <c r="U983" s="156" t="inlineStr">
        <is>
          <t>México</t>
        </is>
      </c>
      <c r="V983" s="156" t="inlineStr">
        <is>
          <t>PZS</t>
        </is>
      </c>
      <c r="W983" s="51" t="inlineStr">
        <is>
          <t>53102501</t>
        </is>
      </c>
      <c r="X983" s="156" t="n"/>
      <c r="Y983" s="54" t="n">
        <v>292.76</v>
      </c>
      <c r="Z983" s="54" t="n">
        <v>365.948276</v>
      </c>
      <c r="AA983" s="55">
        <f>IF(AND(A983="", B983="", E983=""), "", IF(AB983="", "Válido", IF((LEN(AB983)-LEN(SUBSTITUTE(AB983,"; ","")))/2+1&gt;(LEN(AB983)-LEN(SUBSTITUTE(AB983,"[Aviso]","")))/7, "Con Incidencias", "Válido")))</f>
        <v/>
      </c>
      <c r="AB983" s="56">
        <f>IF(AND(A983="", B983="", E983=""), "", TEXTJOIN("; ", TRUE, IF(OR(TRIM(A983&amp;"")="", ISNUMBER(SEARCH("FALTA", A983))), "UPC faltante/inválido", ""), IF(AND(A983&lt;&gt;"", IFERROR(_xlfn.XMATCH(A983,$A$2:$A$1063,0,1)&lt;&gt;_xlfn.XMATCH(A983,$A$2:$A$1063,0,-1),FALSE)), "Código de barras duplicado", ""), IF(AND(E983&lt;&gt;"", COUNTIF($E$2:$E$1063, E983)&gt;1), "SKU duplicado", ""), IF(OR(J983="", J983=""), "[Aviso] División no capturada ()", IF(ISNA(MATCH(J983, Criterios!$A$123:$A$126, 0)), "División no válida", "")), IF(OR(K983="", K983=""), "[Aviso] Categoría no capturada ()", IF(ISNA(MATCH(K983, Criterios!$A$81:$A$120, 0)), "Categoría no válida", IF(AND(J983&lt;&gt;"", J983&lt;&gt;"", J983&lt;&gt;VLOOKUP(K983, Criterios!$A$81:$B$120, 2, FALSE)), "División no coincide con Categoría", ""))), IF(OR(L983="", L983=""), "[Aviso] Género no capturado ()", IF(ISNA(MATCH(L983, Criterios!$B$123:$B$127, 0)), "Género no válido", "")), IF(OR(N983="", N983=""), "[Aviso] Temporada no capturada ()", IF(ISNA(MATCH(N983, Criterios!$C$123:$C$128, 0)), "Temporada no válida", "")), IF(OR(O983="", O983=""), "[Aviso] Ciclo de vida no capturado ()", IF(ISNA(MATCH(O983, Criterios!$D$123:$D$124, 0)), "Ciclo de vida no válido", ""))))</f>
        <v/>
      </c>
      <c r="AC983" s="56" t="inlineStr">
        <is>
          <t>Homologación G1522: integra 1 registro(s) iguales por mismo WB SKU; códigos de barras alternos: 7506674600581</t>
        </is>
      </c>
      <c r="AD983" s="51" t="n">
        <v>2</v>
      </c>
      <c r="AE983" s="156" t="inlineStr">
        <is>
          <t>WB OUTLET LERMA (2)</t>
        </is>
      </c>
      <c r="AF983" s="51" t="n">
        <v>2</v>
      </c>
      <c r="AG983" s="156" t="inlineStr">
        <is>
          <t>Nuevo – Carga Hoja3 01/10/2026</t>
        </is>
      </c>
      <c r="AH983" s="156" t="inlineStr">
        <is>
          <t>Alta 01/10/2026 desde Hoja3 (fila 672); Mismo SKU que la fila 2487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«7506674600581» → «7506674600025» (Requiere revisión) · WB Descripcion: «Cinturón Wrangler Una Vista Casual para Hombre, Color Cafe» → «Cinturon de hombre C49628-27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83" s="156" t="n"/>
      <c r="AJ983" s="156" t="n"/>
      <c r="AK983" s="155" t="inlineStr">
        <is>
          <t>Hoja3: fila 672 | Odoo: producto 30906 / plantilla 39652; | Hoja a Revisar: fila 196030 (ID 117938, misma clave UPC); G1522_Extraccion_Articulos_NetSuite_2026-09-30.xlsx: fila 64179 [Z] | Shopify WB: producto 10310436978873 / variante 50512593060025</t>
        </is>
      </c>
      <c r="AL983" s="58" t="n"/>
      <c r="AM983" s="58" t="n"/>
      <c r="AN983" s="155" t="inlineStr">
        <is>
          <t>Odoo Universal Unique Brands; Shopify Western Brothers</t>
        </is>
      </c>
      <c r="AO983" s="59" t="n"/>
      <c r="AP983" s="59" t="n">
        <v>2</v>
      </c>
      <c r="AQ983" s="59" t="n">
        <v>22</v>
      </c>
      <c r="AR983" s="155" t="inlineStr">
        <is>
          <t>Odoo Universal Unique Brands › Bodega 25 › Bodega 25/General: 22; Shopify Western Brothers › Western Brothers Outlet Lerma: 2</t>
        </is>
      </c>
    </row>
    <row r="984">
      <c r="A984" s="50" t="inlineStr">
        <is>
          <t>7506674600032</t>
        </is>
      </c>
      <c r="B984" s="51" t="inlineStr">
        <is>
          <t>30907</t>
        </is>
      </c>
      <c r="C984" s="156" t="inlineStr">
        <is>
          <t>Wrangler</t>
        </is>
      </c>
      <c r="D984" s="156" t="inlineStr">
        <is>
          <t>C49628-27</t>
        </is>
      </c>
      <c r="E984" s="156" t="inlineStr">
        <is>
          <t>C49628-27-42</t>
        </is>
      </c>
      <c r="F984" s="156" t="inlineStr">
        <is>
          <t>42</t>
        </is>
      </c>
      <c r="G984" s="156" t="inlineStr">
        <is>
          <t>42</t>
        </is>
      </c>
      <c r="H984" s="156" t="inlineStr">
        <is>
          <t>Wrangler</t>
        </is>
      </c>
      <c r="I984" s="156" t="inlineStr">
        <is>
          <t>Cinturon de hombre C49628-27 Café</t>
        </is>
      </c>
      <c r="J984" s="156" t="inlineStr">
        <is>
          <t>Accesorios</t>
        </is>
      </c>
      <c r="K984" s="156" t="inlineStr">
        <is>
          <t>Cinturones</t>
        </is>
      </c>
      <c r="L984" s="156" t="inlineStr">
        <is>
          <t>Hombre</t>
        </is>
      </c>
      <c r="M984" s="156" t="inlineStr">
        <is>
          <t>Wrangler</t>
        </is>
      </c>
      <c r="N984" s="156" t="inlineStr">
        <is>
          <t>FW26</t>
        </is>
      </c>
      <c r="O984" s="156" t="inlineStr">
        <is>
          <t>Seasonal</t>
        </is>
      </c>
      <c r="P984" s="156" t="inlineStr">
        <is>
          <t>Cafe</t>
        </is>
      </c>
      <c r="Q984" s="156" t="n"/>
      <c r="R984" s="156" t="n"/>
      <c r="S984" s="156" t="inlineStr">
        <is>
          <t>100% PIEL VACUNO</t>
        </is>
      </c>
      <c r="T984" s="156" t="inlineStr">
        <is>
          <t>Cinturón para Caballero de Piel</t>
        </is>
      </c>
      <c r="U984" s="156" t="inlineStr">
        <is>
          <t>México</t>
        </is>
      </c>
      <c r="V984" s="156" t="inlineStr">
        <is>
          <t>PZS</t>
        </is>
      </c>
      <c r="W984" s="51" t="inlineStr">
        <is>
          <t>53102501</t>
        </is>
      </c>
      <c r="X984" s="156" t="n"/>
      <c r="Y984" s="54" t="n">
        <v>292.76</v>
      </c>
      <c r="Z984" s="54" t="n">
        <v>365.948276</v>
      </c>
      <c r="AA984" s="55">
        <f>IF(AND(A984="", B984="", E984=""), "", IF(AB984="", "Válido", IF((LEN(AB984)-LEN(SUBSTITUTE(AB984,"; ","")))/2+1&gt;(LEN(AB984)-LEN(SUBSTITUTE(AB984,"[Aviso]","")))/7, "Con Incidencias", "Válido")))</f>
        <v/>
      </c>
      <c r="AB984" s="56">
        <f>IF(AND(A984="", B984="", E984=""), "", TEXTJOIN("; ", TRUE, IF(OR(TRIM(A984&amp;"")="", ISNUMBER(SEARCH("FALTA", A984))), "UPC faltante/inválido", ""), IF(AND(A984&lt;&gt;"", IFERROR(_xlfn.XMATCH(A984,$A$2:$A$1063,0,1)&lt;&gt;_xlfn.XMATCH(A984,$A$2:$A$1063,0,-1),FALSE)), "Código de barras duplicado", ""), IF(AND(E984&lt;&gt;"", COUNTIF($E$2:$E$1063, E984)&gt;1), "SKU duplicado", ""), IF(OR(J984="", J984=""), "[Aviso] División no capturada ()", IF(ISNA(MATCH(J984, Criterios!$A$123:$A$126, 0)), "División no válida", "")), IF(OR(K984="", K984=""), "[Aviso] Categoría no capturada ()", IF(ISNA(MATCH(K984, Criterios!$A$81:$A$120, 0)), "Categoría no válida", IF(AND(J984&lt;&gt;"", J984&lt;&gt;"", J984&lt;&gt;VLOOKUP(K984, Criterios!$A$81:$B$120, 2, FALSE)), "División no coincide con Categoría", ""))), IF(OR(L984="", L984=""), "[Aviso] Género no capturado ()", IF(ISNA(MATCH(L984, Criterios!$B$123:$B$127, 0)), "Género no válido", "")), IF(OR(N984="", N984=""), "[Aviso] Temporada no capturada ()", IF(ISNA(MATCH(N984, Criterios!$C$123:$C$128, 0)), "Temporada no válida", "")), IF(OR(O984="", O984=""), "[Aviso] Ciclo de vida no capturado ()", IF(ISNA(MATCH(O984, Criterios!$D$123:$D$124, 0)), "Ciclo de vida no válido", ""))))</f>
        <v/>
      </c>
      <c r="AC984" s="56" t="inlineStr">
        <is>
          <t>Homologación G1522: integra 1 registro(s) iguales por mismo WB SKU; códigos de barras alternos: 7506674600598</t>
        </is>
      </c>
      <c r="AD984" s="51" t="n">
        <v>2</v>
      </c>
      <c r="AE984" s="156" t="inlineStr">
        <is>
          <t>WB OUTLET LERMA (2)</t>
        </is>
      </c>
      <c r="AF984" s="51" t="n">
        <v>2</v>
      </c>
      <c r="AG984" s="156" t="inlineStr">
        <is>
          <t>Nuevo – Carga Hoja3 01/10/2026</t>
        </is>
      </c>
      <c r="AH984" s="156" t="inlineStr">
        <is>
          <t>Alta 01/10/2026 desde Hoja3 (fila 673); Mismo SKU que la fila 2488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«7506674600598» → «7506674600032» (Requiere revisión) · WB Descripcion: «Cinturón Wrangler Una Vista Casual para Hombre, Color Cafe» → «Cinturon de hombre C49628-27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84" s="156" t="n"/>
      <c r="AJ984" s="156" t="n"/>
      <c r="AK984" s="155" t="inlineStr">
        <is>
          <t>Hoja3: fila 673 | Odoo: producto 30907 / plantilla 39652; | Hoja a Revisar: fila 196031 (ID 117939, misma clave UPC); G1522_Extraccion_Articulos_NetSuite_2026-09-30.xlsx: fila 64180 [Z] | Shopify WB: producto 10310436978873 / variante 50512593092793</t>
        </is>
      </c>
      <c r="AL984" s="58" t="n"/>
      <c r="AM984" s="58" t="n"/>
      <c r="AN984" s="155" t="inlineStr">
        <is>
          <t>Odoo Universal Unique Brands; Shopify Western Brothers</t>
        </is>
      </c>
      <c r="AO984" s="59" t="n"/>
      <c r="AP984" s="59" t="n">
        <v>2</v>
      </c>
      <c r="AQ984" s="59" t="n">
        <v>22</v>
      </c>
      <c r="AR984" s="155" t="inlineStr">
        <is>
          <t>Odoo Universal Unique Brands › Bodega 25 › Bodega 25/General: 22; Shopify Western Brothers › Western Brothers Outlet Lerma: 2</t>
        </is>
      </c>
    </row>
    <row r="985">
      <c r="A985" s="50" t="inlineStr">
        <is>
          <t>7506674600049</t>
        </is>
      </c>
      <c r="B985" s="51" t="inlineStr">
        <is>
          <t>30908</t>
        </is>
      </c>
      <c r="C985" s="156" t="inlineStr">
        <is>
          <t>Wrangler</t>
        </is>
      </c>
      <c r="D985" s="156" t="inlineStr">
        <is>
          <t>C49628-27</t>
        </is>
      </c>
      <c r="E985" s="156" t="inlineStr">
        <is>
          <t>C49628-27-44</t>
        </is>
      </c>
      <c r="F985" s="156" t="inlineStr">
        <is>
          <t>44</t>
        </is>
      </c>
      <c r="G985" s="156" t="inlineStr">
        <is>
          <t>44</t>
        </is>
      </c>
      <c r="H985" s="156" t="inlineStr">
        <is>
          <t>Wrangler</t>
        </is>
      </c>
      <c r="I985" s="156" t="inlineStr">
        <is>
          <t>Cinturon de hombre C49628-27 Café</t>
        </is>
      </c>
      <c r="J985" s="156" t="inlineStr">
        <is>
          <t>Accesorios</t>
        </is>
      </c>
      <c r="K985" s="156" t="inlineStr">
        <is>
          <t>Cinturones</t>
        </is>
      </c>
      <c r="L985" s="156" t="inlineStr">
        <is>
          <t>Hombre</t>
        </is>
      </c>
      <c r="M985" s="156" t="inlineStr">
        <is>
          <t>Wrangler</t>
        </is>
      </c>
      <c r="N985" s="156" t="inlineStr">
        <is>
          <t>FW26</t>
        </is>
      </c>
      <c r="O985" s="156" t="inlineStr">
        <is>
          <t>Seasonal</t>
        </is>
      </c>
      <c r="P985" s="156" t="inlineStr">
        <is>
          <t>Cafe</t>
        </is>
      </c>
      <c r="Q985" s="156" t="n"/>
      <c r="R985" s="156" t="n"/>
      <c r="S985" s="156" t="inlineStr">
        <is>
          <t>100% PIEL VACUNO</t>
        </is>
      </c>
      <c r="T985" s="156" t="inlineStr">
        <is>
          <t>Cinturón para Caballero de Piel</t>
        </is>
      </c>
      <c r="U985" s="156" t="inlineStr">
        <is>
          <t>México</t>
        </is>
      </c>
      <c r="V985" s="156" t="inlineStr">
        <is>
          <t>PZS</t>
        </is>
      </c>
      <c r="W985" s="51" t="inlineStr">
        <is>
          <t>53102501</t>
        </is>
      </c>
      <c r="X985" s="156" t="n"/>
      <c r="Y985" s="54" t="n">
        <v>292.76</v>
      </c>
      <c r="Z985" s="54" t="n">
        <v>365.948276</v>
      </c>
      <c r="AA985" s="55">
        <f>IF(AND(A985="", B985="", E985=""), "", IF(AB985="", "Válido", IF((LEN(AB985)-LEN(SUBSTITUTE(AB985,"; ","")))/2+1&gt;(LEN(AB985)-LEN(SUBSTITUTE(AB985,"[Aviso]","")))/7, "Con Incidencias", "Válido")))</f>
        <v/>
      </c>
      <c r="AB985" s="56">
        <f>IF(AND(A985="", B985="", E985=""), "", TEXTJOIN("; ", TRUE, IF(OR(TRIM(A985&amp;"")="", ISNUMBER(SEARCH("FALTA", A985))), "UPC faltante/inválido", ""), IF(AND(A985&lt;&gt;"", IFERROR(_xlfn.XMATCH(A985,$A$2:$A$1063,0,1)&lt;&gt;_xlfn.XMATCH(A985,$A$2:$A$1063,0,-1),FALSE)), "Código de barras duplicado", ""), IF(AND(E985&lt;&gt;"", COUNTIF($E$2:$E$1063, E985)&gt;1), "SKU duplicado", ""), IF(OR(J985="", J985=""), "[Aviso] División no capturada ()", IF(ISNA(MATCH(J985, Criterios!$A$123:$A$126, 0)), "División no válida", "")), IF(OR(K985="", K985=""), "[Aviso] Categoría no capturada ()", IF(ISNA(MATCH(K985, Criterios!$A$81:$A$120, 0)), "Categoría no válida", IF(AND(J985&lt;&gt;"", J985&lt;&gt;"", J985&lt;&gt;VLOOKUP(K985, Criterios!$A$81:$B$120, 2, FALSE)), "División no coincide con Categoría", ""))), IF(OR(L985="", L985=""), "[Aviso] Género no capturado ()", IF(ISNA(MATCH(L985, Criterios!$B$123:$B$127, 0)), "Género no válido", "")), IF(OR(N985="", N985=""), "[Aviso] Temporada no capturada ()", IF(ISNA(MATCH(N985, Criterios!$C$123:$C$128, 0)), "Temporada no válida", "")), IF(OR(O985="", O985=""), "[Aviso] Ciclo de vida no capturado ()", IF(ISNA(MATCH(O985, Criterios!$D$123:$D$124, 0)), "Ciclo de vida no válido", ""))))</f>
        <v/>
      </c>
      <c r="AC985" s="56" t="inlineStr">
        <is>
          <t>Homologación G1522: integra 1 registro(s) iguales por mismo WB SKU; códigos de barras alternos: 7506674600604</t>
        </is>
      </c>
      <c r="AD985" s="51" t="n">
        <v>1</v>
      </c>
      <c r="AE985" s="156" t="inlineStr">
        <is>
          <t>WB OUTLET LERMA (1)</t>
        </is>
      </c>
      <c r="AF985" s="51" t="n">
        <v>1</v>
      </c>
      <c r="AG985" s="156" t="inlineStr">
        <is>
          <t>Nuevo – Carga Hoja3 01/10/2026</t>
        </is>
      </c>
      <c r="AH985" s="156" t="inlineStr">
        <is>
          <t>Alta 01/10/2026 desde Hoja3 (fila 674); Mismo SKU que la fila 2489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«7506674600604» → «7506674600049» (Requiere revisión) · WB Descripcion: «Cinturón Wrangler Una Vista Casual para Hombre, Color Cafe» → «Cinturon de hombre C49628-27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85" s="156" t="n"/>
      <c r="AJ985" s="156" t="n"/>
      <c r="AK985" s="155" t="inlineStr">
        <is>
          <t>Hoja3: fila 674 | Odoo: producto 30908 / plantilla 39652; | Hoja a Revisar: fila 196032 (ID 117940, misma clave UPC); G1522_Extraccion_Articulos_NetSuite_2026-09-30.xlsx: fila 64181 [Z] | Shopify WB: producto 10310436978873 / variante 50512593125561</t>
        </is>
      </c>
      <c r="AL985" s="58" t="n"/>
      <c r="AM985" s="58" t="n"/>
      <c r="AN985" s="155" t="inlineStr">
        <is>
          <t>Odoo Universal Unique Brands; Shopify Western Brothers</t>
        </is>
      </c>
      <c r="AO985" s="59" t="n"/>
      <c r="AP985" s="59" t="n">
        <v>1</v>
      </c>
      <c r="AQ985" s="59" t="n">
        <v>17</v>
      </c>
      <c r="AR985" s="155" t="inlineStr">
        <is>
          <t>Odoo Universal Unique Brands › Bodega 25 › Bodega 25/General: 17; Shopify Western Brothers › Western Brothers Outlet Lerma: 1</t>
        </is>
      </c>
    </row>
    <row r="986">
      <c r="A986" s="50" t="inlineStr">
        <is>
          <t>7506674602807</t>
        </is>
      </c>
      <c r="B986" s="51" t="inlineStr">
        <is>
          <t>30926</t>
        </is>
      </c>
      <c r="C986" s="156" t="inlineStr">
        <is>
          <t>Wrangler</t>
        </is>
      </c>
      <c r="D986" s="156" t="inlineStr">
        <is>
          <t>C49727-26</t>
        </is>
      </c>
      <c r="E986" s="156" t="inlineStr">
        <is>
          <t>C49727-26-32</t>
        </is>
      </c>
      <c r="F986" s="156" t="inlineStr">
        <is>
          <t>32</t>
        </is>
      </c>
      <c r="G986" s="156" t="inlineStr">
        <is>
          <t>32</t>
        </is>
      </c>
      <c r="H986" s="156" t="inlineStr">
        <is>
          <t>Wrangler</t>
        </is>
      </c>
      <c r="I986" s="156" t="inlineStr">
        <is>
          <t>Cinturon de hombre C49727-26 Café claro</t>
        </is>
      </c>
      <c r="J986" s="156" t="inlineStr">
        <is>
          <t>Accesorios</t>
        </is>
      </c>
      <c r="K986" s="156" t="inlineStr">
        <is>
          <t>Cinturones</t>
        </is>
      </c>
      <c r="L986" s="156" t="inlineStr">
        <is>
          <t>Hombre</t>
        </is>
      </c>
      <c r="M986" s="156" t="inlineStr">
        <is>
          <t>Wrangler</t>
        </is>
      </c>
      <c r="N986" s="156" t="inlineStr">
        <is>
          <t>FW26</t>
        </is>
      </c>
      <c r="O986" s="156" t="inlineStr">
        <is>
          <t>Seasonal</t>
        </is>
      </c>
      <c r="P986" s="156" t="inlineStr">
        <is>
          <t>Cafe</t>
        </is>
      </c>
      <c r="Q986" s="156" t="n"/>
      <c r="R986" s="156" t="n"/>
      <c r="S986" s="156" t="inlineStr">
        <is>
          <t>70% CUERO VACUNO 30% REGENERADO</t>
        </is>
      </c>
      <c r="T986" s="156" t="inlineStr">
        <is>
          <t>Cinturón para Caballero de Piel</t>
        </is>
      </c>
      <c r="U986" s="156" t="inlineStr">
        <is>
          <t>México</t>
        </is>
      </c>
      <c r="V986" s="156" t="inlineStr">
        <is>
          <t>PZS</t>
        </is>
      </c>
      <c r="W986" s="51" t="inlineStr">
        <is>
          <t>53102501</t>
        </is>
      </c>
      <c r="X986" s="156" t="n"/>
      <c r="Y986" s="54" t="n">
        <v>292.76</v>
      </c>
      <c r="Z986" s="54" t="n">
        <v>365.948276</v>
      </c>
      <c r="AA986" s="55">
        <f>IF(AND(A986="", B986="", E986=""), "", IF(AB986="", "Válido", IF((LEN(AB986)-LEN(SUBSTITUTE(AB986,"; ","")))/2+1&gt;(LEN(AB986)-LEN(SUBSTITUTE(AB986,"[Aviso]","")))/7, "Con Incidencias", "Válido")))</f>
        <v/>
      </c>
      <c r="AB986" s="56">
        <f>IF(AND(A986="", B986="", E986=""), "", TEXTJOIN("; ", TRUE, IF(OR(TRIM(A986&amp;"")="", ISNUMBER(SEARCH("FALTA", A986))), "UPC faltante/inválido", ""), IF(AND(A986&lt;&gt;"", IFERROR(_xlfn.XMATCH(A986,$A$2:$A$1063,0,1)&lt;&gt;_xlfn.XMATCH(A986,$A$2:$A$1063,0,-1),FALSE)), "Código de barras duplicado", ""), IF(AND(E986&lt;&gt;"", COUNTIF($E$2:$E$1063, E986)&gt;1), "SKU duplicado", ""), IF(OR(J986="", J986=""), "[Aviso] División no capturada ()", IF(ISNA(MATCH(J986, Criterios!$A$123:$A$126, 0)), "División no válida", "")), IF(OR(K986="", K986=""), "[Aviso] Categoría no capturada ()", IF(ISNA(MATCH(K986, Criterios!$A$81:$A$120, 0)), "Categoría no válida", IF(AND(J986&lt;&gt;"", J986&lt;&gt;"", J986&lt;&gt;VLOOKUP(K986, Criterios!$A$81:$B$120, 2, FALSE)), "División no coincide con Categoría", ""))), IF(OR(L986="", L986=""), "[Aviso] Género no capturado ()", IF(ISNA(MATCH(L986, Criterios!$B$123:$B$127, 0)), "Género no válido", "")), IF(OR(N986="", N986=""), "[Aviso] Temporada no capturada ()", IF(ISNA(MATCH(N986, Criterios!$C$123:$C$128, 0)), "Temporada no válida", "")), IF(OR(O986="", O986=""), "[Aviso] Ciclo de vida no capturado ()", IF(ISNA(MATCH(O986, Criterios!$D$123:$D$124, 0)), "Ciclo de vida no válido", ""))))</f>
        <v/>
      </c>
      <c r="AC986" s="56" t="inlineStr">
        <is>
          <t>Homologación G1522: integra 1 registro(s) iguales por mismo WB SKU; códigos de barras alternos: 7506674600611</t>
        </is>
      </c>
      <c r="AD986" s="51" t="n">
        <v>1</v>
      </c>
      <c r="AE986" s="156" t="inlineStr">
        <is>
          <t>WB OUTLET LERMA (1)</t>
        </is>
      </c>
      <c r="AF986" s="51" t="n">
        <v>1</v>
      </c>
      <c r="AG986" s="156" t="inlineStr">
        <is>
          <t>Nuevo – Carga Hoja3 01/10/2026</t>
        </is>
      </c>
      <c r="AH986" s="156" t="inlineStr">
        <is>
          <t>Alta 01/10/2026 desde Hoja3 (fila 675); Mismo SKU que la fila 2476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«7506674600611» → «7506674602807» (Requiere revisión) · WB Descripcion: «Cinturón Wrangler Una Vista Casual para Hombre, Color Cafe» → «Cinturon de hombre C49727-26 Café claro» (Conflicto entre duplicados) · WB Temporada: «SS26» → «FW26» (Conflicto entre duplicados) · WB Ciclo de vida: «» → «Seasonal» (Integrado de duplicado) · WB Composición: «100% piel de vacuno» → «70% CUERO VACUNO 30% REGENERADO»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86" s="156" t="n"/>
      <c r="AJ986" s="156" t="n"/>
      <c r="AK986" s="155" t="inlineStr">
        <is>
          <t>Hoja3: fila 675 | Odoo: producto 30926 / plantilla 39655; | Hoja a Revisar: fila 196034 (ID 117871, misma clave UPC); G1522_Extraccion_Articulos_NetSuite_2026-09-30.xlsx: fila 64112 [Z] | Shopify WB: producto 10310436913337 / variante 50512592240825</t>
        </is>
      </c>
      <c r="AL986" s="58" t="n"/>
      <c r="AM986" s="58" t="n"/>
      <c r="AN986" s="155" t="inlineStr">
        <is>
          <t>Odoo Universal Unique Brands; Shopify Western Brothers</t>
        </is>
      </c>
      <c r="AO986" s="59" t="n"/>
      <c r="AP986" s="59" t="n">
        <v>1</v>
      </c>
      <c r="AQ986" s="59" t="n">
        <v>1</v>
      </c>
      <c r="AR986" s="155" t="inlineStr">
        <is>
          <t>Odoo Universal Unique Brands › Bodega 25 › Bodega 25/General: 1; Shopify Western Brothers › Western Brothers Outlet Lerma: 1</t>
        </is>
      </c>
    </row>
    <row r="987">
      <c r="A987" s="50" t="inlineStr">
        <is>
          <t>7506674602814</t>
        </is>
      </c>
      <c r="B987" s="51" t="inlineStr">
        <is>
          <t>30927</t>
        </is>
      </c>
      <c r="C987" s="156" t="inlineStr">
        <is>
          <t>Wrangler</t>
        </is>
      </c>
      <c r="D987" s="156" t="inlineStr">
        <is>
          <t>C49727-26</t>
        </is>
      </c>
      <c r="E987" s="156" t="inlineStr">
        <is>
          <t>C49727-26-34</t>
        </is>
      </c>
      <c r="F987" s="156" t="inlineStr">
        <is>
          <t>34</t>
        </is>
      </c>
      <c r="G987" s="156" t="inlineStr">
        <is>
          <t>34</t>
        </is>
      </c>
      <c r="H987" s="156" t="inlineStr">
        <is>
          <t>Wrangler</t>
        </is>
      </c>
      <c r="I987" s="156" t="inlineStr">
        <is>
          <t>Cinturon de hombre C49727-26 Café claro</t>
        </is>
      </c>
      <c r="J987" s="156" t="inlineStr">
        <is>
          <t>Accesorios</t>
        </is>
      </c>
      <c r="K987" s="156" t="inlineStr">
        <is>
          <t>Cinturones</t>
        </is>
      </c>
      <c r="L987" s="156" t="inlineStr">
        <is>
          <t>Hombre</t>
        </is>
      </c>
      <c r="M987" s="156" t="inlineStr">
        <is>
          <t>Wrangler</t>
        </is>
      </c>
      <c r="N987" s="156" t="inlineStr">
        <is>
          <t>FW26</t>
        </is>
      </c>
      <c r="O987" s="156" t="inlineStr">
        <is>
          <t>Seasonal</t>
        </is>
      </c>
      <c r="P987" s="156" t="inlineStr">
        <is>
          <t>Cafe</t>
        </is>
      </c>
      <c r="Q987" s="156" t="n"/>
      <c r="R987" s="156" t="n"/>
      <c r="S987" s="156" t="inlineStr">
        <is>
          <t>70% CUERO VACUNO 30% REGENERADO</t>
        </is>
      </c>
      <c r="T987" s="156" t="inlineStr">
        <is>
          <t>Cinturón para Caballero de Piel</t>
        </is>
      </c>
      <c r="U987" s="156" t="inlineStr">
        <is>
          <t>México</t>
        </is>
      </c>
      <c r="V987" s="156" t="inlineStr">
        <is>
          <t>PZS</t>
        </is>
      </c>
      <c r="W987" s="51" t="inlineStr">
        <is>
          <t>53102501</t>
        </is>
      </c>
      <c r="X987" s="156" t="n"/>
      <c r="Y987" s="54" t="n">
        <v>292.76</v>
      </c>
      <c r="Z987" s="54" t="n">
        <v>365.948276</v>
      </c>
      <c r="AA987" s="55">
        <f>IF(AND(A987="", B987="", E987=""), "", IF(AB987="", "Válido", IF((LEN(AB987)-LEN(SUBSTITUTE(AB987,"; ","")))/2+1&gt;(LEN(AB987)-LEN(SUBSTITUTE(AB987,"[Aviso]","")))/7, "Con Incidencias", "Válido")))</f>
        <v/>
      </c>
      <c r="AB987" s="56">
        <f>IF(AND(A987="", B987="", E987=""), "", TEXTJOIN("; ", TRUE, IF(OR(TRIM(A987&amp;"")="", ISNUMBER(SEARCH("FALTA", A987))), "UPC faltante/inválido", ""), IF(AND(A987&lt;&gt;"", IFERROR(_xlfn.XMATCH(A987,$A$2:$A$1063,0,1)&lt;&gt;_xlfn.XMATCH(A987,$A$2:$A$1063,0,-1),FALSE)), "Código de barras duplicado", ""), IF(AND(E987&lt;&gt;"", COUNTIF($E$2:$E$1063, E987)&gt;1), "SKU duplicado", ""), IF(OR(J987="", J987=""), "[Aviso] División no capturada ()", IF(ISNA(MATCH(J987, Criterios!$A$123:$A$126, 0)), "División no válida", "")), IF(OR(K987="", K987=""), "[Aviso] Categoría no capturada ()", IF(ISNA(MATCH(K987, Criterios!$A$81:$A$120, 0)), "Categoría no válida", IF(AND(J987&lt;&gt;"", J987&lt;&gt;"", J987&lt;&gt;VLOOKUP(K987, Criterios!$A$81:$B$120, 2, FALSE)), "División no coincide con Categoría", ""))), IF(OR(L987="", L987=""), "[Aviso] Género no capturado ()", IF(ISNA(MATCH(L987, Criterios!$B$123:$B$127, 0)), "Género no válido", "")), IF(OR(N987="", N987=""), "[Aviso] Temporada no capturada ()", IF(ISNA(MATCH(N987, Criterios!$C$123:$C$128, 0)), "Temporada no válida", "")), IF(OR(O987="", O987=""), "[Aviso] Ciclo de vida no capturado ()", IF(ISNA(MATCH(O987, Criterios!$D$123:$D$124, 0)), "Ciclo de vida no válido", ""))))</f>
        <v/>
      </c>
      <c r="AC987" s="56" t="inlineStr">
        <is>
          <t>Homologación G1522: integra 1 registro(s) iguales por mismo WB SKU; códigos de barras alternos: 7506674600628</t>
        </is>
      </c>
      <c r="AD987" s="51" t="n">
        <v>2</v>
      </c>
      <c r="AE987" s="156" t="inlineStr">
        <is>
          <t>WB OUTLET LERMA (2)</t>
        </is>
      </c>
      <c r="AF987" s="51" t="n">
        <v>2</v>
      </c>
      <c r="AG987" s="156" t="inlineStr">
        <is>
          <t>Nuevo – Carga Hoja3 01/10/2026</t>
        </is>
      </c>
      <c r="AH987" s="156" t="inlineStr">
        <is>
          <t>Alta 01/10/2026 desde Hoja3 (fila 676); Mismo SKU que la fila 2477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«7506674600628» → «7506674602814» (Requiere revisión) · WB Descripcion: «Cinturón Wrangler Una Vista Casual para Hombre, Color Cafe» → «Cinturon de hombre C49727-26 Café claro» (Conflicto entre duplicados) · WB Temporada: «SS26» → «FW26» (Conflicto entre duplicados) · WB Ciclo de vida: «» → «Seasonal» (Integrado de duplicado) · WB Composición: «100% piel de vacuno» → «70% CUERO VACUNO 30% REGENERADO»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87" s="156" t="n"/>
      <c r="AJ987" s="156" t="n"/>
      <c r="AK987" s="155" t="inlineStr">
        <is>
          <t>Hoja3: fila 676 | Odoo: producto 30927 / plantilla 39655; | Hoja a Revisar: fila 196035 (ID 117872, misma clave UPC); G1522_Extraccion_Articulos_NetSuite_2026-09-30.xlsx: fila 64113 [Z] | Shopify WB: producto 10310436913337 / variante 50512592273593</t>
        </is>
      </c>
      <c r="AL987" s="58" t="n"/>
      <c r="AM987" s="58" t="n"/>
      <c r="AN987" s="155" t="inlineStr">
        <is>
          <t>Odoo Universal Unique Brands; Shopify Western Brothers</t>
        </is>
      </c>
      <c r="AO987" s="59" t="n"/>
      <c r="AP987" s="59" t="n">
        <v>2</v>
      </c>
      <c r="AQ987" s="59" t="n">
        <v>10</v>
      </c>
      <c r="AR987" s="155" t="inlineStr">
        <is>
          <t>Odoo Universal Unique Brands › Bodega 25 › Bodega 25/General: 10; Shopify Western Brothers › Western Brothers Outlet Lerma: 2</t>
        </is>
      </c>
    </row>
    <row r="988">
      <c r="A988" s="50" t="inlineStr">
        <is>
          <t>7506674602821</t>
        </is>
      </c>
      <c r="B988" s="51" t="inlineStr">
        <is>
          <t>30928</t>
        </is>
      </c>
      <c r="C988" s="156" t="inlineStr">
        <is>
          <t>Wrangler</t>
        </is>
      </c>
      <c r="D988" s="156" t="inlineStr">
        <is>
          <t>C49727-26</t>
        </is>
      </c>
      <c r="E988" s="156" t="inlineStr">
        <is>
          <t>C49727-26-36</t>
        </is>
      </c>
      <c r="F988" s="156" t="inlineStr">
        <is>
          <t>36</t>
        </is>
      </c>
      <c r="G988" s="156" t="inlineStr">
        <is>
          <t>36</t>
        </is>
      </c>
      <c r="H988" s="156" t="inlineStr">
        <is>
          <t>Wrangler</t>
        </is>
      </c>
      <c r="I988" s="156" t="inlineStr">
        <is>
          <t>Cinturon de hombre C49727-26 Café claro</t>
        </is>
      </c>
      <c r="J988" s="156" t="inlineStr">
        <is>
          <t>Accesorios</t>
        </is>
      </c>
      <c r="K988" s="156" t="inlineStr">
        <is>
          <t>Cinturones</t>
        </is>
      </c>
      <c r="L988" s="156" t="inlineStr">
        <is>
          <t>Hombre</t>
        </is>
      </c>
      <c r="M988" s="156" t="inlineStr">
        <is>
          <t>Wrangler</t>
        </is>
      </c>
      <c r="N988" s="156" t="inlineStr">
        <is>
          <t>FW26</t>
        </is>
      </c>
      <c r="O988" s="156" t="inlineStr">
        <is>
          <t>Seasonal</t>
        </is>
      </c>
      <c r="P988" s="156" t="inlineStr">
        <is>
          <t>Cafe</t>
        </is>
      </c>
      <c r="Q988" s="156" t="n"/>
      <c r="R988" s="156" t="n"/>
      <c r="S988" s="156" t="inlineStr">
        <is>
          <t>70% CUERO VACUNO 30% REGENERADO</t>
        </is>
      </c>
      <c r="T988" s="156" t="inlineStr">
        <is>
          <t>Cinturón para Caballero de Piel</t>
        </is>
      </c>
      <c r="U988" s="156" t="inlineStr">
        <is>
          <t>México</t>
        </is>
      </c>
      <c r="V988" s="156" t="inlineStr">
        <is>
          <t>PZS</t>
        </is>
      </c>
      <c r="W988" s="51" t="inlineStr">
        <is>
          <t>53102501</t>
        </is>
      </c>
      <c r="X988" s="156" t="n"/>
      <c r="Y988" s="54" t="n">
        <v>292.76</v>
      </c>
      <c r="Z988" s="54" t="n">
        <v>365.948276</v>
      </c>
      <c r="AA988" s="55">
        <f>IF(AND(A988="", B988="", E988=""), "", IF(AB988="", "Válido", IF((LEN(AB988)-LEN(SUBSTITUTE(AB988,"; ","")))/2+1&gt;(LEN(AB988)-LEN(SUBSTITUTE(AB988,"[Aviso]","")))/7, "Con Incidencias", "Válido")))</f>
        <v/>
      </c>
      <c r="AB988" s="56">
        <f>IF(AND(A988="", B988="", E988=""), "", TEXTJOIN("; ", TRUE, IF(OR(TRIM(A988&amp;"")="", ISNUMBER(SEARCH("FALTA", A988))), "UPC faltante/inválido", ""), IF(AND(A988&lt;&gt;"", IFERROR(_xlfn.XMATCH(A988,$A$2:$A$1063,0,1)&lt;&gt;_xlfn.XMATCH(A988,$A$2:$A$1063,0,-1),FALSE)), "Código de barras duplicado", ""), IF(AND(E988&lt;&gt;"", COUNTIF($E$2:$E$1063, E988)&gt;1), "SKU duplicado", ""), IF(OR(J988="", J988=""), "[Aviso] División no capturada ()", IF(ISNA(MATCH(J988, Criterios!$A$123:$A$126, 0)), "División no válida", "")), IF(OR(K988="", K988=""), "[Aviso] Categoría no capturada ()", IF(ISNA(MATCH(K988, Criterios!$A$81:$A$120, 0)), "Categoría no válida", IF(AND(J988&lt;&gt;"", J988&lt;&gt;"", J988&lt;&gt;VLOOKUP(K988, Criterios!$A$81:$B$120, 2, FALSE)), "División no coincide con Categoría", ""))), IF(OR(L988="", L988=""), "[Aviso] Género no capturado ()", IF(ISNA(MATCH(L988, Criterios!$B$123:$B$127, 0)), "Género no válido", "")), IF(OR(N988="", N988=""), "[Aviso] Temporada no capturada ()", IF(ISNA(MATCH(N988, Criterios!$C$123:$C$128, 0)), "Temporada no válida", "")), IF(OR(O988="", O988=""), "[Aviso] Ciclo de vida no capturado ()", IF(ISNA(MATCH(O988, Criterios!$D$123:$D$124, 0)), "Ciclo de vida no válido", ""))))</f>
        <v/>
      </c>
      <c r="AC988" s="56" t="inlineStr">
        <is>
          <t>Homologación G1522: integra 1 registro(s) iguales por mismo WB SKU; códigos de barras alternos: 7506674600635</t>
        </is>
      </c>
      <c r="AD988" s="51" t="n">
        <v>2</v>
      </c>
      <c r="AE988" s="156" t="inlineStr">
        <is>
          <t>WB OUTLET LERMA (2)</t>
        </is>
      </c>
      <c r="AF988" s="51" t="n">
        <v>2</v>
      </c>
      <c r="AG988" s="156" t="inlineStr">
        <is>
          <t>Nuevo – Carga Hoja3 01/10/2026</t>
        </is>
      </c>
      <c r="AH988" s="156" t="inlineStr">
        <is>
          <t>Alta 01/10/2026 desde Hoja3 (fila 677); Mismo SKU que la fila 2478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«7506674600635» → «7506674602821» (Requiere revisión) · WB Descripcion: «Cinturón Wrangler Una Vista Casual para Hombre, Color Cafe» → «Cinturon de hombre C49727-26 Café claro» (Conflicto entre duplicados) · WB Temporada: «SS26» → «FW26» (Conflicto entre duplicados) · WB Ciclo de vida: «» → «Seasonal» (Integrado de duplicado) · WB Composición: «100% piel de vacuno» → «70% CUERO VACUNO 30% REGENERADO»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88" s="156" t="n"/>
      <c r="AJ988" s="156" t="n"/>
      <c r="AK988" s="155" t="inlineStr">
        <is>
          <t>Hoja3: fila 677 | Odoo: producto 30928 / plantilla 39655; | Hoja a Revisar: fila 196036 (ID 117873, misma clave UPC); G1522_Extraccion_Articulos_NetSuite_2026-09-30.xlsx: fila 64114 [Z] | Shopify WB: producto 10310436913337 / variante 50512592306361</t>
        </is>
      </c>
      <c r="AL988" s="58" t="n"/>
      <c r="AM988" s="58" t="n"/>
      <c r="AN988" s="155" t="inlineStr">
        <is>
          <t>Odoo Universal Unique Brands; Shopify Western Brothers</t>
        </is>
      </c>
      <c r="AO988" s="59" t="n"/>
      <c r="AP988" s="59" t="n">
        <v>2</v>
      </c>
      <c r="AQ988" s="59" t="n">
        <v>9</v>
      </c>
      <c r="AR988" s="155" t="inlineStr">
        <is>
          <t>Odoo Universal Unique Brands › Bodega 25 › Bodega 25/General: 9; Shopify Western Brothers › Western Brothers Outlet Lerma: 2</t>
        </is>
      </c>
    </row>
    <row r="989">
      <c r="A989" s="50" t="inlineStr">
        <is>
          <t>7506674602838</t>
        </is>
      </c>
      <c r="B989" s="51" t="inlineStr">
        <is>
          <t>30929</t>
        </is>
      </c>
      <c r="C989" s="156" t="inlineStr">
        <is>
          <t>Wrangler</t>
        </is>
      </c>
      <c r="D989" s="156" t="inlineStr">
        <is>
          <t>C49727-26</t>
        </is>
      </c>
      <c r="E989" s="156" t="inlineStr">
        <is>
          <t>C49727-26-38</t>
        </is>
      </c>
      <c r="F989" s="156" t="inlineStr">
        <is>
          <t>38</t>
        </is>
      </c>
      <c r="G989" s="156" t="inlineStr">
        <is>
          <t>38</t>
        </is>
      </c>
      <c r="H989" s="156" t="inlineStr">
        <is>
          <t>Wrangler</t>
        </is>
      </c>
      <c r="I989" s="156" t="inlineStr">
        <is>
          <t>Cinturon de hombre C49727-26 Café claro</t>
        </is>
      </c>
      <c r="J989" s="156" t="inlineStr">
        <is>
          <t>Accesorios</t>
        </is>
      </c>
      <c r="K989" s="156" t="inlineStr">
        <is>
          <t>Cinturones</t>
        </is>
      </c>
      <c r="L989" s="156" t="inlineStr">
        <is>
          <t>Hombre</t>
        </is>
      </c>
      <c r="M989" s="156" t="inlineStr">
        <is>
          <t>Wrangler</t>
        </is>
      </c>
      <c r="N989" s="156" t="inlineStr">
        <is>
          <t>FW26</t>
        </is>
      </c>
      <c r="O989" s="156" t="inlineStr">
        <is>
          <t>Seasonal</t>
        </is>
      </c>
      <c r="P989" s="156" t="inlineStr">
        <is>
          <t>Cafe</t>
        </is>
      </c>
      <c r="Q989" s="156" t="n"/>
      <c r="R989" s="156" t="n"/>
      <c r="S989" s="156" t="inlineStr">
        <is>
          <t>70% CUERO VACUNO 30% REGENERADO</t>
        </is>
      </c>
      <c r="T989" s="156" t="inlineStr">
        <is>
          <t>Cinturón para Caballero de Piel</t>
        </is>
      </c>
      <c r="U989" s="156" t="inlineStr">
        <is>
          <t>México</t>
        </is>
      </c>
      <c r="V989" s="156" t="inlineStr">
        <is>
          <t>PZS</t>
        </is>
      </c>
      <c r="W989" s="51" t="inlineStr">
        <is>
          <t>53102501</t>
        </is>
      </c>
      <c r="X989" s="156" t="n"/>
      <c r="Y989" s="54" t="n">
        <v>292.76</v>
      </c>
      <c r="Z989" s="54" t="n">
        <v>365.948276</v>
      </c>
      <c r="AA989" s="55">
        <f>IF(AND(A989="", B989="", E989=""), "", IF(AB989="", "Válido", IF((LEN(AB989)-LEN(SUBSTITUTE(AB989,"; ","")))/2+1&gt;(LEN(AB989)-LEN(SUBSTITUTE(AB989,"[Aviso]","")))/7, "Con Incidencias", "Válido")))</f>
        <v/>
      </c>
      <c r="AB989" s="56">
        <f>IF(AND(A989="", B989="", E989=""), "", TEXTJOIN("; ", TRUE, IF(OR(TRIM(A989&amp;"")="", ISNUMBER(SEARCH("FALTA", A989))), "UPC faltante/inválido", ""), IF(AND(A989&lt;&gt;"", IFERROR(_xlfn.XMATCH(A989,$A$2:$A$1063,0,1)&lt;&gt;_xlfn.XMATCH(A989,$A$2:$A$1063,0,-1),FALSE)), "Código de barras duplicado", ""), IF(AND(E989&lt;&gt;"", COUNTIF($E$2:$E$1063, E989)&gt;1), "SKU duplicado", ""), IF(OR(J989="", J989=""), "[Aviso] División no capturada ()", IF(ISNA(MATCH(J989, Criterios!$A$123:$A$126, 0)), "División no válida", "")), IF(OR(K989="", K989=""), "[Aviso] Categoría no capturada ()", IF(ISNA(MATCH(K989, Criterios!$A$81:$A$120, 0)), "Categoría no válida", IF(AND(J989&lt;&gt;"", J989&lt;&gt;"", J989&lt;&gt;VLOOKUP(K989, Criterios!$A$81:$B$120, 2, FALSE)), "División no coincide con Categoría", ""))), IF(OR(L989="", L989=""), "[Aviso] Género no capturado ()", IF(ISNA(MATCH(L989, Criterios!$B$123:$B$127, 0)), "Género no válido", "")), IF(OR(N989="", N989=""), "[Aviso] Temporada no capturada ()", IF(ISNA(MATCH(N989, Criterios!$C$123:$C$128, 0)), "Temporada no válida", "")), IF(OR(O989="", O989=""), "[Aviso] Ciclo de vida no capturado ()", IF(ISNA(MATCH(O989, Criterios!$D$123:$D$124, 0)), "Ciclo de vida no válido", ""))))</f>
        <v/>
      </c>
      <c r="AC989" s="56" t="inlineStr">
        <is>
          <t>Homologación G1522: integra 1 registro(s) iguales por mismo WB SKU; códigos de barras alternos: 7506674600642</t>
        </is>
      </c>
      <c r="AD989" s="51" t="n">
        <v>3</v>
      </c>
      <c r="AE989" s="156" t="inlineStr">
        <is>
          <t>WB OUTLET LERMA (3)</t>
        </is>
      </c>
      <c r="AF989" s="51" t="n">
        <v>3</v>
      </c>
      <c r="AG989" s="156" t="inlineStr">
        <is>
          <t>Nuevo – Carga Hoja3 01/10/2026</t>
        </is>
      </c>
      <c r="AH989" s="156" t="inlineStr">
        <is>
          <t>Alta 01/10/2026 desde Hoja3 (fila 678); Mismo SKU que la fila 2479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«7506674600642» → «7506674602838» (Requiere revisión) · WB Descripcion: «Cinturón Wrangler Una Vista Casual para Hombre, Color Cafe» → «Cinturon de hombre C49727-26 Café claro» (Conflicto entre duplicados) · WB Temporada: «SS26» → «FW26» (Conflicto entre duplicados) · WB Ciclo de vida: «» → «Seasonal» (Integrado de duplicado) · WB Composición: «100% piel de vacuno» → «70% CUERO VACUNO 30% REGENERADO»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89" s="156" t="n"/>
      <c r="AJ989" s="156" t="n"/>
      <c r="AK989" s="155" t="inlineStr">
        <is>
          <t>Hoja3: fila 678 | Odoo: producto 30929 / plantilla 39655; | Hoja a Revisar: fila 196037 (ID 117874, misma clave UPC); G1522_Extraccion_Articulos_NetSuite_2026-09-30.xlsx: fila 64115 [Z] | Shopify WB: producto 10310436913337 / variante 50512592339129</t>
        </is>
      </c>
      <c r="AL989" s="58" t="n"/>
      <c r="AM989" s="58" t="n"/>
      <c r="AN989" s="155" t="inlineStr">
        <is>
          <t>Odoo Universal Unique Brands; Shopify Western Brothers</t>
        </is>
      </c>
      <c r="AO989" s="59" t="n"/>
      <c r="AP989" s="59" t="n">
        <v>3</v>
      </c>
      <c r="AQ989" s="59" t="n">
        <v>14</v>
      </c>
      <c r="AR989" s="155" t="inlineStr">
        <is>
          <t>Odoo Universal Unique Brands › Bodega 25 › Bodega 25/General: 14; Shopify Western Brothers › Western Brothers Outlet Lerma: 3</t>
        </is>
      </c>
    </row>
    <row r="990">
      <c r="A990" s="50" t="inlineStr">
        <is>
          <t>7506674602845</t>
        </is>
      </c>
      <c r="B990" s="51" t="inlineStr">
        <is>
          <t>30930</t>
        </is>
      </c>
      <c r="C990" s="156" t="inlineStr">
        <is>
          <t>Wrangler</t>
        </is>
      </c>
      <c r="D990" s="156" t="inlineStr">
        <is>
          <t>C49727-26</t>
        </is>
      </c>
      <c r="E990" s="156" t="inlineStr">
        <is>
          <t>C49727-26-40</t>
        </is>
      </c>
      <c r="F990" s="156" t="inlineStr">
        <is>
          <t>40</t>
        </is>
      </c>
      <c r="G990" s="156" t="inlineStr">
        <is>
          <t>40</t>
        </is>
      </c>
      <c r="H990" s="156" t="inlineStr">
        <is>
          <t>Wrangler</t>
        </is>
      </c>
      <c r="I990" s="156" t="inlineStr">
        <is>
          <t>Cinturon de hombre C49727-26 Café claro</t>
        </is>
      </c>
      <c r="J990" s="156" t="inlineStr">
        <is>
          <t>Accesorios</t>
        </is>
      </c>
      <c r="K990" s="156" t="inlineStr">
        <is>
          <t>Cinturones</t>
        </is>
      </c>
      <c r="L990" s="156" t="inlineStr">
        <is>
          <t>Hombre</t>
        </is>
      </c>
      <c r="M990" s="156" t="inlineStr">
        <is>
          <t>Wrangler</t>
        </is>
      </c>
      <c r="N990" s="156" t="inlineStr">
        <is>
          <t>FW26</t>
        </is>
      </c>
      <c r="O990" s="156" t="inlineStr">
        <is>
          <t>Seasonal</t>
        </is>
      </c>
      <c r="P990" s="156" t="inlineStr">
        <is>
          <t>Cafe</t>
        </is>
      </c>
      <c r="Q990" s="156" t="n"/>
      <c r="R990" s="156" t="n"/>
      <c r="S990" s="156" t="inlineStr">
        <is>
          <t>70% CUERO VACUNO 30% REGENERADO</t>
        </is>
      </c>
      <c r="T990" s="156" t="inlineStr">
        <is>
          <t>Cinturón para Caballero de Piel</t>
        </is>
      </c>
      <c r="U990" s="156" t="inlineStr">
        <is>
          <t>México</t>
        </is>
      </c>
      <c r="V990" s="156" t="inlineStr">
        <is>
          <t>PZS</t>
        </is>
      </c>
      <c r="W990" s="51" t="inlineStr">
        <is>
          <t>53102501</t>
        </is>
      </c>
      <c r="X990" s="156" t="n"/>
      <c r="Y990" s="54" t="n">
        <v>292.76</v>
      </c>
      <c r="Z990" s="54" t="n">
        <v>365.948276</v>
      </c>
      <c r="AA990" s="55">
        <f>IF(AND(A990="", B990="", E990=""), "", IF(AB990="", "Válido", IF((LEN(AB990)-LEN(SUBSTITUTE(AB990,"; ","")))/2+1&gt;(LEN(AB990)-LEN(SUBSTITUTE(AB990,"[Aviso]","")))/7, "Con Incidencias", "Válido")))</f>
        <v/>
      </c>
      <c r="AB990" s="56">
        <f>IF(AND(A990="", B990="", E990=""), "", TEXTJOIN("; ", TRUE, IF(OR(TRIM(A990&amp;"")="", ISNUMBER(SEARCH("FALTA", A990))), "UPC faltante/inválido", ""), IF(AND(A990&lt;&gt;"", IFERROR(_xlfn.XMATCH(A990,$A$2:$A$1063,0,1)&lt;&gt;_xlfn.XMATCH(A990,$A$2:$A$1063,0,-1),FALSE)), "Código de barras duplicado", ""), IF(AND(E990&lt;&gt;"", COUNTIF($E$2:$E$1063, E990)&gt;1), "SKU duplicado", ""), IF(OR(J990="", J990=""), "[Aviso] División no capturada ()", IF(ISNA(MATCH(J990, Criterios!$A$123:$A$126, 0)), "División no válida", "")), IF(OR(K990="", K990=""), "[Aviso] Categoría no capturada ()", IF(ISNA(MATCH(K990, Criterios!$A$81:$A$120, 0)), "Categoría no válida", IF(AND(J990&lt;&gt;"", J990&lt;&gt;"", J990&lt;&gt;VLOOKUP(K990, Criterios!$A$81:$B$120, 2, FALSE)), "División no coincide con Categoría", ""))), IF(OR(L990="", L990=""), "[Aviso] Género no capturado ()", IF(ISNA(MATCH(L990, Criterios!$B$123:$B$127, 0)), "Género no válido", "")), IF(OR(N990="", N990=""), "[Aviso] Temporada no capturada ()", IF(ISNA(MATCH(N990, Criterios!$C$123:$C$128, 0)), "Temporada no válida", "")), IF(OR(O990="", O990=""), "[Aviso] Ciclo de vida no capturado ()", IF(ISNA(MATCH(O990, Criterios!$D$123:$D$124, 0)), "Ciclo de vida no válido", ""))))</f>
        <v/>
      </c>
      <c r="AC990" s="56" t="inlineStr">
        <is>
          <t>Homologación G1522: integra 1 registro(s) iguales por mismo WB SKU; códigos de barras alternos: 7506674600659</t>
        </is>
      </c>
      <c r="AD990" s="51" t="n">
        <v>2</v>
      </c>
      <c r="AE990" s="156" t="inlineStr">
        <is>
          <t>WB OUTLET LERMA (2)</t>
        </is>
      </c>
      <c r="AF990" s="51" t="n">
        <v>2</v>
      </c>
      <c r="AG990" s="156" t="inlineStr">
        <is>
          <t>Nuevo – Carga Hoja3 01/10/2026</t>
        </is>
      </c>
      <c r="AH990" s="156" t="inlineStr">
        <is>
          <t>Alta 01/10/2026 desde Hoja3 (fila 679); Mismo SKU que la fila 2480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«7506674600659» → «7506674602845» (Requiere revisión) · WB Descripcion: «Cinturón Wrangler Una Vista Casual para Hombre, Color Cafe» → «Cinturon de hombre C49727-26 Café claro» (Conflicto entre duplicados) · WB Temporada: «SS26» → «FW26» (Conflicto entre duplicados) · WB Ciclo de vida: «» → «Seasonal» (Integrado de duplicado) · WB Composición: «100% piel de vacuno» → «70% CUERO VACUNO 30% REGENERADO»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90" s="156" t="n"/>
      <c r="AJ990" s="156" t="n"/>
      <c r="AK990" s="155" t="inlineStr">
        <is>
          <t>Hoja3: fila 679 | Odoo: producto 30930 / plantilla 39655; | Hoja a Revisar: fila 196038 (ID 117875, misma clave UPC); G1522_Extraccion_Articulos_NetSuite_2026-09-30.xlsx: fila 64116 [Z] | Shopify WB: producto 10310436913337 / variante 50512592371897</t>
        </is>
      </c>
      <c r="AL990" s="58" t="n"/>
      <c r="AM990" s="58" t="n"/>
      <c r="AN990" s="155" t="inlineStr">
        <is>
          <t>Odoo Universal Unique Brands; Shopify Western Brothers</t>
        </is>
      </c>
      <c r="AO990" s="59" t="n"/>
      <c r="AP990" s="59" t="n">
        <v>2</v>
      </c>
      <c r="AQ990" s="59" t="n">
        <v>13</v>
      </c>
      <c r="AR990" s="155" t="inlineStr">
        <is>
          <t>Odoo Universal Unique Brands › Bodega 25 › Bodega 25/General: 13; Shopify Western Brothers › Western Brothers Outlet Lerma: 2</t>
        </is>
      </c>
    </row>
    <row r="991">
      <c r="A991" s="50" t="inlineStr">
        <is>
          <t>7506674602852</t>
        </is>
      </c>
      <c r="B991" s="51" t="inlineStr">
        <is>
          <t>30931</t>
        </is>
      </c>
      <c r="C991" s="156" t="inlineStr">
        <is>
          <t>Wrangler</t>
        </is>
      </c>
      <c r="D991" s="156" t="inlineStr">
        <is>
          <t>C49727-26</t>
        </is>
      </c>
      <c r="E991" s="156" t="inlineStr">
        <is>
          <t>C49727-26-42</t>
        </is>
      </c>
      <c r="F991" s="156" t="inlineStr">
        <is>
          <t>42</t>
        </is>
      </c>
      <c r="G991" s="156" t="inlineStr">
        <is>
          <t>42</t>
        </is>
      </c>
      <c r="H991" s="156" t="inlineStr">
        <is>
          <t>Wrangler</t>
        </is>
      </c>
      <c r="I991" s="156" t="inlineStr">
        <is>
          <t>Cinturon de hombre C49727-26 Café claro</t>
        </is>
      </c>
      <c r="J991" s="156" t="inlineStr">
        <is>
          <t>Accesorios</t>
        </is>
      </c>
      <c r="K991" s="156" t="inlineStr">
        <is>
          <t>Cinturones</t>
        </is>
      </c>
      <c r="L991" s="156" t="inlineStr">
        <is>
          <t>Hombre</t>
        </is>
      </c>
      <c r="M991" s="156" t="inlineStr">
        <is>
          <t>Wrangler</t>
        </is>
      </c>
      <c r="N991" s="156" t="inlineStr">
        <is>
          <t>FW26</t>
        </is>
      </c>
      <c r="O991" s="156" t="inlineStr">
        <is>
          <t>Seasonal</t>
        </is>
      </c>
      <c r="P991" s="156" t="inlineStr">
        <is>
          <t>Cafe</t>
        </is>
      </c>
      <c r="Q991" s="156" t="n"/>
      <c r="R991" s="156" t="n"/>
      <c r="S991" s="156" t="inlineStr">
        <is>
          <t>70% CUERO VACUNO 30% REGENERADO</t>
        </is>
      </c>
      <c r="T991" s="156" t="inlineStr">
        <is>
          <t>Cinturón para Caballero de Piel</t>
        </is>
      </c>
      <c r="U991" s="156" t="inlineStr">
        <is>
          <t>México</t>
        </is>
      </c>
      <c r="V991" s="156" t="inlineStr">
        <is>
          <t>PZS</t>
        </is>
      </c>
      <c r="W991" s="51" t="inlineStr">
        <is>
          <t>53102501</t>
        </is>
      </c>
      <c r="X991" s="156" t="n"/>
      <c r="Y991" s="54" t="n">
        <v>292.76</v>
      </c>
      <c r="Z991" s="54" t="n">
        <v>365.948276</v>
      </c>
      <c r="AA991" s="55">
        <f>IF(AND(A991="", B991="", E991=""), "", IF(AB991="", "Válido", IF((LEN(AB991)-LEN(SUBSTITUTE(AB991,"; ","")))/2+1&gt;(LEN(AB991)-LEN(SUBSTITUTE(AB991,"[Aviso]","")))/7, "Con Incidencias", "Válido")))</f>
        <v/>
      </c>
      <c r="AB991" s="56">
        <f>IF(AND(A991="", B991="", E991=""), "", TEXTJOIN("; ", TRUE, IF(OR(TRIM(A991&amp;"")="", ISNUMBER(SEARCH("FALTA", A991))), "UPC faltante/inválido", ""), IF(AND(A991&lt;&gt;"", IFERROR(_xlfn.XMATCH(A991,$A$2:$A$1063,0,1)&lt;&gt;_xlfn.XMATCH(A991,$A$2:$A$1063,0,-1),FALSE)), "Código de barras duplicado", ""), IF(AND(E991&lt;&gt;"", COUNTIF($E$2:$E$1063, E991)&gt;1), "SKU duplicado", ""), IF(OR(J991="", J991=""), "[Aviso] División no capturada ()", IF(ISNA(MATCH(J991, Criterios!$A$123:$A$126, 0)), "División no válida", "")), IF(OR(K991="", K991=""), "[Aviso] Categoría no capturada ()", IF(ISNA(MATCH(K991, Criterios!$A$81:$A$120, 0)), "Categoría no válida", IF(AND(J991&lt;&gt;"", J991&lt;&gt;"", J991&lt;&gt;VLOOKUP(K991, Criterios!$A$81:$B$120, 2, FALSE)), "División no coincide con Categoría", ""))), IF(OR(L991="", L991=""), "[Aviso] Género no capturado ()", IF(ISNA(MATCH(L991, Criterios!$B$123:$B$127, 0)), "Género no válido", "")), IF(OR(N991="", N991=""), "[Aviso] Temporada no capturada ()", IF(ISNA(MATCH(N991, Criterios!$C$123:$C$128, 0)), "Temporada no válida", "")), IF(OR(O991="", O991=""), "[Aviso] Ciclo de vida no capturado ()", IF(ISNA(MATCH(O991, Criterios!$D$123:$D$124, 0)), "Ciclo de vida no válido", ""))))</f>
        <v/>
      </c>
      <c r="AC991" s="56" t="inlineStr">
        <is>
          <t>Homologación G1522: integra 1 registro(s) iguales por mismo WB SKU; códigos de barras alternos: 7506674600666</t>
        </is>
      </c>
      <c r="AD991" s="51" t="n">
        <v>2</v>
      </c>
      <c r="AE991" s="156" t="inlineStr">
        <is>
          <t>WB OUTLET LERMA (2)</t>
        </is>
      </c>
      <c r="AF991" s="51" t="n">
        <v>2</v>
      </c>
      <c r="AG991" s="156" t="inlineStr">
        <is>
          <t>Nuevo – Carga Hoja3 01/10/2026</t>
        </is>
      </c>
      <c r="AH991" s="156" t="inlineStr">
        <is>
          <t>Alta 01/10/2026 desde Hoja3 (fila 680); Mismo SKU que la fila 2481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«7506674600666» → «7506674602852» (Requiere revisión) · WB Descripcion: «Cinturón Wrangler Una Vista Casual para Hombre, Color Cafe» → «Cinturon de hombre C49727-26 Café claro» (Conflicto entre duplicados) · WB Temporada: «SS26» → «FW26» (Conflicto entre duplicados) · WB Ciclo de vida: «» → «Seasonal» (Integrado de duplicado) · WB Composición: «100% piel de vacuno» → «70% CUERO VACUNO 30% REGENERADO»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91" s="156" t="n"/>
      <c r="AJ991" s="156" t="n"/>
      <c r="AK991" s="155" t="inlineStr">
        <is>
          <t>Hoja3: fila 680 | Odoo: producto 30931 / plantilla 39655; | Hoja a Revisar: fila 196039 (ID 117876, misma clave UPC); G1522_Extraccion_Articulos_NetSuite_2026-09-30.xlsx: fila 64117 [Z] | Shopify WB: producto 10310436913337 / variante 50512592404665</t>
        </is>
      </c>
      <c r="AL991" s="58" t="n"/>
      <c r="AM991" s="58" t="n"/>
      <c r="AN991" s="155" t="inlineStr">
        <is>
          <t>Odoo Universal Unique Brands; Shopify Western Brothers</t>
        </is>
      </c>
      <c r="AO991" s="59" t="n"/>
      <c r="AP991" s="59" t="n">
        <v>2</v>
      </c>
      <c r="AQ991" s="59" t="n">
        <v>10</v>
      </c>
      <c r="AR991" s="155" t="inlineStr">
        <is>
          <t>Odoo Universal Unique Brands › Bodega 25 › Bodega 25/General: 10; Shopify Western Brothers › Western Brothers Outlet Lerma: 2</t>
        </is>
      </c>
    </row>
    <row r="992">
      <c r="A992" s="50" t="inlineStr">
        <is>
          <t>7506674602869</t>
        </is>
      </c>
      <c r="B992" s="51" t="inlineStr">
        <is>
          <t>30932</t>
        </is>
      </c>
      <c r="C992" s="156" t="inlineStr">
        <is>
          <t>Wrangler</t>
        </is>
      </c>
      <c r="D992" s="156" t="inlineStr">
        <is>
          <t>C49727-26</t>
        </is>
      </c>
      <c r="E992" s="156" t="inlineStr">
        <is>
          <t>C49727-26-44</t>
        </is>
      </c>
      <c r="F992" s="156" t="inlineStr">
        <is>
          <t>44</t>
        </is>
      </c>
      <c r="G992" s="156" t="inlineStr">
        <is>
          <t>44</t>
        </is>
      </c>
      <c r="H992" s="156" t="inlineStr">
        <is>
          <t>Wrangler</t>
        </is>
      </c>
      <c r="I992" s="156" t="inlineStr">
        <is>
          <t>Cinturon de hombre C49727-26 Café claro</t>
        </is>
      </c>
      <c r="J992" s="156" t="inlineStr">
        <is>
          <t>Accesorios</t>
        </is>
      </c>
      <c r="K992" s="156" t="inlineStr">
        <is>
          <t>Cinturones</t>
        </is>
      </c>
      <c r="L992" s="156" t="inlineStr">
        <is>
          <t>Hombre</t>
        </is>
      </c>
      <c r="M992" s="156" t="inlineStr">
        <is>
          <t>Wrangler</t>
        </is>
      </c>
      <c r="N992" s="156" t="inlineStr">
        <is>
          <t>FW26</t>
        </is>
      </c>
      <c r="O992" s="156" t="inlineStr">
        <is>
          <t>Seasonal</t>
        </is>
      </c>
      <c r="P992" s="156" t="inlineStr">
        <is>
          <t>Cafe</t>
        </is>
      </c>
      <c r="Q992" s="156" t="n"/>
      <c r="R992" s="156" t="n"/>
      <c r="S992" s="156" t="inlineStr">
        <is>
          <t>70% CUERO VACUNO 30% REGENERADO</t>
        </is>
      </c>
      <c r="T992" s="156" t="inlineStr">
        <is>
          <t>Cinturón para Caballero de Piel</t>
        </is>
      </c>
      <c r="U992" s="156" t="inlineStr">
        <is>
          <t>México</t>
        </is>
      </c>
      <c r="V992" s="156" t="inlineStr">
        <is>
          <t>PZS</t>
        </is>
      </c>
      <c r="W992" s="51" t="inlineStr">
        <is>
          <t>53102501</t>
        </is>
      </c>
      <c r="X992" s="156" t="n"/>
      <c r="Y992" s="54" t="n">
        <v>292.76</v>
      </c>
      <c r="Z992" s="54" t="n">
        <v>365.948276</v>
      </c>
      <c r="AA992" s="55">
        <f>IF(AND(A992="", B992="", E992=""), "", IF(AB992="", "Válido", IF((LEN(AB992)-LEN(SUBSTITUTE(AB992,"; ","")))/2+1&gt;(LEN(AB992)-LEN(SUBSTITUTE(AB992,"[Aviso]","")))/7, "Con Incidencias", "Válido")))</f>
        <v/>
      </c>
      <c r="AB992" s="56">
        <f>IF(AND(A992="", B992="", E992=""), "", TEXTJOIN("; ", TRUE, IF(OR(TRIM(A992&amp;"")="", ISNUMBER(SEARCH("FALTA", A992))), "UPC faltante/inválido", ""), IF(AND(A992&lt;&gt;"", IFERROR(_xlfn.XMATCH(A992,$A$2:$A$1063,0,1)&lt;&gt;_xlfn.XMATCH(A992,$A$2:$A$1063,0,-1),FALSE)), "Código de barras duplicado", ""), IF(AND(E992&lt;&gt;"", COUNTIF($E$2:$E$1063, E992)&gt;1), "SKU duplicado", ""), IF(OR(J992="", J992=""), "[Aviso] División no capturada ()", IF(ISNA(MATCH(J992, Criterios!$A$123:$A$126, 0)), "División no válida", "")), IF(OR(K992="", K992=""), "[Aviso] Categoría no capturada ()", IF(ISNA(MATCH(K992, Criterios!$A$81:$A$120, 0)), "Categoría no válida", IF(AND(J992&lt;&gt;"", J992&lt;&gt;"", J992&lt;&gt;VLOOKUP(K992, Criterios!$A$81:$B$120, 2, FALSE)), "División no coincide con Categoría", ""))), IF(OR(L992="", L992=""), "[Aviso] Género no capturado ()", IF(ISNA(MATCH(L992, Criterios!$B$123:$B$127, 0)), "Género no válido", "")), IF(OR(N992="", N992=""), "[Aviso] Temporada no capturada ()", IF(ISNA(MATCH(N992, Criterios!$C$123:$C$128, 0)), "Temporada no válida", "")), IF(OR(O992="", O992=""), "[Aviso] Ciclo de vida no capturado ()", IF(ISNA(MATCH(O992, Criterios!$D$123:$D$124, 0)), "Ciclo de vida no válido", ""))))</f>
        <v/>
      </c>
      <c r="AC992" s="56" t="inlineStr">
        <is>
          <t>Homologación G1522: integra 1 registro(s) iguales por mismo WB SKU; códigos de barras alternos: 7506674600673</t>
        </is>
      </c>
      <c r="AD992" s="51" t="n">
        <v>1</v>
      </c>
      <c r="AE992" s="156" t="inlineStr">
        <is>
          <t>WB OUTLET LERMA (1)</t>
        </is>
      </c>
      <c r="AF992" s="51" t="n">
        <v>1</v>
      </c>
      <c r="AG992" s="156" t="inlineStr">
        <is>
          <t>Nuevo – Carga Hoja3 01/10/2026</t>
        </is>
      </c>
      <c r="AH992" s="156" t="inlineStr">
        <is>
          <t>Alta 01/10/2026 desde Hoja3 (fila 681); Mismo SKU que la fila 2482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«7506674600673» → «7506674602869» (Requiere revisión) · WB Descripcion: «Cinturón Wrangler Una Vista Casual para Hombre, Color Cafe» → «Cinturon de hombre C49727-26 Café claro» (Conflicto entre duplicados) · WB Temporada: «SS26» → «FW26» (Conflicto entre duplicados) · WB Ciclo de vida: «» → «Seasonal» (Integrado de duplicado) · WB Composición: «100% piel de vacuno» → «70% CUERO VACUNO 30% REGENERADO»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«849» → «365.948276» (Conflicto entre duplicados) · Validador Shopify: WB: precio con IVA no termina en 9</t>
        </is>
      </c>
      <c r="AI992" s="156" t="n"/>
      <c r="AJ992" s="156" t="n"/>
      <c r="AK992" s="155" t="inlineStr">
        <is>
          <t>Hoja3: fila 681 | Odoo: producto 30932 / plantilla 39655; | Hoja a Revisar: fila 196040 (ID 117877, misma clave UPC); G1522_Extraccion_Articulos_NetSuite_2026-09-30.xlsx: fila 64118 [Z] | Shopify WB: producto 10310436913337 / variante 50512592437433</t>
        </is>
      </c>
      <c r="AL992" s="58" t="n"/>
      <c r="AM992" s="58" t="n"/>
      <c r="AN992" s="155" t="inlineStr">
        <is>
          <t>Odoo Universal Unique Brands; Shopify Western Brothers</t>
        </is>
      </c>
      <c r="AO992" s="59" t="n"/>
      <c r="AP992" s="59" t="n">
        <v>1</v>
      </c>
      <c r="AQ992" s="59" t="n">
        <v>11</v>
      </c>
      <c r="AR992" s="155" t="inlineStr">
        <is>
          <t>Odoo Universal Unique Brands › Bodega 25 › Bodega 25/General: 11; Shopify Western Brothers › Western Brothers Outlet Lerma: 1</t>
        </is>
      </c>
    </row>
    <row r="993">
      <c r="A993" s="50" t="inlineStr">
        <is>
          <t>7506674602876</t>
        </is>
      </c>
      <c r="B993" s="51" t="inlineStr">
        <is>
          <t>30941</t>
        </is>
      </c>
      <c r="C993" s="156" t="inlineStr">
        <is>
          <t>Wrangler</t>
        </is>
      </c>
      <c r="D993" s="156" t="inlineStr">
        <is>
          <t>C49728-27</t>
        </is>
      </c>
      <c r="E993" s="156" t="inlineStr">
        <is>
          <t>C49728-27-32</t>
        </is>
      </c>
      <c r="F993" s="156" t="inlineStr">
        <is>
          <t>32</t>
        </is>
      </c>
      <c r="G993" s="156" t="inlineStr">
        <is>
          <t>32</t>
        </is>
      </c>
      <c r="H993" s="156" t="inlineStr">
        <is>
          <t>Wrangler</t>
        </is>
      </c>
      <c r="I993" s="156" t="inlineStr">
        <is>
          <t>Cinturon de hombre C49728-27 Café</t>
        </is>
      </c>
      <c r="J993" s="156" t="inlineStr">
        <is>
          <t>Accesorios</t>
        </is>
      </c>
      <c r="K993" s="156" t="inlineStr">
        <is>
          <t>Cinturones</t>
        </is>
      </c>
      <c r="L993" s="156" t="inlineStr">
        <is>
          <t>Hombre</t>
        </is>
      </c>
      <c r="M993" s="156" t="inlineStr">
        <is>
          <t>Wrangler</t>
        </is>
      </c>
      <c r="N993" s="156" t="inlineStr">
        <is>
          <t>FW26</t>
        </is>
      </c>
      <c r="O993" s="156" t="inlineStr">
        <is>
          <t>Seasonal</t>
        </is>
      </c>
      <c r="P993" s="156" t="inlineStr">
        <is>
          <t>Cafe</t>
        </is>
      </c>
      <c r="Q993" s="156" t="n"/>
      <c r="R993" s="156" t="n"/>
      <c r="S993" s="156" t="inlineStr">
        <is>
          <t>100% PIEL VACUNO</t>
        </is>
      </c>
      <c r="T993" s="156" t="inlineStr">
        <is>
          <t>Cinturón para Caballero de Piel</t>
        </is>
      </c>
      <c r="U993" s="156" t="inlineStr">
        <is>
          <t>México</t>
        </is>
      </c>
      <c r="V993" s="156" t="inlineStr">
        <is>
          <t>PZS</t>
        </is>
      </c>
      <c r="W993" s="51" t="inlineStr">
        <is>
          <t>53102501</t>
        </is>
      </c>
      <c r="X993" s="156" t="n"/>
      <c r="Y993" s="54" t="n">
        <v>292.76</v>
      </c>
      <c r="Z993" s="54" t="n">
        <v>430.603448</v>
      </c>
      <c r="AA993" s="55">
        <f>IF(AND(A993="", B993="", E993=""), "", IF(AB993="", "Válido", IF((LEN(AB993)-LEN(SUBSTITUTE(AB993,"; ","")))/2+1&gt;(LEN(AB993)-LEN(SUBSTITUTE(AB993,"[Aviso]","")))/7, "Con Incidencias", "Válido")))</f>
        <v/>
      </c>
      <c r="AB993" s="56">
        <f>IF(AND(A993="", B993="", E993=""), "", TEXTJOIN("; ", TRUE, IF(OR(TRIM(A993&amp;"")="", ISNUMBER(SEARCH("FALTA", A993))), "UPC faltante/inválido", ""), IF(AND(A993&lt;&gt;"", IFERROR(_xlfn.XMATCH(A993,$A$2:$A$1063,0,1)&lt;&gt;_xlfn.XMATCH(A993,$A$2:$A$1063,0,-1),FALSE)), "Código de barras duplicado", ""), IF(AND(E993&lt;&gt;"", COUNTIF($E$2:$E$1063, E993)&gt;1), "SKU duplicado", ""), IF(OR(J993="", J993=""), "[Aviso] División no capturada ()", IF(ISNA(MATCH(J993, Criterios!$A$123:$A$126, 0)), "División no válida", "")), IF(OR(K993="", K993=""), "[Aviso] Categoría no capturada ()", IF(ISNA(MATCH(K993, Criterios!$A$81:$A$120, 0)), "Categoría no válida", IF(AND(J993&lt;&gt;"", J993&lt;&gt;"", J993&lt;&gt;VLOOKUP(K993, Criterios!$A$81:$B$120, 2, FALSE)), "División no coincide con Categoría", ""))), IF(OR(L993="", L993=""), "[Aviso] Género no capturado ()", IF(ISNA(MATCH(L993, Criterios!$B$123:$B$127, 0)), "Género no válido", "")), IF(OR(N993="", N993=""), "[Aviso] Temporada no capturada ()", IF(ISNA(MATCH(N993, Criterios!$C$123:$C$128, 0)), "Temporada no válida", "")), IF(OR(O993="", O993=""), "[Aviso] Ciclo de vida no capturado ()", IF(ISNA(MATCH(O993, Criterios!$D$123:$D$124, 0)), "Ciclo de vida no válido", ""))))</f>
        <v/>
      </c>
      <c r="AC993" s="56" t="inlineStr">
        <is>
          <t>Homologación G1522: integra 1 registro(s) iguales por mismo WB SKU; códigos de barras alternos: 7506674600680</t>
        </is>
      </c>
      <c r="AD993" s="51" t="n">
        <v>1</v>
      </c>
      <c r="AE993" s="156" t="inlineStr">
        <is>
          <t>WB OUTLET LERMA (1)</t>
        </is>
      </c>
      <c r="AF993" s="51" t="n">
        <v>1</v>
      </c>
      <c r="AG993" s="156" t="inlineStr">
        <is>
          <t>Nuevo – Carga Hoja3 01/10/2026</t>
        </is>
      </c>
      <c r="AH993" s="156" t="inlineStr">
        <is>
          <t>Alta 01/10/2026 desde Hoja3 (fila 682); Mismo SKU que la fila 2469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«7506674600680» → «7506674602876» (Requiere revisión) · WB Descripcion: «Cinturón Wrangler Una Vista Casual para Hombre, Color Cafe» → «Cinturon de hombre C49728-27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«949» → «430.603448» (Conflicto entre duplicados)</t>
        </is>
      </c>
      <c r="AI993" s="156" t="n"/>
      <c r="AJ993" s="156" t="n"/>
      <c r="AK993" s="155" t="inlineStr">
        <is>
          <t>Hoja3: fila 682 | Odoo: producto 30941 / plantilla 39658; | Hoja a Revisar: fila 196042 (ID 117878, misma clave UPC); G1522_Extraccion_Articulos_NetSuite_2026-09-30.xlsx: fila 64119 [Z] | Shopify WB: producto 10310436946105 / variante 50512592470201</t>
        </is>
      </c>
      <c r="AL993" s="58" t="n"/>
      <c r="AM993" s="58" t="n"/>
      <c r="AN993" s="155" t="inlineStr">
        <is>
          <t>Odoo Universal Unique Brands; Shopify Western Brothers</t>
        </is>
      </c>
      <c r="AO993" s="59" t="n"/>
      <c r="AP993" s="59" t="n">
        <v>1</v>
      </c>
      <c r="AQ993" s="59" t="n">
        <v>5</v>
      </c>
      <c r="AR993" s="155" t="inlineStr">
        <is>
          <t>Odoo Universal Unique Brands › Bodega 25 › Bodega 25/General: 5; Shopify Western Brothers › Western Brothers Outlet Lerma: 1</t>
        </is>
      </c>
    </row>
    <row r="994">
      <c r="A994" s="50" t="inlineStr">
        <is>
          <t>7506674602883</t>
        </is>
      </c>
      <c r="B994" s="51" t="inlineStr">
        <is>
          <t>30942</t>
        </is>
      </c>
      <c r="C994" s="156" t="inlineStr">
        <is>
          <t>Wrangler</t>
        </is>
      </c>
      <c r="D994" s="156" t="inlineStr">
        <is>
          <t>C49728-27</t>
        </is>
      </c>
      <c r="E994" s="156" t="inlineStr">
        <is>
          <t>C49728-27-34</t>
        </is>
      </c>
      <c r="F994" s="156" t="inlineStr">
        <is>
          <t>34</t>
        </is>
      </c>
      <c r="G994" s="156" t="inlineStr">
        <is>
          <t>34</t>
        </is>
      </c>
      <c r="H994" s="156" t="inlineStr">
        <is>
          <t>Wrangler</t>
        </is>
      </c>
      <c r="I994" s="156" t="inlineStr">
        <is>
          <t>Cinturon de hombre C49728-27 Café</t>
        </is>
      </c>
      <c r="J994" s="156" t="inlineStr">
        <is>
          <t>Accesorios</t>
        </is>
      </c>
      <c r="K994" s="156" t="inlineStr">
        <is>
          <t>Cinturones</t>
        </is>
      </c>
      <c r="L994" s="156" t="inlineStr">
        <is>
          <t>Hombre</t>
        </is>
      </c>
      <c r="M994" s="156" t="inlineStr">
        <is>
          <t>Wrangler</t>
        </is>
      </c>
      <c r="N994" s="156" t="inlineStr">
        <is>
          <t>FW26</t>
        </is>
      </c>
      <c r="O994" s="156" t="inlineStr">
        <is>
          <t>Seasonal</t>
        </is>
      </c>
      <c r="P994" s="156" t="inlineStr">
        <is>
          <t>Cafe</t>
        </is>
      </c>
      <c r="Q994" s="156" t="n"/>
      <c r="R994" s="156" t="n"/>
      <c r="S994" s="156" t="inlineStr">
        <is>
          <t>100% PIEL VACUNO</t>
        </is>
      </c>
      <c r="T994" s="156" t="inlineStr">
        <is>
          <t>Cinturón para Caballero de Piel</t>
        </is>
      </c>
      <c r="U994" s="156" t="inlineStr">
        <is>
          <t>México</t>
        </is>
      </c>
      <c r="V994" s="156" t="inlineStr">
        <is>
          <t>PZS</t>
        </is>
      </c>
      <c r="W994" s="51" t="inlineStr">
        <is>
          <t>53102501</t>
        </is>
      </c>
      <c r="X994" s="156" t="n"/>
      <c r="Y994" s="54" t="n">
        <v>292.76</v>
      </c>
      <c r="Z994" s="54" t="n">
        <v>430.603448</v>
      </c>
      <c r="AA994" s="55">
        <f>IF(AND(A994="", B994="", E994=""), "", IF(AB994="", "Válido", IF((LEN(AB994)-LEN(SUBSTITUTE(AB994,"; ","")))/2+1&gt;(LEN(AB994)-LEN(SUBSTITUTE(AB994,"[Aviso]","")))/7, "Con Incidencias", "Válido")))</f>
        <v/>
      </c>
      <c r="AB994" s="56">
        <f>IF(AND(A994="", B994="", E994=""), "", TEXTJOIN("; ", TRUE, IF(OR(TRIM(A994&amp;"")="", ISNUMBER(SEARCH("FALTA", A994))), "UPC faltante/inválido", ""), IF(AND(A994&lt;&gt;"", IFERROR(_xlfn.XMATCH(A994,$A$2:$A$1063,0,1)&lt;&gt;_xlfn.XMATCH(A994,$A$2:$A$1063,0,-1),FALSE)), "Código de barras duplicado", ""), IF(AND(E994&lt;&gt;"", COUNTIF($E$2:$E$1063, E994)&gt;1), "SKU duplicado", ""), IF(OR(J994="", J994=""), "[Aviso] División no capturada ()", IF(ISNA(MATCH(J994, Criterios!$A$123:$A$126, 0)), "División no válida", "")), IF(OR(K994="", K994=""), "[Aviso] Categoría no capturada ()", IF(ISNA(MATCH(K994, Criterios!$A$81:$A$120, 0)), "Categoría no válida", IF(AND(J994&lt;&gt;"", J994&lt;&gt;"", J994&lt;&gt;VLOOKUP(K994, Criterios!$A$81:$B$120, 2, FALSE)), "División no coincide con Categoría", ""))), IF(OR(L994="", L994=""), "[Aviso] Género no capturado ()", IF(ISNA(MATCH(L994, Criterios!$B$123:$B$127, 0)), "Género no válido", "")), IF(OR(N994="", N994=""), "[Aviso] Temporada no capturada ()", IF(ISNA(MATCH(N994, Criterios!$C$123:$C$128, 0)), "Temporada no válida", "")), IF(OR(O994="", O994=""), "[Aviso] Ciclo de vida no capturado ()", IF(ISNA(MATCH(O994, Criterios!$D$123:$D$124, 0)), "Ciclo de vida no válido", ""))))</f>
        <v/>
      </c>
      <c r="AC994" s="56" t="inlineStr">
        <is>
          <t>Homologación G1522: integra 1 registro(s) iguales por mismo WB SKU; códigos de barras alternos: 7506674600697</t>
        </is>
      </c>
      <c r="AD994" s="51" t="n">
        <v>2</v>
      </c>
      <c r="AE994" s="156" t="inlineStr">
        <is>
          <t>WB OUTLET LERMA (2)</t>
        </is>
      </c>
      <c r="AF994" s="51" t="n">
        <v>2</v>
      </c>
      <c r="AG994" s="156" t="inlineStr">
        <is>
          <t>Nuevo – Carga Hoja3 01/10/2026</t>
        </is>
      </c>
      <c r="AH994" s="156" t="inlineStr">
        <is>
          <t>Alta 01/10/2026 desde Hoja3 (fila 683); Mismo SKU que la fila 2470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«7506674600697» → «7506674602883» (Requiere revisión) · WB Descripcion: «Cinturón Wrangler Una Vista Casual para Hombre, Color Cafe» → «Cinturon de hombre C49728-27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«949» → «430.603448» (Conflicto entre duplicados)</t>
        </is>
      </c>
      <c r="AI994" s="156" t="n"/>
      <c r="AJ994" s="156" t="n"/>
      <c r="AK994" s="155" t="inlineStr">
        <is>
          <t>Hoja3: fila 683 | Odoo: producto 30942 / plantilla 39658; | Hoja a Revisar: fila 196043 (ID 117879, misma clave UPC); G1522_Extraccion_Articulos_NetSuite_2026-09-30.xlsx: fila 64120 [Z] | Shopify WB: producto 10310436946105 / variante 50512592502969</t>
        </is>
      </c>
      <c r="AL994" s="58" t="n"/>
      <c r="AM994" s="58" t="n"/>
      <c r="AN994" s="155" t="inlineStr">
        <is>
          <t>Odoo Universal Unique Brands; Shopify Western Brothers</t>
        </is>
      </c>
      <c r="AO994" s="59" t="n"/>
      <c r="AP994" s="59" t="n">
        <v>2</v>
      </c>
      <c r="AQ994" s="59" t="n">
        <v>10</v>
      </c>
      <c r="AR994" s="155" t="inlineStr">
        <is>
          <t>Odoo Universal Unique Brands › Bodega 25 › Bodega 25/General: 10; Shopify Western Brothers › Western Brothers Outlet Lerma: 2</t>
        </is>
      </c>
    </row>
    <row r="995">
      <c r="A995" s="50" t="inlineStr">
        <is>
          <t>7506674602890</t>
        </is>
      </c>
      <c r="B995" s="51" t="inlineStr">
        <is>
          <t>30943</t>
        </is>
      </c>
      <c r="C995" s="156" t="inlineStr">
        <is>
          <t>Wrangler</t>
        </is>
      </c>
      <c r="D995" s="156" t="inlineStr">
        <is>
          <t>C49728-27</t>
        </is>
      </c>
      <c r="E995" s="156" t="inlineStr">
        <is>
          <t>C49728-27-36</t>
        </is>
      </c>
      <c r="F995" s="156" t="inlineStr">
        <is>
          <t>36</t>
        </is>
      </c>
      <c r="G995" s="156" t="inlineStr">
        <is>
          <t>36</t>
        </is>
      </c>
      <c r="H995" s="156" t="inlineStr">
        <is>
          <t>Wrangler</t>
        </is>
      </c>
      <c r="I995" s="156" t="inlineStr">
        <is>
          <t>Cinturon de hombre C49728-27 Café</t>
        </is>
      </c>
      <c r="J995" s="156" t="inlineStr">
        <is>
          <t>Accesorios</t>
        </is>
      </c>
      <c r="K995" s="156" t="inlineStr">
        <is>
          <t>Cinturones</t>
        </is>
      </c>
      <c r="L995" s="156" t="inlineStr">
        <is>
          <t>Hombre</t>
        </is>
      </c>
      <c r="M995" s="156" t="inlineStr">
        <is>
          <t>Wrangler</t>
        </is>
      </c>
      <c r="N995" s="156" t="inlineStr">
        <is>
          <t>FW26</t>
        </is>
      </c>
      <c r="O995" s="156" t="inlineStr">
        <is>
          <t>Seasonal</t>
        </is>
      </c>
      <c r="P995" s="156" t="inlineStr">
        <is>
          <t>Cafe</t>
        </is>
      </c>
      <c r="Q995" s="156" t="n"/>
      <c r="R995" s="156" t="n"/>
      <c r="S995" s="156" t="inlineStr">
        <is>
          <t>100% PIEL VACUNO</t>
        </is>
      </c>
      <c r="T995" s="156" t="inlineStr">
        <is>
          <t>Cinturón para Caballero de Piel</t>
        </is>
      </c>
      <c r="U995" s="156" t="inlineStr">
        <is>
          <t>México</t>
        </is>
      </c>
      <c r="V995" s="156" t="inlineStr">
        <is>
          <t>PZS</t>
        </is>
      </c>
      <c r="W995" s="51" t="inlineStr">
        <is>
          <t>53102501</t>
        </is>
      </c>
      <c r="X995" s="156" t="n"/>
      <c r="Y995" s="54" t="n">
        <v>292.76</v>
      </c>
      <c r="Z995" s="54" t="n">
        <v>430.603448</v>
      </c>
      <c r="AA995" s="55">
        <f>IF(AND(A995="", B995="", E995=""), "", IF(AB995="", "Válido", IF((LEN(AB995)-LEN(SUBSTITUTE(AB995,"; ","")))/2+1&gt;(LEN(AB995)-LEN(SUBSTITUTE(AB995,"[Aviso]","")))/7, "Con Incidencias", "Válido")))</f>
        <v/>
      </c>
      <c r="AB995" s="56">
        <f>IF(AND(A995="", B995="", E995=""), "", TEXTJOIN("; ", TRUE, IF(OR(TRIM(A995&amp;"")="", ISNUMBER(SEARCH("FALTA", A995))), "UPC faltante/inválido", ""), IF(AND(A995&lt;&gt;"", IFERROR(_xlfn.XMATCH(A995,$A$2:$A$1063,0,1)&lt;&gt;_xlfn.XMATCH(A995,$A$2:$A$1063,0,-1),FALSE)), "Código de barras duplicado", ""), IF(AND(E995&lt;&gt;"", COUNTIF($E$2:$E$1063, E995)&gt;1), "SKU duplicado", ""), IF(OR(J995="", J995=""), "[Aviso] División no capturada ()", IF(ISNA(MATCH(J995, Criterios!$A$123:$A$126, 0)), "División no válida", "")), IF(OR(K995="", K995=""), "[Aviso] Categoría no capturada ()", IF(ISNA(MATCH(K995, Criterios!$A$81:$A$120, 0)), "Categoría no válida", IF(AND(J995&lt;&gt;"", J995&lt;&gt;"", J995&lt;&gt;VLOOKUP(K995, Criterios!$A$81:$B$120, 2, FALSE)), "División no coincide con Categoría", ""))), IF(OR(L995="", L995=""), "[Aviso] Género no capturado ()", IF(ISNA(MATCH(L995, Criterios!$B$123:$B$127, 0)), "Género no válido", "")), IF(OR(N995="", N995=""), "[Aviso] Temporada no capturada ()", IF(ISNA(MATCH(N995, Criterios!$C$123:$C$128, 0)), "Temporada no válida", "")), IF(OR(O995="", O995=""), "[Aviso] Ciclo de vida no capturado ()", IF(ISNA(MATCH(O995, Criterios!$D$123:$D$124, 0)), "Ciclo de vida no válido", ""))))</f>
        <v/>
      </c>
      <c r="AC995" s="56" t="inlineStr">
        <is>
          <t>Homologación G1522: integra 1 registro(s) iguales por mismo WB SKU; códigos de barras alternos: 7506674600703</t>
        </is>
      </c>
      <c r="AD995" s="51" t="n">
        <v>2</v>
      </c>
      <c r="AE995" s="156" t="inlineStr">
        <is>
          <t>WB OUTLET LERMA (2)</t>
        </is>
      </c>
      <c r="AF995" s="51" t="n">
        <v>2</v>
      </c>
      <c r="AG995" s="156" t="inlineStr">
        <is>
          <t>Nuevo – Carga Hoja3 01/10/2026</t>
        </is>
      </c>
      <c r="AH995" s="156" t="inlineStr">
        <is>
          <t>Alta 01/10/2026 desde Hoja3 (fila 684); Mismo SKU que la fila 2471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«7506674600703» → «7506674602890» (Requiere revisión) · WB Descripcion: «Cinturón Wrangler Una Vista Casual para Hombre, Color Cafe» → «Cinturon de hombre C49728-27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«949» → «430.603448» (Conflicto entre duplicados)</t>
        </is>
      </c>
      <c r="AI995" s="156" t="n"/>
      <c r="AJ995" s="156" t="n"/>
      <c r="AK995" s="155" t="inlineStr">
        <is>
          <t>Hoja3: fila 684 | Odoo: producto 30943 / plantilla 39658; | Hoja a Revisar: fila 196044 (ID 117880, misma clave UPC); G1522_Extraccion_Articulos_NetSuite_2026-09-30.xlsx: fila 64121 [Z] | Shopify WB: producto 10310436946105 / variante 50512592535737</t>
        </is>
      </c>
      <c r="AL995" s="58" t="n"/>
      <c r="AM995" s="58" t="n"/>
      <c r="AN995" s="155" t="inlineStr">
        <is>
          <t>Odoo Universal Unique Brands; Shopify Western Brothers</t>
        </is>
      </c>
      <c r="AO995" s="59" t="n"/>
      <c r="AP995" s="59" t="n">
        <v>2</v>
      </c>
      <c r="AQ995" s="59" t="n">
        <v>10</v>
      </c>
      <c r="AR995" s="155" t="inlineStr">
        <is>
          <t>Odoo Universal Unique Brands › Bodega 25 › Bodega 25/General: 10; Shopify Western Brothers › Western Brothers Outlet Lerma: 2</t>
        </is>
      </c>
    </row>
    <row r="996">
      <c r="A996" s="50" t="inlineStr">
        <is>
          <t>7506674602906</t>
        </is>
      </c>
      <c r="B996" s="51" t="inlineStr">
        <is>
          <t>30944</t>
        </is>
      </c>
      <c r="C996" s="156" t="inlineStr">
        <is>
          <t>Wrangler</t>
        </is>
      </c>
      <c r="D996" s="156" t="inlineStr">
        <is>
          <t>C49728-27</t>
        </is>
      </c>
      <c r="E996" s="156" t="inlineStr">
        <is>
          <t>C49728-27-38</t>
        </is>
      </c>
      <c r="F996" s="156" t="inlineStr">
        <is>
          <t>38</t>
        </is>
      </c>
      <c r="G996" s="156" t="inlineStr">
        <is>
          <t>38</t>
        </is>
      </c>
      <c r="H996" s="156" t="inlineStr">
        <is>
          <t>Wrangler</t>
        </is>
      </c>
      <c r="I996" s="156" t="inlineStr">
        <is>
          <t>Cinturon de hombre C49728-27 Café</t>
        </is>
      </c>
      <c r="J996" s="156" t="inlineStr">
        <is>
          <t>Accesorios</t>
        </is>
      </c>
      <c r="K996" s="156" t="inlineStr">
        <is>
          <t>Cinturones</t>
        </is>
      </c>
      <c r="L996" s="156" t="inlineStr">
        <is>
          <t>Hombre</t>
        </is>
      </c>
      <c r="M996" s="156" t="inlineStr">
        <is>
          <t>Wrangler</t>
        </is>
      </c>
      <c r="N996" s="156" t="inlineStr">
        <is>
          <t>FW26</t>
        </is>
      </c>
      <c r="O996" s="156" t="inlineStr">
        <is>
          <t>Seasonal</t>
        </is>
      </c>
      <c r="P996" s="156" t="inlineStr">
        <is>
          <t>Cafe</t>
        </is>
      </c>
      <c r="Q996" s="156" t="n"/>
      <c r="R996" s="156" t="n"/>
      <c r="S996" s="156" t="inlineStr">
        <is>
          <t>100% PIEL VACUNO</t>
        </is>
      </c>
      <c r="T996" s="156" t="inlineStr">
        <is>
          <t>Cinturón para Caballero de Piel</t>
        </is>
      </c>
      <c r="U996" s="156" t="inlineStr">
        <is>
          <t>México</t>
        </is>
      </c>
      <c r="V996" s="156" t="inlineStr">
        <is>
          <t>PZS</t>
        </is>
      </c>
      <c r="W996" s="51" t="inlineStr">
        <is>
          <t>53102501</t>
        </is>
      </c>
      <c r="X996" s="156" t="n"/>
      <c r="Y996" s="54" t="n">
        <v>292.76</v>
      </c>
      <c r="Z996" s="54" t="n">
        <v>430.603448</v>
      </c>
      <c r="AA996" s="55">
        <f>IF(AND(A996="", B996="", E996=""), "", IF(AB996="", "Válido", IF((LEN(AB996)-LEN(SUBSTITUTE(AB996,"; ","")))/2+1&gt;(LEN(AB996)-LEN(SUBSTITUTE(AB996,"[Aviso]","")))/7, "Con Incidencias", "Válido")))</f>
        <v/>
      </c>
      <c r="AB996" s="56">
        <f>IF(AND(A996="", B996="", E996=""), "", TEXTJOIN("; ", TRUE, IF(OR(TRIM(A996&amp;"")="", ISNUMBER(SEARCH("FALTA", A996))), "UPC faltante/inválido", ""), IF(AND(A996&lt;&gt;"", IFERROR(_xlfn.XMATCH(A996,$A$2:$A$1063,0,1)&lt;&gt;_xlfn.XMATCH(A996,$A$2:$A$1063,0,-1),FALSE)), "Código de barras duplicado", ""), IF(AND(E996&lt;&gt;"", COUNTIF($E$2:$E$1063, E996)&gt;1), "SKU duplicado", ""), IF(OR(J996="", J996=""), "[Aviso] División no capturada ()", IF(ISNA(MATCH(J996, Criterios!$A$123:$A$126, 0)), "División no válida", "")), IF(OR(K996="", K996=""), "[Aviso] Categoría no capturada ()", IF(ISNA(MATCH(K996, Criterios!$A$81:$A$120, 0)), "Categoría no válida", IF(AND(J996&lt;&gt;"", J996&lt;&gt;"", J996&lt;&gt;VLOOKUP(K996, Criterios!$A$81:$B$120, 2, FALSE)), "División no coincide con Categoría", ""))), IF(OR(L996="", L996=""), "[Aviso] Género no capturado ()", IF(ISNA(MATCH(L996, Criterios!$B$123:$B$127, 0)), "Género no válido", "")), IF(OR(N996="", N996=""), "[Aviso] Temporada no capturada ()", IF(ISNA(MATCH(N996, Criterios!$C$123:$C$128, 0)), "Temporada no válida", "")), IF(OR(O996="", O996=""), "[Aviso] Ciclo de vida no capturado ()", IF(ISNA(MATCH(O996, Criterios!$D$123:$D$124, 0)), "Ciclo de vida no válido", ""))))</f>
        <v/>
      </c>
      <c r="AC996" s="56" t="inlineStr">
        <is>
          <t>Homologación G1522: integra 1 registro(s) iguales por mismo WB SKU; códigos de barras alternos: 7506674600710</t>
        </is>
      </c>
      <c r="AD996" s="51" t="n">
        <v>3</v>
      </c>
      <c r="AE996" s="156" t="inlineStr">
        <is>
          <t>WB OUTLET LERMA (3)</t>
        </is>
      </c>
      <c r="AF996" s="51" t="n">
        <v>3</v>
      </c>
      <c r="AG996" s="156" t="inlineStr">
        <is>
          <t>Nuevo – Carga Hoja3 01/10/2026</t>
        </is>
      </c>
      <c r="AH996" s="156" t="inlineStr">
        <is>
          <t>Alta 01/10/2026 desde Hoja3 (fila 685); Mismo SKU que la fila 2472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«7506674600710» → «7506674602906» (Requiere revisión) · WB Descripcion: «Cinturón Wrangler Una Vista Casual para Hombre, Color Cafe» → «Cinturon de hombre C49728-27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«949» → «430.603448» (Conflicto entre duplicados)</t>
        </is>
      </c>
      <c r="AI996" s="156" t="n"/>
      <c r="AJ996" s="156" t="n"/>
      <c r="AK996" s="155" t="inlineStr">
        <is>
          <t>Hoja3: fila 685 | Odoo: producto 30944 / plantilla 39658; | Hoja a Revisar: fila 196045 (ID 117881, misma clave UPC); G1522_Extraccion_Articulos_NetSuite_2026-09-30.xlsx: fila 64122 [Z] | Shopify WB: producto 10310436946105 / variante 50512592568505</t>
        </is>
      </c>
      <c r="AL996" s="58" t="n"/>
      <c r="AM996" s="58" t="n"/>
      <c r="AN996" s="155" t="inlineStr">
        <is>
          <t>Odoo Universal Unique Brands; Shopify Western Brothers</t>
        </is>
      </c>
      <c r="AO996" s="59" t="n"/>
      <c r="AP996" s="59" t="n">
        <v>3</v>
      </c>
      <c r="AQ996" s="59" t="n">
        <v>15</v>
      </c>
      <c r="AR996" s="155" t="inlineStr">
        <is>
          <t>Odoo Universal Unique Brands › Bodega 25 › Bodega 25/General: 15; Shopify Western Brothers › Western Brothers Outlet Lerma: 3</t>
        </is>
      </c>
    </row>
    <row r="997">
      <c r="A997" s="50" t="inlineStr">
        <is>
          <t>7506674602913</t>
        </is>
      </c>
      <c r="B997" s="51" t="inlineStr">
        <is>
          <t>30945</t>
        </is>
      </c>
      <c r="C997" s="156" t="inlineStr">
        <is>
          <t>Wrangler</t>
        </is>
      </c>
      <c r="D997" s="156" t="inlineStr">
        <is>
          <t>C49728-27</t>
        </is>
      </c>
      <c r="E997" s="156" t="inlineStr">
        <is>
          <t>C49728-27-40</t>
        </is>
      </c>
      <c r="F997" s="156" t="inlineStr">
        <is>
          <t>40</t>
        </is>
      </c>
      <c r="G997" s="156" t="inlineStr">
        <is>
          <t>40</t>
        </is>
      </c>
      <c r="H997" s="156" t="inlineStr">
        <is>
          <t>Wrangler</t>
        </is>
      </c>
      <c r="I997" s="156" t="inlineStr">
        <is>
          <t>Cinturon de hombre C49728-27 Café</t>
        </is>
      </c>
      <c r="J997" s="156" t="inlineStr">
        <is>
          <t>Accesorios</t>
        </is>
      </c>
      <c r="K997" s="156" t="inlineStr">
        <is>
          <t>Cinturones</t>
        </is>
      </c>
      <c r="L997" s="156" t="inlineStr">
        <is>
          <t>Hombre</t>
        </is>
      </c>
      <c r="M997" s="156" t="inlineStr">
        <is>
          <t>Wrangler</t>
        </is>
      </c>
      <c r="N997" s="156" t="inlineStr">
        <is>
          <t>FW26</t>
        </is>
      </c>
      <c r="O997" s="156" t="inlineStr">
        <is>
          <t>Seasonal</t>
        </is>
      </c>
      <c r="P997" s="156" t="inlineStr">
        <is>
          <t>Cafe</t>
        </is>
      </c>
      <c r="Q997" s="156" t="n"/>
      <c r="R997" s="156" t="n"/>
      <c r="S997" s="156" t="inlineStr">
        <is>
          <t>100% PIEL VACUNO</t>
        </is>
      </c>
      <c r="T997" s="156" t="inlineStr">
        <is>
          <t>Cinturón para Caballero de Piel</t>
        </is>
      </c>
      <c r="U997" s="156" t="inlineStr">
        <is>
          <t>México</t>
        </is>
      </c>
      <c r="V997" s="156" t="inlineStr">
        <is>
          <t>PZS</t>
        </is>
      </c>
      <c r="W997" s="51" t="inlineStr">
        <is>
          <t>53102501</t>
        </is>
      </c>
      <c r="X997" s="156" t="n"/>
      <c r="Y997" s="54" t="n">
        <v>292.76</v>
      </c>
      <c r="Z997" s="54" t="n">
        <v>430.603448</v>
      </c>
      <c r="AA997" s="55">
        <f>IF(AND(A997="", B997="", E997=""), "", IF(AB997="", "Válido", IF((LEN(AB997)-LEN(SUBSTITUTE(AB997,"; ","")))/2+1&gt;(LEN(AB997)-LEN(SUBSTITUTE(AB997,"[Aviso]","")))/7, "Con Incidencias", "Válido")))</f>
        <v/>
      </c>
      <c r="AB997" s="56">
        <f>IF(AND(A997="", B997="", E997=""), "", TEXTJOIN("; ", TRUE, IF(OR(TRIM(A997&amp;"")="", ISNUMBER(SEARCH("FALTA", A997))), "UPC faltante/inválido", ""), IF(AND(A997&lt;&gt;"", IFERROR(_xlfn.XMATCH(A997,$A$2:$A$1063,0,1)&lt;&gt;_xlfn.XMATCH(A997,$A$2:$A$1063,0,-1),FALSE)), "Código de barras duplicado", ""), IF(AND(E997&lt;&gt;"", COUNTIF($E$2:$E$1063, E997)&gt;1), "SKU duplicado", ""), IF(OR(J997="", J997=""), "[Aviso] División no capturada ()", IF(ISNA(MATCH(J997, Criterios!$A$123:$A$126, 0)), "División no válida", "")), IF(OR(K997="", K997=""), "[Aviso] Categoría no capturada ()", IF(ISNA(MATCH(K997, Criterios!$A$81:$A$120, 0)), "Categoría no válida", IF(AND(J997&lt;&gt;"", J997&lt;&gt;"", J997&lt;&gt;VLOOKUP(K997, Criterios!$A$81:$B$120, 2, FALSE)), "División no coincide con Categoría", ""))), IF(OR(L997="", L997=""), "[Aviso] Género no capturado ()", IF(ISNA(MATCH(L997, Criterios!$B$123:$B$127, 0)), "Género no válido", "")), IF(OR(N997="", N997=""), "[Aviso] Temporada no capturada ()", IF(ISNA(MATCH(N997, Criterios!$C$123:$C$128, 0)), "Temporada no válida", "")), IF(OR(O997="", O997=""), "[Aviso] Ciclo de vida no capturado ()", IF(ISNA(MATCH(O997, Criterios!$D$123:$D$124, 0)), "Ciclo de vida no válido", ""))))</f>
        <v/>
      </c>
      <c r="AC997" s="56" t="inlineStr">
        <is>
          <t>Homologación G1522: integra 1 registro(s) iguales por mismo WB SKU; códigos de barras alternos: 7506674600727</t>
        </is>
      </c>
      <c r="AD997" s="51" t="n">
        <v>2</v>
      </c>
      <c r="AE997" s="156" t="inlineStr">
        <is>
          <t>WB OUTLET LERMA (2)</t>
        </is>
      </c>
      <c r="AF997" s="51" t="n">
        <v>2</v>
      </c>
      <c r="AG997" s="156" t="inlineStr">
        <is>
          <t>Nuevo – Carga Hoja3 01/10/2026</t>
        </is>
      </c>
      <c r="AH997" s="156" t="inlineStr">
        <is>
          <t>Alta 01/10/2026 desde Hoja3 (fila 686); Mismo SKU que la fila 2473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«7506674600727» → «7506674602913» (Requiere revisión) · WB Descripcion: «Cinturón Wrangler Una Vista Casual para Hombre, Color Cafe» → «Cinturon de hombre C49728-27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«949» → «430.603448» (Conflicto entre duplicados)</t>
        </is>
      </c>
      <c r="AI997" s="156" t="n"/>
      <c r="AJ997" s="156" t="n"/>
      <c r="AK997" s="155" t="inlineStr">
        <is>
          <t>Hoja3: fila 686 | Odoo: producto 30945 / plantilla 39658; | Hoja a Revisar: fila 196046 (ID 117882, misma clave UPC); G1522_Extraccion_Articulos_NetSuite_2026-09-30.xlsx: fila 64123 [Z] | Shopify WB: producto 10310436946105 / variante 50512592601273</t>
        </is>
      </c>
      <c r="AL997" s="58" t="n"/>
      <c r="AM997" s="58" t="n"/>
      <c r="AN997" s="155" t="inlineStr">
        <is>
          <t>Odoo Universal Unique Brands; Shopify Western Brothers</t>
        </is>
      </c>
      <c r="AO997" s="59" t="n"/>
      <c r="AP997" s="59" t="n">
        <v>2</v>
      </c>
      <c r="AQ997" s="59" t="n">
        <v>22</v>
      </c>
      <c r="AR997" s="155" t="inlineStr">
        <is>
          <t>Odoo Universal Unique Brands › Bodega 25 › Bodega 25/General: 22; Shopify Western Brothers › Western Brothers Outlet Lerma: 2</t>
        </is>
      </c>
    </row>
    <row r="998">
      <c r="A998" s="50" t="inlineStr">
        <is>
          <t>7506674602920</t>
        </is>
      </c>
      <c r="B998" s="51" t="inlineStr">
        <is>
          <t>30946</t>
        </is>
      </c>
      <c r="C998" s="156" t="inlineStr">
        <is>
          <t>Wrangler</t>
        </is>
      </c>
      <c r="D998" s="156" t="inlineStr">
        <is>
          <t>C49728-27</t>
        </is>
      </c>
      <c r="E998" s="156" t="inlineStr">
        <is>
          <t>C49728-27-42</t>
        </is>
      </c>
      <c r="F998" s="156" t="inlineStr">
        <is>
          <t>42</t>
        </is>
      </c>
      <c r="G998" s="156" t="inlineStr">
        <is>
          <t>42</t>
        </is>
      </c>
      <c r="H998" s="156" t="inlineStr">
        <is>
          <t>Wrangler</t>
        </is>
      </c>
      <c r="I998" s="156" t="inlineStr">
        <is>
          <t>Cinturon de hombre C49728-27 Café</t>
        </is>
      </c>
      <c r="J998" s="156" t="inlineStr">
        <is>
          <t>Accesorios</t>
        </is>
      </c>
      <c r="K998" s="156" t="inlineStr">
        <is>
          <t>Cinturones</t>
        </is>
      </c>
      <c r="L998" s="156" t="inlineStr">
        <is>
          <t>Hombre</t>
        </is>
      </c>
      <c r="M998" s="156" t="inlineStr">
        <is>
          <t>Wrangler</t>
        </is>
      </c>
      <c r="N998" s="156" t="inlineStr">
        <is>
          <t>FW26</t>
        </is>
      </c>
      <c r="O998" s="156" t="inlineStr">
        <is>
          <t>Seasonal</t>
        </is>
      </c>
      <c r="P998" s="156" t="inlineStr">
        <is>
          <t>Cafe</t>
        </is>
      </c>
      <c r="Q998" s="156" t="n"/>
      <c r="R998" s="156" t="n"/>
      <c r="S998" s="156" t="inlineStr">
        <is>
          <t>100% PIEL VACUNO</t>
        </is>
      </c>
      <c r="T998" s="156" t="inlineStr">
        <is>
          <t>Cinturón para Caballero de Piel</t>
        </is>
      </c>
      <c r="U998" s="156" t="inlineStr">
        <is>
          <t>México</t>
        </is>
      </c>
      <c r="V998" s="156" t="inlineStr">
        <is>
          <t>PZS</t>
        </is>
      </c>
      <c r="W998" s="51" t="inlineStr">
        <is>
          <t>53102501</t>
        </is>
      </c>
      <c r="X998" s="156" t="n"/>
      <c r="Y998" s="54" t="n">
        <v>292.76</v>
      </c>
      <c r="Z998" s="54" t="n">
        <v>430.603448</v>
      </c>
      <c r="AA998" s="55">
        <f>IF(AND(A998="", B998="", E998=""), "", IF(AB998="", "Válido", IF((LEN(AB998)-LEN(SUBSTITUTE(AB998,"; ","")))/2+1&gt;(LEN(AB998)-LEN(SUBSTITUTE(AB998,"[Aviso]","")))/7, "Con Incidencias", "Válido")))</f>
        <v/>
      </c>
      <c r="AB998" s="56">
        <f>IF(AND(A998="", B998="", E998=""), "", TEXTJOIN("; ", TRUE, IF(OR(TRIM(A998&amp;"")="", ISNUMBER(SEARCH("FALTA", A998))), "UPC faltante/inválido", ""), IF(AND(A998&lt;&gt;"", IFERROR(_xlfn.XMATCH(A998,$A$2:$A$1063,0,1)&lt;&gt;_xlfn.XMATCH(A998,$A$2:$A$1063,0,-1),FALSE)), "Código de barras duplicado", ""), IF(AND(E998&lt;&gt;"", COUNTIF($E$2:$E$1063, E998)&gt;1), "SKU duplicado", ""), IF(OR(J998="", J998=""), "[Aviso] División no capturada ()", IF(ISNA(MATCH(J998, Criterios!$A$123:$A$126, 0)), "División no válida", "")), IF(OR(K998="", K998=""), "[Aviso] Categoría no capturada ()", IF(ISNA(MATCH(K998, Criterios!$A$81:$A$120, 0)), "Categoría no válida", IF(AND(J998&lt;&gt;"", J998&lt;&gt;"", J998&lt;&gt;VLOOKUP(K998, Criterios!$A$81:$B$120, 2, FALSE)), "División no coincide con Categoría", ""))), IF(OR(L998="", L998=""), "[Aviso] Género no capturado ()", IF(ISNA(MATCH(L998, Criterios!$B$123:$B$127, 0)), "Género no válido", "")), IF(OR(N998="", N998=""), "[Aviso] Temporada no capturada ()", IF(ISNA(MATCH(N998, Criterios!$C$123:$C$128, 0)), "Temporada no válida", "")), IF(OR(O998="", O998=""), "[Aviso] Ciclo de vida no capturado ()", IF(ISNA(MATCH(O998, Criterios!$D$123:$D$124, 0)), "Ciclo de vida no válido", ""))))</f>
        <v/>
      </c>
      <c r="AC998" s="56" t="inlineStr">
        <is>
          <t>Homologación G1522: integra 1 registro(s) iguales por mismo WB SKU; códigos de barras alternos: 7506674600734</t>
        </is>
      </c>
      <c r="AD998" s="51" t="n">
        <v>2</v>
      </c>
      <c r="AE998" s="156" t="inlineStr">
        <is>
          <t>WB OUTLET LERMA (2)</t>
        </is>
      </c>
      <c r="AF998" s="51" t="n">
        <v>2</v>
      </c>
      <c r="AG998" s="156" t="inlineStr">
        <is>
          <t>Nuevo – Carga Hoja3 01/10/2026</t>
        </is>
      </c>
      <c r="AH998" s="156" t="inlineStr">
        <is>
          <t>Alta 01/10/2026 desde Hoja3 (fila 687); Mismo SKU que la fila 2474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«7506674600734» → «7506674602920» (Requiere revisión) · WB Descripcion: «Cinturón Wrangler Una Vista Casual para Hombre, Color Cafe» → «Cinturon de hombre C49728-27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«949» → «430.603448» (Conflicto entre duplicados)</t>
        </is>
      </c>
      <c r="AI998" s="156" t="n"/>
      <c r="AJ998" s="156" t="n"/>
      <c r="AK998" s="155" t="inlineStr">
        <is>
          <t>Hoja3: fila 687 | Odoo: producto 30946 / plantilla 39658; | Hoja a Revisar: fila 196047 (ID 117883, misma clave UPC); G1522_Extraccion_Articulos_NetSuite_2026-09-30.xlsx: fila 64124 [Z] | Shopify WB: producto 10310436946105 / variante 50512592634041</t>
        </is>
      </c>
      <c r="AL998" s="58" t="n"/>
      <c r="AM998" s="58" t="n"/>
      <c r="AN998" s="155" t="inlineStr">
        <is>
          <t>Odoo Universal Unique Brands; Shopify Western Brothers</t>
        </is>
      </c>
      <c r="AO998" s="59" t="n"/>
      <c r="AP998" s="59" t="n">
        <v>2</v>
      </c>
      <c r="AQ998" s="59" t="n">
        <v>22</v>
      </c>
      <c r="AR998" s="155" t="inlineStr">
        <is>
          <t>Odoo Universal Unique Brands › Bodega 25 › Bodega 25/General: 22; Shopify Western Brothers › Western Brothers Outlet Lerma: 2</t>
        </is>
      </c>
    </row>
    <row r="999">
      <c r="A999" s="50" t="inlineStr">
        <is>
          <t>7506674602937</t>
        </is>
      </c>
      <c r="B999" s="51" t="inlineStr">
        <is>
          <t>30947</t>
        </is>
      </c>
      <c r="C999" s="156" t="inlineStr">
        <is>
          <t>Wrangler</t>
        </is>
      </c>
      <c r="D999" s="156" t="inlineStr">
        <is>
          <t>C49728-27</t>
        </is>
      </c>
      <c r="E999" s="156" t="inlineStr">
        <is>
          <t>C49728-27-44</t>
        </is>
      </c>
      <c r="F999" s="156" t="inlineStr">
        <is>
          <t>44</t>
        </is>
      </c>
      <c r="G999" s="156" t="inlineStr">
        <is>
          <t>44</t>
        </is>
      </c>
      <c r="H999" s="156" t="inlineStr">
        <is>
          <t>Wrangler</t>
        </is>
      </c>
      <c r="I999" s="156" t="inlineStr">
        <is>
          <t>Cinturon de hombre C49728-27 Café</t>
        </is>
      </c>
      <c r="J999" s="156" t="inlineStr">
        <is>
          <t>Accesorios</t>
        </is>
      </c>
      <c r="K999" s="156" t="inlineStr">
        <is>
          <t>Cinturones</t>
        </is>
      </c>
      <c r="L999" s="156" t="inlineStr">
        <is>
          <t>Hombre</t>
        </is>
      </c>
      <c r="M999" s="156" t="inlineStr">
        <is>
          <t>Wrangler</t>
        </is>
      </c>
      <c r="N999" s="156" t="inlineStr">
        <is>
          <t>FW26</t>
        </is>
      </c>
      <c r="O999" s="156" t="inlineStr">
        <is>
          <t>Seasonal</t>
        </is>
      </c>
      <c r="P999" s="156" t="inlineStr">
        <is>
          <t>Cafe</t>
        </is>
      </c>
      <c r="Q999" s="156" t="n"/>
      <c r="R999" s="156" t="n"/>
      <c r="S999" s="156" t="inlineStr">
        <is>
          <t>100% PIEL VACUNO</t>
        </is>
      </c>
      <c r="T999" s="156" t="inlineStr">
        <is>
          <t>Cinturón para Caballero de Piel</t>
        </is>
      </c>
      <c r="U999" s="156" t="inlineStr">
        <is>
          <t>México</t>
        </is>
      </c>
      <c r="V999" s="156" t="inlineStr">
        <is>
          <t>PZS</t>
        </is>
      </c>
      <c r="W999" s="51" t="inlineStr">
        <is>
          <t>53102501</t>
        </is>
      </c>
      <c r="X999" s="156" t="n"/>
      <c r="Y999" s="54" t="n">
        <v>292.76</v>
      </c>
      <c r="Z999" s="54" t="n">
        <v>430.603448</v>
      </c>
      <c r="AA999" s="55">
        <f>IF(AND(A999="", B999="", E999=""), "", IF(AB999="", "Válido", IF((LEN(AB999)-LEN(SUBSTITUTE(AB999,"; ","")))/2+1&gt;(LEN(AB999)-LEN(SUBSTITUTE(AB999,"[Aviso]","")))/7, "Con Incidencias", "Válido")))</f>
        <v/>
      </c>
      <c r="AB999" s="56">
        <f>IF(AND(A999="", B999="", E999=""), "", TEXTJOIN("; ", TRUE, IF(OR(TRIM(A999&amp;"")="", ISNUMBER(SEARCH("FALTA", A999))), "UPC faltante/inválido", ""), IF(AND(A999&lt;&gt;"", IFERROR(_xlfn.XMATCH(A999,$A$2:$A$1063,0,1)&lt;&gt;_xlfn.XMATCH(A999,$A$2:$A$1063,0,-1),FALSE)), "Código de barras duplicado", ""), IF(AND(E999&lt;&gt;"", COUNTIF($E$2:$E$1063, E999)&gt;1), "SKU duplicado", ""), IF(OR(J999="", J999=""), "[Aviso] División no capturada ()", IF(ISNA(MATCH(J999, Criterios!$A$123:$A$126, 0)), "División no válida", "")), IF(OR(K999="", K999=""), "[Aviso] Categoría no capturada ()", IF(ISNA(MATCH(K999, Criterios!$A$81:$A$120, 0)), "Categoría no válida", IF(AND(J999&lt;&gt;"", J999&lt;&gt;"", J999&lt;&gt;VLOOKUP(K999, Criterios!$A$81:$B$120, 2, FALSE)), "División no coincide con Categoría", ""))), IF(OR(L999="", L999=""), "[Aviso] Género no capturado ()", IF(ISNA(MATCH(L999, Criterios!$B$123:$B$127, 0)), "Género no válido", "")), IF(OR(N999="", N999=""), "[Aviso] Temporada no capturada ()", IF(ISNA(MATCH(N999, Criterios!$C$123:$C$128, 0)), "Temporada no válida", "")), IF(OR(O999="", O999=""), "[Aviso] Ciclo de vida no capturado ()", IF(ISNA(MATCH(O999, Criterios!$D$123:$D$124, 0)), "Ciclo de vida no válido", ""))))</f>
        <v/>
      </c>
      <c r="AC999" s="56" t="inlineStr">
        <is>
          <t>Homologación G1522: integra 1 registro(s) iguales por mismo WB SKU; códigos de barras alternos: 7506674600741</t>
        </is>
      </c>
      <c r="AD999" s="51" t="n">
        <v>1</v>
      </c>
      <c r="AE999" s="156" t="inlineStr">
        <is>
          <t>WB OUTLET LERMA (1)</t>
        </is>
      </c>
      <c r="AF999" s="51" t="n">
        <v>1</v>
      </c>
      <c r="AG999" s="156" t="inlineStr">
        <is>
          <t>Nuevo – Carga Hoja3 01/10/2026</t>
        </is>
      </c>
      <c r="AH999" s="156" t="inlineStr">
        <is>
          <t>Alta 01/10/2026 desde Hoja3 (fila 688); Mismo SKU que la fila 2475 con otro código/ID; revisar cuál es el vigente | 01/10/2026: complementado desde Odoo Universal Unique Brands (match por código de barras): WB Talla de EE. UU. | Homologación G1522 06/10/2026: Precio de compra: «292,76» → «292.76» (Corrección aplicada) · WB País de origen: «MX» → «México» (Corrección aplicada) · WB País de origen: «Mexico» → «México» (Corrección aplicada) · Código de barras: «7506674600741» → «7506674602937» (Requiere revisión) · WB Descripcion: «Cinturón Wrangler Una Vista Casual para Hombre, Color Cafe» → «Cinturon de hombre C49728-27 Café» (Conflicto entre duplicados) · WB Temporada: «SS26» → «FW26» (Conflicto entre duplicados) · WB Ciclo de vida: «» → «Seasonal» (Integrado de duplicado) · WB Composición: «100% piel de vacuno» → «100% PIEL VACUNO» (Conflicto entre duplicados) · WB Descripción larga: «Cinturón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masculino.» → «Cinturón para Caballero de Piel» (Conflicto entre duplicados) · Precio de venta: «949» → «430.603448» (Conflicto entre duplicados)</t>
        </is>
      </c>
      <c r="AI999" s="156" t="n"/>
      <c r="AJ999" s="156" t="n"/>
      <c r="AK999" s="155" t="inlineStr">
        <is>
          <t>Hoja3: fila 688 | Odoo: producto 30947 / plantilla 39658; | Hoja a Revisar: fila 196048 (ID 117884, misma clave UPC); G1522_Extraccion_Articulos_NetSuite_2026-09-30.xlsx: fila 64125 [Z] | Shopify WB: producto 10310436946105 / variante 50512592666809</t>
        </is>
      </c>
      <c r="AL999" s="58" t="n"/>
      <c r="AM999" s="58" t="n"/>
      <c r="AN999" s="155" t="inlineStr">
        <is>
          <t>Odoo Universal Unique Brands; Shopify Western Brothers</t>
        </is>
      </c>
      <c r="AO999" s="59" t="n"/>
      <c r="AP999" s="59" t="n">
        <v>1</v>
      </c>
      <c r="AQ999" s="59" t="n">
        <v>17</v>
      </c>
      <c r="AR999" s="155" t="inlineStr">
        <is>
          <t>Odoo Universal Unique Brands › Bodega 25 › Bodega 25/General: 17; Shopify Western Brothers › Western Brothers Outlet Lerma: 1</t>
        </is>
      </c>
    </row>
    <row r="1000">
      <c r="A1000" s="50" t="inlineStr">
        <is>
          <t>7503063066776</t>
        </is>
      </c>
      <c r="B1000" s="51" t="inlineStr">
        <is>
          <t>30933</t>
        </is>
      </c>
      <c r="C1000" s="156" t="inlineStr">
        <is>
          <t>Wrangler</t>
        </is>
      </c>
      <c r="D1000" s="156" t="inlineStr">
        <is>
          <t>C49732-22</t>
        </is>
      </c>
      <c r="E1000" s="156" t="inlineStr">
        <is>
          <t>C49732-22-32</t>
        </is>
      </c>
      <c r="F1000" s="156" t="inlineStr">
        <is>
          <t>32</t>
        </is>
      </c>
      <c r="G1000" s="156" t="inlineStr">
        <is>
          <t>32</t>
        </is>
      </c>
      <c r="H1000" s="156" t="inlineStr">
        <is>
          <t>Wrangler</t>
        </is>
      </c>
      <c r="I1000" s="156" t="inlineStr">
        <is>
          <t>Cinturon de hombre C49732-22 Beige claro</t>
        </is>
      </c>
      <c r="J1000" s="156" t="inlineStr">
        <is>
          <t>Accesorios</t>
        </is>
      </c>
      <c r="K1000" s="156" t="inlineStr">
        <is>
          <t>Cinturones</t>
        </is>
      </c>
      <c r="L1000" s="156" t="inlineStr">
        <is>
          <t>Hombre</t>
        </is>
      </c>
      <c r="M1000" s="156" t="inlineStr">
        <is>
          <t>Wrangler</t>
        </is>
      </c>
      <c r="N1000" s="156" t="inlineStr">
        <is>
          <t>FW26</t>
        </is>
      </c>
      <c r="O1000" s="156" t="n"/>
      <c r="P1000" s="156" t="inlineStr">
        <is>
          <t>Blanco</t>
        </is>
      </c>
      <c r="Q1000" s="156" t="n"/>
      <c r="R1000" s="156" t="n"/>
      <c r="S1000" s="156" t="inlineStr">
        <is>
          <t>100% PIEL VACUNO</t>
        </is>
      </c>
      <c r="T1000" s="156" t="inlineStr">
        <is>
          <t>Cinturón para Caballero de Piel</t>
        </is>
      </c>
      <c r="U1000" s="156" t="inlineStr">
        <is>
          <t>México</t>
        </is>
      </c>
      <c r="V1000" s="156" t="inlineStr">
        <is>
          <t>PZS</t>
        </is>
      </c>
      <c r="W1000" s="51" t="inlineStr">
        <is>
          <t>53102501</t>
        </is>
      </c>
      <c r="X1000" s="156" t="n"/>
      <c r="Y1000" s="54" t="n">
        <v>344.48</v>
      </c>
      <c r="Z1000" s="54" t="n">
        <v>430.603448</v>
      </c>
      <c r="AA1000" s="55">
        <f>IF(AND(A1000="", B1000="", E1000=""), "", IF(AB1000="", "Válido", IF((LEN(AB1000)-LEN(SUBSTITUTE(AB1000,"; ","")))/2+1&gt;(LEN(AB1000)-LEN(SUBSTITUTE(AB1000,"[Aviso]","")))/7, "Con Incidencias", "Válido")))</f>
        <v/>
      </c>
      <c r="AB1000" s="56">
        <f>IF(AND(A1000="", B1000="", E1000=""), "", TEXTJOIN("; ", TRUE, IF(OR(TRIM(A1000&amp;"")="", ISNUMBER(SEARCH("FALTA", A1000))), "UPC faltante/inválido", ""), IF(AND(A1000&lt;&gt;"", IFERROR(_xlfn.XMATCH(A1000,$A$2:$A$1063,0,1)&lt;&gt;_xlfn.XMATCH(A1000,$A$2:$A$1063,0,-1),FALSE)), "Código de barras duplicado", ""), IF(AND(E1000&lt;&gt;"", COUNTIF($E$2:$E$1063, E1000)&gt;1), "SKU duplicado", ""), IF(OR(J1000="", J1000=""), "[Aviso] División no capturada ()", IF(ISNA(MATCH(J1000, Criterios!$A$123:$A$126, 0)), "División no válida", "")), IF(OR(K1000="", K1000=""), "[Aviso] Categoría no capturada ()", IF(ISNA(MATCH(K1000, Criterios!$A$81:$A$120, 0)), "Categoría no válida", IF(AND(J1000&lt;&gt;"", J1000&lt;&gt;"", J1000&lt;&gt;VLOOKUP(K1000, Criterios!$A$81:$B$120, 2, FALSE)), "División no coincide con Categoría", ""))), IF(OR(L1000="", L1000=""), "[Aviso] Género no capturado ()", IF(ISNA(MATCH(L1000, Criterios!$B$123:$B$127, 0)), "Género no válido", "")), IF(OR(N1000="", N1000=""), "[Aviso] Temporada no capturada ()", IF(ISNA(MATCH(N1000, Criterios!$C$123:$C$128, 0)), "Temporada no válida", "")), IF(OR(O1000="", O1000=""), "[Aviso] Ciclo de vida no capturado ()", IF(ISNA(MATCH(O1000, Criterios!$D$123:$D$124, 0)), "Ciclo de vida no válido", ""))))</f>
        <v/>
      </c>
      <c r="AC1000" s="56" t="n"/>
      <c r="AD1000" s="51" t="n"/>
      <c r="AE1000" s="156" t="n"/>
      <c r="AF1000" s="51" t="n"/>
      <c r="AG1000" s="156" t="inlineStr">
        <is>
          <t>Nuevo – Carga Hoja3 01/10/2026</t>
        </is>
      </c>
      <c r="AH1000" s="156" t="inlineStr">
        <is>
          <t>Alta 01/10/2026 desde Hoja3 (fila 717); Mismo SKU que la fila 2434 con otro código/ID; revisar cuál es el vigente | 01/10/2026: complementado desde Odoo Universal Unique Brands (match por código de barras): WB Talla de EE. UU. | Homologación G1522 06/10/2026: WB País de origen: «Mexico» → «México» (Corrección aplicada) · WB SKU: Colisión de captura: mismo WB SKU pero estilo, talla o color distintos; corregir el valor equivocado (Requiere revisión) · Validación G1522: WB SKU duplicado · Validador NetSuite / Odoo: V4: SKU repetido · Validador Shopify: V4: SKU repetido</t>
        </is>
      </c>
      <c r="AI1000" s="156" t="n"/>
      <c r="AJ1000" s="156" t="n"/>
      <c r="AK1000" s="155" t="inlineStr">
        <is>
          <t>Hoja3: fila 717 | Odoo: producto 30933 / plantilla 39656</t>
        </is>
      </c>
      <c r="AL1000" s="58" t="n"/>
      <c r="AM1000" s="58" t="n"/>
      <c r="AN1000" s="155" t="inlineStr">
        <is>
          <t>Odoo Universal Unique Brands</t>
        </is>
      </c>
      <c r="AO1000" s="59" t="n"/>
      <c r="AP1000" s="59" t="n"/>
      <c r="AQ1000" s="59" t="n">
        <v>5</v>
      </c>
      <c r="AR1000" s="155" t="inlineStr">
        <is>
          <t>Odoo Universal Unique Brands › Bodega 25 › Bodega 25/General: 5</t>
        </is>
      </c>
    </row>
    <row r="1001">
      <c r="A1001" s="50" t="inlineStr">
        <is>
          <t>7503063066783</t>
        </is>
      </c>
      <c r="B1001" s="51" t="inlineStr">
        <is>
          <t>30934</t>
        </is>
      </c>
      <c r="C1001" s="156" t="inlineStr">
        <is>
          <t>Wrangler</t>
        </is>
      </c>
      <c r="D1001" s="156" t="inlineStr">
        <is>
          <t>C49732-22</t>
        </is>
      </c>
      <c r="E1001" s="156" t="inlineStr">
        <is>
          <t>C49732-22-34</t>
        </is>
      </c>
      <c r="F1001" s="156" t="inlineStr">
        <is>
          <t>34</t>
        </is>
      </c>
      <c r="G1001" s="156" t="inlineStr">
        <is>
          <t>34</t>
        </is>
      </c>
      <c r="H1001" s="156" t="inlineStr">
        <is>
          <t>Wrangler</t>
        </is>
      </c>
      <c r="I1001" s="156" t="inlineStr">
        <is>
          <t>Cinturon de hombre C49732-22 Beige claro</t>
        </is>
      </c>
      <c r="J1001" s="156" t="inlineStr">
        <is>
          <t>Accesorios</t>
        </is>
      </c>
      <c r="K1001" s="156" t="inlineStr">
        <is>
          <t>Cinturones</t>
        </is>
      </c>
      <c r="L1001" s="156" t="inlineStr">
        <is>
          <t>Hombre</t>
        </is>
      </c>
      <c r="M1001" s="156" t="inlineStr">
        <is>
          <t>Wrangler</t>
        </is>
      </c>
      <c r="N1001" s="156" t="inlineStr">
        <is>
          <t>FW26</t>
        </is>
      </c>
      <c r="O1001" s="156" t="n"/>
      <c r="P1001" s="156" t="inlineStr">
        <is>
          <t>Blanco</t>
        </is>
      </c>
      <c r="Q1001" s="156" t="n"/>
      <c r="R1001" s="156" t="n"/>
      <c r="S1001" s="156" t="inlineStr">
        <is>
          <t>100% PIEL VACUNO</t>
        </is>
      </c>
      <c r="T1001" s="156" t="inlineStr">
        <is>
          <t>Cinturón para Caballero de Piel</t>
        </is>
      </c>
      <c r="U1001" s="156" t="inlineStr">
        <is>
          <t>México</t>
        </is>
      </c>
      <c r="V1001" s="156" t="inlineStr">
        <is>
          <t>PZS</t>
        </is>
      </c>
      <c r="W1001" s="51" t="inlineStr">
        <is>
          <t>53102501</t>
        </is>
      </c>
      <c r="X1001" s="156" t="n"/>
      <c r="Y1001" s="54" t="n">
        <v>344.48</v>
      </c>
      <c r="Z1001" s="54" t="n">
        <v>430.603448</v>
      </c>
      <c r="AA1001" s="55">
        <f>IF(AND(A1001="", B1001="", E1001=""), "", IF(AB1001="", "Válido", IF((LEN(AB1001)-LEN(SUBSTITUTE(AB1001,"; ","")))/2+1&gt;(LEN(AB1001)-LEN(SUBSTITUTE(AB1001,"[Aviso]","")))/7, "Con Incidencias", "Válido")))</f>
        <v/>
      </c>
      <c r="AB1001" s="56">
        <f>IF(AND(A1001="", B1001="", E1001=""), "", TEXTJOIN("; ", TRUE, IF(OR(TRIM(A1001&amp;"")="", ISNUMBER(SEARCH("FALTA", A1001))), "UPC faltante/inválido", ""), IF(AND(A1001&lt;&gt;"", IFERROR(_xlfn.XMATCH(A1001,$A$2:$A$1063,0,1)&lt;&gt;_xlfn.XMATCH(A1001,$A$2:$A$1063,0,-1),FALSE)), "Código de barras duplicado", ""), IF(AND(E1001&lt;&gt;"", COUNTIF($E$2:$E$1063, E1001)&gt;1), "SKU duplicado", ""), IF(OR(J1001="", J1001=""), "[Aviso] División no capturada ()", IF(ISNA(MATCH(J1001, Criterios!$A$123:$A$126, 0)), "División no válida", "")), IF(OR(K1001="", K1001=""), "[Aviso] Categoría no capturada ()", IF(ISNA(MATCH(K1001, Criterios!$A$81:$A$120, 0)), "Categoría no válida", IF(AND(J1001&lt;&gt;"", J1001&lt;&gt;"", J1001&lt;&gt;VLOOKUP(K1001, Criterios!$A$81:$B$120, 2, FALSE)), "División no coincide con Categoría", ""))), IF(OR(L1001="", L1001=""), "[Aviso] Género no capturado ()", IF(ISNA(MATCH(L1001, Criterios!$B$123:$B$127, 0)), "Género no válido", "")), IF(OR(N1001="", N1001=""), "[Aviso] Temporada no capturada ()", IF(ISNA(MATCH(N1001, Criterios!$C$123:$C$128, 0)), "Temporada no válida", "")), IF(OR(O1001="", O1001=""), "[Aviso] Ciclo de vida no capturado ()", IF(ISNA(MATCH(O1001, Criterios!$D$123:$D$124, 0)), "Ciclo de vida no válido", ""))))</f>
        <v/>
      </c>
      <c r="AC1001" s="56" t="n"/>
      <c r="AD1001" s="51" t="n"/>
      <c r="AE1001" s="156" t="n"/>
      <c r="AF1001" s="51" t="n"/>
      <c r="AG1001" s="156" t="inlineStr">
        <is>
          <t>Nuevo – Carga Hoja3 01/10/2026</t>
        </is>
      </c>
      <c r="AH1001" s="156" t="inlineStr">
        <is>
          <t>Alta 01/10/2026 desde Hoja3 (fila 718); Mismo SKU que la fila 2435 con otro código/ID; revisar cuál es el vigente | 01/10/2026: complementado desde Odoo Universal Unique Brands (match por código de barras): WB Talla de EE. UU. | Homologación G1522 06/10/2026: WB País de origen: «Mexico» → «México» (Corrección aplicada) · WB SKU: Colisión de captura: mismo WB SKU pero estilo, talla o color distintos; corregir el valor equivocado (Requiere revisión) · Validación G1522: WB SKU duplicado · Validador NetSuite / Odoo: V4: SKU repetido · Validador Shopify: V4: SKU repetido</t>
        </is>
      </c>
      <c r="AI1001" s="156" t="n"/>
      <c r="AJ1001" s="156" t="n"/>
      <c r="AK1001" s="155" t="inlineStr">
        <is>
          <t>Hoja3: fila 718 | Odoo: producto 30934 / plantilla 39656</t>
        </is>
      </c>
      <c r="AL1001" s="58" t="n"/>
      <c r="AM1001" s="58" t="n"/>
      <c r="AN1001" s="155" t="inlineStr">
        <is>
          <t>Odoo Universal Unique Brands</t>
        </is>
      </c>
      <c r="AO1001" s="59" t="n"/>
      <c r="AP1001" s="59" t="n"/>
      <c r="AQ1001" s="59" t="n">
        <v>10</v>
      </c>
      <c r="AR1001" s="155" t="inlineStr">
        <is>
          <t>Odoo Universal Unique Brands › Bodega 25 › Bodega 25/General: 10</t>
        </is>
      </c>
    </row>
    <row r="1002">
      <c r="A1002" s="50" t="inlineStr">
        <is>
          <t>7503063066790</t>
        </is>
      </c>
      <c r="B1002" s="51" t="inlineStr">
        <is>
          <t>30935</t>
        </is>
      </c>
      <c r="C1002" s="156" t="inlineStr">
        <is>
          <t>Wrangler</t>
        </is>
      </c>
      <c r="D1002" s="156" t="inlineStr">
        <is>
          <t>C49732-22</t>
        </is>
      </c>
      <c r="E1002" s="156" t="inlineStr">
        <is>
          <t>C49732-22-36</t>
        </is>
      </c>
      <c r="F1002" s="156" t="inlineStr">
        <is>
          <t>36</t>
        </is>
      </c>
      <c r="G1002" s="156" t="inlineStr">
        <is>
          <t>36</t>
        </is>
      </c>
      <c r="H1002" s="156" t="inlineStr">
        <is>
          <t>Wrangler</t>
        </is>
      </c>
      <c r="I1002" s="156" t="inlineStr">
        <is>
          <t>Cinturon de hombre C49732-22 Beige claro</t>
        </is>
      </c>
      <c r="J1002" s="156" t="inlineStr">
        <is>
          <t>Accesorios</t>
        </is>
      </c>
      <c r="K1002" s="156" t="inlineStr">
        <is>
          <t>Cinturones</t>
        </is>
      </c>
      <c r="L1002" s="156" t="inlineStr">
        <is>
          <t>Hombre</t>
        </is>
      </c>
      <c r="M1002" s="156" t="inlineStr">
        <is>
          <t>Wrangler</t>
        </is>
      </c>
      <c r="N1002" s="156" t="inlineStr">
        <is>
          <t>FW26</t>
        </is>
      </c>
      <c r="O1002" s="156" t="n"/>
      <c r="P1002" s="156" t="inlineStr">
        <is>
          <t>Blanco</t>
        </is>
      </c>
      <c r="Q1002" s="156" t="n"/>
      <c r="R1002" s="156" t="n"/>
      <c r="S1002" s="156" t="inlineStr">
        <is>
          <t>100% PIEL VACUNO</t>
        </is>
      </c>
      <c r="T1002" s="156" t="inlineStr">
        <is>
          <t>Cinturón para Caballero de Piel</t>
        </is>
      </c>
      <c r="U1002" s="156" t="inlineStr">
        <is>
          <t>México</t>
        </is>
      </c>
      <c r="V1002" s="156" t="inlineStr">
        <is>
          <t>PZS</t>
        </is>
      </c>
      <c r="W1002" s="51" t="inlineStr">
        <is>
          <t>53102501</t>
        </is>
      </c>
      <c r="X1002" s="156" t="n"/>
      <c r="Y1002" s="54" t="n">
        <v>344.48</v>
      </c>
      <c r="Z1002" s="54" t="n">
        <v>430.603448</v>
      </c>
      <c r="AA1002" s="55">
        <f>IF(AND(A1002="", B1002="", E1002=""), "", IF(AB1002="", "Válido", IF((LEN(AB1002)-LEN(SUBSTITUTE(AB1002,"; ","")))/2+1&gt;(LEN(AB1002)-LEN(SUBSTITUTE(AB1002,"[Aviso]","")))/7, "Con Incidencias", "Válido")))</f>
        <v/>
      </c>
      <c r="AB1002" s="56">
        <f>IF(AND(A1002="", B1002="", E1002=""), "", TEXTJOIN("; ", TRUE, IF(OR(TRIM(A1002&amp;"")="", ISNUMBER(SEARCH("FALTA", A1002))), "UPC faltante/inválido", ""), IF(AND(A1002&lt;&gt;"", IFERROR(_xlfn.XMATCH(A1002,$A$2:$A$1063,0,1)&lt;&gt;_xlfn.XMATCH(A1002,$A$2:$A$1063,0,-1),FALSE)), "Código de barras duplicado", ""), IF(AND(E1002&lt;&gt;"", COUNTIF($E$2:$E$1063, E1002)&gt;1), "SKU duplicado", ""), IF(OR(J1002="", J1002=""), "[Aviso] División no capturada ()", IF(ISNA(MATCH(J1002, Criterios!$A$123:$A$126, 0)), "División no válida", "")), IF(OR(K1002="", K1002=""), "[Aviso] Categoría no capturada ()", IF(ISNA(MATCH(K1002, Criterios!$A$81:$A$120, 0)), "Categoría no válida", IF(AND(J1002&lt;&gt;"", J1002&lt;&gt;"", J1002&lt;&gt;VLOOKUP(K1002, Criterios!$A$81:$B$120, 2, FALSE)), "División no coincide con Categoría", ""))), IF(OR(L1002="", L1002=""), "[Aviso] Género no capturado ()", IF(ISNA(MATCH(L1002, Criterios!$B$123:$B$127, 0)), "Género no válido", "")), IF(OR(N1002="", N1002=""), "[Aviso] Temporada no capturada ()", IF(ISNA(MATCH(N1002, Criterios!$C$123:$C$128, 0)), "Temporada no válida", "")), IF(OR(O1002="", O1002=""), "[Aviso] Ciclo de vida no capturado ()", IF(ISNA(MATCH(O1002, Criterios!$D$123:$D$124, 0)), "Ciclo de vida no válido", ""))))</f>
        <v/>
      </c>
      <c r="AC1002" s="56" t="n"/>
      <c r="AD1002" s="51" t="n"/>
      <c r="AE1002" s="156" t="n"/>
      <c r="AF1002" s="51" t="n"/>
      <c r="AG1002" s="156" t="inlineStr">
        <is>
          <t>Nuevo – Carga Hoja3 01/10/2026</t>
        </is>
      </c>
      <c r="AH1002" s="156" t="inlineStr">
        <is>
          <t>Alta 01/10/2026 desde Hoja3 (fila 719); Mismo SKU que la fila 2436 con otro código/ID; revisar cuál es el vigente | 01/10/2026: complementado desde Odoo Universal Unique Brands (match por código de barras): WB Talla de EE. UU. | Homologación G1522 06/10/2026: WB País de origen: «Mexico» → «México» (Corrección aplicada) · WB SKU: Colisión de captura: mismo WB SKU pero estilo, talla o color distintos; corregir el valor equivocado (Requiere revisión) · Validación G1522: WB SKU duplicado · Validador NetSuite / Odoo: V4: SKU repetido · Validador Shopify: V4: SKU repetido</t>
        </is>
      </c>
      <c r="AI1002" s="156" t="n"/>
      <c r="AJ1002" s="156" t="n"/>
      <c r="AK1002" s="155" t="inlineStr">
        <is>
          <t>Hoja3: fila 719 | Odoo: producto 30935 / plantilla 39656</t>
        </is>
      </c>
      <c r="AL1002" s="58" t="n"/>
      <c r="AM1002" s="58" t="n"/>
      <c r="AN1002" s="155" t="inlineStr">
        <is>
          <t>Odoo Universal Unique Brands</t>
        </is>
      </c>
      <c r="AO1002" s="59" t="n"/>
      <c r="AP1002" s="59" t="n"/>
      <c r="AQ1002" s="59" t="n">
        <v>10</v>
      </c>
      <c r="AR1002" s="155" t="inlineStr">
        <is>
          <t>Odoo Universal Unique Brands › Bodega 25 › Bodega 25/General: 10</t>
        </is>
      </c>
    </row>
    <row r="1003">
      <c r="A1003" s="50" t="inlineStr">
        <is>
          <t>7503063066806</t>
        </is>
      </c>
      <c r="B1003" s="51" t="inlineStr">
        <is>
          <t>30936</t>
        </is>
      </c>
      <c r="C1003" s="156" t="inlineStr">
        <is>
          <t>Wrangler</t>
        </is>
      </c>
      <c r="D1003" s="156" t="inlineStr">
        <is>
          <t>C49732-22</t>
        </is>
      </c>
      <c r="E1003" s="156" t="inlineStr">
        <is>
          <t>C49732-22-38</t>
        </is>
      </c>
      <c r="F1003" s="156" t="inlineStr">
        <is>
          <t>38</t>
        </is>
      </c>
      <c r="G1003" s="156" t="inlineStr">
        <is>
          <t>38</t>
        </is>
      </c>
      <c r="H1003" s="156" t="inlineStr">
        <is>
          <t>Wrangler</t>
        </is>
      </c>
      <c r="I1003" s="156" t="inlineStr">
        <is>
          <t>Cinturon de hombre C49732-22 Beige claro</t>
        </is>
      </c>
      <c r="J1003" s="156" t="inlineStr">
        <is>
          <t>Accesorios</t>
        </is>
      </c>
      <c r="K1003" s="156" t="inlineStr">
        <is>
          <t>Cinturones</t>
        </is>
      </c>
      <c r="L1003" s="156" t="inlineStr">
        <is>
          <t>Hombre</t>
        </is>
      </c>
      <c r="M1003" s="156" t="inlineStr">
        <is>
          <t>Wrangler</t>
        </is>
      </c>
      <c r="N1003" s="156" t="inlineStr">
        <is>
          <t>FW26</t>
        </is>
      </c>
      <c r="O1003" s="156" t="n"/>
      <c r="P1003" s="156" t="inlineStr">
        <is>
          <t>Blanco</t>
        </is>
      </c>
      <c r="Q1003" s="156" t="n"/>
      <c r="R1003" s="156" t="n"/>
      <c r="S1003" s="156" t="inlineStr">
        <is>
          <t>100% PIEL VACUNO</t>
        </is>
      </c>
      <c r="T1003" s="156" t="inlineStr">
        <is>
          <t>Cinturón para Caballero de Piel</t>
        </is>
      </c>
      <c r="U1003" s="156" t="inlineStr">
        <is>
          <t>México</t>
        </is>
      </c>
      <c r="V1003" s="156" t="inlineStr">
        <is>
          <t>PZS</t>
        </is>
      </c>
      <c r="W1003" s="51" t="inlineStr">
        <is>
          <t>53102501</t>
        </is>
      </c>
      <c r="X1003" s="156" t="n"/>
      <c r="Y1003" s="54" t="n">
        <v>344.48</v>
      </c>
      <c r="Z1003" s="54" t="n">
        <v>430.603448</v>
      </c>
      <c r="AA1003" s="55">
        <f>IF(AND(A1003="", B1003="", E1003=""), "", IF(AB1003="", "Válido", IF((LEN(AB1003)-LEN(SUBSTITUTE(AB1003,"; ","")))/2+1&gt;(LEN(AB1003)-LEN(SUBSTITUTE(AB1003,"[Aviso]","")))/7, "Con Incidencias", "Válido")))</f>
        <v/>
      </c>
      <c r="AB1003" s="56">
        <f>IF(AND(A1003="", B1003="", E1003=""), "", TEXTJOIN("; ", TRUE, IF(OR(TRIM(A1003&amp;"")="", ISNUMBER(SEARCH("FALTA", A1003))), "UPC faltante/inválido", ""), IF(AND(A1003&lt;&gt;"", IFERROR(_xlfn.XMATCH(A1003,$A$2:$A$1063,0,1)&lt;&gt;_xlfn.XMATCH(A1003,$A$2:$A$1063,0,-1),FALSE)), "Código de barras duplicado", ""), IF(AND(E1003&lt;&gt;"", COUNTIF($E$2:$E$1063, E1003)&gt;1), "SKU duplicado", ""), IF(OR(J1003="", J1003=""), "[Aviso] División no capturada ()", IF(ISNA(MATCH(J1003, Criterios!$A$123:$A$126, 0)), "División no válida", "")), IF(OR(K1003="", K1003=""), "[Aviso] Categoría no capturada ()", IF(ISNA(MATCH(K1003, Criterios!$A$81:$A$120, 0)), "Categoría no válida", IF(AND(J1003&lt;&gt;"", J1003&lt;&gt;"", J1003&lt;&gt;VLOOKUP(K1003, Criterios!$A$81:$B$120, 2, FALSE)), "División no coincide con Categoría", ""))), IF(OR(L1003="", L1003=""), "[Aviso] Género no capturado ()", IF(ISNA(MATCH(L1003, Criterios!$B$123:$B$127, 0)), "Género no válido", "")), IF(OR(N1003="", N1003=""), "[Aviso] Temporada no capturada ()", IF(ISNA(MATCH(N1003, Criterios!$C$123:$C$128, 0)), "Temporada no válida", "")), IF(OR(O1003="", O1003=""), "[Aviso] Ciclo de vida no capturado ()", IF(ISNA(MATCH(O1003, Criterios!$D$123:$D$124, 0)), "Ciclo de vida no válido", ""))))</f>
        <v/>
      </c>
      <c r="AC1003" s="56" t="n"/>
      <c r="AD1003" s="51" t="n"/>
      <c r="AE1003" s="156" t="n"/>
      <c r="AF1003" s="51" t="n"/>
      <c r="AG1003" s="156" t="inlineStr">
        <is>
          <t>Nuevo – Carga Hoja3 01/10/2026</t>
        </is>
      </c>
      <c r="AH1003" s="156" t="inlineStr">
        <is>
          <t>Alta 01/10/2026 desde Hoja3 (fila 720); Mismo SKU que la fila 2437 con otro código/ID; revisar cuál es el vigente | 01/10/2026: complementado desde Odoo Universal Unique Brands (match por código de barras): WB Talla de EE. UU. | Homologación G1522 06/10/2026: WB País de origen: «Mexico» → «México» (Corrección aplicada) · WB SKU: Colisión de captura: mismo WB SKU pero estilo, talla o color distintos; corregir el valor equivocado (Requiere revisión) · Validación G1522: WB SKU duplicado · Validador NetSuite / Odoo: V4: SKU repetido · Validador Shopify: V4: SKU repetido</t>
        </is>
      </c>
      <c r="AI1003" s="156" t="n"/>
      <c r="AJ1003" s="156" t="n"/>
      <c r="AK1003" s="155" t="inlineStr">
        <is>
          <t>Hoja3: fila 720 | Odoo: producto 30936 / plantilla 39656</t>
        </is>
      </c>
      <c r="AL1003" s="58" t="n"/>
      <c r="AM1003" s="58" t="n"/>
      <c r="AN1003" s="155" t="inlineStr">
        <is>
          <t>Odoo Universal Unique Brands</t>
        </is>
      </c>
      <c r="AO1003" s="59" t="n"/>
      <c r="AP1003" s="59" t="n"/>
      <c r="AQ1003" s="59" t="n">
        <v>15</v>
      </c>
      <c r="AR1003" s="155" t="inlineStr">
        <is>
          <t>Odoo Universal Unique Brands › Bodega 25 › Bodega 25/General: 15</t>
        </is>
      </c>
    </row>
    <row r="1004">
      <c r="A1004" s="50" t="inlineStr">
        <is>
          <t>7503063066813</t>
        </is>
      </c>
      <c r="B1004" s="51" t="inlineStr">
        <is>
          <t>30937</t>
        </is>
      </c>
      <c r="C1004" s="156" t="inlineStr">
        <is>
          <t>Wrangler</t>
        </is>
      </c>
      <c r="D1004" s="156" t="inlineStr">
        <is>
          <t>C49732-22</t>
        </is>
      </c>
      <c r="E1004" s="156" t="inlineStr">
        <is>
          <t>C49732-22-40</t>
        </is>
      </c>
      <c r="F1004" s="156" t="inlineStr">
        <is>
          <t>40</t>
        </is>
      </c>
      <c r="G1004" s="156" t="inlineStr">
        <is>
          <t>40</t>
        </is>
      </c>
      <c r="H1004" s="156" t="inlineStr">
        <is>
          <t>Wrangler</t>
        </is>
      </c>
      <c r="I1004" s="156" t="inlineStr">
        <is>
          <t>Cinturon de hombre C49732-22 Beige claro</t>
        </is>
      </c>
      <c r="J1004" s="156" t="inlineStr">
        <is>
          <t>Accesorios</t>
        </is>
      </c>
      <c r="K1004" s="156" t="inlineStr">
        <is>
          <t>Cinturones</t>
        </is>
      </c>
      <c r="L1004" s="156" t="inlineStr">
        <is>
          <t>Hombre</t>
        </is>
      </c>
      <c r="M1004" s="156" t="inlineStr">
        <is>
          <t>Wrangler</t>
        </is>
      </c>
      <c r="N1004" s="156" t="inlineStr">
        <is>
          <t>FW26</t>
        </is>
      </c>
      <c r="O1004" s="156" t="n"/>
      <c r="P1004" s="156" t="inlineStr">
        <is>
          <t>Blanco</t>
        </is>
      </c>
      <c r="Q1004" s="156" t="n"/>
      <c r="R1004" s="156" t="n"/>
      <c r="S1004" s="156" t="inlineStr">
        <is>
          <t>100% PIEL VACUNO</t>
        </is>
      </c>
      <c r="T1004" s="156" t="inlineStr">
        <is>
          <t>Cinturón para Caballero de Piel</t>
        </is>
      </c>
      <c r="U1004" s="156" t="inlineStr">
        <is>
          <t>México</t>
        </is>
      </c>
      <c r="V1004" s="156" t="inlineStr">
        <is>
          <t>PZS</t>
        </is>
      </c>
      <c r="W1004" s="51" t="inlineStr">
        <is>
          <t>53102501</t>
        </is>
      </c>
      <c r="X1004" s="156" t="n"/>
      <c r="Y1004" s="54" t="n">
        <v>344.48</v>
      </c>
      <c r="Z1004" s="54" t="n">
        <v>430.603448</v>
      </c>
      <c r="AA1004" s="55">
        <f>IF(AND(A1004="", B1004="", E1004=""), "", IF(AB1004="", "Válido", IF((LEN(AB1004)-LEN(SUBSTITUTE(AB1004,"; ","")))/2+1&gt;(LEN(AB1004)-LEN(SUBSTITUTE(AB1004,"[Aviso]","")))/7, "Con Incidencias", "Válido")))</f>
        <v/>
      </c>
      <c r="AB1004" s="56">
        <f>IF(AND(A1004="", B1004="", E1004=""), "", TEXTJOIN("; ", TRUE, IF(OR(TRIM(A1004&amp;"")="", ISNUMBER(SEARCH("FALTA", A1004))), "UPC faltante/inválido", ""), IF(AND(A1004&lt;&gt;"", IFERROR(_xlfn.XMATCH(A1004,$A$2:$A$1063,0,1)&lt;&gt;_xlfn.XMATCH(A1004,$A$2:$A$1063,0,-1),FALSE)), "Código de barras duplicado", ""), IF(AND(E1004&lt;&gt;"", COUNTIF($E$2:$E$1063, E1004)&gt;1), "SKU duplicado", ""), IF(OR(J1004="", J1004=""), "[Aviso] División no capturada ()", IF(ISNA(MATCH(J1004, Criterios!$A$123:$A$126, 0)), "División no válida", "")), IF(OR(K1004="", K1004=""), "[Aviso] Categoría no capturada ()", IF(ISNA(MATCH(K1004, Criterios!$A$81:$A$120, 0)), "Categoría no válida", IF(AND(J1004&lt;&gt;"", J1004&lt;&gt;"", J1004&lt;&gt;VLOOKUP(K1004, Criterios!$A$81:$B$120, 2, FALSE)), "División no coincide con Categoría", ""))), IF(OR(L1004="", L1004=""), "[Aviso] Género no capturado ()", IF(ISNA(MATCH(L1004, Criterios!$B$123:$B$127, 0)), "Género no válido", "")), IF(OR(N1004="", N1004=""), "[Aviso] Temporada no capturada ()", IF(ISNA(MATCH(N1004, Criterios!$C$123:$C$128, 0)), "Temporada no válida", "")), IF(OR(O1004="", O1004=""), "[Aviso] Ciclo de vida no capturado ()", IF(ISNA(MATCH(O1004, Criterios!$D$123:$D$124, 0)), "Ciclo de vida no válido", ""))))</f>
        <v/>
      </c>
      <c r="AC1004" s="56" t="n"/>
      <c r="AD1004" s="51" t="n"/>
      <c r="AE1004" s="156" t="n"/>
      <c r="AF1004" s="51" t="n"/>
      <c r="AG1004" s="156" t="inlineStr">
        <is>
          <t>Nuevo – Carga Hoja3 01/10/2026</t>
        </is>
      </c>
      <c r="AH1004" s="156" t="inlineStr">
        <is>
          <t>Alta 01/10/2026 desde Hoja3 (fila 721); Mismo SKU que la fila 2438 con otro código/ID; revisar cuál es el vigente | 01/10/2026: complementado desde Odoo Universal Unique Brands (match por código de barras): WB Talla de EE. UU. | Homologación G1522 06/10/2026: WB País de origen: «Mexico» → «México» (Corrección aplicada) · WB SKU: Colisión de captura: mismo WB SKU pero estilo, talla o color distintos; corregir el valor equivocado (Requiere revisión) · Validación G1522: WB SKU duplicado · Validador NetSuite / Odoo: V4: SKU repetido · Validador Shopify: V4: SKU repetido</t>
        </is>
      </c>
      <c r="AI1004" s="156" t="n"/>
      <c r="AJ1004" s="156" t="n"/>
      <c r="AK1004" s="155" t="inlineStr">
        <is>
          <t>Hoja3: fila 721 | Odoo: producto 30937 / plantilla 39656</t>
        </is>
      </c>
      <c r="AL1004" s="58" t="n"/>
      <c r="AM1004" s="58" t="n"/>
      <c r="AN1004" s="155" t="inlineStr">
        <is>
          <t>Odoo Universal Unique Brands</t>
        </is>
      </c>
      <c r="AO1004" s="59" t="n"/>
      <c r="AP1004" s="59" t="n"/>
      <c r="AQ1004" s="59" t="n">
        <v>22</v>
      </c>
      <c r="AR1004" s="155" t="inlineStr">
        <is>
          <t>Odoo Universal Unique Brands › Bodega 25 › Bodega 25/General: 22</t>
        </is>
      </c>
    </row>
    <row r="1005">
      <c r="A1005" s="50" t="inlineStr">
        <is>
          <t>7503063066820</t>
        </is>
      </c>
      <c r="B1005" s="51" t="inlineStr">
        <is>
          <t>30938</t>
        </is>
      </c>
      <c r="C1005" s="156" t="inlineStr">
        <is>
          <t>Wrangler</t>
        </is>
      </c>
      <c r="D1005" s="156" t="inlineStr">
        <is>
          <t>C49732-22</t>
        </is>
      </c>
      <c r="E1005" s="156" t="inlineStr">
        <is>
          <t>C49732-22-42</t>
        </is>
      </c>
      <c r="F1005" s="156" t="inlineStr">
        <is>
          <t>42</t>
        </is>
      </c>
      <c r="G1005" s="156" t="inlineStr">
        <is>
          <t>42</t>
        </is>
      </c>
      <c r="H1005" s="156" t="inlineStr">
        <is>
          <t>Wrangler</t>
        </is>
      </c>
      <c r="I1005" s="156" t="inlineStr">
        <is>
          <t>Cinturon de hombre C49732-22 Beige claro</t>
        </is>
      </c>
      <c r="J1005" s="156" t="inlineStr">
        <is>
          <t>Accesorios</t>
        </is>
      </c>
      <c r="K1005" s="156" t="inlineStr">
        <is>
          <t>Cinturones</t>
        </is>
      </c>
      <c r="L1005" s="156" t="inlineStr">
        <is>
          <t>Hombre</t>
        </is>
      </c>
      <c r="M1005" s="156" t="inlineStr">
        <is>
          <t>Wrangler</t>
        </is>
      </c>
      <c r="N1005" s="156" t="inlineStr">
        <is>
          <t>FW26</t>
        </is>
      </c>
      <c r="O1005" s="156" t="n"/>
      <c r="P1005" s="156" t="inlineStr">
        <is>
          <t>Blanco</t>
        </is>
      </c>
      <c r="Q1005" s="156" t="n"/>
      <c r="R1005" s="156" t="n"/>
      <c r="S1005" s="156" t="inlineStr">
        <is>
          <t>100% PIEL VACUNO</t>
        </is>
      </c>
      <c r="T1005" s="156" t="inlineStr">
        <is>
          <t>Cinturón para Caballero de Piel</t>
        </is>
      </c>
      <c r="U1005" s="156" t="inlineStr">
        <is>
          <t>México</t>
        </is>
      </c>
      <c r="V1005" s="156" t="inlineStr">
        <is>
          <t>PZS</t>
        </is>
      </c>
      <c r="W1005" s="51" t="inlineStr">
        <is>
          <t>53102501</t>
        </is>
      </c>
      <c r="X1005" s="156" t="n"/>
      <c r="Y1005" s="54" t="n">
        <v>344.48</v>
      </c>
      <c r="Z1005" s="54" t="n">
        <v>430.603448</v>
      </c>
      <c r="AA1005" s="55">
        <f>IF(AND(A1005="", B1005="", E1005=""), "", IF(AB1005="", "Válido", IF((LEN(AB1005)-LEN(SUBSTITUTE(AB1005,"; ","")))/2+1&gt;(LEN(AB1005)-LEN(SUBSTITUTE(AB1005,"[Aviso]","")))/7, "Con Incidencias", "Válido")))</f>
        <v/>
      </c>
      <c r="AB1005" s="56">
        <f>IF(AND(A1005="", B1005="", E1005=""), "", TEXTJOIN("; ", TRUE, IF(OR(TRIM(A1005&amp;"")="", ISNUMBER(SEARCH("FALTA", A1005))), "UPC faltante/inválido", ""), IF(AND(A1005&lt;&gt;"", IFERROR(_xlfn.XMATCH(A1005,$A$2:$A$1063,0,1)&lt;&gt;_xlfn.XMATCH(A1005,$A$2:$A$1063,0,-1),FALSE)), "Código de barras duplicado", ""), IF(AND(E1005&lt;&gt;"", COUNTIF($E$2:$E$1063, E1005)&gt;1), "SKU duplicado", ""), IF(OR(J1005="", J1005=""), "[Aviso] División no capturada ()", IF(ISNA(MATCH(J1005, Criterios!$A$123:$A$126, 0)), "División no válida", "")), IF(OR(K1005="", K1005=""), "[Aviso] Categoría no capturada ()", IF(ISNA(MATCH(K1005, Criterios!$A$81:$A$120, 0)), "Categoría no válida", IF(AND(J1005&lt;&gt;"", J1005&lt;&gt;"", J1005&lt;&gt;VLOOKUP(K1005, Criterios!$A$81:$B$120, 2, FALSE)), "División no coincide con Categoría", ""))), IF(OR(L1005="", L1005=""), "[Aviso] Género no capturado ()", IF(ISNA(MATCH(L1005, Criterios!$B$123:$B$127, 0)), "Género no válido", "")), IF(OR(N1005="", N1005=""), "[Aviso] Temporada no capturada ()", IF(ISNA(MATCH(N1005, Criterios!$C$123:$C$128, 0)), "Temporada no válida", "")), IF(OR(O1005="", O1005=""), "[Aviso] Ciclo de vida no capturado ()", IF(ISNA(MATCH(O1005, Criterios!$D$123:$D$124, 0)), "Ciclo de vida no válido", ""))))</f>
        <v/>
      </c>
      <c r="AC1005" s="56" t="n"/>
      <c r="AD1005" s="51" t="n"/>
      <c r="AE1005" s="156" t="n"/>
      <c r="AF1005" s="51" t="n"/>
      <c r="AG1005" s="156" t="inlineStr">
        <is>
          <t>Nuevo – Carga Hoja3 01/10/2026</t>
        </is>
      </c>
      <c r="AH1005" s="156" t="inlineStr">
        <is>
          <t>Alta 01/10/2026 desde Hoja3 (fila 722); Mismo SKU que la fila 2439 con otro código/ID; revisar cuál es el vigente | 01/10/2026: complementado desde Odoo Universal Unique Brands (match por código de barras): WB Talla de EE. UU. | Homologación G1522 06/10/2026: WB País de origen: «Mexico» → «México» (Corrección aplicada) · WB SKU: Colisión de captura: mismo WB SKU pero estilo, talla o color distintos; corregir el valor equivocado (Requiere revisión) · Validación G1522: WB SKU duplicado · Validador NetSuite / Odoo: V4: SKU repetido · Validador Shopify: V4: SKU repetido</t>
        </is>
      </c>
      <c r="AI1005" s="156" t="n"/>
      <c r="AJ1005" s="156" t="n"/>
      <c r="AK1005" s="155" t="inlineStr">
        <is>
          <t>Hoja3: fila 722 | Odoo: producto 30938 / plantilla 39656</t>
        </is>
      </c>
      <c r="AL1005" s="58" t="n"/>
      <c r="AM1005" s="58" t="n"/>
      <c r="AN1005" s="155" t="inlineStr">
        <is>
          <t>Odoo Universal Unique Brands</t>
        </is>
      </c>
      <c r="AO1005" s="59" t="n"/>
      <c r="AP1005" s="59" t="n"/>
      <c r="AQ1005" s="59" t="n">
        <v>22</v>
      </c>
      <c r="AR1005" s="155" t="inlineStr">
        <is>
          <t>Odoo Universal Unique Brands › Bodega 25 › Bodega 25/General: 22</t>
        </is>
      </c>
    </row>
    <row r="1006">
      <c r="A1006" s="50" t="inlineStr">
        <is>
          <t>7503063066837</t>
        </is>
      </c>
      <c r="B1006" s="51" t="inlineStr">
        <is>
          <t>30939</t>
        </is>
      </c>
      <c r="C1006" s="156" t="inlineStr">
        <is>
          <t>Wrangler</t>
        </is>
      </c>
      <c r="D1006" s="156" t="inlineStr">
        <is>
          <t>C49732-22</t>
        </is>
      </c>
      <c r="E1006" s="156" t="inlineStr">
        <is>
          <t>C49732-22-44</t>
        </is>
      </c>
      <c r="F1006" s="156" t="inlineStr">
        <is>
          <t>44</t>
        </is>
      </c>
      <c r="G1006" s="156" t="inlineStr">
        <is>
          <t>44</t>
        </is>
      </c>
      <c r="H1006" s="156" t="inlineStr">
        <is>
          <t>Wrangler</t>
        </is>
      </c>
      <c r="I1006" s="156" t="inlineStr">
        <is>
          <t>Cinturon de hombre C49732-22 Beige claro</t>
        </is>
      </c>
      <c r="J1006" s="156" t="inlineStr">
        <is>
          <t>Accesorios</t>
        </is>
      </c>
      <c r="K1006" s="156" t="inlineStr">
        <is>
          <t>Cinturones</t>
        </is>
      </c>
      <c r="L1006" s="156" t="inlineStr">
        <is>
          <t>Hombre</t>
        </is>
      </c>
      <c r="M1006" s="156" t="inlineStr">
        <is>
          <t>Wrangler</t>
        </is>
      </c>
      <c r="N1006" s="156" t="inlineStr">
        <is>
          <t>FW26</t>
        </is>
      </c>
      <c r="O1006" s="156" t="n"/>
      <c r="P1006" s="156" t="inlineStr">
        <is>
          <t>Blanco</t>
        </is>
      </c>
      <c r="Q1006" s="156" t="n"/>
      <c r="R1006" s="156" t="n"/>
      <c r="S1006" s="156" t="inlineStr">
        <is>
          <t>100% PIEL VACUNO</t>
        </is>
      </c>
      <c r="T1006" s="156" t="inlineStr">
        <is>
          <t>Cinturón para Caballero de Piel</t>
        </is>
      </c>
      <c r="U1006" s="156" t="inlineStr">
        <is>
          <t>México</t>
        </is>
      </c>
      <c r="V1006" s="156" t="inlineStr">
        <is>
          <t>PZS</t>
        </is>
      </c>
      <c r="W1006" s="51" t="inlineStr">
        <is>
          <t>53102501</t>
        </is>
      </c>
      <c r="X1006" s="156" t="n"/>
      <c r="Y1006" s="54" t="n">
        <v>344.48</v>
      </c>
      <c r="Z1006" s="54" t="n">
        <v>430.603448</v>
      </c>
      <c r="AA1006" s="55">
        <f>IF(AND(A1006="", B1006="", E1006=""), "", IF(AB1006="", "Válido", IF((LEN(AB1006)-LEN(SUBSTITUTE(AB1006,"; ","")))/2+1&gt;(LEN(AB1006)-LEN(SUBSTITUTE(AB1006,"[Aviso]","")))/7, "Con Incidencias", "Válido")))</f>
        <v/>
      </c>
      <c r="AB1006" s="56">
        <f>IF(AND(A1006="", B1006="", E1006=""), "", TEXTJOIN("; ", TRUE, IF(OR(TRIM(A1006&amp;"")="", ISNUMBER(SEARCH("FALTA", A1006))), "UPC faltante/inválido", ""), IF(AND(A1006&lt;&gt;"", IFERROR(_xlfn.XMATCH(A1006,$A$2:$A$1063,0,1)&lt;&gt;_xlfn.XMATCH(A1006,$A$2:$A$1063,0,-1),FALSE)), "Código de barras duplicado", ""), IF(AND(E1006&lt;&gt;"", COUNTIF($E$2:$E$1063, E1006)&gt;1), "SKU duplicado", ""), IF(OR(J1006="", J1006=""), "[Aviso] División no capturada ()", IF(ISNA(MATCH(J1006, Criterios!$A$123:$A$126, 0)), "División no válida", "")), IF(OR(K1006="", K1006=""), "[Aviso] Categoría no capturada ()", IF(ISNA(MATCH(K1006, Criterios!$A$81:$A$120, 0)), "Categoría no válida", IF(AND(J1006&lt;&gt;"", J1006&lt;&gt;"", J1006&lt;&gt;VLOOKUP(K1006, Criterios!$A$81:$B$120, 2, FALSE)), "División no coincide con Categoría", ""))), IF(OR(L1006="", L1006=""), "[Aviso] Género no capturado ()", IF(ISNA(MATCH(L1006, Criterios!$B$123:$B$127, 0)), "Género no válido", "")), IF(OR(N1006="", N1006=""), "[Aviso] Temporada no capturada ()", IF(ISNA(MATCH(N1006, Criterios!$C$123:$C$128, 0)), "Temporada no válida", "")), IF(OR(O1006="", O1006=""), "[Aviso] Ciclo de vida no capturado ()", IF(ISNA(MATCH(O1006, Criterios!$D$123:$D$124, 0)), "Ciclo de vida no válido", ""))))</f>
        <v/>
      </c>
      <c r="AC1006" s="56" t="n"/>
      <c r="AD1006" s="51" t="n"/>
      <c r="AE1006" s="156" t="n"/>
      <c r="AF1006" s="51" t="n"/>
      <c r="AG1006" s="156" t="inlineStr">
        <is>
          <t>Nuevo – Carga Hoja3 01/10/2026</t>
        </is>
      </c>
      <c r="AH1006" s="156" t="inlineStr">
        <is>
          <t>Alta 01/10/2026 desde Hoja3 (fila 723); Mismo SKU que la fila 2440 con otro código/ID; revisar cuál es el vigente | 01/10/2026: complementado desde Odoo Universal Unique Brands (match por código de barras): WB Talla de EE. UU. | Homologación G1522 06/10/2026: WB País de origen: «Mexico» → «México» (Corrección aplicada) · WB SKU: Colisión de captura: mismo WB SKU pero estilo, talla o color distintos; corregir el valor equivocado (Requiere revisión) · Validación G1522: WB SKU duplicado · Validador NetSuite / Odoo: V4: SKU repetido · Validador Shopify: V4: SKU repetido</t>
        </is>
      </c>
      <c r="AI1006" s="156" t="n"/>
      <c r="AJ1006" s="156" t="n"/>
      <c r="AK1006" s="155" t="inlineStr">
        <is>
          <t>Hoja3: fila 723 | Odoo: producto 30939 / plantilla 39656</t>
        </is>
      </c>
      <c r="AL1006" s="58" t="n"/>
      <c r="AM1006" s="58" t="n"/>
      <c r="AN1006" s="155" t="inlineStr">
        <is>
          <t>Odoo Universal Unique Brands</t>
        </is>
      </c>
      <c r="AO1006" s="59" t="n"/>
      <c r="AP1006" s="59" t="n"/>
      <c r="AQ1006" s="59" t="n">
        <v>17</v>
      </c>
      <c r="AR1006" s="155" t="inlineStr">
        <is>
          <t>Odoo Universal Unique Brands › Bodega 25 › Bodega 25/General: 17</t>
        </is>
      </c>
    </row>
    <row r="1007">
      <c r="A1007" s="50" t="inlineStr">
        <is>
          <t>717325217227</t>
        </is>
      </c>
      <c r="B1007" s="51" t="n"/>
      <c r="C1007" s="156" t="inlineStr">
        <is>
          <t>Montana West</t>
        </is>
      </c>
      <c r="D1007" s="156" t="inlineStr">
        <is>
          <t>MW1329-8360DPK</t>
        </is>
      </c>
      <c r="E1007" s="156" t="inlineStr">
        <is>
          <t>MW1329-8360DPK</t>
        </is>
      </c>
      <c r="F1007" s="156" t="inlineStr">
        <is>
          <t>Talla única</t>
        </is>
      </c>
      <c r="G1007" s="156" t="inlineStr">
        <is>
          <t>One Size</t>
        </is>
      </c>
      <c r="H1007" s="156" t="inlineStr">
        <is>
          <t>Montana West</t>
        </is>
      </c>
      <c r="I1007" s="156" t="inlineStr">
        <is>
          <t>Bolsa Montana West Rosa Oscuro</t>
        </is>
      </c>
      <c r="J1007" s="156" t="inlineStr">
        <is>
          <t>Accesorios</t>
        </is>
      </c>
      <c r="K1007" s="156" t="inlineStr">
        <is>
          <t>Bolsos</t>
        </is>
      </c>
      <c r="L1007" s="156" t="inlineStr">
        <is>
          <t>Mujer</t>
        </is>
      </c>
      <c r="M1007" s="156" t="inlineStr">
        <is>
          <t>Montana West</t>
        </is>
      </c>
      <c r="N1007" s="156" t="n"/>
      <c r="O1007" s="156" t="inlineStr">
        <is>
          <t>Core</t>
        </is>
      </c>
      <c r="P1007" s="156" t="inlineStr">
        <is>
          <t>Rosa</t>
        </is>
      </c>
      <c r="Q1007" s="156" t="n"/>
      <c r="R1007" s="156" t="n"/>
      <c r="S1007" s="156" t="n"/>
      <c r="T1007" s="156" t="inlineStr">
        <is>
          <t>Bolsa Montana West. Color: Rosa Oscuro. Talla única. Mujer. Referencia: MW1329-8360DPK.</t>
        </is>
      </c>
      <c r="U1007" s="156" t="n"/>
      <c r="V1007" s="156" t="inlineStr">
        <is>
          <t>PZS</t>
        </is>
      </c>
      <c r="W1007" s="51" t="inlineStr">
        <is>
          <t>53121601</t>
        </is>
      </c>
      <c r="X1007" s="156" t="n"/>
      <c r="Y1007" s="54" t="n">
        <v>354.2</v>
      </c>
      <c r="Z1007" s="54" t="n">
        <v>599</v>
      </c>
      <c r="AA1007" s="55">
        <f>IF(AND(A1007="", B1007="", E1007=""), "", IF(AB1007="", "Válido", IF((LEN(AB1007)-LEN(SUBSTITUTE(AB1007,"; ","")))/2+1&gt;(LEN(AB1007)-LEN(SUBSTITUTE(AB1007,"[Aviso]","")))/7, "Con Incidencias", "Válido")))</f>
        <v/>
      </c>
      <c r="AB1007" s="56">
        <f>IF(AND(A1007="", B1007="", E1007=""), "", TEXTJOIN("; ", TRUE, IF(OR(TRIM(A1007&amp;"")="", ISNUMBER(SEARCH("FALTA", A1007))), "UPC faltante/inválido", ""), IF(AND(A1007&lt;&gt;"", IFERROR(_xlfn.XMATCH(A1007,$A$2:$A$1063,0,1)&lt;&gt;_xlfn.XMATCH(A1007,$A$2:$A$1063,0,-1),FALSE)), "Código de barras duplicado", ""), IF(AND(E1007&lt;&gt;"", COUNTIF($E$2:$E$1063, E1007)&gt;1), "SKU duplicado", ""), IF(OR(J1007="", J1007=""), "[Aviso] División no capturada ()", IF(ISNA(MATCH(J1007, Criterios!$A$123:$A$126, 0)), "División no válida", "")), IF(OR(K1007="", K1007=""), "[Aviso] Categoría no capturada ()", IF(ISNA(MATCH(K1007, Criterios!$A$81:$A$120, 0)), "Categoría no válida", IF(AND(J1007&lt;&gt;"", J1007&lt;&gt;"", J1007&lt;&gt;VLOOKUP(K1007, Criterios!$A$81:$B$120, 2, FALSE)), "División no coincide con Categoría", ""))), IF(OR(L1007="", L1007=""), "[Aviso] Género no capturado ()", IF(ISNA(MATCH(L1007, Criterios!$B$123:$B$127, 0)), "Género no válido", "")), IF(OR(N1007="", N1007=""), "[Aviso] Temporada no capturada ()", IF(ISNA(MATCH(N1007, Criterios!$C$123:$C$128, 0)), "Temporada no válida", "")), IF(OR(O1007="", O1007=""), "[Aviso] Ciclo de vida no capturado ()", IF(ISNA(MATCH(O1007, Criterios!$D$123:$D$124, 0)), "Ciclo de vida no válido", ""))))</f>
        <v/>
      </c>
      <c r="AC1007" s="56" t="n"/>
      <c r="AD1007" s="51" t="n"/>
      <c r="AE1007" s="156" t="n"/>
      <c r="AF1007" s="51" t="n"/>
      <c r="AG1007" s="156" t="inlineStr">
        <is>
          <t>Nuevo – Carga Hoja3 01/10/2026</t>
        </is>
      </c>
      <c r="AH1007" s="156" t="inlineStr">
        <is>
          <t>Alta 01/10/2026 desde Hoja3 (fila 46); el ID 19100 de Hoja3 no se usó porque en Productos pertenece a otro artículo (falta ID NetSuite real); atributos y precios tomados de MW1329-8360BR (fila 66899), color y precios por validar | 01/10/2026: Odoo Universal Unique Brands trae Género «Unisex» — se conservó el valor de Productos | Homologación G1522 06/10/2026: Validador Shopify: WB: precio con IVA no termina en 9</t>
        </is>
      </c>
      <c r="AI1007" s="156" t="n"/>
      <c r="AJ1007" s="156" t="n"/>
      <c r="AK1007" s="155" t="inlineStr">
        <is>
          <t>Hoja3: fila 46 | Odoo: producto 19100 / plantilla 23453</t>
        </is>
      </c>
      <c r="AL1007" s="58" t="n"/>
      <c r="AM1007" s="58" t="n"/>
      <c r="AN1007" s="155" t="inlineStr">
        <is>
          <t>Odoo Universal Unique Brands</t>
        </is>
      </c>
      <c r="AO1007" s="59" t="n"/>
      <c r="AP1007" s="59" t="n"/>
      <c r="AQ1007" s="59" t="n">
        <v>12</v>
      </c>
      <c r="AR1007" s="155" t="inlineStr">
        <is>
          <t>Odoo Universal Unique Brands › Bodega 25 › Bodega 25/General: 12</t>
        </is>
      </c>
    </row>
    <row r="1008">
      <c r="A1008" s="50" t="inlineStr">
        <is>
          <t>717325211713</t>
        </is>
      </c>
      <c r="B1008" s="51" t="n"/>
      <c r="C1008" s="156" t="inlineStr">
        <is>
          <t>Wrangler</t>
        </is>
      </c>
      <c r="D1008" s="156" t="inlineStr">
        <is>
          <t>WG160-60102KH</t>
        </is>
      </c>
      <c r="E1008" s="156" t="inlineStr">
        <is>
          <t>WG160-60102KH</t>
        </is>
      </c>
      <c r="F1008" s="156" t="inlineStr">
        <is>
          <t>Talla única</t>
        </is>
      </c>
      <c r="G1008" s="156" t="inlineStr">
        <is>
          <t>One Size</t>
        </is>
      </c>
      <c r="H1008" s="156" t="inlineStr">
        <is>
          <t>Wrangler</t>
        </is>
      </c>
      <c r="I1008" s="156" t="inlineStr">
        <is>
          <t>Bolsa de Mano Wrangler Caqui</t>
        </is>
      </c>
      <c r="J1008" s="156" t="inlineStr">
        <is>
          <t>Accesorios</t>
        </is>
      </c>
      <c r="K1008" s="156" t="inlineStr">
        <is>
          <t>Bolsos</t>
        </is>
      </c>
      <c r="L1008" s="156" t="inlineStr">
        <is>
          <t>Unisex</t>
        </is>
      </c>
      <c r="M1008" s="156" t="inlineStr">
        <is>
          <t>Wrangler</t>
        </is>
      </c>
      <c r="N1008" s="156" t="n"/>
      <c r="O1008" s="156" t="inlineStr">
        <is>
          <t>Core</t>
        </is>
      </c>
      <c r="P1008" s="156" t="inlineStr">
        <is>
          <t>Beige</t>
        </is>
      </c>
      <c r="Q1008" s="156" t="n"/>
      <c r="R1008" s="156" t="n"/>
      <c r="S1008" s="156" t="n"/>
      <c r="T1008" s="156" t="inlineStr">
        <is>
          <t>Bolsa de Mano Wrangler. Color: Caqui. Talla única. Unisex. Referencia: WG160-60102KH.</t>
        </is>
      </c>
      <c r="U1008" s="156" t="inlineStr">
        <is>
          <t>México</t>
        </is>
      </c>
      <c r="V1008" s="156" t="inlineStr">
        <is>
          <t>PZS</t>
        </is>
      </c>
      <c r="W1008" s="51" t="inlineStr">
        <is>
          <t>53121601</t>
        </is>
      </c>
      <c r="X1008" s="156" t="n"/>
      <c r="Y1008" s="54" t="n">
        <v>362.25</v>
      </c>
      <c r="Z1008" s="54" t="n">
        <v>599</v>
      </c>
      <c r="AA1008" s="55">
        <f>IF(AND(A1008="", B1008="", E1008=""), "", IF(AB1008="", "Válido", IF((LEN(AB1008)-LEN(SUBSTITUTE(AB1008,"; ","")))/2+1&gt;(LEN(AB1008)-LEN(SUBSTITUTE(AB1008,"[Aviso]","")))/7, "Con Incidencias", "Válido")))</f>
        <v/>
      </c>
      <c r="AB1008" s="56">
        <f>IF(AND(A1008="", B1008="", E1008=""), "", TEXTJOIN("; ", TRUE, IF(OR(TRIM(A1008&amp;"")="", ISNUMBER(SEARCH("FALTA", A1008))), "UPC faltante/inválido", ""), IF(AND(A1008&lt;&gt;"", IFERROR(_xlfn.XMATCH(A1008,$A$2:$A$1063,0,1)&lt;&gt;_xlfn.XMATCH(A1008,$A$2:$A$1063,0,-1),FALSE)), "Código de barras duplicado", ""), IF(AND(E1008&lt;&gt;"", COUNTIF($E$2:$E$1063, E1008)&gt;1), "SKU duplicado", ""), IF(OR(J1008="", J1008=""), "[Aviso] División no capturada ()", IF(ISNA(MATCH(J1008, Criterios!$A$123:$A$126, 0)), "División no válida", "")), IF(OR(K1008="", K1008=""), "[Aviso] Categoría no capturada ()", IF(ISNA(MATCH(K1008, Criterios!$A$81:$A$120, 0)), "Categoría no válida", IF(AND(J1008&lt;&gt;"", J1008&lt;&gt;"", J1008&lt;&gt;VLOOKUP(K1008, Criterios!$A$81:$B$120, 2, FALSE)), "División no coincide con Categoría", ""))), IF(OR(L1008="", L1008=""), "[Aviso] Género no capturado ()", IF(ISNA(MATCH(L1008, Criterios!$B$123:$B$127, 0)), "Género no válido", "")), IF(OR(N1008="", N1008=""), "[Aviso] Temporada no capturada ()", IF(ISNA(MATCH(N1008, Criterios!$C$123:$C$128, 0)), "Temporada no válida", "")), IF(OR(O1008="", O1008=""), "[Aviso] Ciclo de vida no capturado ()", IF(ISNA(MATCH(O1008, Criterios!$D$123:$D$124, 0)), "Ciclo de vida no válido", ""))))</f>
        <v/>
      </c>
      <c r="AC1008" s="56" t="n"/>
      <c r="AD1008" s="51" t="n"/>
      <c r="AE1008" s="156" t="n"/>
      <c r="AF1008" s="51" t="n"/>
      <c r="AG1008" s="156" t="inlineStr">
        <is>
          <t>Nuevo – Carga Hoja3 01/10/2026</t>
        </is>
      </c>
      <c r="AH1008" s="156" t="inlineStr">
        <is>
          <t>Alta 01/10/2026 desde Hoja3 (fila 775); el ID 19114 de Hoja3 no se usó porque en Productos pertenece a otro artículo (falta ID NetSuite real); atributos y precios tomados de WG160-60102CF (fila 67053), color y precios por validar | 01/10/2026: complementado desde Odoo Universal Unique Brands (match por código de barras): WB País de origen | 01/10/2026: Odoo Universal Unique Brands trae Marca «Montana West» — se conservó el valor de Productos | Homologación G1522 06/10/2026: Validador Shopify: WB: precio con IVA no termina en 9</t>
        </is>
      </c>
      <c r="AI1008" s="156" t="n"/>
      <c r="AJ1008" s="156" t="n"/>
      <c r="AK1008" s="155" t="inlineStr">
        <is>
          <t>Hoja3: fila 775 | Odoo: producto 19114 / plantilla 23467 | Odoo: producto 27258 / plantilla 33958</t>
        </is>
      </c>
      <c r="AL1008" s="58" t="n"/>
      <c r="AM1008" s="58" t="n"/>
      <c r="AN1008" s="155" t="inlineStr">
        <is>
          <t>Odoo Universal Unique Brands</t>
        </is>
      </c>
      <c r="AO1008" s="59" t="n"/>
      <c r="AP1008" s="59" t="n"/>
      <c r="AQ1008" s="59" t="n">
        <v>-1</v>
      </c>
      <c r="AR1008" s="155" t="n"/>
    </row>
    <row r="1009">
      <c r="A1009" s="50" t="inlineStr">
        <is>
          <t>717710507247</t>
        </is>
      </c>
      <c r="B1009" s="51" t="n"/>
      <c r="C1009" s="156" t="inlineStr">
        <is>
          <t>Wrangler</t>
        </is>
      </c>
      <c r="D1009" s="156" t="inlineStr">
        <is>
          <t>WG367-W119BG</t>
        </is>
      </c>
      <c r="E1009" s="156" t="inlineStr">
        <is>
          <t>WG367-W119BG</t>
        </is>
      </c>
      <c r="F1009" s="156" t="inlineStr">
        <is>
          <t>Talla única</t>
        </is>
      </c>
      <c r="G1009" s="156" t="inlineStr">
        <is>
          <t>One Size</t>
        </is>
      </c>
      <c r="H1009" s="156" t="inlineStr">
        <is>
          <t>Wrangler</t>
        </is>
      </c>
      <c r="I1009" s="156" t="inlineStr">
        <is>
          <t>Muñequera De Doble Compartimento Wrangler Con Logo "W" Bordada Beige</t>
        </is>
      </c>
      <c r="J1009" s="156" t="inlineStr">
        <is>
          <t>Accesorios</t>
        </is>
      </c>
      <c r="K1009" s="156" t="inlineStr">
        <is>
          <t>Bolsos</t>
        </is>
      </c>
      <c r="L1009" s="156" t="inlineStr">
        <is>
          <t>Unisex</t>
        </is>
      </c>
      <c r="M1009" s="156" t="inlineStr">
        <is>
          <t>Wrangler</t>
        </is>
      </c>
      <c r="N1009" s="156" t="n"/>
      <c r="O1009" s="156" t="n"/>
      <c r="P1009" s="156" t="inlineStr">
        <is>
          <t>Beige</t>
        </is>
      </c>
      <c r="Q1009" s="156" t="n"/>
      <c r="R1009" s="156" t="n"/>
      <c r="S1009" s="156" t="n"/>
      <c r="T1009" s="156" t="inlineStr">
        <is>
          <t>Muñequera De Doble Compartimento</t>
        </is>
      </c>
      <c r="U1009" s="156" t="inlineStr">
        <is>
          <t>México</t>
        </is>
      </c>
      <c r="V1009" s="156" t="inlineStr">
        <is>
          <t>PZS</t>
        </is>
      </c>
      <c r="W1009" s="51" t="inlineStr">
        <is>
          <t>53121601</t>
        </is>
      </c>
      <c r="X1009" s="156" t="n"/>
      <c r="Y1009" s="54" t="n">
        <v>10.13</v>
      </c>
      <c r="Z1009" s="54" t="n">
        <v>399</v>
      </c>
      <c r="AA1009" s="55">
        <f>IF(AND(A1009="", B1009="", E1009=""), "", IF(AB1009="", "Válido", IF((LEN(AB1009)-LEN(SUBSTITUTE(AB1009,"; ","")))/2+1&gt;(LEN(AB1009)-LEN(SUBSTITUTE(AB1009,"[Aviso]","")))/7, "Con Incidencias", "Válido")))</f>
        <v/>
      </c>
      <c r="AB1009" s="56">
        <f>IF(AND(A1009="", B1009="", E1009=""), "", TEXTJOIN("; ", TRUE, IF(OR(TRIM(A1009&amp;"")="", ISNUMBER(SEARCH("FALTA", A1009))), "UPC faltante/inválido", ""), IF(AND(A1009&lt;&gt;"", IFERROR(_xlfn.XMATCH(A1009,$A$2:$A$1063,0,1)&lt;&gt;_xlfn.XMATCH(A1009,$A$2:$A$1063,0,-1),FALSE)), "Código de barras duplicado", ""), IF(AND(E1009&lt;&gt;"", COUNTIF($E$2:$E$1063, E1009)&gt;1), "SKU duplicado", ""), IF(OR(J1009="", J1009=""), "[Aviso] División no capturada ()", IF(ISNA(MATCH(J1009, Criterios!$A$123:$A$126, 0)), "División no válida", "")), IF(OR(K1009="", K1009=""), "[Aviso] Categoría no capturada ()", IF(ISNA(MATCH(K1009, Criterios!$A$81:$A$120, 0)), "Categoría no válida", IF(AND(J1009&lt;&gt;"", J1009&lt;&gt;"", J1009&lt;&gt;VLOOKUP(K1009, Criterios!$A$81:$B$120, 2, FALSE)), "División no coincide con Categoría", ""))), IF(OR(L1009="", L1009=""), "[Aviso] Género no capturado ()", IF(ISNA(MATCH(L1009, Criterios!$B$123:$B$127, 0)), "Género no válido", "")), IF(OR(N1009="", N1009=""), "[Aviso] Temporada no capturada ()", IF(ISNA(MATCH(N1009, Criterios!$C$123:$C$128, 0)), "Temporada no válida", "")), IF(OR(O1009="", O1009=""), "[Aviso] Ciclo de vida no capturado ()", IF(ISNA(MATCH(O1009, Criterios!$D$123:$D$124, 0)), "Ciclo de vida no válido", ""))))</f>
        <v/>
      </c>
      <c r="AC1009" s="56" t="n"/>
      <c r="AD1009" s="51" t="n"/>
      <c r="AE1009" s="156" t="n"/>
      <c r="AF1009" s="51" t="n"/>
      <c r="AG1009" s="156" t="inlineStr">
        <is>
          <t>Nuevo – Carga Hoja3 01/10/2026</t>
        </is>
      </c>
      <c r="AH1009" s="156" t="inlineStr">
        <is>
          <t>Alta 01/10/2026 desde Hoja3 (fila 974); el ID 22187 de Hoja3 no se usó porque en Productos pertenece a otro artículo (falta ID NetSuite real); atributos y precios tomados de WG367-W119CF (fila 67646), color y precios por validar | 01/10/2026: complementado desde Odoo Universal Unique Brands (match por código de barras): WB Talla, WB Talla de EE. UU., WB Descripción larga | Homologación G1522 06/10/2026: WB País de origen: «Mexico» → «México» (Corrección aplicada) · Validación G1522: [Aviso] Precio de compra posiblemente en USD · Validador Shopify: WB: precio con IVA no termina en 9</t>
        </is>
      </c>
      <c r="AI1009" s="156" t="n"/>
      <c r="AJ1009" s="156" t="n"/>
      <c r="AK1009" s="155" t="inlineStr">
        <is>
          <t>Hoja3: fila 974 | Odoo: producto 22187 / plantilla 28330</t>
        </is>
      </c>
      <c r="AL1009" s="58" t="n"/>
      <c r="AM1009" s="58" t="n"/>
      <c r="AN1009" s="155" t="inlineStr">
        <is>
          <t>Odoo Universal Unique Brands</t>
        </is>
      </c>
      <c r="AO1009" s="59" t="n"/>
      <c r="AP1009" s="59" t="n"/>
      <c r="AQ1009" s="59" t="n">
        <v>1</v>
      </c>
      <c r="AR1009" s="155" t="inlineStr">
        <is>
          <t>Odoo Universal Unique Brands › Bodega 25 › Bodega 25/General: 1</t>
        </is>
      </c>
    </row>
    <row r="1010">
      <c r="A1010" s="50" t="inlineStr">
        <is>
          <t>717710507209</t>
        </is>
      </c>
      <c r="B1010" s="51" t="n"/>
      <c r="C1010" s="156" t="inlineStr">
        <is>
          <t>Wrangler</t>
        </is>
      </c>
      <c r="D1010" s="156" t="inlineStr">
        <is>
          <t>WG367-W119BK</t>
        </is>
      </c>
      <c r="E1010" s="156" t="inlineStr">
        <is>
          <t>WG367-W119BK</t>
        </is>
      </c>
      <c r="F1010" s="156" t="inlineStr">
        <is>
          <t>Talla única</t>
        </is>
      </c>
      <c r="G1010" s="156" t="inlineStr">
        <is>
          <t>One Size</t>
        </is>
      </c>
      <c r="H1010" s="156" t="inlineStr">
        <is>
          <t>Wrangler</t>
        </is>
      </c>
      <c r="I1010" s="156" t="inlineStr">
        <is>
          <t>Muñequera De Doble Compartimento Wrangler Con Logo "W" Bordada Negro</t>
        </is>
      </c>
      <c r="J1010" s="156" t="inlineStr">
        <is>
          <t>Accesorios</t>
        </is>
      </c>
      <c r="K1010" s="156" t="inlineStr">
        <is>
          <t>Bolsos</t>
        </is>
      </c>
      <c r="L1010" s="156" t="inlineStr">
        <is>
          <t>Unisex</t>
        </is>
      </c>
      <c r="M1010" s="156" t="inlineStr">
        <is>
          <t>Wrangler</t>
        </is>
      </c>
      <c r="N1010" s="156" t="n"/>
      <c r="O1010" s="156" t="n"/>
      <c r="P1010" s="156" t="inlineStr">
        <is>
          <t>Negro</t>
        </is>
      </c>
      <c r="Q1010" s="156" t="n"/>
      <c r="R1010" s="156" t="n"/>
      <c r="S1010" s="156" t="n"/>
      <c r="T1010" s="156" t="inlineStr">
        <is>
          <t>Muñequera De Doble Compartimento</t>
        </is>
      </c>
      <c r="U1010" s="156" t="inlineStr">
        <is>
          <t>México</t>
        </is>
      </c>
      <c r="V1010" s="156" t="inlineStr">
        <is>
          <t>PZS</t>
        </is>
      </c>
      <c r="W1010" s="51" t="inlineStr">
        <is>
          <t>53121601</t>
        </is>
      </c>
      <c r="X1010" s="156" t="n"/>
      <c r="Y1010" s="54" t="n">
        <v>10.13</v>
      </c>
      <c r="Z1010" s="54" t="n">
        <v>399</v>
      </c>
      <c r="AA1010" s="55">
        <f>IF(AND(A1010="", B1010="", E1010=""), "", IF(AB1010="", "Válido", IF((LEN(AB1010)-LEN(SUBSTITUTE(AB1010,"; ","")))/2+1&gt;(LEN(AB1010)-LEN(SUBSTITUTE(AB1010,"[Aviso]","")))/7, "Con Incidencias", "Válido")))</f>
        <v/>
      </c>
      <c r="AB1010" s="56">
        <f>IF(AND(A1010="", B1010="", E1010=""), "", TEXTJOIN("; ", TRUE, IF(OR(TRIM(A1010&amp;"")="", ISNUMBER(SEARCH("FALTA", A1010))), "UPC faltante/inválido", ""), IF(AND(A1010&lt;&gt;"", IFERROR(_xlfn.XMATCH(A1010,$A$2:$A$1063,0,1)&lt;&gt;_xlfn.XMATCH(A1010,$A$2:$A$1063,0,-1),FALSE)), "Código de barras duplicado", ""), IF(AND(E1010&lt;&gt;"", COUNTIF($E$2:$E$1063, E1010)&gt;1), "SKU duplicado", ""), IF(OR(J1010="", J1010=""), "[Aviso] División no capturada ()", IF(ISNA(MATCH(J1010, Criterios!$A$123:$A$126, 0)), "División no válida", "")), IF(OR(K1010="", K1010=""), "[Aviso] Categoría no capturada ()", IF(ISNA(MATCH(K1010, Criterios!$A$81:$A$120, 0)), "Categoría no válida", IF(AND(J1010&lt;&gt;"", J1010&lt;&gt;"", J1010&lt;&gt;VLOOKUP(K1010, Criterios!$A$81:$B$120, 2, FALSE)), "División no coincide con Categoría", ""))), IF(OR(L1010="", L1010=""), "[Aviso] Género no capturado ()", IF(ISNA(MATCH(L1010, Criterios!$B$123:$B$127, 0)), "Género no válido", "")), IF(OR(N1010="", N1010=""), "[Aviso] Temporada no capturada ()", IF(ISNA(MATCH(N1010, Criterios!$C$123:$C$128, 0)), "Temporada no válida", "")), IF(OR(O1010="", O1010=""), "[Aviso] Ciclo de vida no capturado ()", IF(ISNA(MATCH(O1010, Criterios!$D$123:$D$124, 0)), "Ciclo de vida no válido", ""))))</f>
        <v/>
      </c>
      <c r="AC1010" s="56" t="n"/>
      <c r="AD1010" s="51" t="n"/>
      <c r="AE1010" s="156" t="n"/>
      <c r="AF1010" s="51" t="n"/>
      <c r="AG1010" s="156" t="inlineStr">
        <is>
          <t>Nuevo – Carga Hoja3 01/10/2026</t>
        </is>
      </c>
      <c r="AH1010" s="156" t="inlineStr">
        <is>
          <t>Alta 01/10/2026 desde Hoja3 (fila 975); el ID 22188 de Hoja3 no se usó porque en Productos pertenece a otro artículo (falta ID NetSuite real); atributos y precios tomados de WG367-W119CF (fila 67646), color y precios por validar | 01/10/2026: complementado desde Odoo Universal Unique Brands (match por código de barras): WB Talla, WB Talla de EE. UU., WB Descripción larga | Homologación G1522 06/10/2026: WB País de origen: «Mexico» → «México» (Corrección aplicada) · Validación G1522: [Aviso] Precio de compra posiblemente en USD · Validador Shopify: WB: precio con IVA no termina en 9</t>
        </is>
      </c>
      <c r="AI1010" s="156" t="n"/>
      <c r="AJ1010" s="156" t="n"/>
      <c r="AK1010" s="155" t="inlineStr">
        <is>
          <t>Hoja3: fila 975 | Odoo: producto 22188 / plantilla 28331</t>
        </is>
      </c>
      <c r="AL1010" s="58" t="n"/>
      <c r="AM1010" s="58" t="n"/>
      <c r="AN1010" s="155" t="inlineStr">
        <is>
          <t>Odoo Universal Unique Brands</t>
        </is>
      </c>
      <c r="AO1010" s="59" t="n"/>
      <c r="AP1010" s="59" t="n"/>
      <c r="AQ1010" s="59" t="n">
        <v>1</v>
      </c>
      <c r="AR1010" s="155" t="inlineStr">
        <is>
          <t>Odoo Universal Unique Brands › Bodega 25 › Bodega 25/General: 1</t>
        </is>
      </c>
    </row>
    <row r="1011">
      <c r="A1011" s="50" t="inlineStr">
        <is>
          <t>717325205798</t>
        </is>
      </c>
      <c r="B1011" s="51" t="n"/>
      <c r="C1011" s="156" t="n"/>
      <c r="D1011" s="156" t="n"/>
      <c r="E1011" s="156" t="inlineStr">
        <is>
          <t>TR190G-8250BR</t>
        </is>
      </c>
      <c r="F1011" s="156" t="inlineStr">
        <is>
          <t>Talla única</t>
        </is>
      </c>
      <c r="G1011" s="156" t="inlineStr">
        <is>
          <t>One Size</t>
        </is>
      </c>
      <c r="H1011" s="156" t="inlineStr">
        <is>
          <t>Montana West</t>
        </is>
      </c>
      <c r="I1011" s="156" t="inlineStr">
        <is>
          <t>TRINITY RANCH bag BR</t>
        </is>
      </c>
      <c r="J1011" s="156" t="inlineStr">
        <is>
          <t>Accesorios</t>
        </is>
      </c>
      <c r="K1011" s="156" t="inlineStr">
        <is>
          <t>Bolsos</t>
        </is>
      </c>
      <c r="L1011" s="156" t="inlineStr">
        <is>
          <t>Unisex</t>
        </is>
      </c>
      <c r="M1011" s="156" t="n"/>
      <c r="N1011" s="156" t="n"/>
      <c r="O1011" s="156" t="n"/>
      <c r="P1011" s="156" t="n"/>
      <c r="Q1011" s="156" t="n"/>
      <c r="R1011" s="156" t="n"/>
      <c r="S1011" s="156" t="n"/>
      <c r="T1011" s="156" t="n"/>
      <c r="U1011" s="156" t="n"/>
      <c r="V1011" s="156" t="inlineStr">
        <is>
          <t>PZS</t>
        </is>
      </c>
      <c r="W1011" s="51" t="inlineStr">
        <is>
          <t>53121601</t>
        </is>
      </c>
      <c r="X1011" s="156" t="n"/>
      <c r="Y1011" s="54" t="n"/>
      <c r="Z1011" s="54" t="n">
        <v>799</v>
      </c>
      <c r="AA1011" s="55">
        <f>IF(AND(A1011="", B1011="", E1011=""), "", IF(AB1011="", "Válido", IF((LEN(AB1011)-LEN(SUBSTITUTE(AB1011,"; ","")))/2+1&gt;(LEN(AB1011)-LEN(SUBSTITUTE(AB1011,"[Aviso]","")))/7, "Con Incidencias", "Válido")))</f>
        <v/>
      </c>
      <c r="AB1011" s="56">
        <f>IF(AND(A1011="", B1011="", E1011=""), "", TEXTJOIN("; ", TRUE, IF(OR(TRIM(A1011&amp;"")="", ISNUMBER(SEARCH("FALTA", A1011))), "UPC faltante/inválido", ""), IF(AND(A1011&lt;&gt;"", IFERROR(_xlfn.XMATCH(A1011,$A$2:$A$1063,0,1)&lt;&gt;_xlfn.XMATCH(A1011,$A$2:$A$1063,0,-1),FALSE)), "Código de barras duplicado", ""), IF(AND(E1011&lt;&gt;"", COUNTIF($E$2:$E$1063, E1011)&gt;1), "SKU duplicado", ""), IF(OR(J1011="", J1011=""), "[Aviso] División no capturada ()", IF(ISNA(MATCH(J1011, Criterios!$A$123:$A$126, 0)), "División no válida", "")), IF(OR(K1011="", K1011=""), "[Aviso] Categoría no capturada ()", IF(ISNA(MATCH(K1011, Criterios!$A$81:$A$120, 0)), "Categoría no válida", IF(AND(J1011&lt;&gt;"", J1011&lt;&gt;"", J1011&lt;&gt;VLOOKUP(K1011, Criterios!$A$81:$B$120, 2, FALSE)), "División no coincide con Categoría", ""))), IF(OR(L1011="", L1011=""), "[Aviso] Género no capturado ()", IF(ISNA(MATCH(L1011, Criterios!$B$123:$B$127, 0)), "Género no válido", "")), IF(OR(N1011="", N1011=""), "[Aviso] Temporada no capturada ()", IF(ISNA(MATCH(N1011, Criterios!$C$123:$C$128, 0)), "Temporada no válida", "")), IF(OR(O1011="", O1011=""), "[Aviso] Ciclo de vida no capturado ()", IF(ISNA(MATCH(O1011, Criterios!$D$123:$D$124, 0)), "Ciclo de vida no válido", ""))))</f>
        <v/>
      </c>
      <c r="AC1011" s="56" t="n"/>
      <c r="AD1011" s="51" t="n"/>
      <c r="AE1011" s="156" t="n"/>
      <c r="AF1011" s="51" t="n"/>
      <c r="AG1011" s="156" t="inlineStr">
        <is>
          <t>Nuevo – Odoo Universal Unique Brands 01/10/2026</t>
        </is>
      </c>
      <c r="AH1011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WB Marca: «» → «Montana West» (Completado por regla) · Validación G1522: Falta estilo · Validador NetSuite / Odoo: V6: falta estilo · Validador Shopify: V6: falta estilo; WB: precio con IVA no termina en 9</t>
        </is>
      </c>
      <c r="AI1011" s="156" t="n"/>
      <c r="AJ1011" s="156" t="n"/>
      <c r="AK1011" s="155" t="inlineStr">
        <is>
          <t>Odoo: producto 19104 / plantilla 23457</t>
        </is>
      </c>
      <c r="AL1011" s="58" t="n"/>
      <c r="AM1011" s="58" t="n"/>
      <c r="AN1011" s="155" t="inlineStr">
        <is>
          <t>Odoo Universal Unique Brands</t>
        </is>
      </c>
      <c r="AO1011" s="59" t="n"/>
      <c r="AP1011" s="59" t="n"/>
      <c r="AQ1011" s="59" t="n">
        <v>7</v>
      </c>
      <c r="AR1011" s="155" t="inlineStr">
        <is>
          <t>Odoo Universal Unique Brands › Bodega 25 › Bodega 25/General: 7</t>
        </is>
      </c>
    </row>
    <row r="1012">
      <c r="A1012" s="50" t="inlineStr">
        <is>
          <t>717325205767</t>
        </is>
      </c>
      <c r="B1012" s="51" t="n"/>
      <c r="C1012" s="156" t="n"/>
      <c r="D1012" s="156" t="n"/>
      <c r="E1012" s="156" t="inlineStr">
        <is>
          <t>TR190G-8250CF</t>
        </is>
      </c>
      <c r="F1012" s="156" t="inlineStr">
        <is>
          <t>Talla única</t>
        </is>
      </c>
      <c r="G1012" s="156" t="inlineStr">
        <is>
          <t>One Size</t>
        </is>
      </c>
      <c r="H1012" s="156" t="inlineStr">
        <is>
          <t>Montana West</t>
        </is>
      </c>
      <c r="I1012" s="156" t="inlineStr">
        <is>
          <t>TRINITY RANCH bag CF</t>
        </is>
      </c>
      <c r="J1012" s="156" t="inlineStr">
        <is>
          <t>Accesorios</t>
        </is>
      </c>
      <c r="K1012" s="156" t="inlineStr">
        <is>
          <t>Bolsos</t>
        </is>
      </c>
      <c r="L1012" s="156" t="inlineStr">
        <is>
          <t>Unisex</t>
        </is>
      </c>
      <c r="M1012" s="156" t="n"/>
      <c r="N1012" s="156" t="n"/>
      <c r="O1012" s="156" t="n"/>
      <c r="P1012" s="156" t="n"/>
      <c r="Q1012" s="156" t="n"/>
      <c r="R1012" s="156" t="n"/>
      <c r="S1012" s="156" t="n"/>
      <c r="T1012" s="156" t="n"/>
      <c r="U1012" s="156" t="n"/>
      <c r="V1012" s="156" t="inlineStr">
        <is>
          <t>PZS</t>
        </is>
      </c>
      <c r="W1012" s="51" t="inlineStr">
        <is>
          <t>53121601</t>
        </is>
      </c>
      <c r="X1012" s="156" t="n"/>
      <c r="Y1012" s="54" t="n"/>
      <c r="Z1012" s="54" t="n">
        <v>799</v>
      </c>
      <c r="AA1012" s="55">
        <f>IF(AND(A1012="", B1012="", E1012=""), "", IF(AB1012="", "Válido", IF((LEN(AB1012)-LEN(SUBSTITUTE(AB1012,"; ","")))/2+1&gt;(LEN(AB1012)-LEN(SUBSTITUTE(AB1012,"[Aviso]","")))/7, "Con Incidencias", "Válido")))</f>
        <v/>
      </c>
      <c r="AB1012" s="56">
        <f>IF(AND(A1012="", B1012="", E1012=""), "", TEXTJOIN("; ", TRUE, IF(OR(TRIM(A1012&amp;"")="", ISNUMBER(SEARCH("FALTA", A1012))), "UPC faltante/inválido", ""), IF(AND(A1012&lt;&gt;"", IFERROR(_xlfn.XMATCH(A1012,$A$2:$A$1063,0,1)&lt;&gt;_xlfn.XMATCH(A1012,$A$2:$A$1063,0,-1),FALSE)), "Código de barras duplicado", ""), IF(AND(E1012&lt;&gt;"", COUNTIF($E$2:$E$1063, E1012)&gt;1), "SKU duplicado", ""), IF(OR(J1012="", J1012=""), "[Aviso] División no capturada ()", IF(ISNA(MATCH(J1012, Criterios!$A$123:$A$126, 0)), "División no válida", "")), IF(OR(K1012="", K1012=""), "[Aviso] Categoría no capturada ()", IF(ISNA(MATCH(K1012, Criterios!$A$81:$A$120, 0)), "Categoría no válida", IF(AND(J1012&lt;&gt;"", J1012&lt;&gt;"", J1012&lt;&gt;VLOOKUP(K1012, Criterios!$A$81:$B$120, 2, FALSE)), "División no coincide con Categoría", ""))), IF(OR(L1012="", L1012=""), "[Aviso] Género no capturado ()", IF(ISNA(MATCH(L1012, Criterios!$B$123:$B$127, 0)), "Género no válido", "")), IF(OR(N1012="", N1012=""), "[Aviso] Temporada no capturada ()", IF(ISNA(MATCH(N1012, Criterios!$C$123:$C$128, 0)), "Temporada no válida", "")), IF(OR(O1012="", O1012=""), "[Aviso] Ciclo de vida no capturado ()", IF(ISNA(MATCH(O1012, Criterios!$D$123:$D$124, 0)), "Ciclo de vida no válido", ""))))</f>
        <v/>
      </c>
      <c r="AC1012" s="56" t="n"/>
      <c r="AD1012" s="51" t="n"/>
      <c r="AE1012" s="156" t="n"/>
      <c r="AF1012" s="51" t="n"/>
      <c r="AG1012" s="156" t="inlineStr">
        <is>
          <t>Nuevo – Odoo Universal Unique Brands 01/10/2026</t>
        </is>
      </c>
      <c r="AH1012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WB Marca: «» → «Montana West» (Completado por regla) · Validación G1522: Falta estilo · Validador NetSuite / Odoo: V6: falta estilo · Validador Shopify: V6: falta estilo; WB: precio con IVA no termina en 9</t>
        </is>
      </c>
      <c r="AI1012" s="156" t="n"/>
      <c r="AJ1012" s="156" t="n"/>
      <c r="AK1012" s="155" t="inlineStr">
        <is>
          <t>Odoo: producto 19105 / plantilla 23458</t>
        </is>
      </c>
      <c r="AL1012" s="58" t="n"/>
      <c r="AM1012" s="58" t="n"/>
      <c r="AN1012" s="155" t="inlineStr">
        <is>
          <t>Odoo Universal Unique Brands</t>
        </is>
      </c>
      <c r="AO1012" s="59" t="n"/>
      <c r="AP1012" s="59" t="n"/>
      <c r="AQ1012" s="59" t="n">
        <v>6</v>
      </c>
      <c r="AR1012" s="155" t="inlineStr">
        <is>
          <t>Odoo Universal Unique Brands › Bodega 25 › Bodega 25/General: 6</t>
        </is>
      </c>
    </row>
    <row r="1013">
      <c r="A1013" s="50" t="n"/>
      <c r="B1013" s="51" t="n"/>
      <c r="C1013" s="156" t="n"/>
      <c r="D1013" s="156" t="n"/>
      <c r="E1013" s="156" t="inlineStr">
        <is>
          <t>TR192G-8322BR</t>
        </is>
      </c>
      <c r="F1013" s="156" t="inlineStr">
        <is>
          <t>Talla única</t>
        </is>
      </c>
      <c r="G1013" s="156" t="inlineStr">
        <is>
          <t>One Size</t>
        </is>
      </c>
      <c r="H1013" s="156" t="inlineStr">
        <is>
          <t>Montana West</t>
        </is>
      </c>
      <c r="I1013" s="156" t="inlineStr">
        <is>
          <t>TR192G-8322BR</t>
        </is>
      </c>
      <c r="J1013" s="156" t="inlineStr">
        <is>
          <t>Accesorios</t>
        </is>
      </c>
      <c r="K1013" s="156" t="inlineStr">
        <is>
          <t>Bolsos</t>
        </is>
      </c>
      <c r="L1013" s="156" t="inlineStr">
        <is>
          <t>Unisex</t>
        </is>
      </c>
      <c r="M1013" s="156" t="n"/>
      <c r="N1013" s="156" t="n"/>
      <c r="O1013" s="156" t="n"/>
      <c r="P1013" s="156" t="n"/>
      <c r="Q1013" s="156" t="n"/>
      <c r="R1013" s="156" t="n"/>
      <c r="S1013" s="156" t="n"/>
      <c r="T1013" s="156" t="n"/>
      <c r="U1013" s="156" t="n"/>
      <c r="V1013" s="156" t="inlineStr">
        <is>
          <t>PZS</t>
        </is>
      </c>
      <c r="W1013" s="51" t="inlineStr">
        <is>
          <t>53121600</t>
        </is>
      </c>
      <c r="X1013" s="156" t="n"/>
      <c r="Y1013" s="54" t="n"/>
      <c r="Z1013" s="54" t="n">
        <v>899</v>
      </c>
      <c r="AA1013" s="55">
        <f>IF(AND(A1013="", B1013="", E1013=""), "", IF(AB1013="", "Válido", IF((LEN(AB1013)-LEN(SUBSTITUTE(AB1013,"; ","")))/2+1&gt;(LEN(AB1013)-LEN(SUBSTITUTE(AB1013,"[Aviso]","")))/7, "Con Incidencias", "Válido")))</f>
        <v/>
      </c>
      <c r="AB1013" s="56">
        <f>IF(AND(A1013="", B1013="", E1013=""), "", TEXTJOIN("; ", TRUE, IF(OR(TRIM(A1013&amp;"")="", ISNUMBER(SEARCH("FALTA", A1013))), "UPC faltante/inválido", ""), IF(AND(A1013&lt;&gt;"", IFERROR(_xlfn.XMATCH(A1013,$A$2:$A$1063,0,1)&lt;&gt;_xlfn.XMATCH(A1013,$A$2:$A$1063,0,-1),FALSE)), "Código de barras duplicado", ""), IF(AND(E1013&lt;&gt;"", COUNTIF($E$2:$E$1063, E1013)&gt;1), "SKU duplicado", ""), IF(OR(J1013="", J1013=""), "[Aviso] División no capturada ()", IF(ISNA(MATCH(J1013, Criterios!$A$123:$A$126, 0)), "División no válida", "")), IF(OR(K1013="", K1013=""), "[Aviso] Categoría no capturada ()", IF(ISNA(MATCH(K1013, Criterios!$A$81:$A$120, 0)), "Categoría no válida", IF(AND(J1013&lt;&gt;"", J1013&lt;&gt;"", J1013&lt;&gt;VLOOKUP(K1013, Criterios!$A$81:$B$120, 2, FALSE)), "División no coincide con Categoría", ""))), IF(OR(L1013="", L1013=""), "[Aviso] Género no capturado ()", IF(ISNA(MATCH(L1013, Criterios!$B$123:$B$127, 0)), "Género no válido", "")), IF(OR(N1013="", N1013=""), "[Aviso] Temporada no capturada ()", IF(ISNA(MATCH(N1013, Criterios!$C$123:$C$128, 0)), "Temporada no válida", "")), IF(OR(O1013="", O1013=""), "[Aviso] Ciclo de vida no capturado ()", IF(ISNA(MATCH(O1013, Criterios!$D$123:$D$124, 0)), "Ciclo de vida no válido", ""))))</f>
        <v/>
      </c>
      <c r="AC1013" s="56" t="n"/>
      <c r="AD1013" s="51" t="n"/>
      <c r="AE1013" s="156" t="n"/>
      <c r="AF1013" s="51" t="n"/>
      <c r="AG1013" s="156" t="inlineStr">
        <is>
          <t>Nuevo – Odoo Universal Unique Brands 01/10/2026</t>
        </is>
      </c>
      <c r="AH1013" s="156" t="inlineStr">
        <is>
          <t>01/10/2026: alta desde Odoo Universal Unique Brands (no existía en Productos por código de barras ni SKU) | WB SKU tomado del nombre del artículo en la plataforma (el nombre es el código) | Categoría: Sinónimo "Bolsa" en tipo/categoría (Accesorios / Bolsa); Género: regla accesorios sin género | Homologación G1522 06/10/2026: WB Marca: «» → «Montana West» (Completado por regla) · Validación G1522: Código de barras faltante · Validador NetSuite / Odoo: V1: falta código de barras · Validador Shopify: V1: falta código de barras; WB: precio con IVA no termina en 9</t>
        </is>
      </c>
      <c r="AI1013" s="156" t="n"/>
      <c r="AJ1013" s="156" t="n"/>
      <c r="AK1013" s="155" t="inlineStr">
        <is>
          <t>Odoo: producto 27572 / plantilla 34272</t>
        </is>
      </c>
      <c r="AL1013" s="58" t="n"/>
      <c r="AM1013" s="58" t="n"/>
      <c r="AN1013" s="155" t="inlineStr">
        <is>
          <t>Odoo Universal Unique Brands</t>
        </is>
      </c>
      <c r="AO1013" s="59" t="n"/>
      <c r="AP1013" s="59" t="n"/>
      <c r="AQ1013" s="59" t="n">
        <v>1</v>
      </c>
      <c r="AR1013" s="155" t="inlineStr">
        <is>
          <t>Odoo Universal Unique Brands › Bodega 25 › Bodega 25/General: 1</t>
        </is>
      </c>
    </row>
    <row r="1014">
      <c r="A1014" s="50" t="n"/>
      <c r="B1014" s="51" t="n"/>
      <c r="C1014" s="156" t="n"/>
      <c r="D1014" s="156" t="n"/>
      <c r="E1014" s="156" t="inlineStr">
        <is>
          <t>TR192G-8322JN</t>
        </is>
      </c>
      <c r="F1014" s="156" t="inlineStr">
        <is>
          <t>Talla única</t>
        </is>
      </c>
      <c r="G1014" s="156" t="inlineStr">
        <is>
          <t>One Size</t>
        </is>
      </c>
      <c r="H1014" s="156" t="inlineStr">
        <is>
          <t>Montana West</t>
        </is>
      </c>
      <c r="I1014" s="156" t="inlineStr">
        <is>
          <t>TR192G-8322JN</t>
        </is>
      </c>
      <c r="J1014" s="156" t="inlineStr">
        <is>
          <t>Accesorios</t>
        </is>
      </c>
      <c r="K1014" s="156" t="inlineStr">
        <is>
          <t>Bolsos</t>
        </is>
      </c>
      <c r="L1014" s="156" t="inlineStr">
        <is>
          <t>Unisex</t>
        </is>
      </c>
      <c r="M1014" s="156" t="n"/>
      <c r="N1014" s="156" t="n"/>
      <c r="O1014" s="156" t="n"/>
      <c r="P1014" s="156" t="n"/>
      <c r="Q1014" s="156" t="n"/>
      <c r="R1014" s="156" t="n"/>
      <c r="S1014" s="156" t="n"/>
      <c r="T1014" s="156" t="n"/>
      <c r="U1014" s="156" t="n"/>
      <c r="V1014" s="156" t="inlineStr">
        <is>
          <t>PZS</t>
        </is>
      </c>
      <c r="W1014" s="51" t="inlineStr">
        <is>
          <t>53121600</t>
        </is>
      </c>
      <c r="X1014" s="156" t="n"/>
      <c r="Y1014" s="54" t="n"/>
      <c r="Z1014" s="54" t="n">
        <v>899</v>
      </c>
      <c r="AA1014" s="55">
        <f>IF(AND(A1014="", B1014="", E1014=""), "", IF(AB1014="", "Válido", IF((LEN(AB1014)-LEN(SUBSTITUTE(AB1014,"; ","")))/2+1&gt;(LEN(AB1014)-LEN(SUBSTITUTE(AB1014,"[Aviso]","")))/7, "Con Incidencias", "Válido")))</f>
        <v/>
      </c>
      <c r="AB1014" s="56">
        <f>IF(AND(A1014="", B1014="", E1014=""), "", TEXTJOIN("; ", TRUE, IF(OR(TRIM(A1014&amp;"")="", ISNUMBER(SEARCH("FALTA", A1014))), "UPC faltante/inválido", ""), IF(AND(A1014&lt;&gt;"", IFERROR(_xlfn.XMATCH(A1014,$A$2:$A$1063,0,1)&lt;&gt;_xlfn.XMATCH(A1014,$A$2:$A$1063,0,-1),FALSE)), "Código de barras duplicado", ""), IF(AND(E1014&lt;&gt;"", COUNTIF($E$2:$E$1063, E1014)&gt;1), "SKU duplicado", ""), IF(OR(J1014="", J1014=""), "[Aviso] División no capturada ()", IF(ISNA(MATCH(J1014, Criterios!$A$123:$A$126, 0)), "División no válida", "")), IF(OR(K1014="", K1014=""), "[Aviso] Categoría no capturada ()", IF(ISNA(MATCH(K1014, Criterios!$A$81:$A$120, 0)), "Categoría no válida", IF(AND(J1014&lt;&gt;"", J1014&lt;&gt;"", J1014&lt;&gt;VLOOKUP(K1014, Criterios!$A$81:$B$120, 2, FALSE)), "División no coincide con Categoría", ""))), IF(OR(L1014="", L1014=""), "[Aviso] Género no capturado ()", IF(ISNA(MATCH(L1014, Criterios!$B$123:$B$127, 0)), "Género no válido", "")), IF(OR(N1014="", N1014=""), "[Aviso] Temporada no capturada ()", IF(ISNA(MATCH(N1014, Criterios!$C$123:$C$128, 0)), "Temporada no válida", "")), IF(OR(O1014="", O1014=""), "[Aviso] Ciclo de vida no capturado ()", IF(ISNA(MATCH(O1014, Criterios!$D$123:$D$124, 0)), "Ciclo de vida no válido", ""))))</f>
        <v/>
      </c>
      <c r="AC1014" s="56" t="n"/>
      <c r="AD1014" s="51" t="n"/>
      <c r="AE1014" s="156" t="n"/>
      <c r="AF1014" s="51" t="n"/>
      <c r="AG1014" s="156" t="inlineStr">
        <is>
          <t>Nuevo – Odoo Universal Unique Brands 01/10/2026</t>
        </is>
      </c>
      <c r="AH1014" s="156" t="inlineStr">
        <is>
          <t>01/10/2026: alta desde Odoo Universal Unique Brands (no existía en Productos por código de barras ni SKU) | WB SKU tomado del nombre del artículo en la plataforma (el nombre es el código) | Categoría: Sinónimo "Bolsa" en tipo/categoría (Accesorios / Bolsa); Género: regla accesorios sin género | Homologación G1522 06/10/2026: WB Marca: «» → «Montana West» (Completado por regla) · Validación G1522: Código de barras faltante · Validador NetSuite / Odoo: V1: falta código de barras · Validador Shopify: V1: falta código de barras; WB: precio con IVA no termina en 9</t>
        </is>
      </c>
      <c r="AI1014" s="156" t="n"/>
      <c r="AJ1014" s="156" t="n"/>
      <c r="AK1014" s="155" t="inlineStr">
        <is>
          <t>Odoo: producto 27571 / plantilla 34271</t>
        </is>
      </c>
      <c r="AL1014" s="58" t="n"/>
      <c r="AM1014" s="58" t="n"/>
      <c r="AN1014" s="155" t="inlineStr">
        <is>
          <t>Odoo Universal Unique Brands</t>
        </is>
      </c>
      <c r="AO1014" s="59" t="n"/>
      <c r="AP1014" s="59" t="n"/>
      <c r="AQ1014" s="59" t="n">
        <v>1</v>
      </c>
      <c r="AR1014" s="155" t="inlineStr">
        <is>
          <t>Odoo Universal Unique Brands › Bodega 25 › Bodega 25/General: 1</t>
        </is>
      </c>
    </row>
    <row r="1015">
      <c r="A1015" s="50" t="n"/>
      <c r="B1015" s="51" t="n"/>
      <c r="C1015" s="156" t="n"/>
      <c r="D1015" s="156" t="n"/>
      <c r="E1015" s="156" t="inlineStr">
        <is>
          <t>TR192G-8322LBR</t>
        </is>
      </c>
      <c r="F1015" s="156" t="inlineStr">
        <is>
          <t>Talla única</t>
        </is>
      </c>
      <c r="G1015" s="156" t="inlineStr">
        <is>
          <t>One Size</t>
        </is>
      </c>
      <c r="H1015" s="156" t="inlineStr">
        <is>
          <t>Montana West</t>
        </is>
      </c>
      <c r="I1015" s="156" t="inlineStr">
        <is>
          <t>TR192G-8322LBR</t>
        </is>
      </c>
      <c r="J1015" s="156" t="inlineStr">
        <is>
          <t>Accesorios</t>
        </is>
      </c>
      <c r="K1015" s="156" t="inlineStr">
        <is>
          <t>Bolsos</t>
        </is>
      </c>
      <c r="L1015" s="156" t="inlineStr">
        <is>
          <t>Unisex</t>
        </is>
      </c>
      <c r="M1015" s="156" t="n"/>
      <c r="N1015" s="156" t="n"/>
      <c r="O1015" s="156" t="n"/>
      <c r="P1015" s="156" t="n"/>
      <c r="Q1015" s="156" t="n"/>
      <c r="R1015" s="156" t="n"/>
      <c r="S1015" s="156" t="n"/>
      <c r="T1015" s="156" t="n"/>
      <c r="U1015" s="156" t="n"/>
      <c r="V1015" s="156" t="inlineStr">
        <is>
          <t>PZS</t>
        </is>
      </c>
      <c r="W1015" s="51" t="inlineStr">
        <is>
          <t>53121600</t>
        </is>
      </c>
      <c r="X1015" s="156" t="n"/>
      <c r="Y1015" s="54" t="n"/>
      <c r="Z1015" s="54" t="n">
        <v>899</v>
      </c>
      <c r="AA1015" s="55">
        <f>IF(AND(A1015="", B1015="", E1015=""), "", IF(AB1015="", "Válido", IF((LEN(AB1015)-LEN(SUBSTITUTE(AB1015,"; ","")))/2+1&gt;(LEN(AB1015)-LEN(SUBSTITUTE(AB1015,"[Aviso]","")))/7, "Con Incidencias", "Válido")))</f>
        <v/>
      </c>
      <c r="AB1015" s="56">
        <f>IF(AND(A1015="", B1015="", E1015=""), "", TEXTJOIN("; ", TRUE, IF(OR(TRIM(A1015&amp;"")="", ISNUMBER(SEARCH("FALTA", A1015))), "UPC faltante/inválido", ""), IF(AND(A1015&lt;&gt;"", IFERROR(_xlfn.XMATCH(A1015,$A$2:$A$1063,0,1)&lt;&gt;_xlfn.XMATCH(A1015,$A$2:$A$1063,0,-1),FALSE)), "Código de barras duplicado", ""), IF(AND(E1015&lt;&gt;"", COUNTIF($E$2:$E$1063, E1015)&gt;1), "SKU duplicado", ""), IF(OR(J1015="", J1015=""), "[Aviso] División no capturada ()", IF(ISNA(MATCH(J1015, Criterios!$A$123:$A$126, 0)), "División no válida", "")), IF(OR(K1015="", K1015=""), "[Aviso] Categoría no capturada ()", IF(ISNA(MATCH(K1015, Criterios!$A$81:$A$120, 0)), "Categoría no válida", IF(AND(J1015&lt;&gt;"", J1015&lt;&gt;"", J1015&lt;&gt;VLOOKUP(K1015, Criterios!$A$81:$B$120, 2, FALSE)), "División no coincide con Categoría", ""))), IF(OR(L1015="", L1015=""), "[Aviso] Género no capturado ()", IF(ISNA(MATCH(L1015, Criterios!$B$123:$B$127, 0)), "Género no válido", "")), IF(OR(N1015="", N1015=""), "[Aviso] Temporada no capturada ()", IF(ISNA(MATCH(N1015, Criterios!$C$123:$C$128, 0)), "Temporada no válida", "")), IF(OR(O1015="", O1015=""), "[Aviso] Ciclo de vida no capturado ()", IF(ISNA(MATCH(O1015, Criterios!$D$123:$D$124, 0)), "Ciclo de vida no válido", ""))))</f>
        <v/>
      </c>
      <c r="AC1015" s="56" t="n"/>
      <c r="AD1015" s="51" t="n"/>
      <c r="AE1015" s="156" t="n"/>
      <c r="AF1015" s="51" t="n"/>
      <c r="AG1015" s="156" t="inlineStr">
        <is>
          <t>Nuevo – Odoo Universal Unique Brands 01/10/2026</t>
        </is>
      </c>
      <c r="AH1015" s="156" t="inlineStr">
        <is>
          <t>01/10/2026: alta desde Odoo Universal Unique Brands (no existía en Productos por código de barras ni SKU) | WB SKU tomado del nombre del artículo en la plataforma (el nombre es el código) | Categoría: Sinónimo "Bolsa" en tipo/categoría (Accesorios / Bolsa); Género: regla accesorios sin género | Homologación G1522 06/10/2026: WB Marca: «» → «Montana West» (Completado por regla) · Validación G1522: Código de barras faltante · Validador NetSuite / Odoo: V1: falta código de barras · Validador Shopify: V1: falta código de barras; WB: precio con IVA no termina en 9</t>
        </is>
      </c>
      <c r="AI1015" s="156" t="n"/>
      <c r="AJ1015" s="156" t="n"/>
      <c r="AK1015" s="155" t="inlineStr">
        <is>
          <t>Odoo: producto 27570 / plantilla 34270</t>
        </is>
      </c>
      <c r="AL1015" s="58" t="n"/>
      <c r="AM1015" s="58" t="n"/>
      <c r="AN1015" s="155" t="inlineStr">
        <is>
          <t>Odoo Universal Unique Brands</t>
        </is>
      </c>
      <c r="AO1015" s="59" t="n"/>
      <c r="AP1015" s="59" t="n"/>
      <c r="AQ1015" s="59" t="n">
        <v>1</v>
      </c>
      <c r="AR1015" s="155" t="inlineStr">
        <is>
          <t>Odoo Universal Unique Brands › Bodega 25 › Bodega 25/General: 1</t>
        </is>
      </c>
    </row>
    <row r="1016">
      <c r="A1016" s="50" t="inlineStr">
        <is>
          <t>717325207891</t>
        </is>
      </c>
      <c r="B1016" s="51" t="n"/>
      <c r="C1016" s="156" t="inlineStr">
        <is>
          <t>Montana West</t>
        </is>
      </c>
      <c r="D1016" s="156" t="n"/>
      <c r="E1016" s="156" t="inlineStr">
        <is>
          <t>MW1317-1831CF</t>
        </is>
      </c>
      <c r="F1016" s="156" t="inlineStr">
        <is>
          <t>Talla única</t>
        </is>
      </c>
      <c r="G1016" s="156" t="inlineStr">
        <is>
          <t>One Size</t>
        </is>
      </c>
      <c r="H1016" s="156" t="inlineStr">
        <is>
          <t>Montana West</t>
        </is>
      </c>
      <c r="I1016" s="156" t="inlineStr">
        <is>
          <t>MONTANA WEST bag CF</t>
        </is>
      </c>
      <c r="J1016" s="156" t="inlineStr">
        <is>
          <t>Accesorios</t>
        </is>
      </c>
      <c r="K1016" s="156" t="inlineStr">
        <is>
          <t>Bolsos</t>
        </is>
      </c>
      <c r="L1016" s="156" t="inlineStr">
        <is>
          <t>Unisex</t>
        </is>
      </c>
      <c r="M1016" s="156" t="n"/>
      <c r="N1016" s="156" t="n"/>
      <c r="O1016" s="156" t="n"/>
      <c r="P1016" s="156" t="n"/>
      <c r="Q1016" s="156" t="n"/>
      <c r="R1016" s="156" t="n"/>
      <c r="S1016" s="156" t="n"/>
      <c r="T1016" s="156" t="n"/>
      <c r="U1016" s="156" t="n"/>
      <c r="V1016" s="156" t="inlineStr">
        <is>
          <t>PZS</t>
        </is>
      </c>
      <c r="W1016" s="51" t="inlineStr">
        <is>
          <t>53121601</t>
        </is>
      </c>
      <c r="X1016" s="156" t="n"/>
      <c r="Y1016" s="54" t="n"/>
      <c r="Z1016" s="54" t="n">
        <v>499</v>
      </c>
      <c r="AA1016" s="55">
        <f>IF(AND(A1016="", B1016="", E1016=""), "", IF(AB1016="", "Válido", IF((LEN(AB1016)-LEN(SUBSTITUTE(AB1016,"; ","")))/2+1&gt;(LEN(AB1016)-LEN(SUBSTITUTE(AB1016,"[Aviso]","")))/7, "Con Incidencias", "Válido")))</f>
        <v/>
      </c>
      <c r="AB1016" s="56">
        <f>IF(AND(A1016="", B1016="", E1016=""), "", TEXTJOIN("; ", TRUE, IF(OR(TRIM(A1016&amp;"")="", ISNUMBER(SEARCH("FALTA", A1016))), "UPC faltante/inválido", ""), IF(AND(A1016&lt;&gt;"", IFERROR(_xlfn.XMATCH(A1016,$A$2:$A$1063,0,1)&lt;&gt;_xlfn.XMATCH(A1016,$A$2:$A$1063,0,-1),FALSE)), "Código de barras duplicado", ""), IF(AND(E1016&lt;&gt;"", COUNTIF($E$2:$E$1063, E1016)&gt;1), "SKU duplicado", ""), IF(OR(J1016="", J1016=""), "[Aviso] División no capturada ()", IF(ISNA(MATCH(J1016, Criterios!$A$123:$A$126, 0)), "División no válida", "")), IF(OR(K1016="", K1016=""), "[Aviso] Categoría no capturada ()", IF(ISNA(MATCH(K1016, Criterios!$A$81:$A$120, 0)), "Categoría no válida", IF(AND(J1016&lt;&gt;"", J1016&lt;&gt;"", J1016&lt;&gt;VLOOKUP(K1016, Criterios!$A$81:$B$120, 2, FALSE)), "División no coincide con Categoría", ""))), IF(OR(L1016="", L1016=""), "[Aviso] Género no capturado ()", IF(ISNA(MATCH(L1016, Criterios!$B$123:$B$127, 0)), "Género no válido", "")), IF(OR(N1016="", N1016=""), "[Aviso] Temporada no capturada ()", IF(ISNA(MATCH(N1016, Criterios!$C$123:$C$128, 0)), "Temporada no válida", "")), IF(OR(O1016="", O1016=""), "[Aviso] Ciclo de vida no capturado ()", IF(ISNA(MATCH(O1016, Criterios!$D$123:$D$124, 0)), "Ciclo de vida no válido", ""))))</f>
        <v/>
      </c>
      <c r="AC1016" s="56" t="n"/>
      <c r="AD1016" s="51" t="n"/>
      <c r="AE1016" s="156" t="n"/>
      <c r="AF1016" s="51" t="n"/>
      <c r="AG1016" s="156" t="inlineStr">
        <is>
          <t>Nuevo – Odoo Universal Unique Brands 01/10/2026</t>
        </is>
      </c>
      <c r="AH1016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Validación G1522: Falta estilo · Validador NetSuite / Odoo: V6: falta estilo · Validador Shopify: V6: falta estilo; WB: precio con IVA no termina en 9</t>
        </is>
      </c>
      <c r="AI1016" s="156" t="n"/>
      <c r="AJ1016" s="156" t="n"/>
      <c r="AK1016" s="155" t="inlineStr">
        <is>
          <t>Odoo: producto 19101 / plantilla 23454</t>
        </is>
      </c>
      <c r="AL1016" s="58" t="n"/>
      <c r="AM1016" s="58" t="n"/>
      <c r="AN1016" s="155" t="inlineStr">
        <is>
          <t>Odoo Universal Unique Brands</t>
        </is>
      </c>
      <c r="AO1016" s="59" t="n"/>
      <c r="AP1016" s="59" t="n"/>
      <c r="AQ1016" s="59" t="n">
        <v>11</v>
      </c>
      <c r="AR1016" s="155" t="inlineStr">
        <is>
          <t>Odoo Universal Unique Brands › Bodega 25 › Bodega 25/General: 11</t>
        </is>
      </c>
    </row>
    <row r="1017">
      <c r="A1017" s="50" t="n"/>
      <c r="B1017" s="51" t="n"/>
      <c r="C1017" s="156" t="inlineStr">
        <is>
          <t>Montana West</t>
        </is>
      </c>
      <c r="D1017" s="156" t="n"/>
      <c r="E1017" s="156" t="inlineStr">
        <is>
          <t>RLC-L1590AK</t>
        </is>
      </c>
      <c r="F1017" s="156" t="inlineStr">
        <is>
          <t>Talla única</t>
        </is>
      </c>
      <c r="G1017" s="156" t="inlineStr">
        <is>
          <t>One Size</t>
        </is>
      </c>
      <c r="H1017" s="156" t="inlineStr">
        <is>
          <t>Montana West</t>
        </is>
      </c>
      <c r="I1017" s="156" t="inlineStr">
        <is>
          <t>MONTANA WEST real leather bag AK</t>
        </is>
      </c>
      <c r="J1017" s="156" t="inlineStr">
        <is>
          <t>Accesorios</t>
        </is>
      </c>
      <c r="K1017" s="156" t="inlineStr">
        <is>
          <t>Bolsos</t>
        </is>
      </c>
      <c r="L1017" s="156" t="inlineStr">
        <is>
          <t>Unisex</t>
        </is>
      </c>
      <c r="M1017" s="156" t="n"/>
      <c r="N1017" s="156" t="n"/>
      <c r="O1017" s="156" t="n"/>
      <c r="P1017" s="156" t="n"/>
      <c r="Q1017" s="156" t="n"/>
      <c r="R1017" s="156" t="n"/>
      <c r="S1017" s="156" t="n"/>
      <c r="T1017" s="156" t="n"/>
      <c r="U1017" s="156" t="n"/>
      <c r="V1017" s="156" t="inlineStr">
        <is>
          <t>PZS</t>
        </is>
      </c>
      <c r="W1017" s="51" t="inlineStr">
        <is>
          <t>53121601</t>
        </is>
      </c>
      <c r="X1017" s="156" t="n"/>
      <c r="Y1017" s="54" t="n"/>
      <c r="Z1017" s="54" t="n">
        <v>649</v>
      </c>
      <c r="AA1017" s="55">
        <f>IF(AND(A1017="", B1017="", E1017=""), "", IF(AB1017="", "Válido", IF((LEN(AB1017)-LEN(SUBSTITUTE(AB1017,"; ","")))/2+1&gt;(LEN(AB1017)-LEN(SUBSTITUTE(AB1017,"[Aviso]","")))/7, "Con Incidencias", "Válido")))</f>
        <v/>
      </c>
      <c r="AB1017" s="56">
        <f>IF(AND(A1017="", B1017="", E1017=""), "", TEXTJOIN("; ", TRUE, IF(OR(TRIM(A1017&amp;"")="", ISNUMBER(SEARCH("FALTA", A1017))), "UPC faltante/inválido", ""), IF(AND(A1017&lt;&gt;"", IFERROR(_xlfn.XMATCH(A1017,$A$2:$A$1063,0,1)&lt;&gt;_xlfn.XMATCH(A1017,$A$2:$A$1063,0,-1),FALSE)), "Código de barras duplicado", ""), IF(AND(E1017&lt;&gt;"", COUNTIF($E$2:$E$1063, E1017)&gt;1), "SKU duplicado", ""), IF(OR(J1017="", J1017=""), "[Aviso] División no capturada ()", IF(ISNA(MATCH(J1017, Criterios!$A$123:$A$126, 0)), "División no válida", "")), IF(OR(K1017="", K1017=""), "[Aviso] Categoría no capturada ()", IF(ISNA(MATCH(K1017, Criterios!$A$81:$A$120, 0)), "Categoría no válida", IF(AND(J1017&lt;&gt;"", J1017&lt;&gt;"", J1017&lt;&gt;VLOOKUP(K1017, Criterios!$A$81:$B$120, 2, FALSE)), "División no coincide con Categoría", ""))), IF(OR(L1017="", L1017=""), "[Aviso] Género no capturado ()", IF(ISNA(MATCH(L1017, Criterios!$B$123:$B$127, 0)), "Género no válido", "")), IF(OR(N1017="", N1017=""), "[Aviso] Temporada no capturada ()", IF(ISNA(MATCH(N1017, Criterios!$C$123:$C$128, 0)), "Temporada no válida", "")), IF(OR(O1017="", O1017=""), "[Aviso] Ciclo de vida no capturado ()", IF(ISNA(MATCH(O1017, Criterios!$D$123:$D$124, 0)), "Ciclo de vida no válido", ""))))</f>
        <v/>
      </c>
      <c r="AC1017" s="56" t="n"/>
      <c r="AD1017" s="51" t="n"/>
      <c r="AE1017" s="156" t="n"/>
      <c r="AF1017" s="51" t="n"/>
      <c r="AG1017" s="156" t="inlineStr">
        <is>
          <t>Nuevo – Odoo Universal Unique Brands 01/10/2026</t>
        </is>
      </c>
      <c r="AH1017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Validación G1522: Código de barras faltante · Validador NetSuite / Odoo: V1: falta código de barras · Validador Shopify: V1: falta código de barras; WB: precio con IVA no termina en 9</t>
        </is>
      </c>
      <c r="AI1017" s="156" t="n"/>
      <c r="AJ1017" s="156" t="n"/>
      <c r="AK1017" s="155" t="inlineStr">
        <is>
          <t>Odoo: producto 19102 / plantilla 23455</t>
        </is>
      </c>
      <c r="AL1017" s="58" t="n"/>
      <c r="AM1017" s="58" t="n"/>
      <c r="AN1017" s="155" t="inlineStr">
        <is>
          <t>Odoo Universal Unique Brands</t>
        </is>
      </c>
      <c r="AO1017" s="59" t="n"/>
      <c r="AP1017" s="59" t="n"/>
      <c r="AQ1017" s="59" t="n">
        <v>10</v>
      </c>
      <c r="AR1017" s="155" t="inlineStr">
        <is>
          <t>Odoo Universal Unique Brands › Bodega 25 › Bodega 25/General: 10</t>
        </is>
      </c>
    </row>
    <row r="1018">
      <c r="A1018" s="50" t="inlineStr">
        <is>
          <t>717325224683</t>
        </is>
      </c>
      <c r="B1018" s="51" t="n"/>
      <c r="C1018" s="156" t="inlineStr">
        <is>
          <t>Montana West</t>
        </is>
      </c>
      <c r="D1018" s="156" t="n"/>
      <c r="E1018" s="156" t="inlineStr">
        <is>
          <t>TR192G-8322BK</t>
        </is>
      </c>
      <c r="F1018" s="156" t="inlineStr">
        <is>
          <t>Talla única</t>
        </is>
      </c>
      <c r="G1018" s="156" t="inlineStr">
        <is>
          <t>One Size</t>
        </is>
      </c>
      <c r="H1018" s="156" t="inlineStr">
        <is>
          <t>Montana West</t>
        </is>
      </c>
      <c r="I1018" s="156" t="inlineStr">
        <is>
          <t>TRINITY RANCH bag BK</t>
        </is>
      </c>
      <c r="J1018" s="156" t="inlineStr">
        <is>
          <t>Accesorios</t>
        </is>
      </c>
      <c r="K1018" s="156" t="inlineStr">
        <is>
          <t>Bolsos</t>
        </is>
      </c>
      <c r="L1018" s="156" t="inlineStr">
        <is>
          <t>Unisex</t>
        </is>
      </c>
      <c r="M1018" s="156" t="n"/>
      <c r="N1018" s="156" t="n"/>
      <c r="O1018" s="156" t="n"/>
      <c r="P1018" s="156" t="n"/>
      <c r="Q1018" s="156" t="n"/>
      <c r="R1018" s="156" t="n"/>
      <c r="S1018" s="156" t="n"/>
      <c r="T1018" s="156" t="n"/>
      <c r="U1018" s="156" t="n"/>
      <c r="V1018" s="156" t="inlineStr">
        <is>
          <t>PZS</t>
        </is>
      </c>
      <c r="W1018" s="51" t="inlineStr">
        <is>
          <t>53121601</t>
        </is>
      </c>
      <c r="X1018" s="156" t="n"/>
      <c r="Y1018" s="54" t="n">
        <v>531.3</v>
      </c>
      <c r="Z1018" s="54" t="n">
        <v>899</v>
      </c>
      <c r="AA1018" s="55">
        <f>IF(AND(A1018="", B1018="", E1018=""), "", IF(AB1018="", "Válido", IF((LEN(AB1018)-LEN(SUBSTITUTE(AB1018,"; ","")))/2+1&gt;(LEN(AB1018)-LEN(SUBSTITUTE(AB1018,"[Aviso]","")))/7, "Con Incidencias", "Válido")))</f>
        <v/>
      </c>
      <c r="AB1018" s="56">
        <f>IF(AND(A1018="", B1018="", E1018=""), "", TEXTJOIN("; ", TRUE, IF(OR(TRIM(A1018&amp;"")="", ISNUMBER(SEARCH("FALTA", A1018))), "UPC faltante/inválido", ""), IF(AND(A1018&lt;&gt;"", IFERROR(_xlfn.XMATCH(A1018,$A$2:$A$1063,0,1)&lt;&gt;_xlfn.XMATCH(A1018,$A$2:$A$1063,0,-1),FALSE)), "Código de barras duplicado", ""), IF(AND(E1018&lt;&gt;"", COUNTIF($E$2:$E$1063, E1018)&gt;1), "SKU duplicado", ""), IF(OR(J1018="", J1018=""), "[Aviso] División no capturada ()", IF(ISNA(MATCH(J1018, Criterios!$A$123:$A$126, 0)), "División no válida", "")), IF(OR(K1018="", K1018=""), "[Aviso] Categoría no capturada ()", IF(ISNA(MATCH(K1018, Criterios!$A$81:$A$120, 0)), "Categoría no válida", IF(AND(J1018&lt;&gt;"", J1018&lt;&gt;"", J1018&lt;&gt;VLOOKUP(K1018, Criterios!$A$81:$B$120, 2, FALSE)), "División no coincide con Categoría", ""))), IF(OR(L1018="", L1018=""), "[Aviso] Género no capturado ()", IF(ISNA(MATCH(L1018, Criterios!$B$123:$B$127, 0)), "Género no válido", "")), IF(OR(N1018="", N1018=""), "[Aviso] Temporada no capturada ()", IF(ISNA(MATCH(N1018, Criterios!$C$123:$C$128, 0)), "Temporada no válida", "")), IF(OR(O1018="", O1018=""), "[Aviso] Ciclo de vida no capturado ()", IF(ISNA(MATCH(O1018, Criterios!$D$123:$D$124, 0)), "Ciclo de vida no válido", ""))))</f>
        <v/>
      </c>
      <c r="AC1018" s="56" t="n"/>
      <c r="AD1018" s="51" t="n"/>
      <c r="AE1018" s="156" t="n"/>
      <c r="AF1018" s="51" t="n"/>
      <c r="AG1018" s="156" t="inlineStr">
        <is>
          <t>Nuevo – Odoo Universal Unique Brands 01/10/2026</t>
        </is>
      </c>
      <c r="AH1018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Validación G1522: Falta estilo · Validador NetSuite / Odoo: V6: falta estilo · Validador Shopify: V6: falta estilo; WB: precio con IVA no termina en 9</t>
        </is>
      </c>
      <c r="AI1018" s="156" t="n"/>
      <c r="AJ1018" s="156" t="n"/>
      <c r="AK1018" s="155" t="inlineStr">
        <is>
          <t>Odoo: producto 27207 / plantilla 33907 | Odoo: producto 19106 / plantilla 23459</t>
        </is>
      </c>
      <c r="AL1018" s="58" t="n"/>
      <c r="AM1018" s="58" t="n"/>
      <c r="AN1018" s="155" t="inlineStr">
        <is>
          <t>Odoo Universal Unique Brands</t>
        </is>
      </c>
      <c r="AO1018" s="59" t="n"/>
      <c r="AP1018" s="59" t="n"/>
      <c r="AQ1018" s="59" t="n">
        <v>2</v>
      </c>
      <c r="AR1018" s="155" t="inlineStr">
        <is>
          <t>Odoo Universal Unique Brands › Bodega 25 › Bodega 25/General: 6</t>
        </is>
      </c>
    </row>
    <row r="1019">
      <c r="A1019" s="50" t="n"/>
      <c r="B1019" s="51" t="n"/>
      <c r="C1019" s="156" t="inlineStr">
        <is>
          <t>Montana West</t>
        </is>
      </c>
      <c r="D1019" s="156" t="n"/>
      <c r="E1019" s="156" t="inlineStr">
        <is>
          <t>WG102-8120SLP-BR</t>
        </is>
      </c>
      <c r="F1019" s="156" t="inlineStr">
        <is>
          <t>Talla única</t>
        </is>
      </c>
      <c r="G1019" s="156" t="inlineStr">
        <is>
          <t>One Size</t>
        </is>
      </c>
      <c r="H1019" s="156" t="inlineStr">
        <is>
          <t>Montana West</t>
        </is>
      </c>
      <c r="I1019" s="156" t="inlineStr">
        <is>
          <t>WG BAG</t>
        </is>
      </c>
      <c r="J1019" s="156" t="inlineStr">
        <is>
          <t>Accesorios</t>
        </is>
      </c>
      <c r="K1019" s="156" t="inlineStr">
        <is>
          <t>Bolsos</t>
        </is>
      </c>
      <c r="L1019" s="156" t="inlineStr">
        <is>
          <t>Unisex</t>
        </is>
      </c>
      <c r="M1019" s="156" t="n"/>
      <c r="N1019" s="156" t="n"/>
      <c r="O1019" s="156" t="n"/>
      <c r="P1019" s="156" t="inlineStr">
        <is>
          <t>Cafe</t>
        </is>
      </c>
      <c r="Q1019" s="156" t="n"/>
      <c r="R1019" s="156" t="n"/>
      <c r="S1019" s="156" t="n"/>
      <c r="T1019" s="156" t="n"/>
      <c r="U1019" s="156" t="n"/>
      <c r="V1019" s="156" t="inlineStr">
        <is>
          <t>PZS</t>
        </is>
      </c>
      <c r="W1019" s="51" t="inlineStr">
        <is>
          <t>53121601</t>
        </is>
      </c>
      <c r="X1019" s="156" t="inlineStr">
        <is>
          <t>https://cdn.shopify.com/s/files/1/0005/9015/1741/files/WG102-8120SLP-BR_66c60b2d-2421-4e0f-89a3-2e7d951a61dc.webp?v=1787709978</t>
        </is>
      </c>
      <c r="Y1019" s="54" t="n">
        <v>483</v>
      </c>
      <c r="Z1019" s="54" t="n">
        <v>799</v>
      </c>
      <c r="AA1019" s="55">
        <f>IF(AND(A1019="", B1019="", E1019=""), "", IF(AB1019="", "Válido", IF((LEN(AB1019)-LEN(SUBSTITUTE(AB1019,"; ","")))/2+1&gt;(LEN(AB1019)-LEN(SUBSTITUTE(AB1019,"[Aviso]","")))/7, "Con Incidencias", "Válido")))</f>
        <v/>
      </c>
      <c r="AB1019" s="56">
        <f>IF(AND(A1019="", B1019="", E1019=""), "", TEXTJOIN("; ", TRUE, IF(OR(TRIM(A1019&amp;"")="", ISNUMBER(SEARCH("FALTA", A1019))), "UPC faltante/inválido", ""), IF(AND(A1019&lt;&gt;"", IFERROR(_xlfn.XMATCH(A1019,$A$2:$A$1063,0,1)&lt;&gt;_xlfn.XMATCH(A1019,$A$2:$A$1063,0,-1),FALSE)), "Código de barras duplicado", ""), IF(AND(E1019&lt;&gt;"", COUNTIF($E$2:$E$1063, E1019)&gt;1), "SKU duplicado", ""), IF(OR(J1019="", J1019=""), "[Aviso] División no capturada ()", IF(ISNA(MATCH(J1019, Criterios!$A$123:$A$126, 0)), "División no válida", "")), IF(OR(K1019="", K1019=""), "[Aviso] Categoría no capturada ()", IF(ISNA(MATCH(K1019, Criterios!$A$81:$A$120, 0)), "Categoría no válida", IF(AND(J1019&lt;&gt;"", J1019&lt;&gt;"", J1019&lt;&gt;VLOOKUP(K1019, Criterios!$A$81:$B$120, 2, FALSE)), "División no coincide con Categoría", ""))), IF(OR(L1019="", L1019=""), "[Aviso] Género no capturado ()", IF(ISNA(MATCH(L1019, Criterios!$B$123:$B$127, 0)), "Género no válido", "")), IF(OR(N1019="", N1019=""), "[Aviso] Temporada no capturada ()", IF(ISNA(MATCH(N1019, Criterios!$C$123:$C$128, 0)), "Temporada no válida", "")), IF(OR(O1019="", O1019=""), "[Aviso] Ciclo de vida no capturado ()", IF(ISNA(MATCH(O1019, Criterios!$D$123:$D$124, 0)), "Ciclo de vida no válido", ""))))</f>
        <v/>
      </c>
      <c r="AC1019" s="56" t="n"/>
      <c r="AD1019" s="51" t="n"/>
      <c r="AE1019" s="156" t="n"/>
      <c r="AF1019" s="51" t="n"/>
      <c r="AG1019" s="156" t="inlineStr">
        <is>
          <t>Nuevo – Odoo Universal Unique Brands 01/10/2026</t>
        </is>
      </c>
      <c r="AH1019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Enlace de imagen: «» → «https://cdn.shopify.com/s/files/1/0005/9015/1741/files/WG102-8120SLP-BR_66c60b2d-2421-4e0f-89a3-2e7d951a61dc.webp?v=1787709978» (Completado por investigación en línea) · WB Color: «» → «Cafe»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1019" s="156" t="n"/>
      <c r="AJ1019" s="156" t="n"/>
      <c r="AK1019" s="155" t="inlineStr">
        <is>
          <t>Odoo: producto 27213 / plantilla 33913 | Investigación en línea 06/10/2026: https://montanawestworld.com/products/wrangler-animal-print-concealed-carry-tote-bag</t>
        </is>
      </c>
      <c r="AL1019" s="58" t="n"/>
      <c r="AM1019" s="58" t="n"/>
      <c r="AN1019" s="155" t="inlineStr">
        <is>
          <t>Odoo Universal Unique Brands</t>
        </is>
      </c>
      <c r="AO1019" s="59" t="n"/>
      <c r="AP1019" s="59" t="n"/>
      <c r="AQ1019" s="59" t="n">
        <v>0</v>
      </c>
      <c r="AR1019" s="155" t="n"/>
    </row>
    <row r="1020">
      <c r="A1020" s="50" t="n"/>
      <c r="B1020" s="51" t="n"/>
      <c r="C1020" s="156" t="inlineStr">
        <is>
          <t>Montana West</t>
        </is>
      </c>
      <c r="D1020" s="156" t="n"/>
      <c r="E1020" s="156" t="inlineStr">
        <is>
          <t>WG195-W055BK</t>
        </is>
      </c>
      <c r="F1020" s="156" t="inlineStr">
        <is>
          <t>Talla única</t>
        </is>
      </c>
      <c r="G1020" s="156" t="inlineStr">
        <is>
          <t>One Size</t>
        </is>
      </c>
      <c r="H1020" s="156" t="inlineStr">
        <is>
          <t>Montana West</t>
        </is>
      </c>
      <c r="I1020" s="156" t="inlineStr">
        <is>
          <t>WG BAG</t>
        </is>
      </c>
      <c r="J1020" s="156" t="inlineStr">
        <is>
          <t>Accesorios</t>
        </is>
      </c>
      <c r="K1020" s="156" t="inlineStr">
        <is>
          <t>Carteras</t>
        </is>
      </c>
      <c r="L1020" s="156" t="inlineStr">
        <is>
          <t>Unisex</t>
        </is>
      </c>
      <c r="M1020" s="156" t="n"/>
      <c r="N1020" s="156" t="n"/>
      <c r="O1020" s="156" t="n"/>
      <c r="P1020" s="156" t="n"/>
      <c r="Q1020" s="156" t="n"/>
      <c r="R1020" s="156" t="n"/>
      <c r="S1020" s="156" t="n"/>
      <c r="T1020" s="156" t="n"/>
      <c r="U1020" s="156" t="n"/>
      <c r="V1020" s="156" t="inlineStr">
        <is>
          <t>PZS</t>
        </is>
      </c>
      <c r="W1020" s="51" t="inlineStr">
        <is>
          <t>53121601</t>
        </is>
      </c>
      <c r="X1020" s="156" t="n"/>
      <c r="Y1020" s="54" t="n">
        <v>276</v>
      </c>
      <c r="Z1020" s="54" t="n">
        <v>449</v>
      </c>
      <c r="AA1020" s="55">
        <f>IF(AND(A1020="", B1020="", E1020=""), "", IF(AB1020="", "Válido", IF((LEN(AB1020)-LEN(SUBSTITUTE(AB1020,"; ","")))/2+1&gt;(LEN(AB1020)-LEN(SUBSTITUTE(AB1020,"[Aviso]","")))/7, "Con Incidencias", "Válido")))</f>
        <v/>
      </c>
      <c r="AB1020" s="56">
        <f>IF(AND(A1020="", B1020="", E1020=""), "", TEXTJOIN("; ", TRUE, IF(OR(TRIM(A1020&amp;"")="", ISNUMBER(SEARCH("FALTA", A1020))), "UPC faltante/inválido", ""), IF(AND(A1020&lt;&gt;"", IFERROR(_xlfn.XMATCH(A1020,$A$2:$A$1063,0,1)&lt;&gt;_xlfn.XMATCH(A1020,$A$2:$A$1063,0,-1),FALSE)), "Código de barras duplicado", ""), IF(AND(E1020&lt;&gt;"", COUNTIF($E$2:$E$1063, E1020)&gt;1), "SKU duplicado", ""), IF(OR(J1020="", J1020=""), "[Aviso] División no capturada ()", IF(ISNA(MATCH(J1020, Criterios!$A$123:$A$126, 0)), "División no válida", "")), IF(OR(K1020="", K1020=""), "[Aviso] Categoría no capturada ()", IF(ISNA(MATCH(K1020, Criterios!$A$81:$A$120, 0)), "Categoría no válida", IF(AND(J1020&lt;&gt;"", J1020&lt;&gt;"", J1020&lt;&gt;VLOOKUP(K1020, Criterios!$A$81:$B$120, 2, FALSE)), "División no coincide con Categoría", ""))), IF(OR(L1020="", L1020=""), "[Aviso] Género no capturado ()", IF(ISNA(MATCH(L1020, Criterios!$B$123:$B$127, 0)), "Género no válido", "")), IF(OR(N1020="", N1020=""), "[Aviso] Temporada no capturada ()", IF(ISNA(MATCH(N1020, Criterios!$C$123:$C$128, 0)), "Temporada no válida", "")), IF(OR(O1020="", O1020=""), "[Aviso] Ciclo de vida no capturado ()", IF(ISNA(MATCH(O1020, Criterios!$D$123:$D$124, 0)), "Ciclo de vida no válido", ""))))</f>
        <v/>
      </c>
      <c r="AC1020" s="56" t="n"/>
      <c r="AD1020" s="51" t="n"/>
      <c r="AE1020" s="156" t="n"/>
      <c r="AF1020" s="51" t="n"/>
      <c r="AG1020" s="156" t="inlineStr">
        <is>
          <t>Nuevo – Odoo Universal Unique Brands 01/10/2026</t>
        </is>
      </c>
      <c r="AH1020" s="156" t="inlineStr">
        <is>
          <t>01/10/2026: alta desde Odoo Universal Unique Brands (no existía en Productos por código de barras ni SKU) | Categoría: Palabra clave "Cartera" en tipo/categoría de la fuente (Accesorios / Cartera); Género: regla accesorios sin género | Homologación G1522 06/10/2026: Validación G1522: Código de barras faltante · Validador NetSuite / Odoo: V1: falta código de barras · Validador Shopify: V1: falta código de barras; WB: precio con IVA no termina en 9</t>
        </is>
      </c>
      <c r="AI1020" s="156" t="n"/>
      <c r="AJ1020" s="156" t="n"/>
      <c r="AK1020" s="155" t="inlineStr">
        <is>
          <t>Odoo: producto 27330 / plantilla 34030</t>
        </is>
      </c>
      <c r="AL1020" s="58" t="n"/>
      <c r="AM1020" s="58" t="n"/>
      <c r="AN1020" s="155" t="inlineStr">
        <is>
          <t>Odoo Universal Unique Brands</t>
        </is>
      </c>
      <c r="AO1020" s="59" t="n"/>
      <c r="AP1020" s="59" t="n"/>
      <c r="AQ1020" s="59" t="n">
        <v>12</v>
      </c>
      <c r="AR1020" s="155" t="inlineStr">
        <is>
          <t>Odoo Universal Unique Brands › Bodega 25 › Bodega 25/General: 12</t>
        </is>
      </c>
    </row>
    <row r="1021">
      <c r="A1021" s="50" t="n"/>
      <c r="B1021" s="51" t="n"/>
      <c r="C1021" s="156" t="inlineStr">
        <is>
          <t>Montana West</t>
        </is>
      </c>
      <c r="D1021" s="156" t="n"/>
      <c r="E1021" s="156" t="inlineStr">
        <is>
          <t>WG195-W055CF</t>
        </is>
      </c>
      <c r="F1021" s="156" t="inlineStr">
        <is>
          <t>Talla única</t>
        </is>
      </c>
      <c r="G1021" s="156" t="inlineStr">
        <is>
          <t>One Size</t>
        </is>
      </c>
      <c r="H1021" s="156" t="inlineStr">
        <is>
          <t>Montana West</t>
        </is>
      </c>
      <c r="I1021" s="156" t="inlineStr">
        <is>
          <t>WG BAG</t>
        </is>
      </c>
      <c r="J1021" s="156" t="inlineStr">
        <is>
          <t>Accesorios</t>
        </is>
      </c>
      <c r="K1021" s="156" t="inlineStr">
        <is>
          <t>Carteras</t>
        </is>
      </c>
      <c r="L1021" s="156" t="inlineStr">
        <is>
          <t>Unisex</t>
        </is>
      </c>
      <c r="M1021" s="156" t="n"/>
      <c r="N1021" s="156" t="n"/>
      <c r="O1021" s="156" t="n"/>
      <c r="P1021" s="156" t="n"/>
      <c r="Q1021" s="156" t="n"/>
      <c r="R1021" s="156" t="n"/>
      <c r="S1021" s="156" t="n"/>
      <c r="T1021" s="156" t="n"/>
      <c r="U1021" s="156" t="n"/>
      <c r="V1021" s="156" t="inlineStr">
        <is>
          <t>PZS</t>
        </is>
      </c>
      <c r="W1021" s="51" t="inlineStr">
        <is>
          <t>53121601</t>
        </is>
      </c>
      <c r="X1021" s="156" t="n"/>
      <c r="Y1021" s="54" t="n">
        <v>276</v>
      </c>
      <c r="Z1021" s="54" t="n">
        <v>449</v>
      </c>
      <c r="AA1021" s="55">
        <f>IF(AND(A1021="", B1021="", E1021=""), "", IF(AB1021="", "Válido", IF((LEN(AB1021)-LEN(SUBSTITUTE(AB1021,"; ","")))/2+1&gt;(LEN(AB1021)-LEN(SUBSTITUTE(AB1021,"[Aviso]","")))/7, "Con Incidencias", "Válido")))</f>
        <v/>
      </c>
      <c r="AB1021" s="56">
        <f>IF(AND(A1021="", B1021="", E1021=""), "", TEXTJOIN("; ", TRUE, IF(OR(TRIM(A1021&amp;"")="", ISNUMBER(SEARCH("FALTA", A1021))), "UPC faltante/inválido", ""), IF(AND(A1021&lt;&gt;"", IFERROR(_xlfn.XMATCH(A1021,$A$2:$A$1063,0,1)&lt;&gt;_xlfn.XMATCH(A1021,$A$2:$A$1063,0,-1),FALSE)), "Código de barras duplicado", ""), IF(AND(E1021&lt;&gt;"", COUNTIF($E$2:$E$1063, E1021)&gt;1), "SKU duplicado", ""), IF(OR(J1021="", J1021=""), "[Aviso] División no capturada ()", IF(ISNA(MATCH(J1021, Criterios!$A$123:$A$126, 0)), "División no válida", "")), IF(OR(K1021="", K1021=""), "[Aviso] Categoría no capturada ()", IF(ISNA(MATCH(K1021, Criterios!$A$81:$A$120, 0)), "Categoría no válida", IF(AND(J1021&lt;&gt;"", J1021&lt;&gt;"", J1021&lt;&gt;VLOOKUP(K1021, Criterios!$A$81:$B$120, 2, FALSE)), "División no coincide con Categoría", ""))), IF(OR(L1021="", L1021=""), "[Aviso] Género no capturado ()", IF(ISNA(MATCH(L1021, Criterios!$B$123:$B$127, 0)), "Género no válido", "")), IF(OR(N1021="", N1021=""), "[Aviso] Temporada no capturada ()", IF(ISNA(MATCH(N1021, Criterios!$C$123:$C$128, 0)), "Temporada no válida", "")), IF(OR(O1021="", O1021=""), "[Aviso] Ciclo de vida no capturado ()", IF(ISNA(MATCH(O1021, Criterios!$D$123:$D$124, 0)), "Ciclo de vida no válido", ""))))</f>
        <v/>
      </c>
      <c r="AC1021" s="56" t="n"/>
      <c r="AD1021" s="51" t="n"/>
      <c r="AE1021" s="156" t="n"/>
      <c r="AF1021" s="51" t="n"/>
      <c r="AG1021" s="156" t="inlineStr">
        <is>
          <t>Nuevo – Odoo Universal Unique Brands 01/10/2026</t>
        </is>
      </c>
      <c r="AH1021" s="156" t="inlineStr">
        <is>
          <t>01/10/2026: alta desde Odoo Universal Unique Brands (no existía en Productos por código de barras ni SKU) | Categoría: Palabra clave "Cartera" en tipo/categoría de la fuente (Accesorios / Cartera); Género: regla accesorios sin género | Homologación G1522 06/10/2026: Validación G1522: Código de barras faltante · Validador NetSuite / Odoo: V1: falta código de barras · Validador Shopify: V1: falta código de barras; WB: precio con IVA no termina en 9</t>
        </is>
      </c>
      <c r="AI1021" s="156" t="n"/>
      <c r="AJ1021" s="156" t="n"/>
      <c r="AK1021" s="155" t="inlineStr">
        <is>
          <t>Odoo: producto 27332 / plantilla 34032</t>
        </is>
      </c>
      <c r="AL1021" s="58" t="n"/>
      <c r="AM1021" s="58" t="n"/>
      <c r="AN1021" s="155" t="inlineStr">
        <is>
          <t>Odoo Universal Unique Brands</t>
        </is>
      </c>
      <c r="AO1021" s="59" t="n"/>
      <c r="AP1021" s="59" t="n"/>
      <c r="AQ1021" s="59" t="n">
        <v>36</v>
      </c>
      <c r="AR1021" s="155" t="inlineStr">
        <is>
          <t>Odoo Universal Unique Brands › Bodega 25 › Bodega 25/General: 36</t>
        </is>
      </c>
    </row>
    <row r="1022">
      <c r="A1022" s="50" t="n"/>
      <c r="B1022" s="51" t="n"/>
      <c r="C1022" s="156" t="inlineStr">
        <is>
          <t>Montana West</t>
        </is>
      </c>
      <c r="D1022" s="156" t="n"/>
      <c r="E1022" s="156" t="inlineStr">
        <is>
          <t>WG195-W055KH</t>
        </is>
      </c>
      <c r="F1022" s="156" t="inlineStr">
        <is>
          <t>Talla única</t>
        </is>
      </c>
      <c r="G1022" s="156" t="inlineStr">
        <is>
          <t>One Size</t>
        </is>
      </c>
      <c r="H1022" s="156" t="inlineStr">
        <is>
          <t>Montana West</t>
        </is>
      </c>
      <c r="I1022" s="156" t="inlineStr">
        <is>
          <t>WG BAG</t>
        </is>
      </c>
      <c r="J1022" s="156" t="inlineStr">
        <is>
          <t>Accesorios</t>
        </is>
      </c>
      <c r="K1022" s="156" t="inlineStr">
        <is>
          <t>Carteras</t>
        </is>
      </c>
      <c r="L1022" s="156" t="inlineStr">
        <is>
          <t>Unisex</t>
        </is>
      </c>
      <c r="M1022" s="156" t="n"/>
      <c r="N1022" s="156" t="n"/>
      <c r="O1022" s="156" t="n"/>
      <c r="P1022" s="156" t="n"/>
      <c r="Q1022" s="156" t="n"/>
      <c r="R1022" s="156" t="n"/>
      <c r="S1022" s="156" t="n"/>
      <c r="T1022" s="156" t="n"/>
      <c r="U1022" s="156" t="n"/>
      <c r="V1022" s="156" t="inlineStr">
        <is>
          <t>PZS</t>
        </is>
      </c>
      <c r="W1022" s="51" t="inlineStr">
        <is>
          <t>53121601</t>
        </is>
      </c>
      <c r="X1022" s="156" t="n"/>
      <c r="Y1022" s="54" t="n">
        <v>276</v>
      </c>
      <c r="Z1022" s="54" t="n">
        <v>449</v>
      </c>
      <c r="AA1022" s="55">
        <f>IF(AND(A1022="", B1022="", E1022=""), "", IF(AB1022="", "Válido", IF((LEN(AB1022)-LEN(SUBSTITUTE(AB1022,"; ","")))/2+1&gt;(LEN(AB1022)-LEN(SUBSTITUTE(AB1022,"[Aviso]","")))/7, "Con Incidencias", "Válido")))</f>
        <v/>
      </c>
      <c r="AB1022" s="56">
        <f>IF(AND(A1022="", B1022="", E1022=""), "", TEXTJOIN("; ", TRUE, IF(OR(TRIM(A1022&amp;"")="", ISNUMBER(SEARCH("FALTA", A1022))), "UPC faltante/inválido", ""), IF(AND(A1022&lt;&gt;"", IFERROR(_xlfn.XMATCH(A1022,$A$2:$A$1063,0,1)&lt;&gt;_xlfn.XMATCH(A1022,$A$2:$A$1063,0,-1),FALSE)), "Código de barras duplicado", ""), IF(AND(E1022&lt;&gt;"", COUNTIF($E$2:$E$1063, E1022)&gt;1), "SKU duplicado", ""), IF(OR(J1022="", J1022=""), "[Aviso] División no capturada ()", IF(ISNA(MATCH(J1022, Criterios!$A$123:$A$126, 0)), "División no válida", "")), IF(OR(K1022="", K1022=""), "[Aviso] Categoría no capturada ()", IF(ISNA(MATCH(K1022, Criterios!$A$81:$A$120, 0)), "Categoría no válida", IF(AND(J1022&lt;&gt;"", J1022&lt;&gt;"", J1022&lt;&gt;VLOOKUP(K1022, Criterios!$A$81:$B$120, 2, FALSE)), "División no coincide con Categoría", ""))), IF(OR(L1022="", L1022=""), "[Aviso] Género no capturado ()", IF(ISNA(MATCH(L1022, Criterios!$B$123:$B$127, 0)), "Género no válido", "")), IF(OR(N1022="", N1022=""), "[Aviso] Temporada no capturada ()", IF(ISNA(MATCH(N1022, Criterios!$C$123:$C$128, 0)), "Temporada no válida", "")), IF(OR(O1022="", O1022=""), "[Aviso] Ciclo de vida no capturado ()", IF(ISNA(MATCH(O1022, Criterios!$D$123:$D$124, 0)), "Ciclo de vida no válido", ""))))</f>
        <v/>
      </c>
      <c r="AC1022" s="56" t="n"/>
      <c r="AD1022" s="51" t="n"/>
      <c r="AE1022" s="156" t="n"/>
      <c r="AF1022" s="51" t="n"/>
      <c r="AG1022" s="156" t="inlineStr">
        <is>
          <t>Nuevo – Odoo Universal Unique Brands 01/10/2026</t>
        </is>
      </c>
      <c r="AH1022" s="156" t="inlineStr">
        <is>
          <t>01/10/2026: alta desde Odoo Universal Unique Brands (no existía en Productos por código de barras ni SKU) | Categoría: Palabra clave "Cartera" en tipo/categoría de la fuente (Accesorios / Cartera); Género: regla accesorios sin género | Homologación G1522 06/10/2026: Validación G1522: Código de barras faltante · Validador NetSuite / Odoo: V1: falta código de barras · Validador Shopify: V1: falta código de barras; WB: precio con IVA no termina en 9</t>
        </is>
      </c>
      <c r="AI1022" s="156" t="n"/>
      <c r="AJ1022" s="156" t="n"/>
      <c r="AK1022" s="155" t="inlineStr">
        <is>
          <t>Odoo: producto 27334 / plantilla 34034</t>
        </is>
      </c>
      <c r="AL1022" s="58" t="n"/>
      <c r="AM1022" s="58" t="n"/>
      <c r="AN1022" s="155" t="inlineStr">
        <is>
          <t>Odoo Universal Unique Brands</t>
        </is>
      </c>
      <c r="AO1022" s="59" t="n"/>
      <c r="AP1022" s="59" t="n"/>
      <c r="AQ1022" s="59" t="n">
        <v>18</v>
      </c>
      <c r="AR1022" s="155" t="inlineStr">
        <is>
          <t>Odoo Universal Unique Brands › Bodega 25 › Bodega 25/General: 18</t>
        </is>
      </c>
    </row>
    <row r="1023">
      <c r="A1023" s="50" t="n"/>
      <c r="B1023" s="51" t="n"/>
      <c r="C1023" s="156" t="inlineStr">
        <is>
          <t>Montana West</t>
        </is>
      </c>
      <c r="D1023" s="156" t="n"/>
      <c r="E1023" s="156" t="inlineStr">
        <is>
          <t>WG196-W056BR</t>
        </is>
      </c>
      <c r="F1023" s="156" t="inlineStr">
        <is>
          <t>Talla única</t>
        </is>
      </c>
      <c r="G1023" s="156" t="inlineStr">
        <is>
          <t>One Size</t>
        </is>
      </c>
      <c r="H1023" s="156" t="inlineStr">
        <is>
          <t>Montana West</t>
        </is>
      </c>
      <c r="I1023" s="156" t="inlineStr">
        <is>
          <t>WG WALLET</t>
        </is>
      </c>
      <c r="J1023" s="156" t="inlineStr">
        <is>
          <t>Accesorios</t>
        </is>
      </c>
      <c r="K1023" s="156" t="inlineStr">
        <is>
          <t>Carteras</t>
        </is>
      </c>
      <c r="L1023" s="156" t="inlineStr">
        <is>
          <t>Unisex</t>
        </is>
      </c>
      <c r="M1023" s="156" t="n"/>
      <c r="N1023" s="156" t="n"/>
      <c r="O1023" s="156" t="n"/>
      <c r="P1023" s="156" t="n"/>
      <c r="Q1023" s="156" t="n"/>
      <c r="R1023" s="156" t="n"/>
      <c r="S1023" s="156" t="n"/>
      <c r="T1023" s="156" t="n"/>
      <c r="U1023" s="156" t="n"/>
      <c r="V1023" s="156" t="inlineStr">
        <is>
          <t>PZS</t>
        </is>
      </c>
      <c r="W1023" s="51" t="inlineStr">
        <is>
          <t>53121601</t>
        </is>
      </c>
      <c r="X1023" s="156" t="n"/>
      <c r="Y1023" s="54" t="n">
        <v>293.25</v>
      </c>
      <c r="Z1023" s="54" t="n">
        <v>499</v>
      </c>
      <c r="AA1023" s="55">
        <f>IF(AND(A1023="", B1023="", E1023=""), "", IF(AB1023="", "Válido", IF((LEN(AB1023)-LEN(SUBSTITUTE(AB1023,"; ","")))/2+1&gt;(LEN(AB1023)-LEN(SUBSTITUTE(AB1023,"[Aviso]","")))/7, "Con Incidencias", "Válido")))</f>
        <v/>
      </c>
      <c r="AB1023" s="56">
        <f>IF(AND(A1023="", B1023="", E1023=""), "", TEXTJOIN("; ", TRUE, IF(OR(TRIM(A1023&amp;"")="", ISNUMBER(SEARCH("FALTA", A1023))), "UPC faltante/inválido", ""), IF(AND(A1023&lt;&gt;"", IFERROR(_xlfn.XMATCH(A1023,$A$2:$A$1063,0,1)&lt;&gt;_xlfn.XMATCH(A1023,$A$2:$A$1063,0,-1),FALSE)), "Código de barras duplicado", ""), IF(AND(E1023&lt;&gt;"", COUNTIF($E$2:$E$1063, E1023)&gt;1), "SKU duplicado", ""), IF(OR(J1023="", J1023=""), "[Aviso] División no capturada ()", IF(ISNA(MATCH(J1023, Criterios!$A$123:$A$126, 0)), "División no válida", "")), IF(OR(K1023="", K1023=""), "[Aviso] Categoría no capturada ()", IF(ISNA(MATCH(K1023, Criterios!$A$81:$A$120, 0)), "Categoría no válida", IF(AND(J1023&lt;&gt;"", J1023&lt;&gt;"", J1023&lt;&gt;VLOOKUP(K1023, Criterios!$A$81:$B$120, 2, FALSE)), "División no coincide con Categoría", ""))), IF(OR(L1023="", L1023=""), "[Aviso] Género no capturado ()", IF(ISNA(MATCH(L1023, Criterios!$B$123:$B$127, 0)), "Género no válido", "")), IF(OR(N1023="", N1023=""), "[Aviso] Temporada no capturada ()", IF(ISNA(MATCH(N1023, Criterios!$C$123:$C$128, 0)), "Temporada no válida", "")), IF(OR(O1023="", O1023=""), "[Aviso] Ciclo de vida no capturado ()", IF(ISNA(MATCH(O1023, Criterios!$D$123:$D$124, 0)), "Ciclo de vida no válido", ""))))</f>
        <v/>
      </c>
      <c r="AC1023" s="56" t="n"/>
      <c r="AD1023" s="51" t="n"/>
      <c r="AE1023" s="156" t="n"/>
      <c r="AF1023" s="51" t="n"/>
      <c r="AG1023" s="156" t="inlineStr">
        <is>
          <t>Nuevo – Odoo Universal Unique Brands 01/10/2026</t>
        </is>
      </c>
      <c r="AH1023" s="156" t="inlineStr">
        <is>
          <t>01/10/2026: alta desde Odoo Universal Unique Brands (no existía en Productos por código de barras ni SKU) | Categoría: Palabra clave "Cartera" en tipo/categoría de la fuente (Accesorios / Cartera); Género: regla accesorios sin género | Homologación G1522 06/10/2026: Validación G1522: Código de barras faltante · Validador NetSuite / Odoo: V1: falta código de barras · Validador Shopify: V1: falta código de barras; WB: precio con IVA no termina en 9</t>
        </is>
      </c>
      <c r="AI1023" s="156" t="n"/>
      <c r="AJ1023" s="156" t="n"/>
      <c r="AK1023" s="155" t="inlineStr">
        <is>
          <t>Odoo: producto 27339 / plantilla 34039</t>
        </is>
      </c>
      <c r="AL1023" s="58" t="n"/>
      <c r="AM1023" s="58" t="n"/>
      <c r="AN1023" s="155" t="inlineStr">
        <is>
          <t>Odoo Universal Unique Brands</t>
        </is>
      </c>
      <c r="AO1023" s="59" t="n"/>
      <c r="AP1023" s="59" t="n"/>
      <c r="AQ1023" s="59" t="n">
        <v>18</v>
      </c>
      <c r="AR1023" s="155" t="inlineStr">
        <is>
          <t>Odoo Universal Unique Brands › Bodega 25 › Bodega 25/General: 18</t>
        </is>
      </c>
    </row>
    <row r="1024">
      <c r="A1024" s="50" t="n"/>
      <c r="B1024" s="51" t="n"/>
      <c r="C1024" s="156" t="inlineStr">
        <is>
          <t>Montana West</t>
        </is>
      </c>
      <c r="D1024" s="156" t="n"/>
      <c r="E1024" s="156" t="inlineStr">
        <is>
          <t>WG241-2022BR</t>
        </is>
      </c>
      <c r="F1024" s="156" t="inlineStr">
        <is>
          <t>Talla única</t>
        </is>
      </c>
      <c r="G1024" s="156" t="inlineStr">
        <is>
          <t>One Size</t>
        </is>
      </c>
      <c r="H1024" s="156" t="inlineStr">
        <is>
          <t>Montana West</t>
        </is>
      </c>
      <c r="I1024" s="156" t="inlineStr">
        <is>
          <t>WG BAG</t>
        </is>
      </c>
      <c r="J1024" s="156" t="inlineStr">
        <is>
          <t>Accesorios</t>
        </is>
      </c>
      <c r="K1024" s="156" t="inlineStr">
        <is>
          <t>Bolsos</t>
        </is>
      </c>
      <c r="L1024" s="156" t="inlineStr">
        <is>
          <t>Unisex</t>
        </is>
      </c>
      <c r="M1024" s="156" t="n"/>
      <c r="N1024" s="156" t="n"/>
      <c r="O1024" s="156" t="n"/>
      <c r="P1024" s="156" t="n"/>
      <c r="Q1024" s="156" t="n"/>
      <c r="R1024" s="156" t="n"/>
      <c r="S1024" s="156" t="n"/>
      <c r="T1024" s="156" t="n"/>
      <c r="U1024" s="156" t="n"/>
      <c r="V1024" s="156" t="inlineStr">
        <is>
          <t>PZS</t>
        </is>
      </c>
      <c r="W1024" s="51" t="inlineStr">
        <is>
          <t>53121601</t>
        </is>
      </c>
      <c r="X1024" s="156" t="n"/>
      <c r="Y1024" s="54" t="n">
        <v>517.5</v>
      </c>
      <c r="Z1024" s="54" t="n">
        <v>839</v>
      </c>
      <c r="AA1024" s="55">
        <f>IF(AND(A1024="", B1024="", E1024=""), "", IF(AB1024="", "Válido", IF((LEN(AB1024)-LEN(SUBSTITUTE(AB1024,"; ","")))/2+1&gt;(LEN(AB1024)-LEN(SUBSTITUTE(AB1024,"[Aviso]","")))/7, "Con Incidencias", "Válido")))</f>
        <v/>
      </c>
      <c r="AB1024" s="56">
        <f>IF(AND(A1024="", B1024="", E1024=""), "", TEXTJOIN("; ", TRUE, IF(OR(TRIM(A1024&amp;"")="", ISNUMBER(SEARCH("FALTA", A1024))), "UPC faltante/inválido", ""), IF(AND(A1024&lt;&gt;"", IFERROR(_xlfn.XMATCH(A1024,$A$2:$A$1063,0,1)&lt;&gt;_xlfn.XMATCH(A1024,$A$2:$A$1063,0,-1),FALSE)), "Código de barras duplicado", ""), IF(AND(E1024&lt;&gt;"", COUNTIF($E$2:$E$1063, E1024)&gt;1), "SKU duplicado", ""), IF(OR(J1024="", J1024=""), "[Aviso] División no capturada ()", IF(ISNA(MATCH(J1024, Criterios!$A$123:$A$126, 0)), "División no válida", "")), IF(OR(K1024="", K1024=""), "[Aviso] Categoría no capturada ()", IF(ISNA(MATCH(K1024, Criterios!$A$81:$A$120, 0)), "Categoría no válida", IF(AND(J1024&lt;&gt;"", J1024&lt;&gt;"", J1024&lt;&gt;VLOOKUP(K1024, Criterios!$A$81:$B$120, 2, FALSE)), "División no coincide con Categoría", ""))), IF(OR(L1024="", L1024=""), "[Aviso] Género no capturado ()", IF(ISNA(MATCH(L1024, Criterios!$B$123:$B$127, 0)), "Género no válido", "")), IF(OR(N1024="", N1024=""), "[Aviso] Temporada no capturada ()", IF(ISNA(MATCH(N1024, Criterios!$C$123:$C$128, 0)), "Temporada no válida", "")), IF(OR(O1024="", O1024=""), "[Aviso] Ciclo de vida no capturado ()", IF(ISNA(MATCH(O1024, Criterios!$D$123:$D$124, 0)), "Ciclo de vida no válido", ""))))</f>
        <v/>
      </c>
      <c r="AC1024" s="56" t="n"/>
      <c r="AD1024" s="51" t="n"/>
      <c r="AE1024" s="156" t="n"/>
      <c r="AF1024" s="51" t="n"/>
      <c r="AG1024" s="156" t="inlineStr">
        <is>
          <t>Nuevo – Odoo Universal Unique Brands 01/10/2026</t>
        </is>
      </c>
      <c r="AH1024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Validación G1522: Código de barras faltante · Validador NetSuite / Odoo: V1: falta código de barras · Validador Shopify: V1: falta código de barras; WB: precio con IVA no termina en 9</t>
        </is>
      </c>
      <c r="AI1024" s="156" t="n"/>
      <c r="AJ1024" s="156" t="n"/>
      <c r="AK1024" s="155" t="inlineStr">
        <is>
          <t>Odoo: producto 27461 / plantilla 34161</t>
        </is>
      </c>
      <c r="AL1024" s="58" t="n"/>
      <c r="AM1024" s="58" t="n"/>
      <c r="AN1024" s="155" t="inlineStr">
        <is>
          <t>Odoo Universal Unique Brands</t>
        </is>
      </c>
      <c r="AO1024" s="59" t="n"/>
      <c r="AP1024" s="59" t="n"/>
      <c r="AQ1024" s="59" t="n">
        <v>21</v>
      </c>
      <c r="AR1024" s="155" t="inlineStr">
        <is>
          <t>Odoo Universal Unique Brands › Bodega 25 › Bodega 25/General: 21</t>
        </is>
      </c>
    </row>
    <row r="1025">
      <c r="A1025" s="50" t="n"/>
      <c r="B1025" s="51" t="n"/>
      <c r="C1025" s="156" t="inlineStr">
        <is>
          <t>Montana West</t>
        </is>
      </c>
      <c r="D1025" s="156" t="n"/>
      <c r="E1025" s="156" t="inlineStr">
        <is>
          <t>WG331-2005PK</t>
        </is>
      </c>
      <c r="F1025" s="156" t="inlineStr">
        <is>
          <t>Talla única</t>
        </is>
      </c>
      <c r="G1025" s="156" t="inlineStr">
        <is>
          <t>One Size</t>
        </is>
      </c>
      <c r="H1025" s="156" t="inlineStr">
        <is>
          <t>Montana West</t>
        </is>
      </c>
      <c r="I1025" s="156" t="inlineStr">
        <is>
          <t>WG BAG</t>
        </is>
      </c>
      <c r="J1025" s="156" t="inlineStr">
        <is>
          <t>Accesorios</t>
        </is>
      </c>
      <c r="K1025" s="156" t="inlineStr">
        <is>
          <t>Bolsos</t>
        </is>
      </c>
      <c r="L1025" s="156" t="inlineStr">
        <is>
          <t>Unisex</t>
        </is>
      </c>
      <c r="M1025" s="156" t="n"/>
      <c r="N1025" s="156" t="n"/>
      <c r="O1025" s="156" t="n"/>
      <c r="P1025" s="156" t="inlineStr">
        <is>
          <t>Rosa</t>
        </is>
      </c>
      <c r="Q1025" s="156" t="n"/>
      <c r="R1025" s="156" t="n"/>
      <c r="S1025" s="156" t="n"/>
      <c r="T1025" s="156" t="n"/>
      <c r="U1025" s="156" t="n"/>
      <c r="V1025" s="156" t="inlineStr">
        <is>
          <t>PZS</t>
        </is>
      </c>
      <c r="W1025" s="51" t="inlineStr">
        <is>
          <t>53121601</t>
        </is>
      </c>
      <c r="X1025" s="156" t="inlineStr">
        <is>
          <t>https://cdn.shopify.com/s/files/1/0005/9015/1741/files/WG331-2005PK_5.webp?v=1769668611</t>
        </is>
      </c>
      <c r="Y1025" s="54" t="n">
        <v>450.8</v>
      </c>
      <c r="Z1025" s="54" t="n">
        <v>749</v>
      </c>
      <c r="AA1025" s="55">
        <f>IF(AND(A1025="", B1025="", E1025=""), "", IF(AB1025="", "Válido", IF((LEN(AB1025)-LEN(SUBSTITUTE(AB1025,"; ","")))/2+1&gt;(LEN(AB1025)-LEN(SUBSTITUTE(AB1025,"[Aviso]","")))/7, "Con Incidencias", "Válido")))</f>
        <v/>
      </c>
      <c r="AB1025" s="56">
        <f>IF(AND(A1025="", B1025="", E1025=""), "", TEXTJOIN("; ", TRUE, IF(OR(TRIM(A1025&amp;"")="", ISNUMBER(SEARCH("FALTA", A1025))), "UPC faltante/inválido", ""), IF(AND(A1025&lt;&gt;"", IFERROR(_xlfn.XMATCH(A1025,$A$2:$A$1063,0,1)&lt;&gt;_xlfn.XMATCH(A1025,$A$2:$A$1063,0,-1),FALSE)), "Código de barras duplicado", ""), IF(AND(E1025&lt;&gt;"", COUNTIF($E$2:$E$1063, E1025)&gt;1), "SKU duplicado", ""), IF(OR(J1025="", J1025=""), "[Aviso] División no capturada ()", IF(ISNA(MATCH(J1025, Criterios!$A$123:$A$126, 0)), "División no válida", "")), IF(OR(K1025="", K1025=""), "[Aviso] Categoría no capturada ()", IF(ISNA(MATCH(K1025, Criterios!$A$81:$A$120, 0)), "Categoría no válida", IF(AND(J1025&lt;&gt;"", J1025&lt;&gt;"", J1025&lt;&gt;VLOOKUP(K1025, Criterios!$A$81:$B$120, 2, FALSE)), "División no coincide con Categoría", ""))), IF(OR(L1025="", L1025=""), "[Aviso] Género no capturado ()", IF(ISNA(MATCH(L1025, Criterios!$B$123:$B$127, 0)), "Género no válido", "")), IF(OR(N1025="", N1025=""), "[Aviso] Temporada no capturada ()", IF(ISNA(MATCH(N1025, Criterios!$C$123:$C$128, 0)), "Temporada no válida", "")), IF(OR(O1025="", O1025=""), "[Aviso] Ciclo de vida no capturado ()", IF(ISNA(MATCH(O1025, Criterios!$D$123:$D$124, 0)), "Ciclo de vida no válido", ""))))</f>
        <v/>
      </c>
      <c r="AC1025" s="56" t="n"/>
      <c r="AD1025" s="51" t="n"/>
      <c r="AE1025" s="156" t="n"/>
      <c r="AF1025" s="51" t="n"/>
      <c r="AG1025" s="156" t="inlineStr">
        <is>
          <t>Nuevo – Odoo Universal Unique Brands 01/10/2026</t>
        </is>
      </c>
      <c r="AH1025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Enlace de imagen: «» → «https://cdn.shopify.com/s/files/1/0005/9015/1741/files/WG331-2005PK_5.webp?v=1769668611» (Completado por investigación en línea) · WB Color: «» → «Rosa»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1025" s="156" t="n"/>
      <c r="AJ1025" s="156" t="n"/>
      <c r="AK1025" s="155" t="inlineStr">
        <is>
          <t>Odoo: producto 27483 / plantilla 34183 | Investigación en línea 06/10/2026: https://montanawestworld.com/products/wrangler-braided-desert-paisley-handbag-1</t>
        </is>
      </c>
      <c r="AL1025" s="58" t="n"/>
      <c r="AM1025" s="58" t="n"/>
      <c r="AN1025" s="155" t="inlineStr">
        <is>
          <t>Odoo Universal Unique Brands</t>
        </is>
      </c>
      <c r="AO1025" s="59" t="n"/>
      <c r="AP1025" s="59" t="n"/>
      <c r="AQ1025" s="59" t="n">
        <v>-8</v>
      </c>
      <c r="AR1025" s="155" t="n"/>
    </row>
    <row r="1026">
      <c r="A1026" s="50" t="n"/>
      <c r="B1026" s="51" t="n"/>
      <c r="C1026" s="156" t="inlineStr">
        <is>
          <t>Montana West</t>
        </is>
      </c>
      <c r="D1026" s="156" t="n"/>
      <c r="E1026" s="156" t="inlineStr">
        <is>
          <t>WG331-2005YL</t>
        </is>
      </c>
      <c r="F1026" s="156" t="inlineStr">
        <is>
          <t>Talla única</t>
        </is>
      </c>
      <c r="G1026" s="156" t="inlineStr">
        <is>
          <t>One Size</t>
        </is>
      </c>
      <c r="H1026" s="156" t="inlineStr">
        <is>
          <t>Montana West</t>
        </is>
      </c>
      <c r="I1026" s="156" t="inlineStr">
        <is>
          <t>WG BAG</t>
        </is>
      </c>
      <c r="J1026" s="156" t="inlineStr">
        <is>
          <t>Accesorios</t>
        </is>
      </c>
      <c r="K1026" s="156" t="inlineStr">
        <is>
          <t>Bolsos</t>
        </is>
      </c>
      <c r="L1026" s="156" t="inlineStr">
        <is>
          <t>Unisex</t>
        </is>
      </c>
      <c r="M1026" s="156" t="n"/>
      <c r="N1026" s="156" t="n"/>
      <c r="O1026" s="156" t="n"/>
      <c r="P1026" s="156" t="inlineStr">
        <is>
          <t>Amarillo</t>
        </is>
      </c>
      <c r="Q1026" s="156" t="n"/>
      <c r="R1026" s="156" t="n"/>
      <c r="S1026" s="156" t="n"/>
      <c r="T1026" s="156" t="n"/>
      <c r="U1026" s="156" t="n"/>
      <c r="V1026" s="156" t="inlineStr">
        <is>
          <t>PZS</t>
        </is>
      </c>
      <c r="W1026" s="51" t="inlineStr">
        <is>
          <t>53121601</t>
        </is>
      </c>
      <c r="X1026" s="156" t="inlineStr">
        <is>
          <t>https://cdn.shopify.com/s/files/1/0005/9015/1741/files/WG331-2005YL_5.webp?v=1769668611</t>
        </is>
      </c>
      <c r="Y1026" s="54" t="n">
        <v>450.8</v>
      </c>
      <c r="Z1026" s="54" t="n">
        <v>749</v>
      </c>
      <c r="AA1026" s="55">
        <f>IF(AND(A1026="", B1026="", E1026=""), "", IF(AB1026="", "Válido", IF((LEN(AB1026)-LEN(SUBSTITUTE(AB1026,"; ","")))/2+1&gt;(LEN(AB1026)-LEN(SUBSTITUTE(AB1026,"[Aviso]","")))/7, "Con Incidencias", "Válido")))</f>
        <v/>
      </c>
      <c r="AB1026" s="56">
        <f>IF(AND(A1026="", B1026="", E1026=""), "", TEXTJOIN("; ", TRUE, IF(OR(TRIM(A1026&amp;"")="", ISNUMBER(SEARCH("FALTA", A1026))), "UPC faltante/inválido", ""), IF(AND(A1026&lt;&gt;"", IFERROR(_xlfn.XMATCH(A1026,$A$2:$A$1063,0,1)&lt;&gt;_xlfn.XMATCH(A1026,$A$2:$A$1063,0,-1),FALSE)), "Código de barras duplicado", ""), IF(AND(E1026&lt;&gt;"", COUNTIF($E$2:$E$1063, E1026)&gt;1), "SKU duplicado", ""), IF(OR(J1026="", J1026=""), "[Aviso] División no capturada ()", IF(ISNA(MATCH(J1026, Criterios!$A$123:$A$126, 0)), "División no válida", "")), IF(OR(K1026="", K1026=""), "[Aviso] Categoría no capturada ()", IF(ISNA(MATCH(K1026, Criterios!$A$81:$A$120, 0)), "Categoría no válida", IF(AND(J1026&lt;&gt;"", J1026&lt;&gt;"", J1026&lt;&gt;VLOOKUP(K1026, Criterios!$A$81:$B$120, 2, FALSE)), "División no coincide con Categoría", ""))), IF(OR(L1026="", L1026=""), "[Aviso] Género no capturado ()", IF(ISNA(MATCH(L1026, Criterios!$B$123:$B$127, 0)), "Género no válido", "")), IF(OR(N1026="", N1026=""), "[Aviso] Temporada no capturada ()", IF(ISNA(MATCH(N1026, Criterios!$C$123:$C$128, 0)), "Temporada no válida", "")), IF(OR(O1026="", O1026=""), "[Aviso] Ciclo de vida no capturado ()", IF(ISNA(MATCH(O1026, Criterios!$D$123:$D$124, 0)), "Ciclo de vida no válido", ""))))</f>
        <v/>
      </c>
      <c r="AC1026" s="56" t="n"/>
      <c r="AD1026" s="51" t="n"/>
      <c r="AE1026" s="156" t="n"/>
      <c r="AF1026" s="51" t="n"/>
      <c r="AG1026" s="156" t="inlineStr">
        <is>
          <t>Nuevo – Odoo Universal Unique Brands 01/10/2026</t>
        </is>
      </c>
      <c r="AH1026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Enlace de imagen: «» → «https://cdn.shopify.com/s/files/1/0005/9015/1741/files/WG331-2005YL_5.webp?v=1769668611» (Completado por investigación en línea) · WB Color: «» → «Amarillo»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1026" s="156" t="n"/>
      <c r="AJ1026" s="156" t="n"/>
      <c r="AK1026" s="155" t="inlineStr">
        <is>
          <t>Odoo: producto 27486 / plantilla 34186 | Investigación en línea 06/10/2026: https://montanawestworld.com/products/wrangler-braided-desert-paisley-handbag-1</t>
        </is>
      </c>
      <c r="AL1026" s="58" t="n"/>
      <c r="AM1026" s="58" t="n"/>
      <c r="AN1026" s="155" t="inlineStr">
        <is>
          <t>Odoo Universal Unique Brands</t>
        </is>
      </c>
      <c r="AO1026" s="59" t="n"/>
      <c r="AP1026" s="59" t="n"/>
      <c r="AQ1026" s="59" t="n">
        <v>11</v>
      </c>
      <c r="AR1026" s="155" t="inlineStr">
        <is>
          <t>Odoo Universal Unique Brands › Bodega 25 › Bodega 25/General: 11</t>
        </is>
      </c>
    </row>
    <row r="1027">
      <c r="A1027" s="50" t="n"/>
      <c r="B1027" s="51" t="n"/>
      <c r="C1027" s="156" t="inlineStr">
        <is>
          <t>Montana West</t>
        </is>
      </c>
      <c r="D1027" s="156" t="n"/>
      <c r="E1027" s="156" t="inlineStr">
        <is>
          <t>WG337-2003BK</t>
        </is>
      </c>
      <c r="F1027" s="156" t="inlineStr">
        <is>
          <t>Talla única</t>
        </is>
      </c>
      <c r="G1027" s="156" t="inlineStr">
        <is>
          <t>One Size</t>
        </is>
      </c>
      <c r="H1027" s="156" t="inlineStr">
        <is>
          <t>Montana West</t>
        </is>
      </c>
      <c r="I1027" s="156" t="inlineStr">
        <is>
          <t>WG BAG</t>
        </is>
      </c>
      <c r="J1027" s="156" t="inlineStr">
        <is>
          <t>Accesorios</t>
        </is>
      </c>
      <c r="K1027" s="156" t="inlineStr">
        <is>
          <t>Bolsos</t>
        </is>
      </c>
      <c r="L1027" s="156" t="inlineStr">
        <is>
          <t>Unisex</t>
        </is>
      </c>
      <c r="M1027" s="156" t="n"/>
      <c r="N1027" s="156" t="n"/>
      <c r="O1027" s="156" t="n"/>
      <c r="P1027" s="156" t="inlineStr">
        <is>
          <t>Negro</t>
        </is>
      </c>
      <c r="Q1027" s="156" t="n"/>
      <c r="R1027" s="156" t="n"/>
      <c r="S1027" s="156" t="n"/>
      <c r="T1027" s="156" t="n"/>
      <c r="U1027" s="156" t="n"/>
      <c r="V1027" s="156" t="inlineStr">
        <is>
          <t>PZS</t>
        </is>
      </c>
      <c r="W1027" s="51" t="inlineStr">
        <is>
          <t>53121601</t>
        </is>
      </c>
      <c r="X1027" s="156" t="inlineStr">
        <is>
          <t>https://cdn.shopify.com/s/files/1/0005/9015/1741/files/WG337-2003BK4.webp?v=1766048594</t>
        </is>
      </c>
      <c r="Y1027" s="54" t="n">
        <v>370.3</v>
      </c>
      <c r="Z1027" s="54" t="n">
        <v>599</v>
      </c>
      <c r="AA1027" s="55">
        <f>IF(AND(A1027="", B1027="", E1027=""), "", IF(AB1027="", "Válido", IF((LEN(AB1027)-LEN(SUBSTITUTE(AB1027,"; ","")))/2+1&gt;(LEN(AB1027)-LEN(SUBSTITUTE(AB1027,"[Aviso]","")))/7, "Con Incidencias", "Válido")))</f>
        <v/>
      </c>
      <c r="AB1027" s="56">
        <f>IF(AND(A1027="", B1027="", E1027=""), "", TEXTJOIN("; ", TRUE, IF(OR(TRIM(A1027&amp;"")="", ISNUMBER(SEARCH("FALTA", A1027))), "UPC faltante/inválido", ""), IF(AND(A1027&lt;&gt;"", IFERROR(_xlfn.XMATCH(A1027,$A$2:$A$1063,0,1)&lt;&gt;_xlfn.XMATCH(A1027,$A$2:$A$1063,0,-1),FALSE)), "Código de barras duplicado", ""), IF(AND(E1027&lt;&gt;"", COUNTIF($E$2:$E$1063, E1027)&gt;1), "SKU duplicado", ""), IF(OR(J1027="", J1027=""), "[Aviso] División no capturada ()", IF(ISNA(MATCH(J1027, Criterios!$A$123:$A$126, 0)), "División no válida", "")), IF(OR(K1027="", K1027=""), "[Aviso] Categoría no capturada ()", IF(ISNA(MATCH(K1027, Criterios!$A$81:$A$120, 0)), "Categoría no válida", IF(AND(J1027&lt;&gt;"", J1027&lt;&gt;"", J1027&lt;&gt;VLOOKUP(K1027, Criterios!$A$81:$B$120, 2, FALSE)), "División no coincide con Categoría", ""))), IF(OR(L1027="", L1027=""), "[Aviso] Género no capturado ()", IF(ISNA(MATCH(L1027, Criterios!$B$123:$B$127, 0)), "Género no válido", "")), IF(OR(N1027="", N1027=""), "[Aviso] Temporada no capturada ()", IF(ISNA(MATCH(N1027, Criterios!$C$123:$C$128, 0)), "Temporada no válida", "")), IF(OR(O1027="", O1027=""), "[Aviso] Ciclo de vida no capturado ()", IF(ISNA(MATCH(O1027, Criterios!$D$123:$D$124, 0)), "Ciclo de vida no válido", ""))))</f>
        <v/>
      </c>
      <c r="AC1027" s="56" t="n"/>
      <c r="AD1027" s="51" t="n"/>
      <c r="AE1027" s="156" t="n"/>
      <c r="AF1027" s="51" t="n"/>
      <c r="AG1027" s="156" t="inlineStr">
        <is>
          <t>Nuevo – Odoo Universal Unique Brands 01/10/2026</t>
        </is>
      </c>
      <c r="AH1027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Enlace de imagen: «» → «https://cdn.shopify.com/s/files/1/0005/9015/1741/files/WG337-2003BK4.webp?v=1766048594» (Completado por investigación en línea) · WB Color: «» → «Negro»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1027" s="156" t="n"/>
      <c r="AJ1027" s="156" t="n"/>
      <c r="AK1027" s="155" t="inlineStr">
        <is>
          <t>Odoo: producto 27499 / plantilla 34199 | Investigación en línea 06/10/2026: https://montanawestworld.com/products/wrangler-western-embroidered-tote-bag</t>
        </is>
      </c>
      <c r="AL1027" s="58" t="n"/>
      <c r="AM1027" s="58" t="n"/>
      <c r="AN1027" s="155" t="inlineStr">
        <is>
          <t>Odoo Universal Unique Brands</t>
        </is>
      </c>
      <c r="AO1027" s="59" t="n"/>
      <c r="AP1027" s="59" t="n"/>
      <c r="AQ1027" s="59" t="n">
        <v>1</v>
      </c>
      <c r="AR1027" s="155" t="inlineStr">
        <is>
          <t>Odoo Universal Unique Brands › Bodega 25 › Bodega 25/General: 1</t>
        </is>
      </c>
    </row>
    <row r="1028">
      <c r="A1028" s="50" t="n"/>
      <c r="B1028" s="51" t="n"/>
      <c r="C1028" s="156" t="inlineStr">
        <is>
          <t>Montana West</t>
        </is>
      </c>
      <c r="D1028" s="156" t="n"/>
      <c r="E1028" s="156" t="inlineStr">
        <is>
          <t>WG337-2003BR</t>
        </is>
      </c>
      <c r="F1028" s="156" t="inlineStr">
        <is>
          <t>Talla única</t>
        </is>
      </c>
      <c r="G1028" s="156" t="inlineStr">
        <is>
          <t>One Size</t>
        </is>
      </c>
      <c r="H1028" s="156" t="inlineStr">
        <is>
          <t>Montana West</t>
        </is>
      </c>
      <c r="I1028" s="156" t="inlineStr">
        <is>
          <t>WG BAG</t>
        </is>
      </c>
      <c r="J1028" s="156" t="inlineStr">
        <is>
          <t>Accesorios</t>
        </is>
      </c>
      <c r="K1028" s="156" t="inlineStr">
        <is>
          <t>Bolsos</t>
        </is>
      </c>
      <c r="L1028" s="156" t="inlineStr">
        <is>
          <t>Unisex</t>
        </is>
      </c>
      <c r="M1028" s="156" t="n"/>
      <c r="N1028" s="156" t="n"/>
      <c r="O1028" s="156" t="n"/>
      <c r="P1028" s="156" t="inlineStr">
        <is>
          <t>Cafe</t>
        </is>
      </c>
      <c r="Q1028" s="156" t="n"/>
      <c r="R1028" s="156" t="n"/>
      <c r="S1028" s="156" t="n"/>
      <c r="T1028" s="156" t="n"/>
      <c r="U1028" s="156" t="n"/>
      <c r="V1028" s="156" t="inlineStr">
        <is>
          <t>PZS</t>
        </is>
      </c>
      <c r="W1028" s="51" t="inlineStr">
        <is>
          <t>53121601</t>
        </is>
      </c>
      <c r="X1028" s="156" t="inlineStr">
        <is>
          <t>https://cdn.shopify.com/s/files/1/0005/9015/1741/files/WG337-2003BR5.webp?v=1766048594</t>
        </is>
      </c>
      <c r="Y1028" s="54" t="n">
        <v>370.3</v>
      </c>
      <c r="Z1028" s="54" t="n">
        <v>599</v>
      </c>
      <c r="AA1028" s="55">
        <f>IF(AND(A1028="", B1028="", E1028=""), "", IF(AB1028="", "Válido", IF((LEN(AB1028)-LEN(SUBSTITUTE(AB1028,"; ","")))/2+1&gt;(LEN(AB1028)-LEN(SUBSTITUTE(AB1028,"[Aviso]","")))/7, "Con Incidencias", "Válido")))</f>
        <v/>
      </c>
      <c r="AB1028" s="56">
        <f>IF(AND(A1028="", B1028="", E1028=""), "", TEXTJOIN("; ", TRUE, IF(OR(TRIM(A1028&amp;"")="", ISNUMBER(SEARCH("FALTA", A1028))), "UPC faltante/inválido", ""), IF(AND(A1028&lt;&gt;"", IFERROR(_xlfn.XMATCH(A1028,$A$2:$A$1063,0,1)&lt;&gt;_xlfn.XMATCH(A1028,$A$2:$A$1063,0,-1),FALSE)), "Código de barras duplicado", ""), IF(AND(E1028&lt;&gt;"", COUNTIF($E$2:$E$1063, E1028)&gt;1), "SKU duplicado", ""), IF(OR(J1028="", J1028=""), "[Aviso] División no capturada ()", IF(ISNA(MATCH(J1028, Criterios!$A$123:$A$126, 0)), "División no válida", "")), IF(OR(K1028="", K1028=""), "[Aviso] Categoría no capturada ()", IF(ISNA(MATCH(K1028, Criterios!$A$81:$A$120, 0)), "Categoría no válida", IF(AND(J1028&lt;&gt;"", J1028&lt;&gt;"", J1028&lt;&gt;VLOOKUP(K1028, Criterios!$A$81:$B$120, 2, FALSE)), "División no coincide con Categoría", ""))), IF(OR(L1028="", L1028=""), "[Aviso] Género no capturado ()", IF(ISNA(MATCH(L1028, Criterios!$B$123:$B$127, 0)), "Género no válido", "")), IF(OR(N1028="", N1028=""), "[Aviso] Temporada no capturada ()", IF(ISNA(MATCH(N1028, Criterios!$C$123:$C$128, 0)), "Temporada no válida", "")), IF(OR(O1028="", O1028=""), "[Aviso] Ciclo de vida no capturado ()", IF(ISNA(MATCH(O1028, Criterios!$D$123:$D$124, 0)), "Ciclo de vida no válido", ""))))</f>
        <v/>
      </c>
      <c r="AC1028" s="56" t="n"/>
      <c r="AD1028" s="51" t="n"/>
      <c r="AE1028" s="156" t="n"/>
      <c r="AF1028" s="51" t="n"/>
      <c r="AG1028" s="156" t="inlineStr">
        <is>
          <t>Nuevo – Odoo Universal Unique Brands 01/10/2026</t>
        </is>
      </c>
      <c r="AH1028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Enlace de imagen: «» → «https://cdn.shopify.com/s/files/1/0005/9015/1741/files/WG337-2003BR5.webp?v=1766048594» (Completado por investigación en línea) · WB Color: «» → «Cafe» (Completado por investigación en línea) · Validación G1522: Código de barras faltante · Validador NetSuite / Odoo: V1: falta código de barras · Validador Shopify: V1: falta código de barras; WB: precio con IVA no termina en 9</t>
        </is>
      </c>
      <c r="AI1028" s="156" t="n"/>
      <c r="AJ1028" s="156" t="n"/>
      <c r="AK1028" s="155" t="inlineStr">
        <is>
          <t>Odoo: producto 27500 / plantilla 34200 | Investigación en línea 06/10/2026: https://montanawestworld.com/products/wrangler-western-embroidered-tote-bag</t>
        </is>
      </c>
      <c r="AL1028" s="58" t="n"/>
      <c r="AM1028" s="58" t="n"/>
      <c r="AN1028" s="155" t="inlineStr">
        <is>
          <t>Odoo Universal Unique Brands</t>
        </is>
      </c>
      <c r="AO1028" s="59" t="n"/>
      <c r="AP1028" s="59" t="n"/>
      <c r="AQ1028" s="59" t="n">
        <v>1</v>
      </c>
      <c r="AR1028" s="155" t="inlineStr">
        <is>
          <t>Odoo Universal Unique Brands › Bodega 25 › Bodega 25/General: 1</t>
        </is>
      </c>
    </row>
    <row r="1029">
      <c r="A1029" s="50" t="n"/>
      <c r="B1029" s="51" t="n"/>
      <c r="C1029" s="156" t="inlineStr">
        <is>
          <t>Montana West</t>
        </is>
      </c>
      <c r="D1029" s="156" t="n"/>
      <c r="E1029" s="156" t="inlineStr">
        <is>
          <t>WG389-8119CF</t>
        </is>
      </c>
      <c r="F1029" s="156" t="inlineStr">
        <is>
          <t>Talla única</t>
        </is>
      </c>
      <c r="G1029" s="156" t="inlineStr">
        <is>
          <t>One Size</t>
        </is>
      </c>
      <c r="H1029" s="156" t="inlineStr">
        <is>
          <t>Montana West</t>
        </is>
      </c>
      <c r="I1029" s="156" t="inlineStr">
        <is>
          <t>WG BAG</t>
        </is>
      </c>
      <c r="J1029" s="156" t="inlineStr">
        <is>
          <t>Accesorios</t>
        </is>
      </c>
      <c r="K1029" s="156" t="inlineStr">
        <is>
          <t>Bolsos</t>
        </is>
      </c>
      <c r="L1029" s="156" t="inlineStr">
        <is>
          <t>Unisex</t>
        </is>
      </c>
      <c r="M1029" s="156" t="n"/>
      <c r="N1029" s="156" t="n"/>
      <c r="O1029" s="156" t="n"/>
      <c r="P1029" s="156" t="n"/>
      <c r="Q1029" s="156" t="n"/>
      <c r="R1029" s="156" t="n"/>
      <c r="S1029" s="156" t="n"/>
      <c r="T1029" s="156" t="n"/>
      <c r="U1029" s="156" t="n"/>
      <c r="V1029" s="156" t="inlineStr">
        <is>
          <t>PZS</t>
        </is>
      </c>
      <c r="W1029" s="51" t="inlineStr">
        <is>
          <t>53121601</t>
        </is>
      </c>
      <c r="X1029" s="156" t="n"/>
      <c r="Y1029" s="54" t="n">
        <v>515.2</v>
      </c>
      <c r="Z1029" s="54" t="n">
        <v>849</v>
      </c>
      <c r="AA1029" s="55">
        <f>IF(AND(A1029="", B1029="", E1029=""), "", IF(AB1029="", "Válido", IF((LEN(AB1029)-LEN(SUBSTITUTE(AB1029,"; ","")))/2+1&gt;(LEN(AB1029)-LEN(SUBSTITUTE(AB1029,"[Aviso]","")))/7, "Con Incidencias", "Válido")))</f>
        <v/>
      </c>
      <c r="AB1029" s="56">
        <f>IF(AND(A1029="", B1029="", E1029=""), "", TEXTJOIN("; ", TRUE, IF(OR(TRIM(A1029&amp;"")="", ISNUMBER(SEARCH("FALTA", A1029))), "UPC faltante/inválido", ""), IF(AND(A1029&lt;&gt;"", IFERROR(_xlfn.XMATCH(A1029,$A$2:$A$1063,0,1)&lt;&gt;_xlfn.XMATCH(A1029,$A$2:$A$1063,0,-1),FALSE)), "Código de barras duplicado", ""), IF(AND(E1029&lt;&gt;"", COUNTIF($E$2:$E$1063, E1029)&gt;1), "SKU duplicado", ""), IF(OR(J1029="", J1029=""), "[Aviso] División no capturada ()", IF(ISNA(MATCH(J1029, Criterios!$A$123:$A$126, 0)), "División no válida", "")), IF(OR(K1029="", K1029=""), "[Aviso] Categoría no capturada ()", IF(ISNA(MATCH(K1029, Criterios!$A$81:$A$120, 0)), "Categoría no válida", IF(AND(J1029&lt;&gt;"", J1029&lt;&gt;"", J1029&lt;&gt;VLOOKUP(K1029, Criterios!$A$81:$B$120, 2, FALSE)), "División no coincide con Categoría", ""))), IF(OR(L1029="", L1029=""), "[Aviso] Género no capturado ()", IF(ISNA(MATCH(L1029, Criterios!$B$123:$B$127, 0)), "Género no válido", "")), IF(OR(N1029="", N1029=""), "[Aviso] Temporada no capturada ()", IF(ISNA(MATCH(N1029, Criterios!$C$123:$C$128, 0)), "Temporada no válida", "")), IF(OR(O1029="", O1029=""), "[Aviso] Ciclo de vida no capturado ()", IF(ISNA(MATCH(O1029, Criterios!$D$123:$D$124, 0)), "Ciclo de vida no válido", ""))))</f>
        <v/>
      </c>
      <c r="AC1029" s="56" t="n"/>
      <c r="AD1029" s="51" t="n"/>
      <c r="AE1029" s="156" t="n"/>
      <c r="AF1029" s="51" t="n"/>
      <c r="AG1029" s="156" t="inlineStr">
        <is>
          <t>Nuevo – Odoo Universal Unique Brands 01/10/2026</t>
        </is>
      </c>
      <c r="AH1029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Validación G1522: Código de barras faltante · Validador NetSuite / Odoo: V1: falta código de barras · Validador Shopify: V1: falta código de barras; WB: precio con IVA no termina en 9</t>
        </is>
      </c>
      <c r="AI1029" s="156" t="n"/>
      <c r="AJ1029" s="156" t="n"/>
      <c r="AK1029" s="155" t="inlineStr">
        <is>
          <t>Odoo: producto 27506 / plantilla 34206</t>
        </is>
      </c>
      <c r="AL1029" s="58" t="n"/>
      <c r="AM1029" s="58" t="n"/>
      <c r="AN1029" s="155" t="inlineStr">
        <is>
          <t>Odoo Universal Unique Brands</t>
        </is>
      </c>
      <c r="AO1029" s="59" t="n"/>
      <c r="AP1029" s="59" t="n"/>
      <c r="AQ1029" s="59" t="n">
        <v>6</v>
      </c>
      <c r="AR1029" s="155" t="inlineStr">
        <is>
          <t>Odoo Universal Unique Brands › Bodega 25 › Bodega 25/General: 6</t>
        </is>
      </c>
    </row>
    <row r="1030">
      <c r="A1030" s="50" t="n"/>
      <c r="B1030" s="51" t="n"/>
      <c r="C1030" s="156" t="inlineStr">
        <is>
          <t>Montana West</t>
        </is>
      </c>
      <c r="D1030" s="156" t="n"/>
      <c r="E1030" s="156" t="inlineStr">
        <is>
          <t>WG389-8119RD</t>
        </is>
      </c>
      <c r="F1030" s="156" t="inlineStr">
        <is>
          <t>Talla única</t>
        </is>
      </c>
      <c r="G1030" s="156" t="inlineStr">
        <is>
          <t>One Size</t>
        </is>
      </c>
      <c r="H1030" s="156" t="inlineStr">
        <is>
          <t>Montana West</t>
        </is>
      </c>
      <c r="I1030" s="156" t="inlineStr">
        <is>
          <t>WG BAG</t>
        </is>
      </c>
      <c r="J1030" s="156" t="inlineStr">
        <is>
          <t>Accesorios</t>
        </is>
      </c>
      <c r="K1030" s="156" t="inlineStr">
        <is>
          <t>Bolsos</t>
        </is>
      </c>
      <c r="L1030" s="156" t="inlineStr">
        <is>
          <t>Unisex</t>
        </is>
      </c>
      <c r="M1030" s="156" t="n"/>
      <c r="N1030" s="156" t="n"/>
      <c r="O1030" s="156" t="n"/>
      <c r="P1030" s="156" t="n"/>
      <c r="Q1030" s="156" t="n"/>
      <c r="R1030" s="156" t="n"/>
      <c r="S1030" s="156" t="n"/>
      <c r="T1030" s="156" t="n"/>
      <c r="U1030" s="156" t="n"/>
      <c r="V1030" s="156" t="inlineStr">
        <is>
          <t>PZS</t>
        </is>
      </c>
      <c r="W1030" s="51" t="inlineStr">
        <is>
          <t>53121601</t>
        </is>
      </c>
      <c r="X1030" s="156" t="n"/>
      <c r="Y1030" s="54" t="n">
        <v>515.2</v>
      </c>
      <c r="Z1030" s="54" t="n">
        <v>849</v>
      </c>
      <c r="AA1030" s="55">
        <f>IF(AND(A1030="", B1030="", E1030=""), "", IF(AB1030="", "Válido", IF((LEN(AB1030)-LEN(SUBSTITUTE(AB1030,"; ","")))/2+1&gt;(LEN(AB1030)-LEN(SUBSTITUTE(AB1030,"[Aviso]","")))/7, "Con Incidencias", "Válido")))</f>
        <v/>
      </c>
      <c r="AB1030" s="56">
        <f>IF(AND(A1030="", B1030="", E1030=""), "", TEXTJOIN("; ", TRUE, IF(OR(TRIM(A1030&amp;"")="", ISNUMBER(SEARCH("FALTA", A1030))), "UPC faltante/inválido", ""), IF(AND(A1030&lt;&gt;"", IFERROR(_xlfn.XMATCH(A1030,$A$2:$A$1063,0,1)&lt;&gt;_xlfn.XMATCH(A1030,$A$2:$A$1063,0,-1),FALSE)), "Código de barras duplicado", ""), IF(AND(E1030&lt;&gt;"", COUNTIF($E$2:$E$1063, E1030)&gt;1), "SKU duplicado", ""), IF(OR(J1030="", J1030=""), "[Aviso] División no capturada ()", IF(ISNA(MATCH(J1030, Criterios!$A$123:$A$126, 0)), "División no válida", "")), IF(OR(K1030="", K1030=""), "[Aviso] Categoría no capturada ()", IF(ISNA(MATCH(K1030, Criterios!$A$81:$A$120, 0)), "Categoría no válida", IF(AND(J1030&lt;&gt;"", J1030&lt;&gt;"", J1030&lt;&gt;VLOOKUP(K1030, Criterios!$A$81:$B$120, 2, FALSE)), "División no coincide con Categoría", ""))), IF(OR(L1030="", L1030=""), "[Aviso] Género no capturado ()", IF(ISNA(MATCH(L1030, Criterios!$B$123:$B$127, 0)), "Género no válido", "")), IF(OR(N1030="", N1030=""), "[Aviso] Temporada no capturada ()", IF(ISNA(MATCH(N1030, Criterios!$C$123:$C$128, 0)), "Temporada no válida", "")), IF(OR(O1030="", O1030=""), "[Aviso] Ciclo de vida no capturado ()", IF(ISNA(MATCH(O1030, Criterios!$D$123:$D$124, 0)), "Ciclo de vida no válido", ""))))</f>
        <v/>
      </c>
      <c r="AC1030" s="56" t="n"/>
      <c r="AD1030" s="51" t="n"/>
      <c r="AE1030" s="156" t="n"/>
      <c r="AF1030" s="51" t="n"/>
      <c r="AG1030" s="156" t="inlineStr">
        <is>
          <t>Nuevo – Odoo Universal Unique Brands 01/10/2026</t>
        </is>
      </c>
      <c r="AH1030" s="156" t="inlineStr">
        <is>
          <t>01/10/2026: alta desde Odoo Universal Unique Brands (no existía en Productos por código de barras ni SKU) | Categoría: Sinónimo "Bag" en nombre (fuera de tabla D); Género: regla accesorios sin género | Homologación G1522 06/10/2026: Validación G1522: Código de barras faltante · Validador NetSuite / Odoo: V1: falta código de barras · Validador Shopify: V1: falta código de barras; WB: precio con IVA no termina en 9</t>
        </is>
      </c>
      <c r="AI1030" s="156" t="n"/>
      <c r="AJ1030" s="156" t="n"/>
      <c r="AK1030" s="155" t="inlineStr">
        <is>
          <t>Odoo: producto 27509 / plantilla 34209</t>
        </is>
      </c>
      <c r="AL1030" s="58" t="n"/>
      <c r="AM1030" s="58" t="n"/>
      <c r="AN1030" s="155" t="inlineStr">
        <is>
          <t>Odoo Universal Unique Brands</t>
        </is>
      </c>
      <c r="AO1030" s="59" t="n"/>
      <c r="AP1030" s="59" t="n"/>
      <c r="AQ1030" s="59" t="n">
        <v>22</v>
      </c>
      <c r="AR1030" s="155" t="inlineStr">
        <is>
          <t>Odoo Universal Unique Brands › Bodega 25 › Bodega 25/General: 22</t>
        </is>
      </c>
    </row>
    <row r="1031">
      <c r="A1031" s="50" t="n"/>
      <c r="B1031" s="51" t="n"/>
      <c r="C1031" s="156" t="inlineStr">
        <is>
          <t>Wrangler</t>
        </is>
      </c>
      <c r="D1031" s="156" t="n"/>
      <c r="E1031" s="156" t="n"/>
      <c r="F1031" s="156" t="inlineStr">
        <is>
          <t>Talla única</t>
        </is>
      </c>
      <c r="G1031" s="156" t="inlineStr">
        <is>
          <t>One Size</t>
        </is>
      </c>
      <c r="H1031" s="156" t="inlineStr">
        <is>
          <t>Wrangler</t>
        </is>
      </c>
      <c r="I1031" s="156" t="inlineStr">
        <is>
          <t>Bolsa Cruzada Wrangler De Doble Compartimento Con Cierre</t>
        </is>
      </c>
      <c r="J1031" s="156" t="inlineStr">
        <is>
          <t>Accesorios</t>
        </is>
      </c>
      <c r="K1031" s="156" t="inlineStr">
        <is>
          <t>Bolsos</t>
        </is>
      </c>
      <c r="L1031" s="156" t="inlineStr">
        <is>
          <t>Unisex</t>
        </is>
      </c>
      <c r="M1031" s="156" t="inlineStr">
        <is>
          <t>Wrangler</t>
        </is>
      </c>
      <c r="N1031" s="156" t="n"/>
      <c r="O1031" s="156" t="n"/>
      <c r="P1031" s="156" t="inlineStr">
        <is>
          <t>Varios</t>
        </is>
      </c>
      <c r="Q1031" s="156" t="n"/>
      <c r="R1031" s="156" t="n"/>
      <c r="S1031" s="156" t="n"/>
      <c r="T1031" s="156" t="inlineStr">
        <is>
          <t>Bolsa Cruzada</t>
        </is>
      </c>
      <c r="U1031" s="156" t="inlineStr">
        <is>
          <t>México</t>
        </is>
      </c>
      <c r="V1031" s="156" t="inlineStr">
        <is>
          <t>PZS</t>
        </is>
      </c>
      <c r="W1031" s="51" t="inlineStr">
        <is>
          <t>53121600</t>
        </is>
      </c>
      <c r="X1031" s="156" t="n"/>
      <c r="Y1031" s="54" t="n"/>
      <c r="Z1031" s="54" t="n">
        <v>449</v>
      </c>
      <c r="AA1031" s="55">
        <f>IF(AND(A1031="", B1031="", E1031=""), "", IF(AB1031="", "Válido", IF((LEN(AB1031)-LEN(SUBSTITUTE(AB1031,"; ","")))/2+1&gt;(LEN(AB1031)-LEN(SUBSTITUTE(AB1031,"[Aviso]","")))/7, "Con Incidencias", "Válido")))</f>
        <v/>
      </c>
      <c r="AB1031" s="56">
        <f>IF(AND(A1031="", B1031="", E1031=""), "", TEXTJOIN("; ", TRUE, IF(OR(TRIM(A1031&amp;"")="", ISNUMBER(SEARCH("FALTA", A1031))), "UPC faltante/inválido", ""), IF(AND(A1031&lt;&gt;"", IFERROR(_xlfn.XMATCH(A1031,$A$2:$A$1063,0,1)&lt;&gt;_xlfn.XMATCH(A1031,$A$2:$A$1063,0,-1),FALSE)), "Código de barras duplicado", ""), IF(AND(E1031&lt;&gt;"", COUNTIF($E$2:$E$1063, E1031)&gt;1), "SKU duplicado", ""), IF(OR(J1031="", J1031=""), "[Aviso] División no capturada ()", IF(ISNA(MATCH(J1031, Criterios!$A$123:$A$126, 0)), "División no válida", "")), IF(OR(K1031="", K1031=""), "[Aviso] Categoría no capturada ()", IF(ISNA(MATCH(K1031, Criterios!$A$81:$A$120, 0)), "Categoría no válida", IF(AND(J1031&lt;&gt;"", J1031&lt;&gt;"", J1031&lt;&gt;VLOOKUP(K1031, Criterios!$A$81:$B$120, 2, FALSE)), "División no coincide con Categoría", ""))), IF(OR(L1031="", L1031=""), "[Aviso] Género no capturado ()", IF(ISNA(MATCH(L1031, Criterios!$B$123:$B$127, 0)), "Género no válido", "")), IF(OR(N1031="", N1031=""), "[Aviso] Temporada no capturada ()", IF(ISNA(MATCH(N1031, Criterios!$C$123:$C$128, 0)), "Temporada no válida", "")), IF(OR(O1031="", O1031=""), "[Aviso] Ciclo de vida no capturado ()", IF(ISNA(MATCH(O1031, Criterios!$D$123:$D$124, 0)), "Ciclo de vida no válido", ""))))</f>
        <v/>
      </c>
      <c r="AC1031" s="56" t="n"/>
      <c r="AD1031" s="51" t="n"/>
      <c r="AE1031" s="156" t="n"/>
      <c r="AF1031" s="51" t="n"/>
      <c r="AG1031" s="156" t="inlineStr">
        <is>
          <t>Nuevo – Odoo Universal Unique Brands 01/10/2026</t>
        </is>
      </c>
      <c r="AH1031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31" s="156" t="n"/>
      <c r="AJ1031" s="156" t="n"/>
      <c r="AK1031" s="155" t="inlineStr">
        <is>
          <t>Odoo: producto 18051 / plantilla 22404</t>
        </is>
      </c>
      <c r="AL1031" s="58" t="n"/>
      <c r="AM1031" s="58" t="n"/>
      <c r="AN1031" s="155" t="inlineStr">
        <is>
          <t>Odoo Universal Unique Brands</t>
        </is>
      </c>
      <c r="AO1031" s="59" t="n"/>
      <c r="AP1031" s="59" t="n"/>
      <c r="AQ1031" s="59" t="n">
        <v>0</v>
      </c>
      <c r="AR1031" s="155" t="n"/>
    </row>
    <row r="1032">
      <c r="A1032" s="50" t="n"/>
      <c r="B1032" s="51" t="n"/>
      <c r="C1032" s="156" t="inlineStr">
        <is>
          <t>Wrangler</t>
        </is>
      </c>
      <c r="D1032" s="156" t="n"/>
      <c r="E1032" s="156" t="n"/>
      <c r="F1032" s="156" t="inlineStr">
        <is>
          <t>Talla única</t>
        </is>
      </c>
      <c r="G1032" s="156" t="inlineStr">
        <is>
          <t>One Size</t>
        </is>
      </c>
      <c r="H1032" s="156" t="inlineStr">
        <is>
          <t>Wrangler</t>
        </is>
      </c>
      <c r="I1032" s="156" t="inlineStr">
        <is>
          <t>Bolsa Cruzada Wrangler De Doble Compartimento Con Cierre</t>
        </is>
      </c>
      <c r="J1032" s="156" t="inlineStr">
        <is>
          <t>Accesorios</t>
        </is>
      </c>
      <c r="K1032" s="156" t="inlineStr">
        <is>
          <t>Bolsos</t>
        </is>
      </c>
      <c r="L1032" s="156" t="inlineStr">
        <is>
          <t>Unisex</t>
        </is>
      </c>
      <c r="M1032" s="156" t="inlineStr">
        <is>
          <t>Wrangler</t>
        </is>
      </c>
      <c r="N1032" s="156" t="n"/>
      <c r="O1032" s="156" t="n"/>
      <c r="P1032" s="156" t="inlineStr">
        <is>
          <t>Varios</t>
        </is>
      </c>
      <c r="Q1032" s="156" t="n"/>
      <c r="R1032" s="156" t="n"/>
      <c r="S1032" s="156" t="n"/>
      <c r="T1032" s="156" t="inlineStr">
        <is>
          <t>Bolsa Cruzada</t>
        </is>
      </c>
      <c r="U1032" s="156" t="inlineStr">
        <is>
          <t>México</t>
        </is>
      </c>
      <c r="V1032" s="156" t="inlineStr">
        <is>
          <t>PZS</t>
        </is>
      </c>
      <c r="W1032" s="51" t="inlineStr">
        <is>
          <t>53121601</t>
        </is>
      </c>
      <c r="X1032" s="156" t="n"/>
      <c r="Y1032" s="54" t="n"/>
      <c r="Z1032" s="54" t="n">
        <v>449</v>
      </c>
      <c r="AA1032" s="55">
        <f>IF(AND(A1032="", B1032="", E1032=""), "", IF(AB1032="", "Válido", IF((LEN(AB1032)-LEN(SUBSTITUTE(AB1032,"; ","")))/2+1&gt;(LEN(AB1032)-LEN(SUBSTITUTE(AB1032,"[Aviso]","")))/7, "Con Incidencias", "Válido")))</f>
        <v/>
      </c>
      <c r="AB1032" s="56">
        <f>IF(AND(A1032="", B1032="", E1032=""), "", TEXTJOIN("; ", TRUE, IF(OR(TRIM(A1032&amp;"")="", ISNUMBER(SEARCH("FALTA", A1032))), "UPC faltante/inválido", ""), IF(AND(A1032&lt;&gt;"", IFERROR(_xlfn.XMATCH(A1032,$A$2:$A$1063,0,1)&lt;&gt;_xlfn.XMATCH(A1032,$A$2:$A$1063,0,-1),FALSE)), "Código de barras duplicado", ""), IF(AND(E1032&lt;&gt;"", COUNTIF($E$2:$E$1063, E1032)&gt;1), "SKU duplicado", ""), IF(OR(J1032="", J1032=""), "[Aviso] División no capturada ()", IF(ISNA(MATCH(J1032, Criterios!$A$123:$A$126, 0)), "División no válida", "")), IF(OR(K1032="", K1032=""), "[Aviso] Categoría no capturada ()", IF(ISNA(MATCH(K1032, Criterios!$A$81:$A$120, 0)), "Categoría no válida", IF(AND(J1032&lt;&gt;"", J1032&lt;&gt;"", J1032&lt;&gt;VLOOKUP(K1032, Criterios!$A$81:$B$120, 2, FALSE)), "División no coincide con Categoría", ""))), IF(OR(L1032="", L1032=""), "[Aviso] Género no capturado ()", IF(ISNA(MATCH(L1032, Criterios!$B$123:$B$127, 0)), "Género no válido", "")), IF(OR(N1032="", N1032=""), "[Aviso] Temporada no capturada ()", IF(ISNA(MATCH(N1032, Criterios!$C$123:$C$128, 0)), "Temporada no válida", "")), IF(OR(O1032="", O1032=""), "[Aviso] Ciclo de vida no capturado ()", IF(ISNA(MATCH(O1032, Criterios!$D$123:$D$124, 0)), "Ciclo de vida no válido", ""))))</f>
        <v/>
      </c>
      <c r="AC1032" s="56" t="n"/>
      <c r="AD1032" s="51" t="n"/>
      <c r="AE1032" s="156" t="n"/>
      <c r="AF1032" s="51" t="n"/>
      <c r="AG1032" s="156" t="inlineStr">
        <is>
          <t>Nuevo – Odoo Universal Unique Brands 01/10/2026</t>
        </is>
      </c>
      <c r="AH1032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32" s="156" t="n"/>
      <c r="AJ1032" s="156" t="n"/>
      <c r="AK1032" s="155" t="inlineStr">
        <is>
          <t>Odoo: producto 18055 / plantilla 22408</t>
        </is>
      </c>
      <c r="AL1032" s="58" t="n"/>
      <c r="AM1032" s="58" t="n"/>
      <c r="AN1032" s="155" t="inlineStr">
        <is>
          <t>Odoo Universal Unique Brands</t>
        </is>
      </c>
      <c r="AO1032" s="59" t="n"/>
      <c r="AP1032" s="59" t="n"/>
      <c r="AQ1032" s="59" t="n">
        <v>0</v>
      </c>
      <c r="AR1032" s="155" t="n"/>
    </row>
    <row r="1033">
      <c r="A1033" s="50" t="n"/>
      <c r="B1033" s="51" t="n"/>
      <c r="C1033" s="156" t="inlineStr">
        <is>
          <t>Wrangler</t>
        </is>
      </c>
      <c r="D1033" s="156" t="n"/>
      <c r="E1033" s="156" t="n"/>
      <c r="F1033" s="156" t="inlineStr">
        <is>
          <t>Talla única</t>
        </is>
      </c>
      <c r="G1033" s="156" t="inlineStr">
        <is>
          <t>One Size</t>
        </is>
      </c>
      <c r="H1033" s="156" t="inlineStr">
        <is>
          <t>Wrangler</t>
        </is>
      </c>
      <c r="I1033" s="156" t="inlineStr">
        <is>
          <t>Bolsa De Hombro Wrangler Estampado Vaquera Western</t>
        </is>
      </c>
      <c r="J1033" s="156" t="inlineStr">
        <is>
          <t>Accesorios</t>
        </is>
      </c>
      <c r="K1033" s="156" t="inlineStr">
        <is>
          <t>Bolsos</t>
        </is>
      </c>
      <c r="L1033" s="156" t="inlineStr">
        <is>
          <t>Unisex</t>
        </is>
      </c>
      <c r="M1033" s="156" t="inlineStr">
        <is>
          <t>Wrangler</t>
        </is>
      </c>
      <c r="N1033" s="156" t="n"/>
      <c r="O1033" s="156" t="n"/>
      <c r="P1033" s="156" t="inlineStr">
        <is>
          <t>Rosa</t>
        </is>
      </c>
      <c r="Q1033" s="156" t="n"/>
      <c r="R1033" s="156" t="n"/>
      <c r="S1033" s="156" t="n"/>
      <c r="T1033" s="156" t="inlineStr">
        <is>
          <t>Bolsa De Hombro</t>
        </is>
      </c>
      <c r="U1033" s="156" t="inlineStr">
        <is>
          <t>México</t>
        </is>
      </c>
      <c r="V1033" s="156" t="inlineStr">
        <is>
          <t>PZS</t>
        </is>
      </c>
      <c r="W1033" s="51" t="inlineStr">
        <is>
          <t>53121600</t>
        </is>
      </c>
      <c r="X1033" s="156" t="n"/>
      <c r="Y1033" s="54" t="n"/>
      <c r="Z1033" s="54" t="n">
        <v>749</v>
      </c>
      <c r="AA1033" s="55">
        <f>IF(AND(A1033="", B1033="", E1033=""), "", IF(AB1033="", "Válido", IF((LEN(AB1033)-LEN(SUBSTITUTE(AB1033,"; ","")))/2+1&gt;(LEN(AB1033)-LEN(SUBSTITUTE(AB1033,"[Aviso]","")))/7, "Con Incidencias", "Válido")))</f>
        <v/>
      </c>
      <c r="AB1033" s="56">
        <f>IF(AND(A1033="", B1033="", E1033=""), "", TEXTJOIN("; ", TRUE, IF(OR(TRIM(A1033&amp;"")="", ISNUMBER(SEARCH("FALTA", A1033))), "UPC faltante/inválido", ""), IF(AND(A1033&lt;&gt;"", IFERROR(_xlfn.XMATCH(A1033,$A$2:$A$1063,0,1)&lt;&gt;_xlfn.XMATCH(A1033,$A$2:$A$1063,0,-1),FALSE)), "Código de barras duplicado", ""), IF(AND(E1033&lt;&gt;"", COUNTIF($E$2:$E$1063, E1033)&gt;1), "SKU duplicado", ""), IF(OR(J1033="", J1033=""), "[Aviso] División no capturada ()", IF(ISNA(MATCH(J1033, Criterios!$A$123:$A$126, 0)), "División no válida", "")), IF(OR(K1033="", K1033=""), "[Aviso] Categoría no capturada ()", IF(ISNA(MATCH(K1033, Criterios!$A$81:$A$120, 0)), "Categoría no válida", IF(AND(J1033&lt;&gt;"", J1033&lt;&gt;"", J1033&lt;&gt;VLOOKUP(K1033, Criterios!$A$81:$B$120, 2, FALSE)), "División no coincide con Categoría", ""))), IF(OR(L1033="", L1033=""), "[Aviso] Género no capturado ()", IF(ISNA(MATCH(L1033, Criterios!$B$123:$B$127, 0)), "Género no válido", "")), IF(OR(N1033="", N1033=""), "[Aviso] Temporada no capturada ()", IF(ISNA(MATCH(N1033, Criterios!$C$123:$C$128, 0)), "Temporada no válida", "")), IF(OR(O1033="", O1033=""), "[Aviso] Ciclo de vida no capturado ()", IF(ISNA(MATCH(O1033, Criterios!$D$123:$D$124, 0)), "Ciclo de vida no válido", ""))))</f>
        <v/>
      </c>
      <c r="AC1033" s="56" t="n"/>
      <c r="AD1033" s="51" t="n"/>
      <c r="AE1033" s="156" t="n"/>
      <c r="AF1033" s="51" t="n"/>
      <c r="AG1033" s="156" t="inlineStr">
        <is>
          <t>Nuevo – Odoo Universal Unique Brands 01/10/2026</t>
        </is>
      </c>
      <c r="AH1033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Pink→Rosa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33" s="156" t="n"/>
      <c r="AJ1033" s="156" t="n"/>
      <c r="AK1033" s="155" t="inlineStr">
        <is>
          <t>Odoo: producto 31038 / plantilla 39677</t>
        </is>
      </c>
      <c r="AL1033" s="58" t="n"/>
      <c r="AM1033" s="58" t="n"/>
      <c r="AN1033" s="155" t="inlineStr">
        <is>
          <t>Odoo Universal Unique Brands</t>
        </is>
      </c>
      <c r="AO1033" s="59" t="n"/>
      <c r="AP1033" s="59" t="n"/>
      <c r="AQ1033" s="59" t="n">
        <v>0</v>
      </c>
      <c r="AR1033" s="155" t="n"/>
    </row>
    <row r="1034">
      <c r="A1034" s="50" t="n"/>
      <c r="B1034" s="51" t="n"/>
      <c r="C1034" s="156" t="inlineStr">
        <is>
          <t>Wrangler</t>
        </is>
      </c>
      <c r="D1034" s="156" t="n"/>
      <c r="E1034" s="156" t="n"/>
      <c r="F1034" s="156" t="inlineStr">
        <is>
          <t>Talla única</t>
        </is>
      </c>
      <c r="G1034" s="156" t="inlineStr">
        <is>
          <t>One Size</t>
        </is>
      </c>
      <c r="H1034" s="156" t="inlineStr">
        <is>
          <t>Wrangler</t>
        </is>
      </c>
      <c r="I1034" s="156" t="inlineStr">
        <is>
          <t>Bolsa Hobo Wrangler Con Flecos Floral Grabada Negro</t>
        </is>
      </c>
      <c r="J1034" s="156" t="inlineStr">
        <is>
          <t>Accesorios</t>
        </is>
      </c>
      <c r="K1034" s="156" t="inlineStr">
        <is>
          <t>Bolsos</t>
        </is>
      </c>
      <c r="L1034" s="156" t="inlineStr">
        <is>
          <t>Unisex</t>
        </is>
      </c>
      <c r="M1034" s="156" t="inlineStr">
        <is>
          <t>Wrangler</t>
        </is>
      </c>
      <c r="N1034" s="156" t="n"/>
      <c r="O1034" s="156" t="n"/>
      <c r="P1034" s="156" t="inlineStr">
        <is>
          <t>Negro</t>
        </is>
      </c>
      <c r="Q1034" s="156" t="n"/>
      <c r="R1034" s="156" t="n"/>
      <c r="S1034" s="156" t="n"/>
      <c r="T1034" s="156" t="inlineStr">
        <is>
          <t>Bolsa Hobo</t>
        </is>
      </c>
      <c r="U1034" s="156" t="inlineStr">
        <is>
          <t>México</t>
        </is>
      </c>
      <c r="V1034" s="156" t="inlineStr">
        <is>
          <t>PZS</t>
        </is>
      </c>
      <c r="W1034" s="51" t="inlineStr">
        <is>
          <t>53121601</t>
        </is>
      </c>
      <c r="X1034" s="156" t="n"/>
      <c r="Y1034" s="54" t="n"/>
      <c r="Z1034" s="54" t="n">
        <v>1599</v>
      </c>
      <c r="AA1034" s="55">
        <f>IF(AND(A1034="", B1034="", E1034=""), "", IF(AB1034="", "Válido", IF((LEN(AB1034)-LEN(SUBSTITUTE(AB1034,"; ","")))/2+1&gt;(LEN(AB1034)-LEN(SUBSTITUTE(AB1034,"[Aviso]","")))/7, "Con Incidencias", "Válido")))</f>
        <v/>
      </c>
      <c r="AB1034" s="56">
        <f>IF(AND(A1034="", B1034="", E1034=""), "", TEXTJOIN("; ", TRUE, IF(OR(TRIM(A1034&amp;"")="", ISNUMBER(SEARCH("FALTA", A1034))), "UPC faltante/inválido", ""), IF(AND(A1034&lt;&gt;"", IFERROR(_xlfn.XMATCH(A1034,$A$2:$A$1063,0,1)&lt;&gt;_xlfn.XMATCH(A1034,$A$2:$A$1063,0,-1),FALSE)), "Código de barras duplicado", ""), IF(AND(E1034&lt;&gt;"", COUNTIF($E$2:$E$1063, E1034)&gt;1), "SKU duplicado", ""), IF(OR(J1034="", J1034=""), "[Aviso] División no capturada ()", IF(ISNA(MATCH(J1034, Criterios!$A$123:$A$126, 0)), "División no válida", "")), IF(OR(K1034="", K1034=""), "[Aviso] Categoría no capturada ()", IF(ISNA(MATCH(K1034, Criterios!$A$81:$A$120, 0)), "Categoría no válida", IF(AND(J1034&lt;&gt;"", J1034&lt;&gt;"", J1034&lt;&gt;VLOOKUP(K1034, Criterios!$A$81:$B$120, 2, FALSE)), "División no coincide con Categoría", ""))), IF(OR(L1034="", L1034=""), "[Aviso] Género no capturado ()", IF(ISNA(MATCH(L1034, Criterios!$B$123:$B$127, 0)), "Género no válido", "")), IF(OR(N1034="", N1034=""), "[Aviso] Temporada no capturada ()", IF(ISNA(MATCH(N1034, Criterios!$C$123:$C$128, 0)), "Temporada no válida", "")), IF(OR(O1034="", O1034=""), "[Aviso] Ciclo de vida no capturado ()", IF(ISNA(MATCH(O1034, Criterios!$D$123:$D$124, 0)), "Ciclo de vida no válido", ""))))</f>
        <v/>
      </c>
      <c r="AC1034" s="56" t="n"/>
      <c r="AD1034" s="51" t="n"/>
      <c r="AE1034" s="156" t="n"/>
      <c r="AF1034" s="51" t="n"/>
      <c r="AG1034" s="156" t="inlineStr">
        <is>
          <t>Nuevo – Odoo Universal Unique Brands 01/10/2026</t>
        </is>
      </c>
      <c r="AH1034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34" s="156" t="n"/>
      <c r="AJ1034" s="156" t="n"/>
      <c r="AK1034" s="155" t="inlineStr">
        <is>
          <t>Odoo: producto 27577 / plantilla 34277</t>
        </is>
      </c>
      <c r="AL1034" s="58" t="n"/>
      <c r="AM1034" s="58" t="n"/>
      <c r="AN1034" s="155" t="inlineStr">
        <is>
          <t>Odoo Universal Unique Brands</t>
        </is>
      </c>
      <c r="AO1034" s="59" t="n"/>
      <c r="AP1034" s="59" t="n"/>
      <c r="AQ1034" s="59" t="n">
        <v>0</v>
      </c>
      <c r="AR1034" s="155" t="n"/>
    </row>
    <row r="1035">
      <c r="A1035" s="50" t="n"/>
      <c r="B1035" s="51" t="n"/>
      <c r="C1035" s="156" t="inlineStr">
        <is>
          <t>Wrangler</t>
        </is>
      </c>
      <c r="D1035" s="156" t="n"/>
      <c r="E1035" s="156" t="n"/>
      <c r="F1035" s="156" t="inlineStr">
        <is>
          <t>Talla única</t>
        </is>
      </c>
      <c r="G1035" s="156" t="inlineStr">
        <is>
          <t>One Size</t>
        </is>
      </c>
      <c r="H1035" s="156" t="inlineStr">
        <is>
          <t>Wrangler</t>
        </is>
      </c>
      <c r="I1035" s="156" t="inlineStr">
        <is>
          <t>Bolsa Satchel Cruzada Wrangler Colección Trenzada Whipstitch</t>
        </is>
      </c>
      <c r="J1035" s="156" t="inlineStr">
        <is>
          <t>Accesorios</t>
        </is>
      </c>
      <c r="K1035" s="156" t="inlineStr">
        <is>
          <t>Bolsos</t>
        </is>
      </c>
      <c r="L1035" s="156" t="inlineStr">
        <is>
          <t>Unisex</t>
        </is>
      </c>
      <c r="M1035" s="156" t="inlineStr">
        <is>
          <t>Wrangler</t>
        </is>
      </c>
      <c r="N1035" s="156" t="n"/>
      <c r="O1035" s="156" t="n"/>
      <c r="P1035" s="156" t="inlineStr">
        <is>
          <t>Varios</t>
        </is>
      </c>
      <c r="Q1035" s="156" t="n"/>
      <c r="R1035" s="156" t="n"/>
      <c r="S1035" s="156" t="n"/>
      <c r="T1035" s="156" t="inlineStr">
        <is>
          <t>Bolsa Satchel Cruzada</t>
        </is>
      </c>
      <c r="U1035" s="156" t="inlineStr">
        <is>
          <t>México</t>
        </is>
      </c>
      <c r="V1035" s="156" t="inlineStr">
        <is>
          <t>PZS</t>
        </is>
      </c>
      <c r="W1035" s="51" t="inlineStr">
        <is>
          <t>53121601</t>
        </is>
      </c>
      <c r="X1035" s="156" t="n"/>
      <c r="Y1035" s="54" t="n"/>
      <c r="Z1035" s="54" t="n">
        <v>609</v>
      </c>
      <c r="AA1035" s="55">
        <f>IF(AND(A1035="", B1035="", E1035=""), "", IF(AB1035="", "Válido", IF((LEN(AB1035)-LEN(SUBSTITUTE(AB1035,"; ","")))/2+1&gt;(LEN(AB1035)-LEN(SUBSTITUTE(AB1035,"[Aviso]","")))/7, "Con Incidencias", "Válido")))</f>
        <v/>
      </c>
      <c r="AB1035" s="56">
        <f>IF(AND(A1035="", B1035="", E1035=""), "", TEXTJOIN("; ", TRUE, IF(OR(TRIM(A1035&amp;"")="", ISNUMBER(SEARCH("FALTA", A1035))), "UPC faltante/inválido", ""), IF(AND(A1035&lt;&gt;"", IFERROR(_xlfn.XMATCH(A1035,$A$2:$A$1063,0,1)&lt;&gt;_xlfn.XMATCH(A1035,$A$2:$A$1063,0,-1),FALSE)), "Código de barras duplicado", ""), IF(AND(E1035&lt;&gt;"", COUNTIF($E$2:$E$1063, E1035)&gt;1), "SKU duplicado", ""), IF(OR(J1035="", J1035=""), "[Aviso] División no capturada ()", IF(ISNA(MATCH(J1035, Criterios!$A$123:$A$126, 0)), "División no válida", "")), IF(OR(K1035="", K1035=""), "[Aviso] Categoría no capturada ()", IF(ISNA(MATCH(K1035, Criterios!$A$81:$A$120, 0)), "Categoría no válida", IF(AND(J1035&lt;&gt;"", J1035&lt;&gt;"", J1035&lt;&gt;VLOOKUP(K1035, Criterios!$A$81:$B$120, 2, FALSE)), "División no coincide con Categoría", ""))), IF(OR(L1035="", L1035=""), "[Aviso] Género no capturado ()", IF(ISNA(MATCH(L1035, Criterios!$B$123:$B$127, 0)), "Género no válido", "")), IF(OR(N1035="", N1035=""), "[Aviso] Temporada no capturada ()", IF(ISNA(MATCH(N1035, Criterios!$C$123:$C$128, 0)), "Temporada no válida", "")), IF(OR(O1035="", O1035=""), "[Aviso] Ciclo de vida no capturado ()", IF(ISNA(MATCH(O1035, Criterios!$D$123:$D$124, 0)), "Ciclo de vida no válido", ""))))</f>
        <v/>
      </c>
      <c r="AC1035" s="56" t="n"/>
      <c r="AD1035" s="51" t="n"/>
      <c r="AE1035" s="156" t="n"/>
      <c r="AF1035" s="51" t="n"/>
      <c r="AG1035" s="156" t="inlineStr">
        <is>
          <t>Nuevo – Odoo Universal Unique Brands 01/10/2026</t>
        </is>
      </c>
      <c r="AH1035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35" s="156" t="n"/>
      <c r="AJ1035" s="156" t="n"/>
      <c r="AK1035" s="155" t="inlineStr">
        <is>
          <t>Odoo: producto 15678 / plantilla 20031</t>
        </is>
      </c>
      <c r="AL1035" s="58" t="n"/>
      <c r="AM1035" s="58" t="n"/>
      <c r="AN1035" s="155" t="inlineStr">
        <is>
          <t>Odoo Universal Unique Brands</t>
        </is>
      </c>
      <c r="AO1035" s="59" t="n"/>
      <c r="AP1035" s="59" t="n"/>
      <c r="AQ1035" s="59" t="n">
        <v>3</v>
      </c>
      <c r="AR1035" s="155" t="inlineStr">
        <is>
          <t>Odoo Universal Unique Brands › Bodega 25 › Bodega 25/General: 3</t>
        </is>
      </c>
    </row>
    <row r="1036">
      <c r="A1036" s="50" t="n"/>
      <c r="B1036" s="51" t="n"/>
      <c r="C1036" s="156" t="inlineStr">
        <is>
          <t>Wrangler</t>
        </is>
      </c>
      <c r="D1036" s="156" t="n"/>
      <c r="E1036" s="156" t="n"/>
      <c r="F1036" s="156" t="inlineStr">
        <is>
          <t>Talla única</t>
        </is>
      </c>
      <c r="G1036" s="156" t="inlineStr">
        <is>
          <t>One Size</t>
        </is>
      </c>
      <c r="H1036" s="156" t="inlineStr">
        <is>
          <t>Wrangler</t>
        </is>
      </c>
      <c r="I1036" s="156" t="inlineStr">
        <is>
          <t>Bolsa Tote Cruzada Wrangler Bordada Trapezoidal Con Compartimento Oculto</t>
        </is>
      </c>
      <c r="J1036" s="156" t="inlineStr">
        <is>
          <t>Accesorios</t>
        </is>
      </c>
      <c r="K1036" s="156" t="inlineStr">
        <is>
          <t>Bolsos</t>
        </is>
      </c>
      <c r="L1036" s="156" t="inlineStr">
        <is>
          <t>Unisex</t>
        </is>
      </c>
      <c r="M1036" s="156" t="inlineStr">
        <is>
          <t>Wrangler</t>
        </is>
      </c>
      <c r="N1036" s="156" t="n"/>
      <c r="O1036" s="156" t="n"/>
      <c r="P1036" s="156" t="inlineStr">
        <is>
          <t>Varios</t>
        </is>
      </c>
      <c r="Q1036" s="156" t="n"/>
      <c r="R1036" s="156" t="n"/>
      <c r="S1036" s="156" t="n"/>
      <c r="T1036" s="156" t="inlineStr">
        <is>
          <t>Bolsa Tote Cruzada</t>
        </is>
      </c>
      <c r="U1036" s="156" t="inlineStr">
        <is>
          <t>México</t>
        </is>
      </c>
      <c r="V1036" s="156" t="inlineStr">
        <is>
          <t>PZS</t>
        </is>
      </c>
      <c r="W1036" s="51" t="inlineStr">
        <is>
          <t>53121601</t>
        </is>
      </c>
      <c r="X1036" s="156" t="n"/>
      <c r="Y1036" s="54" t="n"/>
      <c r="Z1036" s="54" t="n">
        <v>829</v>
      </c>
      <c r="AA1036" s="55">
        <f>IF(AND(A1036="", B1036="", E1036=""), "", IF(AB1036="", "Válido", IF((LEN(AB1036)-LEN(SUBSTITUTE(AB1036,"; ","")))/2+1&gt;(LEN(AB1036)-LEN(SUBSTITUTE(AB1036,"[Aviso]","")))/7, "Con Incidencias", "Válido")))</f>
        <v/>
      </c>
      <c r="AB1036" s="56">
        <f>IF(AND(A1036="", B1036="", E1036=""), "", TEXTJOIN("; ", TRUE, IF(OR(TRIM(A1036&amp;"")="", ISNUMBER(SEARCH("FALTA", A1036))), "UPC faltante/inválido", ""), IF(AND(A1036&lt;&gt;"", IFERROR(_xlfn.XMATCH(A1036,$A$2:$A$1063,0,1)&lt;&gt;_xlfn.XMATCH(A1036,$A$2:$A$1063,0,-1),FALSE)), "Código de barras duplicado", ""), IF(AND(E1036&lt;&gt;"", COUNTIF($E$2:$E$1063, E1036)&gt;1), "SKU duplicado", ""), IF(OR(J1036="", J1036=""), "[Aviso] División no capturada ()", IF(ISNA(MATCH(J1036, Criterios!$A$123:$A$126, 0)), "División no válida", "")), IF(OR(K1036="", K1036=""), "[Aviso] Categoría no capturada ()", IF(ISNA(MATCH(K1036, Criterios!$A$81:$A$120, 0)), "Categoría no válida", IF(AND(J1036&lt;&gt;"", J1036&lt;&gt;"", J1036&lt;&gt;VLOOKUP(K1036, Criterios!$A$81:$B$120, 2, FALSE)), "División no coincide con Categoría", ""))), IF(OR(L1036="", L1036=""), "[Aviso] Género no capturado ()", IF(ISNA(MATCH(L1036, Criterios!$B$123:$B$127, 0)), "Género no válido", "")), IF(OR(N1036="", N1036=""), "[Aviso] Temporada no capturada ()", IF(ISNA(MATCH(N1036, Criterios!$C$123:$C$128, 0)), "Temporada no válida", "")), IF(OR(O1036="", O1036=""), "[Aviso] Ciclo de vida no capturado ()", IF(ISNA(MATCH(O1036, Criterios!$D$123:$D$124, 0)), "Ciclo de vida no válido", ""))))</f>
        <v/>
      </c>
      <c r="AC1036" s="56" t="n"/>
      <c r="AD1036" s="51" t="n"/>
      <c r="AE1036" s="156" t="n"/>
      <c r="AF1036" s="51" t="n"/>
      <c r="AG1036" s="156" t="inlineStr">
        <is>
          <t>Nuevo – Odoo Universal Unique Brands 01/10/2026</t>
        </is>
      </c>
      <c r="AH1036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36" s="156" t="n"/>
      <c r="AJ1036" s="156" t="n"/>
      <c r="AK1036" s="155" t="inlineStr">
        <is>
          <t>Odoo: producto 19029 / plantilla 23382</t>
        </is>
      </c>
      <c r="AL1036" s="58" t="n"/>
      <c r="AM1036" s="58" t="n"/>
      <c r="AN1036" s="155" t="inlineStr">
        <is>
          <t>Odoo Universal Unique Brands</t>
        </is>
      </c>
      <c r="AO1036" s="59" t="n"/>
      <c r="AP1036" s="59" t="n"/>
      <c r="AQ1036" s="59" t="n">
        <v>0</v>
      </c>
      <c r="AR1036" s="155" t="n"/>
    </row>
    <row r="1037">
      <c r="A1037" s="50" t="n"/>
      <c r="B1037" s="51" t="n"/>
      <c r="C1037" s="156" t="inlineStr">
        <is>
          <t>Wrangler</t>
        </is>
      </c>
      <c r="D1037" s="156" t="n"/>
      <c r="E1037" s="156" t="n"/>
      <c r="F1037" s="156" t="n"/>
      <c r="G1037" s="156" t="n"/>
      <c r="H1037" s="156" t="inlineStr">
        <is>
          <t>Wrangler</t>
        </is>
      </c>
      <c r="I1037" s="156" t="inlineStr">
        <is>
          <t>Bolsa Tote Cruzada Wrangler Con Asa Superior, Flecos Y Grabado Tipo Bota</t>
        </is>
      </c>
      <c r="J1037" s="156" t="inlineStr">
        <is>
          <t>Calzado</t>
        </is>
      </c>
      <c r="K1037" s="156" t="inlineStr">
        <is>
          <t>Botas</t>
        </is>
      </c>
      <c r="L1037" s="156" t="inlineStr">
        <is>
          <t>Unisex</t>
        </is>
      </c>
      <c r="M1037" s="156" t="inlineStr">
        <is>
          <t>Wrangler</t>
        </is>
      </c>
      <c r="N1037" s="156" t="n"/>
      <c r="O1037" s="156" t="n"/>
      <c r="P1037" s="156" t="inlineStr">
        <is>
          <t>Varios</t>
        </is>
      </c>
      <c r="Q1037" s="156" t="n"/>
      <c r="R1037" s="156" t="n"/>
      <c r="S1037" s="156" t="n"/>
      <c r="T1037" s="156" t="inlineStr">
        <is>
          <t>Bolsa Tote Cruzada</t>
        </is>
      </c>
      <c r="U1037" s="156" t="inlineStr">
        <is>
          <t>México</t>
        </is>
      </c>
      <c r="V1037" s="156" t="inlineStr">
        <is>
          <t>PRS</t>
        </is>
      </c>
      <c r="W1037" s="51" t="inlineStr">
        <is>
          <t>53121600</t>
        </is>
      </c>
      <c r="X1037" s="156" t="n"/>
      <c r="Y1037" s="54" t="n"/>
      <c r="Z1037" s="54" t="n">
        <v>719</v>
      </c>
      <c r="AA1037" s="55">
        <f>IF(AND(A1037="", B1037="", E1037=""), "", IF(AB1037="", "Válido", IF((LEN(AB1037)-LEN(SUBSTITUTE(AB1037,"; ","")))/2+1&gt;(LEN(AB1037)-LEN(SUBSTITUTE(AB1037,"[Aviso]","")))/7, "Con Incidencias", "Válido")))</f>
        <v/>
      </c>
      <c r="AB1037" s="56">
        <f>IF(AND(A1037="", B1037="", E1037=""), "", TEXTJOIN("; ", TRUE, IF(OR(TRIM(A1037&amp;"")="", ISNUMBER(SEARCH("FALTA", A1037))), "UPC faltante/inválido", ""), IF(AND(A1037&lt;&gt;"", IFERROR(_xlfn.XMATCH(A1037,$A$2:$A$1063,0,1)&lt;&gt;_xlfn.XMATCH(A1037,$A$2:$A$1063,0,-1),FALSE)), "Código de barras duplicado", ""), IF(AND(E1037&lt;&gt;"", COUNTIF($E$2:$E$1063, E1037)&gt;1), "SKU duplicado", ""), IF(OR(J1037="", J1037=""), "[Aviso] División no capturada ()", IF(ISNA(MATCH(J1037, Criterios!$A$123:$A$126, 0)), "División no válida", "")), IF(OR(K1037="", K1037=""), "[Aviso] Categoría no capturada ()", IF(ISNA(MATCH(K1037, Criterios!$A$81:$A$120, 0)), "Categoría no válida", IF(AND(J1037&lt;&gt;"", J1037&lt;&gt;"", J1037&lt;&gt;VLOOKUP(K1037, Criterios!$A$81:$B$120, 2, FALSE)), "División no coincide con Categoría", ""))), IF(OR(L1037="", L1037=""), "[Aviso] Género no capturado ()", IF(ISNA(MATCH(L1037, Criterios!$B$123:$B$127, 0)), "Género no válido", "")), IF(OR(N1037="", N1037=""), "[Aviso] Temporada no capturada ()", IF(ISNA(MATCH(N1037, Criterios!$C$123:$C$128, 0)), "Temporada no válida", "")), IF(OR(O1037="", O1037=""), "[Aviso] Ciclo de vida no capturado ()", IF(ISNA(MATCH(O1037, Criterios!$D$123:$D$124, 0)), "Ciclo de vida no válido", ""))))</f>
        <v/>
      </c>
      <c r="AC1037" s="56" t="n"/>
      <c r="AD1037" s="51" t="n"/>
      <c r="AE1037" s="156" t="n"/>
      <c r="AF1037" s="51" t="n"/>
      <c r="AG1037" s="156" t="inlineStr">
        <is>
          <t>Nuevo – Odoo Universal Unique Brands 01/10/2026</t>
        </is>
      </c>
      <c r="AH1037" s="156" t="inlineStr">
        <is>
          <t>01/10/2026: alta desde Odoo Universal Unique Brands (no existía en Productos por código de barras ni SKU) | Sin código de barras ni SKU en la plataforma: capturar antes de usarlo en escaneo | Género: campo de la fuente; Color: campo de la fuente | Homologación G1522 06/10/2026: Validación G1522: Código de barras faltante; WB SKU faltante · Validador NetSuite / Odoo: V1: falta código de barras; N2: talla cero o vacía · Validador Shopify: V1: falta código de barras; WB: precio con IVA no termina en 9</t>
        </is>
      </c>
      <c r="AI1037" s="156" t="n"/>
      <c r="AJ1037" s="156" t="n"/>
      <c r="AK1037" s="155" t="inlineStr">
        <is>
          <t>Odoo: producto 14908 / plantilla 19261</t>
        </is>
      </c>
      <c r="AL1037" s="58" t="n"/>
      <c r="AM1037" s="58" t="n"/>
      <c r="AN1037" s="155" t="inlineStr">
        <is>
          <t>Odoo Universal Unique Brands</t>
        </is>
      </c>
      <c r="AO1037" s="59" t="n"/>
      <c r="AP1037" s="59" t="n"/>
      <c r="AQ1037" s="59" t="n">
        <v>0</v>
      </c>
      <c r="AR1037" s="155" t="n"/>
    </row>
    <row r="1038">
      <c r="A1038" s="50" t="n"/>
      <c r="B1038" s="51" t="n"/>
      <c r="C1038" s="156" t="inlineStr">
        <is>
          <t>Wrangler</t>
        </is>
      </c>
      <c r="D1038" s="156" t="n"/>
      <c r="E1038" s="156" t="n"/>
      <c r="F1038" s="156" t="inlineStr">
        <is>
          <t>Talla única</t>
        </is>
      </c>
      <c r="G1038" s="156" t="inlineStr">
        <is>
          <t>One Size</t>
        </is>
      </c>
      <c r="H1038" s="156" t="inlineStr">
        <is>
          <t>Wrangler</t>
        </is>
      </c>
      <c r="I1038" s="156" t="inlineStr">
        <is>
          <t>Bolsa Tote Cruzada Wrangler Estampado De Vaca Con Compartimento Oculto</t>
        </is>
      </c>
      <c r="J1038" s="156" t="inlineStr">
        <is>
          <t>Accesorios</t>
        </is>
      </c>
      <c r="K1038" s="156" t="inlineStr">
        <is>
          <t>Bolsos</t>
        </is>
      </c>
      <c r="L1038" s="156" t="inlineStr">
        <is>
          <t>Unisex</t>
        </is>
      </c>
      <c r="M1038" s="156" t="inlineStr">
        <is>
          <t>Wrangler</t>
        </is>
      </c>
      <c r="N1038" s="156" t="n"/>
      <c r="O1038" s="156" t="n"/>
      <c r="P1038" s="156" t="inlineStr">
        <is>
          <t>Varios</t>
        </is>
      </c>
      <c r="Q1038" s="156" t="n"/>
      <c r="R1038" s="156" t="n"/>
      <c r="S1038" s="156" t="n"/>
      <c r="T1038" s="156" t="inlineStr">
        <is>
          <t>Bolsa Tote Cruzada</t>
        </is>
      </c>
      <c r="U1038" s="156" t="inlineStr">
        <is>
          <t>México</t>
        </is>
      </c>
      <c r="V1038" s="156" t="inlineStr">
        <is>
          <t>PZS</t>
        </is>
      </c>
      <c r="W1038" s="51" t="inlineStr">
        <is>
          <t>53121601</t>
        </is>
      </c>
      <c r="X1038" s="156" t="n"/>
      <c r="Y1038" s="54" t="n"/>
      <c r="Z1038" s="54" t="n">
        <v>779</v>
      </c>
      <c r="AA1038" s="55">
        <f>IF(AND(A1038="", B1038="", E1038=""), "", IF(AB1038="", "Válido", IF((LEN(AB1038)-LEN(SUBSTITUTE(AB1038,"; ","")))/2+1&gt;(LEN(AB1038)-LEN(SUBSTITUTE(AB1038,"[Aviso]","")))/7, "Con Incidencias", "Válido")))</f>
        <v/>
      </c>
      <c r="AB1038" s="56">
        <f>IF(AND(A1038="", B1038="", E1038=""), "", TEXTJOIN("; ", TRUE, IF(OR(TRIM(A1038&amp;"")="", ISNUMBER(SEARCH("FALTA", A1038))), "UPC faltante/inválido", ""), IF(AND(A1038&lt;&gt;"", IFERROR(_xlfn.XMATCH(A1038,$A$2:$A$1063,0,1)&lt;&gt;_xlfn.XMATCH(A1038,$A$2:$A$1063,0,-1),FALSE)), "Código de barras duplicado", ""), IF(AND(E1038&lt;&gt;"", COUNTIF($E$2:$E$1063, E1038)&gt;1), "SKU duplicado", ""), IF(OR(J1038="", J1038=""), "[Aviso] División no capturada ()", IF(ISNA(MATCH(J1038, Criterios!$A$123:$A$126, 0)), "División no válida", "")), IF(OR(K1038="", K1038=""), "[Aviso] Categoría no capturada ()", IF(ISNA(MATCH(K1038, Criterios!$A$81:$A$120, 0)), "Categoría no válida", IF(AND(J1038&lt;&gt;"", J1038&lt;&gt;"", J1038&lt;&gt;VLOOKUP(K1038, Criterios!$A$81:$B$120, 2, FALSE)), "División no coincide con Categoría", ""))), IF(OR(L1038="", L1038=""), "[Aviso] Género no capturado ()", IF(ISNA(MATCH(L1038, Criterios!$B$123:$B$127, 0)), "Género no válido", "")), IF(OR(N1038="", N1038=""), "[Aviso] Temporada no capturada ()", IF(ISNA(MATCH(N1038, Criterios!$C$123:$C$128, 0)), "Temporada no válida", "")), IF(OR(O1038="", O1038=""), "[Aviso] Ciclo de vida no capturado ()", IF(ISNA(MATCH(O1038, Criterios!$D$123:$D$124, 0)), "Ciclo de vida no válido", ""))))</f>
        <v/>
      </c>
      <c r="AC1038" s="56" t="n"/>
      <c r="AD1038" s="51" t="n"/>
      <c r="AE1038" s="156" t="n"/>
      <c r="AF1038" s="51" t="n"/>
      <c r="AG1038" s="156" t="inlineStr">
        <is>
          <t>Nuevo – Odoo Universal Unique Brands 01/10/2026</t>
        </is>
      </c>
      <c r="AH1038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38" s="156" t="n"/>
      <c r="AJ1038" s="156" t="n"/>
      <c r="AK1038" s="155" t="inlineStr">
        <is>
          <t>Odoo: producto 19031 / plantilla 23384</t>
        </is>
      </c>
      <c r="AL1038" s="58" t="n"/>
      <c r="AM1038" s="58" t="n"/>
      <c r="AN1038" s="155" t="inlineStr">
        <is>
          <t>Odoo Universal Unique Brands</t>
        </is>
      </c>
      <c r="AO1038" s="59" t="n"/>
      <c r="AP1038" s="59" t="n"/>
      <c r="AQ1038" s="59" t="n">
        <v>0</v>
      </c>
      <c r="AR1038" s="155" t="n"/>
    </row>
    <row r="1039">
      <c r="A1039" s="50" t="n"/>
      <c r="B1039" s="51" t="n"/>
      <c r="C1039" s="156" t="inlineStr">
        <is>
          <t>Wrangler</t>
        </is>
      </c>
      <c r="D1039" s="156" t="n"/>
      <c r="E1039" s="156" t="n"/>
      <c r="F1039" s="156" t="inlineStr">
        <is>
          <t>Talla única</t>
        </is>
      </c>
      <c r="G1039" s="156" t="inlineStr">
        <is>
          <t>One Size</t>
        </is>
      </c>
      <c r="H1039" s="156" t="inlineStr">
        <is>
          <t>Wrangler</t>
        </is>
      </c>
      <c r="I1039" s="156" t="inlineStr">
        <is>
          <t>Bolsa Tote Cruzada Wrangler Estampado Grabado Patrón Azteca Con Compartimento Oculto</t>
        </is>
      </c>
      <c r="J1039" s="156" t="inlineStr">
        <is>
          <t>Accesorios</t>
        </is>
      </c>
      <c r="K1039" s="156" t="inlineStr">
        <is>
          <t>Bolsos</t>
        </is>
      </c>
      <c r="L1039" s="156" t="inlineStr">
        <is>
          <t>Unisex</t>
        </is>
      </c>
      <c r="M1039" s="156" t="inlineStr">
        <is>
          <t>Wrangler</t>
        </is>
      </c>
      <c r="N1039" s="156" t="n"/>
      <c r="O1039" s="156" t="n"/>
      <c r="P1039" s="156" t="inlineStr">
        <is>
          <t>Varios</t>
        </is>
      </c>
      <c r="Q1039" s="156" t="n"/>
      <c r="R1039" s="156" t="n"/>
      <c r="S1039" s="156" t="n"/>
      <c r="T1039" s="156" t="inlineStr">
        <is>
          <t>Bolsa Tote Cruzada</t>
        </is>
      </c>
      <c r="U1039" s="156" t="inlineStr">
        <is>
          <t>México</t>
        </is>
      </c>
      <c r="V1039" s="156" t="inlineStr">
        <is>
          <t>PZS</t>
        </is>
      </c>
      <c r="W1039" s="51" t="inlineStr">
        <is>
          <t>53121600</t>
        </is>
      </c>
      <c r="X1039" s="156" t="n"/>
      <c r="Y1039" s="54" t="n"/>
      <c r="Z1039" s="54" t="n">
        <v>809</v>
      </c>
      <c r="AA1039" s="55">
        <f>IF(AND(A1039="", B1039="", E1039=""), "", IF(AB1039="", "Válido", IF((LEN(AB1039)-LEN(SUBSTITUTE(AB1039,"; ","")))/2+1&gt;(LEN(AB1039)-LEN(SUBSTITUTE(AB1039,"[Aviso]","")))/7, "Con Incidencias", "Válido")))</f>
        <v/>
      </c>
      <c r="AB1039" s="56">
        <f>IF(AND(A1039="", B1039="", E1039=""), "", TEXTJOIN("; ", TRUE, IF(OR(TRIM(A1039&amp;"")="", ISNUMBER(SEARCH("FALTA", A1039))), "UPC faltante/inválido", ""), IF(AND(A1039&lt;&gt;"", IFERROR(_xlfn.XMATCH(A1039,$A$2:$A$1063,0,1)&lt;&gt;_xlfn.XMATCH(A1039,$A$2:$A$1063,0,-1),FALSE)), "Código de barras duplicado", ""), IF(AND(E1039&lt;&gt;"", COUNTIF($E$2:$E$1063, E1039)&gt;1), "SKU duplicado", ""), IF(OR(J1039="", J1039=""), "[Aviso] División no capturada ()", IF(ISNA(MATCH(J1039, Criterios!$A$123:$A$126, 0)), "División no válida", "")), IF(OR(K1039="", K1039=""), "[Aviso] Categoría no capturada ()", IF(ISNA(MATCH(K1039, Criterios!$A$81:$A$120, 0)), "Categoría no válida", IF(AND(J1039&lt;&gt;"", J1039&lt;&gt;"", J1039&lt;&gt;VLOOKUP(K1039, Criterios!$A$81:$B$120, 2, FALSE)), "División no coincide con Categoría", ""))), IF(OR(L1039="", L1039=""), "[Aviso] Género no capturado ()", IF(ISNA(MATCH(L1039, Criterios!$B$123:$B$127, 0)), "Género no válido", "")), IF(OR(N1039="", N1039=""), "[Aviso] Temporada no capturada ()", IF(ISNA(MATCH(N1039, Criterios!$C$123:$C$128, 0)), "Temporada no válida", "")), IF(OR(O1039="", O1039=""), "[Aviso] Ciclo de vida no capturado ()", IF(ISNA(MATCH(O1039, Criterios!$D$123:$D$124, 0)), "Ciclo de vida no válido", ""))))</f>
        <v/>
      </c>
      <c r="AC1039" s="56" t="n"/>
      <c r="AD1039" s="51" t="n"/>
      <c r="AE1039" s="156" t="n"/>
      <c r="AF1039" s="51" t="n"/>
      <c r="AG1039" s="156" t="inlineStr">
        <is>
          <t>Nuevo – Odoo Universal Unique Brands 01/10/2026</t>
        </is>
      </c>
      <c r="AH1039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39" s="156" t="n"/>
      <c r="AJ1039" s="156" t="n"/>
      <c r="AK1039" s="155" t="inlineStr">
        <is>
          <t>Odoo: producto 18053 / plantilla 22406</t>
        </is>
      </c>
      <c r="AL1039" s="58" t="n"/>
      <c r="AM1039" s="58" t="n"/>
      <c r="AN1039" s="155" t="inlineStr">
        <is>
          <t>Odoo Universal Unique Brands</t>
        </is>
      </c>
      <c r="AO1039" s="59" t="n"/>
      <c r="AP1039" s="59" t="n"/>
      <c r="AQ1039" s="59" t="n">
        <v>0</v>
      </c>
      <c r="AR1039" s="155" t="n"/>
    </row>
    <row r="1040">
      <c r="A1040" s="50" t="n"/>
      <c r="B1040" s="51" t="n"/>
      <c r="C1040" s="156" t="inlineStr">
        <is>
          <t>Wrangler</t>
        </is>
      </c>
      <c r="D1040" s="156" t="n"/>
      <c r="E1040" s="156" t="n"/>
      <c r="F1040" s="156" t="inlineStr">
        <is>
          <t>Talla única</t>
        </is>
      </c>
      <c r="G1040" s="156" t="inlineStr">
        <is>
          <t>One Size</t>
        </is>
      </c>
      <c r="H1040" s="156" t="inlineStr">
        <is>
          <t>Wrangler</t>
        </is>
      </c>
      <c r="I1040" s="156" t="inlineStr">
        <is>
          <t>Bolsa Tote Cruzada Wrangler Estampado Suroeste Doble Cara</t>
        </is>
      </c>
      <c r="J1040" s="156" t="inlineStr">
        <is>
          <t>Accesorios</t>
        </is>
      </c>
      <c r="K1040" s="156" t="inlineStr">
        <is>
          <t>Bolsos</t>
        </is>
      </c>
      <c r="L1040" s="156" t="inlineStr">
        <is>
          <t>Unisex</t>
        </is>
      </c>
      <c r="M1040" s="156" t="inlineStr">
        <is>
          <t>Wrangler</t>
        </is>
      </c>
      <c r="N1040" s="156" t="n"/>
      <c r="O1040" s="156" t="n"/>
      <c r="P1040" s="156" t="inlineStr">
        <is>
          <t>Varios</t>
        </is>
      </c>
      <c r="Q1040" s="156" t="n"/>
      <c r="R1040" s="156" t="n"/>
      <c r="S1040" s="156" t="n"/>
      <c r="T1040" s="156" t="inlineStr">
        <is>
          <t>Bolsa Tote Cruzada</t>
        </is>
      </c>
      <c r="U1040" s="156" t="inlineStr">
        <is>
          <t>México</t>
        </is>
      </c>
      <c r="V1040" s="156" t="inlineStr">
        <is>
          <t>PZS</t>
        </is>
      </c>
      <c r="W1040" s="51" t="inlineStr">
        <is>
          <t>53121600</t>
        </is>
      </c>
      <c r="X1040" s="156" t="n"/>
      <c r="Y1040" s="54" t="n"/>
      <c r="Z1040" s="54" t="n">
        <v>26</v>
      </c>
      <c r="AA1040" s="55">
        <f>IF(AND(A1040="", B1040="", E1040=""), "", IF(AB1040="", "Válido", IF((LEN(AB1040)-LEN(SUBSTITUTE(AB1040,"; ","")))/2+1&gt;(LEN(AB1040)-LEN(SUBSTITUTE(AB1040,"[Aviso]","")))/7, "Con Incidencias", "Válido")))</f>
        <v/>
      </c>
      <c r="AB1040" s="56">
        <f>IF(AND(A1040="", B1040="", E1040=""), "", TEXTJOIN("; ", TRUE, IF(OR(TRIM(A1040&amp;"")="", ISNUMBER(SEARCH("FALTA", A1040))), "UPC faltante/inválido", ""), IF(AND(A1040&lt;&gt;"", IFERROR(_xlfn.XMATCH(A1040,$A$2:$A$1063,0,1)&lt;&gt;_xlfn.XMATCH(A1040,$A$2:$A$1063,0,-1),FALSE)), "Código de barras duplicado", ""), IF(AND(E1040&lt;&gt;"", COUNTIF($E$2:$E$1063, E1040)&gt;1), "SKU duplicado", ""), IF(OR(J1040="", J1040=""), "[Aviso] División no capturada ()", IF(ISNA(MATCH(J1040, Criterios!$A$123:$A$126, 0)), "División no válida", "")), IF(OR(K1040="", K1040=""), "[Aviso] Categoría no capturada ()", IF(ISNA(MATCH(K1040, Criterios!$A$81:$A$120, 0)), "Categoría no válida", IF(AND(J1040&lt;&gt;"", J1040&lt;&gt;"", J1040&lt;&gt;VLOOKUP(K1040, Criterios!$A$81:$B$120, 2, FALSE)), "División no coincide con Categoría", ""))), IF(OR(L1040="", L1040=""), "[Aviso] Género no capturado ()", IF(ISNA(MATCH(L1040, Criterios!$B$123:$B$127, 0)), "Género no válido", "")), IF(OR(N1040="", N1040=""), "[Aviso] Temporada no capturada ()", IF(ISNA(MATCH(N1040, Criterios!$C$123:$C$128, 0)), "Temporada no válida", "")), IF(OR(O1040="", O1040=""), "[Aviso] Ciclo de vida no capturado ()", IF(ISNA(MATCH(O1040, Criterios!$D$123:$D$124, 0)), "Ciclo de vida no válido", ""))))</f>
        <v/>
      </c>
      <c r="AC1040" s="56" t="n"/>
      <c r="AD1040" s="51" t="n"/>
      <c r="AE1040" s="156" t="n"/>
      <c r="AF1040" s="51" t="n"/>
      <c r="AG1040" s="156" t="inlineStr">
        <is>
          <t>Nuevo – Odoo Universal Unique Brands 01/10/2026</t>
        </is>
      </c>
      <c r="AH1040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40" s="156" t="n"/>
      <c r="AJ1040" s="156" t="n"/>
      <c r="AK1040" s="155" t="inlineStr">
        <is>
          <t>Odoo: producto 18047 / plantilla 22400</t>
        </is>
      </c>
      <c r="AL1040" s="58" t="n"/>
      <c r="AM1040" s="58" t="n"/>
      <c r="AN1040" s="155" t="inlineStr">
        <is>
          <t>Odoo Universal Unique Brands</t>
        </is>
      </c>
      <c r="AO1040" s="59" t="n"/>
      <c r="AP1040" s="59" t="n"/>
      <c r="AQ1040" s="59" t="n">
        <v>0</v>
      </c>
      <c r="AR1040" s="155" t="n"/>
    </row>
    <row r="1041">
      <c r="A1041" s="50" t="n"/>
      <c r="B1041" s="51" t="n"/>
      <c r="C1041" s="156" t="inlineStr">
        <is>
          <t>Wrangler</t>
        </is>
      </c>
      <c r="D1041" s="156" t="n"/>
      <c r="E1041" s="156" t="n"/>
      <c r="F1041" s="156" t="inlineStr">
        <is>
          <t>Talla única</t>
        </is>
      </c>
      <c r="G1041" s="156" t="inlineStr">
        <is>
          <t>One Size</t>
        </is>
      </c>
      <c r="H1041" s="156" t="inlineStr">
        <is>
          <t>Wrangler</t>
        </is>
      </c>
      <c r="I1041" s="156" t="inlineStr">
        <is>
          <t>Bolsa Tote Cruzada Wrangler Estampado Vaquero Rosa Oscuro</t>
        </is>
      </c>
      <c r="J1041" s="156" t="inlineStr">
        <is>
          <t>Accesorios</t>
        </is>
      </c>
      <c r="K1041" s="156" t="inlineStr">
        <is>
          <t>Bolsos</t>
        </is>
      </c>
      <c r="L1041" s="156" t="inlineStr">
        <is>
          <t>Unisex</t>
        </is>
      </c>
      <c r="M1041" s="156" t="inlineStr">
        <is>
          <t>Wrangler</t>
        </is>
      </c>
      <c r="N1041" s="156" t="n"/>
      <c r="O1041" s="156" t="n"/>
      <c r="P1041" s="156" t="inlineStr">
        <is>
          <t>Rosa</t>
        </is>
      </c>
      <c r="Q1041" s="156" t="n"/>
      <c r="R1041" s="156" t="n"/>
      <c r="S1041" s="156" t="n"/>
      <c r="T1041" s="156" t="inlineStr">
        <is>
          <t>Bolsa Tote Cruzada</t>
        </is>
      </c>
      <c r="U1041" s="156" t="inlineStr">
        <is>
          <t>México</t>
        </is>
      </c>
      <c r="V1041" s="156" t="inlineStr">
        <is>
          <t>PZS</t>
        </is>
      </c>
      <c r="W1041" s="51" t="inlineStr">
        <is>
          <t>53121600</t>
        </is>
      </c>
      <c r="X1041" s="156" t="n"/>
      <c r="Y1041" s="54" t="n"/>
      <c r="Z1041" s="54" t="n">
        <v>779</v>
      </c>
      <c r="AA1041" s="55">
        <f>IF(AND(A1041="", B1041="", E1041=""), "", IF(AB1041="", "Válido", IF((LEN(AB1041)-LEN(SUBSTITUTE(AB1041,"; ","")))/2+1&gt;(LEN(AB1041)-LEN(SUBSTITUTE(AB1041,"[Aviso]","")))/7, "Con Incidencias", "Válido")))</f>
        <v/>
      </c>
      <c r="AB1041" s="56">
        <f>IF(AND(A1041="", B1041="", E1041=""), "", TEXTJOIN("; ", TRUE, IF(OR(TRIM(A1041&amp;"")="", ISNUMBER(SEARCH("FALTA", A1041))), "UPC faltante/inválido", ""), IF(AND(A1041&lt;&gt;"", IFERROR(_xlfn.XMATCH(A1041,$A$2:$A$1063,0,1)&lt;&gt;_xlfn.XMATCH(A1041,$A$2:$A$1063,0,-1),FALSE)), "Código de barras duplicado", ""), IF(AND(E1041&lt;&gt;"", COUNTIF($E$2:$E$1063, E1041)&gt;1), "SKU duplicado", ""), IF(OR(J1041="", J1041=""), "[Aviso] División no capturada ()", IF(ISNA(MATCH(J1041, Criterios!$A$123:$A$126, 0)), "División no válida", "")), IF(OR(K1041="", K1041=""), "[Aviso] Categoría no capturada ()", IF(ISNA(MATCH(K1041, Criterios!$A$81:$A$120, 0)), "Categoría no válida", IF(AND(J1041&lt;&gt;"", J1041&lt;&gt;"", J1041&lt;&gt;VLOOKUP(K1041, Criterios!$A$81:$B$120, 2, FALSE)), "División no coincide con Categoría", ""))), IF(OR(L1041="", L1041=""), "[Aviso] Género no capturado ()", IF(ISNA(MATCH(L1041, Criterios!$B$123:$B$127, 0)), "Género no válido", "")), IF(OR(N1041="", N1041=""), "[Aviso] Temporada no capturada ()", IF(ISNA(MATCH(N1041, Criterios!$C$123:$C$128, 0)), "Temporada no válida", "")), IF(OR(O1041="", O1041=""), "[Aviso] Ciclo de vida no capturado ()", IF(ISNA(MATCH(O1041, Criterios!$D$123:$D$124, 0)), "Ciclo de vida no válido", ""))))</f>
        <v/>
      </c>
      <c r="AC1041" s="56" t="n"/>
      <c r="AD1041" s="51" t="n"/>
      <c r="AE1041" s="156" t="n"/>
      <c r="AF1041" s="51" t="n"/>
      <c r="AG1041" s="156" t="inlineStr">
        <is>
          <t>Nuevo – Odoo Universal Unique Brands 01/10/2026</t>
        </is>
      </c>
      <c r="AH1041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41" s="156" t="n"/>
      <c r="AJ1041" s="156" t="n"/>
      <c r="AK1041" s="155" t="inlineStr">
        <is>
          <t>Odoo: producto 18050 / plantilla 22403</t>
        </is>
      </c>
      <c r="AL1041" s="58" t="n"/>
      <c r="AM1041" s="58" t="n"/>
      <c r="AN1041" s="155" t="inlineStr">
        <is>
          <t>Odoo Universal Unique Brands</t>
        </is>
      </c>
      <c r="AO1041" s="59" t="n"/>
      <c r="AP1041" s="59" t="n"/>
      <c r="AQ1041" s="59" t="n">
        <v>0</v>
      </c>
      <c r="AR1041" s="155" t="n"/>
    </row>
    <row r="1042">
      <c r="A1042" s="50" t="n"/>
      <c r="B1042" s="51" t="n"/>
      <c r="C1042" s="156" t="inlineStr">
        <is>
          <t>Wrangler</t>
        </is>
      </c>
      <c r="D1042" s="156" t="n"/>
      <c r="E1042" s="156" t="n"/>
      <c r="F1042" s="156" t="inlineStr">
        <is>
          <t>Talla única</t>
        </is>
      </c>
      <c r="G1042" s="156" t="inlineStr">
        <is>
          <t>One Size</t>
        </is>
      </c>
      <c r="H1042" s="156" t="inlineStr">
        <is>
          <t>Wrangler</t>
        </is>
      </c>
      <c r="I1042" s="156" t="inlineStr">
        <is>
          <t>Bolsa Tote Cruzada Wrangler Sherpa Estampado Suroeste De Lona Chica</t>
        </is>
      </c>
      <c r="J1042" s="156" t="inlineStr">
        <is>
          <t>Accesorios</t>
        </is>
      </c>
      <c r="K1042" s="156" t="inlineStr">
        <is>
          <t>Bolsos</t>
        </is>
      </c>
      <c r="L1042" s="156" t="inlineStr">
        <is>
          <t>Unisex</t>
        </is>
      </c>
      <c r="M1042" s="156" t="inlineStr">
        <is>
          <t>Wrangler</t>
        </is>
      </c>
      <c r="N1042" s="156" t="n"/>
      <c r="O1042" s="156" t="n"/>
      <c r="P1042" s="156" t="inlineStr">
        <is>
          <t>Varios</t>
        </is>
      </c>
      <c r="Q1042" s="156" t="n"/>
      <c r="R1042" s="156" t="n"/>
      <c r="S1042" s="156" t="n"/>
      <c r="T1042" s="156" t="inlineStr">
        <is>
          <t>Bolsa Tote Cruzada</t>
        </is>
      </c>
      <c r="U1042" s="156" t="inlineStr">
        <is>
          <t>México</t>
        </is>
      </c>
      <c r="V1042" s="156" t="inlineStr">
        <is>
          <t>PZS</t>
        </is>
      </c>
      <c r="W1042" s="51" t="inlineStr">
        <is>
          <t>53121601</t>
        </is>
      </c>
      <c r="X1042" s="156" t="n"/>
      <c r="Y1042" s="54" t="n"/>
      <c r="Z1042" s="54" t="n">
        <v>739</v>
      </c>
      <c r="AA1042" s="55">
        <f>IF(AND(A1042="", B1042="", E1042=""), "", IF(AB1042="", "Válido", IF((LEN(AB1042)-LEN(SUBSTITUTE(AB1042,"; ","")))/2+1&gt;(LEN(AB1042)-LEN(SUBSTITUTE(AB1042,"[Aviso]","")))/7, "Con Incidencias", "Válido")))</f>
        <v/>
      </c>
      <c r="AB1042" s="56">
        <f>IF(AND(A1042="", B1042="", E1042=""), "", TEXTJOIN("; ", TRUE, IF(OR(TRIM(A1042&amp;"")="", ISNUMBER(SEARCH("FALTA", A1042))), "UPC faltante/inválido", ""), IF(AND(A1042&lt;&gt;"", IFERROR(_xlfn.XMATCH(A1042,$A$2:$A$1063,0,1)&lt;&gt;_xlfn.XMATCH(A1042,$A$2:$A$1063,0,-1),FALSE)), "Código de barras duplicado", ""), IF(AND(E1042&lt;&gt;"", COUNTIF($E$2:$E$1063, E1042)&gt;1), "SKU duplicado", ""), IF(OR(J1042="", J1042=""), "[Aviso] División no capturada ()", IF(ISNA(MATCH(J1042, Criterios!$A$123:$A$126, 0)), "División no válida", "")), IF(OR(K1042="", K1042=""), "[Aviso] Categoría no capturada ()", IF(ISNA(MATCH(K1042, Criterios!$A$81:$A$120, 0)), "Categoría no válida", IF(AND(J1042&lt;&gt;"", J1042&lt;&gt;"", J1042&lt;&gt;VLOOKUP(K1042, Criterios!$A$81:$B$120, 2, FALSE)), "División no coincide con Categoría", ""))), IF(OR(L1042="", L1042=""), "[Aviso] Género no capturado ()", IF(ISNA(MATCH(L1042, Criterios!$B$123:$B$127, 0)), "Género no válido", "")), IF(OR(N1042="", N1042=""), "[Aviso] Temporada no capturada ()", IF(ISNA(MATCH(N1042, Criterios!$C$123:$C$128, 0)), "Temporada no válida", "")), IF(OR(O1042="", O1042=""), "[Aviso] Ciclo de vida no capturado ()", IF(ISNA(MATCH(O1042, Criterios!$D$123:$D$124, 0)), "Ciclo de vida no válido", ""))))</f>
        <v/>
      </c>
      <c r="AC1042" s="56" t="n"/>
      <c r="AD1042" s="51" t="n"/>
      <c r="AE1042" s="156" t="n"/>
      <c r="AF1042" s="51" t="n"/>
      <c r="AG1042" s="156" t="inlineStr">
        <is>
          <t>Nuevo – Odoo Universal Unique Brands 01/10/2026</t>
        </is>
      </c>
      <c r="AH1042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42" s="156" t="n"/>
      <c r="AJ1042" s="156" t="n"/>
      <c r="AK1042" s="155" t="inlineStr">
        <is>
          <t>Odoo: producto 15420 / plantilla 19773</t>
        </is>
      </c>
      <c r="AL1042" s="58" t="n"/>
      <c r="AM1042" s="58" t="n"/>
      <c r="AN1042" s="155" t="inlineStr">
        <is>
          <t>Odoo Universal Unique Brands</t>
        </is>
      </c>
      <c r="AO1042" s="59" t="n"/>
      <c r="AP1042" s="59" t="n"/>
      <c r="AQ1042" s="59" t="n">
        <v>0</v>
      </c>
      <c r="AR1042" s="155" t="n"/>
    </row>
    <row r="1043">
      <c r="A1043" s="50" t="n"/>
      <c r="B1043" s="51" t="n"/>
      <c r="C1043" s="156" t="inlineStr">
        <is>
          <t>Wrangler</t>
        </is>
      </c>
      <c r="D1043" s="156" t="n"/>
      <c r="E1043" s="156" t="n"/>
      <c r="F1043" s="156" t="inlineStr">
        <is>
          <t>Talla única</t>
        </is>
      </c>
      <c r="G1043" s="156" t="inlineStr">
        <is>
          <t>One Size</t>
        </is>
      </c>
      <c r="H1043" s="156" t="inlineStr">
        <is>
          <t>Wrangler</t>
        </is>
      </c>
      <c r="I1043" s="156" t="inlineStr">
        <is>
          <t>Bolsa Tote Grande Wrangler Estampado Grabado Patrón Azteca Con Compartimento Oculto</t>
        </is>
      </c>
      <c r="J1043" s="156" t="inlineStr">
        <is>
          <t>Accesorios</t>
        </is>
      </c>
      <c r="K1043" s="156" t="inlineStr">
        <is>
          <t>Bolsos</t>
        </is>
      </c>
      <c r="L1043" s="156" t="inlineStr">
        <is>
          <t>Unisex</t>
        </is>
      </c>
      <c r="M1043" s="156" t="inlineStr">
        <is>
          <t>Wrangler</t>
        </is>
      </c>
      <c r="N1043" s="156" t="n"/>
      <c r="O1043" s="156" t="n"/>
      <c r="P1043" s="156" t="inlineStr">
        <is>
          <t>Varios</t>
        </is>
      </c>
      <c r="Q1043" s="156" t="n"/>
      <c r="R1043" s="156" t="n"/>
      <c r="S1043" s="156" t="n"/>
      <c r="T1043" s="156" t="inlineStr">
        <is>
          <t>Bolsa Tote Grande</t>
        </is>
      </c>
      <c r="U1043" s="156" t="inlineStr">
        <is>
          <t>México</t>
        </is>
      </c>
      <c r="V1043" s="156" t="inlineStr">
        <is>
          <t>PZS</t>
        </is>
      </c>
      <c r="W1043" s="51" t="inlineStr">
        <is>
          <t>53121601</t>
        </is>
      </c>
      <c r="X1043" s="156" t="n"/>
      <c r="Y1043" s="54" t="n"/>
      <c r="Z1043" s="54" t="n">
        <v>889</v>
      </c>
      <c r="AA1043" s="55">
        <f>IF(AND(A1043="", B1043="", E1043=""), "", IF(AB1043="", "Válido", IF((LEN(AB1043)-LEN(SUBSTITUTE(AB1043,"; ","")))/2+1&gt;(LEN(AB1043)-LEN(SUBSTITUTE(AB1043,"[Aviso]","")))/7, "Con Incidencias", "Válido")))</f>
        <v/>
      </c>
      <c r="AB1043" s="56">
        <f>IF(AND(A1043="", B1043="", E1043=""), "", TEXTJOIN("; ", TRUE, IF(OR(TRIM(A1043&amp;"")="", ISNUMBER(SEARCH("FALTA", A1043))), "UPC faltante/inválido", ""), IF(AND(A1043&lt;&gt;"", IFERROR(_xlfn.XMATCH(A1043,$A$2:$A$1063,0,1)&lt;&gt;_xlfn.XMATCH(A1043,$A$2:$A$1063,0,-1),FALSE)), "Código de barras duplicado", ""), IF(AND(E1043&lt;&gt;"", COUNTIF($E$2:$E$1063, E1043)&gt;1), "SKU duplicado", ""), IF(OR(J1043="", J1043=""), "[Aviso] División no capturada ()", IF(ISNA(MATCH(J1043, Criterios!$A$123:$A$126, 0)), "División no válida", "")), IF(OR(K1043="", K1043=""), "[Aviso] Categoría no capturada ()", IF(ISNA(MATCH(K1043, Criterios!$A$81:$A$120, 0)), "Categoría no válida", IF(AND(J1043&lt;&gt;"", J1043&lt;&gt;"", J1043&lt;&gt;VLOOKUP(K1043, Criterios!$A$81:$B$120, 2, FALSE)), "División no coincide con Categoría", ""))), IF(OR(L1043="", L1043=""), "[Aviso] Género no capturado ()", IF(ISNA(MATCH(L1043, Criterios!$B$123:$B$127, 0)), "Género no válido", "")), IF(OR(N1043="", N1043=""), "[Aviso] Temporada no capturada ()", IF(ISNA(MATCH(N1043, Criterios!$C$123:$C$128, 0)), "Temporada no válida", "")), IF(OR(O1043="", O1043=""), "[Aviso] Ciclo de vida no capturado ()", IF(ISNA(MATCH(O1043, Criterios!$D$123:$D$124, 0)), "Ciclo de vida no válido", ""))))</f>
        <v/>
      </c>
      <c r="AC1043" s="56" t="n"/>
      <c r="AD1043" s="51" t="n"/>
      <c r="AE1043" s="156" t="n"/>
      <c r="AF1043" s="51" t="n"/>
      <c r="AG1043" s="156" t="inlineStr">
        <is>
          <t>Nuevo – Odoo Universal Unique Brands 01/10/2026</t>
        </is>
      </c>
      <c r="AH1043" s="156" t="inlineStr">
        <is>
          <t>01/10/2026: alta desde Odoo Universal Unique Brands (no existía en Productos por código de barras ni SKU) | Sin código de barras ni SKU en la plataforma: capturar antes de usarlo en escaneo | Categoría: Palabra clave "Bolso" en tipo/categoría de la fuente (Accesorios / Bolsos / Bolsa tote);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43" s="156" t="n"/>
      <c r="AJ1043" s="156" t="n"/>
      <c r="AK1043" s="155" t="inlineStr">
        <is>
          <t>Odoo: producto 19141 / plantilla 23494</t>
        </is>
      </c>
      <c r="AL1043" s="58" t="n"/>
      <c r="AM1043" s="58" t="n"/>
      <c r="AN1043" s="155" t="inlineStr">
        <is>
          <t>Odoo Universal Unique Brands</t>
        </is>
      </c>
      <c r="AO1043" s="59" t="n"/>
      <c r="AP1043" s="59" t="n"/>
      <c r="AQ1043" s="59" t="n">
        <v>0</v>
      </c>
      <c r="AR1043" s="155" t="n"/>
    </row>
    <row r="1044">
      <c r="A1044" s="50" t="n"/>
      <c r="B1044" s="51" t="n"/>
      <c r="C1044" s="156" t="inlineStr">
        <is>
          <t>Wrangler</t>
        </is>
      </c>
      <c r="D1044" s="156" t="n"/>
      <c r="E1044" s="156" t="n"/>
      <c r="F1044" s="156" t="inlineStr">
        <is>
          <t>Talla única</t>
        </is>
      </c>
      <c r="G1044" s="156" t="inlineStr">
        <is>
          <t>One Size</t>
        </is>
      </c>
      <c r="H1044" s="156" t="inlineStr">
        <is>
          <t>Wrangler</t>
        </is>
      </c>
      <c r="I1044" s="156" t="inlineStr">
        <is>
          <t>Bolsa Tote Mini Cruzada Wrangler Estampado Suroeste Doble Cara</t>
        </is>
      </c>
      <c r="J1044" s="156" t="inlineStr">
        <is>
          <t>Accesorios</t>
        </is>
      </c>
      <c r="K1044" s="156" t="inlineStr">
        <is>
          <t>Bolsos</t>
        </is>
      </c>
      <c r="L1044" s="156" t="inlineStr">
        <is>
          <t>Unisex</t>
        </is>
      </c>
      <c r="M1044" s="156" t="inlineStr">
        <is>
          <t>Wrangler</t>
        </is>
      </c>
      <c r="N1044" s="156" t="n"/>
      <c r="O1044" s="156" t="n"/>
      <c r="P1044" s="156" t="inlineStr">
        <is>
          <t>Varios</t>
        </is>
      </c>
      <c r="Q1044" s="156" t="n"/>
      <c r="R1044" s="156" t="n"/>
      <c r="S1044" s="156" t="n"/>
      <c r="T1044" s="156" t="inlineStr">
        <is>
          <t>Bolsa Tote Mini Cruzada</t>
        </is>
      </c>
      <c r="U1044" s="156" t="inlineStr">
        <is>
          <t>México</t>
        </is>
      </c>
      <c r="V1044" s="156" t="inlineStr">
        <is>
          <t>PZS</t>
        </is>
      </c>
      <c r="W1044" s="51" t="inlineStr">
        <is>
          <t>53121601</t>
        </is>
      </c>
      <c r="X1044" s="156" t="n"/>
      <c r="Y1044" s="54" t="n"/>
      <c r="Z1044" s="54" t="n">
        <v>499</v>
      </c>
      <c r="AA1044" s="55">
        <f>IF(AND(A1044="", B1044="", E1044=""), "", IF(AB1044="", "Válido", IF((LEN(AB1044)-LEN(SUBSTITUTE(AB1044,"; ","")))/2+1&gt;(LEN(AB1044)-LEN(SUBSTITUTE(AB1044,"[Aviso]","")))/7, "Con Incidencias", "Válido")))</f>
        <v/>
      </c>
      <c r="AB1044" s="56">
        <f>IF(AND(A1044="", B1044="", E1044=""), "", TEXTJOIN("; ", TRUE, IF(OR(TRIM(A1044&amp;"")="", ISNUMBER(SEARCH("FALTA", A1044))), "UPC faltante/inválido", ""), IF(AND(A1044&lt;&gt;"", IFERROR(_xlfn.XMATCH(A1044,$A$2:$A$1063,0,1)&lt;&gt;_xlfn.XMATCH(A1044,$A$2:$A$1063,0,-1),FALSE)), "Código de barras duplicado", ""), IF(AND(E1044&lt;&gt;"", COUNTIF($E$2:$E$1063, E1044)&gt;1), "SKU duplicado", ""), IF(OR(J1044="", J1044=""), "[Aviso] División no capturada ()", IF(ISNA(MATCH(J1044, Criterios!$A$123:$A$126, 0)), "División no válida", "")), IF(OR(K1044="", K1044=""), "[Aviso] Categoría no capturada ()", IF(ISNA(MATCH(K1044, Criterios!$A$81:$A$120, 0)), "Categoría no válida", IF(AND(J1044&lt;&gt;"", J1044&lt;&gt;"", J1044&lt;&gt;VLOOKUP(K1044, Criterios!$A$81:$B$120, 2, FALSE)), "División no coincide con Categoría", ""))), IF(OR(L1044="", L1044=""), "[Aviso] Género no capturado ()", IF(ISNA(MATCH(L1044, Criterios!$B$123:$B$127, 0)), "Género no válido", "")), IF(OR(N1044="", N1044=""), "[Aviso] Temporada no capturada ()", IF(ISNA(MATCH(N1044, Criterios!$C$123:$C$128, 0)), "Temporada no válida", "")), IF(OR(O1044="", O1044=""), "[Aviso] Ciclo de vida no capturado ()", IF(ISNA(MATCH(O1044, Criterios!$D$123:$D$124, 0)), "Ciclo de vida no válido", ""))))</f>
        <v/>
      </c>
      <c r="AC1044" s="56" t="n"/>
      <c r="AD1044" s="51" t="n"/>
      <c r="AE1044" s="156" t="n"/>
      <c r="AF1044" s="51" t="n"/>
      <c r="AG1044" s="156" t="inlineStr">
        <is>
          <t>Nuevo – Odoo Universal Unique Brands 01/10/2026</t>
        </is>
      </c>
      <c r="AH1044" s="156" t="inlineStr">
        <is>
          <t>01/10/2026: alta desde Odoo Universal Unique Brands (no existía en Productos por código de barras ni SKU) | Sin código de barras ni SKU en la plataforma: capturar antes de usarlo en escaneo | Categoría: Sinónimo "Bolsa" en nombre (fuera de tabla D);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44" s="156" t="n"/>
      <c r="AJ1044" s="156" t="n"/>
      <c r="AK1044" s="155" t="inlineStr">
        <is>
          <t>Odoo: producto 21928 / plantilla 27939</t>
        </is>
      </c>
      <c r="AL1044" s="58" t="n"/>
      <c r="AM1044" s="58" t="n"/>
      <c r="AN1044" s="155" t="inlineStr">
        <is>
          <t>Odoo Universal Unique Brands</t>
        </is>
      </c>
      <c r="AO1044" s="59" t="n"/>
      <c r="AP1044" s="59" t="n"/>
      <c r="AQ1044" s="59" t="n">
        <v>0</v>
      </c>
      <c r="AR1044" s="155" t="n"/>
    </row>
    <row r="1045">
      <c r="A1045" s="50" t="n"/>
      <c r="B1045" s="51" t="n"/>
      <c r="C1045" s="156" t="inlineStr">
        <is>
          <t>Wrangler</t>
        </is>
      </c>
      <c r="D1045" s="156" t="n"/>
      <c r="E1045" s="156" t="n"/>
      <c r="F1045" s="156" t="inlineStr">
        <is>
          <t>Talla única</t>
        </is>
      </c>
      <c r="G1045" s="156" t="inlineStr">
        <is>
          <t>One Size</t>
        </is>
      </c>
      <c r="H1045" s="156" t="inlineStr">
        <is>
          <t>Wrangler</t>
        </is>
      </c>
      <c r="I1045" s="156" t="inlineStr">
        <is>
          <t>Mochila Wrangler Tejida Suroeste</t>
        </is>
      </c>
      <c r="J1045" s="156" t="inlineStr">
        <is>
          <t>Accesorios</t>
        </is>
      </c>
      <c r="K1045" s="156" t="inlineStr">
        <is>
          <t>Mochilas</t>
        </is>
      </c>
      <c r="L1045" s="156" t="inlineStr">
        <is>
          <t>Unisex</t>
        </is>
      </c>
      <c r="M1045" s="156" t="inlineStr">
        <is>
          <t>Wrangler</t>
        </is>
      </c>
      <c r="N1045" s="156" t="n"/>
      <c r="O1045" s="156" t="n"/>
      <c r="P1045" s="156" t="inlineStr">
        <is>
          <t>Varios</t>
        </is>
      </c>
      <c r="Q1045" s="156" t="n"/>
      <c r="R1045" s="156" t="n"/>
      <c r="S1045" s="156" t="n"/>
      <c r="T1045" s="156" t="inlineStr">
        <is>
          <t>Mochila</t>
        </is>
      </c>
      <c r="U1045" s="156" t="inlineStr">
        <is>
          <t>México</t>
        </is>
      </c>
      <c r="V1045" s="156" t="inlineStr">
        <is>
          <t>PZS</t>
        </is>
      </c>
      <c r="W1045" s="51" t="inlineStr">
        <is>
          <t>53121601</t>
        </is>
      </c>
      <c r="X1045" s="156" t="n"/>
      <c r="Y1045" s="54" t="n"/>
      <c r="Z1045" s="54" t="n">
        <v>829</v>
      </c>
      <c r="AA1045" s="55">
        <f>IF(AND(A1045="", B1045="", E1045=""), "", IF(AB1045="", "Válido", IF((LEN(AB1045)-LEN(SUBSTITUTE(AB1045,"; ","")))/2+1&gt;(LEN(AB1045)-LEN(SUBSTITUTE(AB1045,"[Aviso]","")))/7, "Con Incidencias", "Válido")))</f>
        <v/>
      </c>
      <c r="AB1045" s="56">
        <f>IF(AND(A1045="", B1045="", E1045=""), "", TEXTJOIN("; ", TRUE, IF(OR(TRIM(A1045&amp;"")="", ISNUMBER(SEARCH("FALTA", A1045))), "UPC faltante/inválido", ""), IF(AND(A1045&lt;&gt;"", IFERROR(_xlfn.XMATCH(A1045,$A$2:$A$1063,0,1)&lt;&gt;_xlfn.XMATCH(A1045,$A$2:$A$1063,0,-1),FALSE)), "Código de barras duplicado", ""), IF(AND(E1045&lt;&gt;"", COUNTIF($E$2:$E$1063, E1045)&gt;1), "SKU duplicado", ""), IF(OR(J1045="", J1045=""), "[Aviso] División no capturada ()", IF(ISNA(MATCH(J1045, Criterios!$A$123:$A$126, 0)), "División no válida", "")), IF(OR(K1045="", K1045=""), "[Aviso] Categoría no capturada ()", IF(ISNA(MATCH(K1045, Criterios!$A$81:$A$120, 0)), "Categoría no válida", IF(AND(J1045&lt;&gt;"", J1045&lt;&gt;"", J1045&lt;&gt;VLOOKUP(K1045, Criterios!$A$81:$B$120, 2, FALSE)), "División no coincide con Categoría", ""))), IF(OR(L1045="", L1045=""), "[Aviso] Género no capturado ()", IF(ISNA(MATCH(L1045, Criterios!$B$123:$B$127, 0)), "Género no válido", "")), IF(OR(N1045="", N1045=""), "[Aviso] Temporada no capturada ()", IF(ISNA(MATCH(N1045, Criterios!$C$123:$C$128, 0)), "Temporada no válida", "")), IF(OR(O1045="", O1045=""), "[Aviso] Ciclo de vida no capturado ()", IF(ISNA(MATCH(O1045, Criterios!$D$123:$D$124, 0)), "Ciclo de vida no válido", ""))))</f>
        <v/>
      </c>
      <c r="AC1045" s="56" t="n"/>
      <c r="AD1045" s="51" t="n"/>
      <c r="AE1045" s="156" t="n"/>
      <c r="AF1045" s="51" t="n"/>
      <c r="AG1045" s="156" t="inlineStr">
        <is>
          <t>Nuevo – Odoo Universal Unique Brands 01/10/2026</t>
        </is>
      </c>
      <c r="AH1045" s="156" t="inlineStr">
        <is>
          <t>01/10/2026: alta desde Odoo Universal Unique Brands (no existía en Productos por código de barras ni SKU) | Sin código de barras ni SKU en la plataforma: capturar antes de usarlo en escaneo | Género: campo de la fuente; Color: campo de la fuente | Homologación G1522 06/10/2026: Validación G1522: Código de barras faltante; WB SKU faltante · Validador NetSuite / Odoo: V1: falta código de barras · Validador Shopify: V1: falta código de barras; WB: precio con IVA no termina en 9</t>
        </is>
      </c>
      <c r="AI1045" s="156" t="n"/>
      <c r="AJ1045" s="156" t="n"/>
      <c r="AK1045" s="155" t="inlineStr">
        <is>
          <t>Odoo: producto 22203 / plantilla 28346</t>
        </is>
      </c>
      <c r="AL1045" s="58" t="n"/>
      <c r="AM1045" s="58" t="n"/>
      <c r="AN1045" s="155" t="inlineStr">
        <is>
          <t>Odoo Universal Unique Brands</t>
        </is>
      </c>
      <c r="AO1045" s="59" t="n"/>
      <c r="AP1045" s="59" t="n"/>
      <c r="AQ1045" s="59" t="n">
        <v>0</v>
      </c>
      <c r="AR1045" s="155" t="n"/>
    </row>
    <row r="1046">
      <c r="A1046" s="50" t="n"/>
      <c r="B1046" s="51" t="n"/>
      <c r="C1046" s="156" t="inlineStr">
        <is>
          <t>Wrangler</t>
        </is>
      </c>
      <c r="D1046" s="156" t="n"/>
      <c r="E1046" s="156" t="n"/>
      <c r="F1046" s="156" t="inlineStr">
        <is>
          <t>Talla única</t>
        </is>
      </c>
      <c r="G1046" s="156" t="inlineStr">
        <is>
          <t>One Size</t>
        </is>
      </c>
      <c r="H1046" s="156" t="inlineStr">
        <is>
          <t>Wrangler</t>
        </is>
      </c>
      <c r="I1046" s="156" t="inlineStr">
        <is>
          <t>Muñequera De Doble Compartimento Wrangler Estampado Artístico Suroeste</t>
        </is>
      </c>
      <c r="J1046" s="156" t="inlineStr">
        <is>
          <t>Accesorios</t>
        </is>
      </c>
      <c r="K1046" s="156" t="inlineStr">
        <is>
          <t>Carteras</t>
        </is>
      </c>
      <c r="L1046" s="156" t="inlineStr">
        <is>
          <t>Unisex</t>
        </is>
      </c>
      <c r="M1046" s="156" t="inlineStr">
        <is>
          <t>Wrangler</t>
        </is>
      </c>
      <c r="N1046" s="156" t="n"/>
      <c r="O1046" s="156" t="n"/>
      <c r="P1046" s="156" t="inlineStr">
        <is>
          <t>Varios</t>
        </is>
      </c>
      <c r="Q1046" s="156" t="n"/>
      <c r="R1046" s="156" t="n"/>
      <c r="S1046" s="156" t="n"/>
      <c r="T1046" s="156" t="inlineStr">
        <is>
          <t>Muñequera De Doble Compartimento</t>
        </is>
      </c>
      <c r="U1046" s="156" t="inlineStr">
        <is>
          <t>México</t>
        </is>
      </c>
      <c r="V1046" s="156" t="inlineStr">
        <is>
          <t>PZS</t>
        </is>
      </c>
      <c r="W1046" s="51" t="inlineStr">
        <is>
          <t>53121601</t>
        </is>
      </c>
      <c r="X1046" s="156" t="n"/>
      <c r="Y1046" s="54" t="n"/>
      <c r="Z1046" s="54" t="n">
        <v>379</v>
      </c>
      <c r="AA1046" s="55">
        <f>IF(AND(A1046="", B1046="", E1046=""), "", IF(AB1046="", "Válido", IF((LEN(AB1046)-LEN(SUBSTITUTE(AB1046,"; ","")))/2+1&gt;(LEN(AB1046)-LEN(SUBSTITUTE(AB1046,"[Aviso]","")))/7, "Con Incidencias", "Válido")))</f>
        <v/>
      </c>
      <c r="AB1046" s="56">
        <f>IF(AND(A1046="", B1046="", E1046=""), "", TEXTJOIN("; ", TRUE, IF(OR(TRIM(A1046&amp;"")="", ISNUMBER(SEARCH("FALTA", A1046))), "UPC faltante/inválido", ""), IF(AND(A1046&lt;&gt;"", IFERROR(_xlfn.XMATCH(A1046,$A$2:$A$1063,0,1)&lt;&gt;_xlfn.XMATCH(A1046,$A$2:$A$1063,0,-1),FALSE)), "Código de barras duplicado", ""), IF(AND(E1046&lt;&gt;"", COUNTIF($E$2:$E$1063, E1046)&gt;1), "SKU duplicado", ""), IF(OR(J1046="", J1046=""), "[Aviso] División no capturada ()", IF(ISNA(MATCH(J1046, Criterios!$A$123:$A$126, 0)), "División no válida", "")), IF(OR(K1046="", K1046=""), "[Aviso] Categoría no capturada ()", IF(ISNA(MATCH(K1046, Criterios!$A$81:$A$120, 0)), "Categoría no válida", IF(AND(J1046&lt;&gt;"", J1046&lt;&gt;"", J1046&lt;&gt;VLOOKUP(K1046, Criterios!$A$81:$B$120, 2, FALSE)), "División no coincide con Categoría", ""))), IF(OR(L1046="", L1046=""), "[Aviso] Género no capturado ()", IF(ISNA(MATCH(L1046, Criterios!$B$123:$B$127, 0)), "Género no válido", "")), IF(OR(N1046="", N1046=""), "[Aviso] Temporada no capturada ()", IF(ISNA(MATCH(N1046, Criterios!$C$123:$C$128, 0)), "Temporada no válida", "")), IF(OR(O1046="", O1046=""), "[Aviso] Ciclo de vida no capturado ()", IF(ISNA(MATCH(O1046, Criterios!$D$123:$D$124, 0)), "Ciclo de vida no válido", ""))))</f>
        <v/>
      </c>
      <c r="AC1046" s="56" t="n"/>
      <c r="AD1046" s="51" t="n"/>
      <c r="AE1046" s="156" t="n"/>
      <c r="AF1046" s="51" t="n"/>
      <c r="AG1046" s="156" t="inlineStr">
        <is>
          <t>Nuevo – Odoo Universal Unique Brands 01/10/2026</t>
        </is>
      </c>
      <c r="AH1046" s="156" t="inlineStr">
        <is>
          <t>01/10/2026: alta desde Odoo Universal Unique Brands (no existía en Productos por código de barras ni SKU) | Sin código de barras ni SKU en la plataforma: capturar antes de usarlo en escaneo | Categoría: Palabra clave "Cartera" en tipo/categoría de la fuente (Accesorios / Cartera); Género: campo de la fuente; Color: campo de la fuente | Homologación G1522 06/10/2026: Validación G1522: Código de barras faltante; WB SKU faltante · Validador NetSuite / Odoo: V1: falta código de barras · Validador Shopify: V1: falta código de barras</t>
        </is>
      </c>
      <c r="AI1046" s="156" t="n"/>
      <c r="AJ1046" s="156" t="n"/>
      <c r="AK1046" s="155" t="inlineStr">
        <is>
          <t>Odoo: producto 21149 / plantilla 27152</t>
        </is>
      </c>
      <c r="AL1046" s="58" t="n"/>
      <c r="AM1046" s="58" t="n"/>
      <c r="AN1046" s="155" t="inlineStr">
        <is>
          <t>Odoo Universal Unique Brands</t>
        </is>
      </c>
      <c r="AO1046" s="59" t="n"/>
      <c r="AP1046" s="59" t="n"/>
      <c r="AQ1046" s="59" t="n">
        <v>0</v>
      </c>
      <c r="AR1046" s="155" t="n"/>
    </row>
    <row r="1047">
      <c r="A1047" s="50" t="n"/>
      <c r="B1047" s="51" t="n"/>
      <c r="C1047" s="156" t="inlineStr">
        <is>
          <t>Wrangler</t>
        </is>
      </c>
      <c r="D1047" s="156" t="inlineStr">
        <is>
          <t>C47567-27</t>
        </is>
      </c>
      <c r="E1047" s="156" t="n"/>
      <c r="F1047" s="156" t="inlineStr">
        <is>
          <t>32</t>
        </is>
      </c>
      <c r="G1047" s="156" t="inlineStr">
        <is>
          <t>32</t>
        </is>
      </c>
      <c r="H1047" s="156" t="inlineStr">
        <is>
          <t>Wrangler</t>
        </is>
      </c>
      <c r="I1047" s="156" t="inlineStr">
        <is>
          <t>Cinturón de hombre C47567-27 Café</t>
        </is>
      </c>
      <c r="J1047" s="156" t="inlineStr">
        <is>
          <t>Accesorios</t>
        </is>
      </c>
      <c r="K1047" s="156" t="inlineStr">
        <is>
          <t>Cinturones</t>
        </is>
      </c>
      <c r="L1047" s="156" t="inlineStr">
        <is>
          <t>Hombre</t>
        </is>
      </c>
      <c r="M1047" s="156" t="inlineStr">
        <is>
          <t>Wrangler</t>
        </is>
      </c>
      <c r="N1047" s="156" t="inlineStr">
        <is>
          <t>SS26</t>
        </is>
      </c>
      <c r="O1047" s="156" t="n"/>
      <c r="P1047" s="156" t="inlineStr">
        <is>
          <t>Cafe</t>
        </is>
      </c>
      <c r="Q1047" s="156" t="n"/>
      <c r="R1047" s="156" t="n"/>
      <c r="S1047" s="156" t="n"/>
      <c r="T1047" s="156" t="inlineStr">
        <is>
          <t>Cinturón Vaquero</t>
        </is>
      </c>
      <c r="U1047" s="156" t="inlineStr">
        <is>
          <t>México</t>
        </is>
      </c>
      <c r="V1047" s="156" t="inlineStr">
        <is>
          <t>PZS</t>
        </is>
      </c>
      <c r="W1047" s="51" t="inlineStr">
        <is>
          <t>53102501</t>
        </is>
      </c>
      <c r="X1047" s="156" t="n"/>
      <c r="Y1047" s="54" t="n">
        <v>292.76</v>
      </c>
      <c r="Z1047" s="54" t="n">
        <v>430.6</v>
      </c>
      <c r="AA1047" s="55">
        <f>IF(AND(A1047="", B1047="", E1047=""), "", IF(AB1047="", "Válido", IF((LEN(AB1047)-LEN(SUBSTITUTE(AB1047,"; ","")))/2+1&gt;(LEN(AB1047)-LEN(SUBSTITUTE(AB1047,"[Aviso]","")))/7, "Con Incidencias", "Válido")))</f>
        <v/>
      </c>
      <c r="AB1047" s="56">
        <f>IF(AND(A1047="", B1047="", E1047=""), "", TEXTJOIN("; ", TRUE, IF(OR(TRIM(A1047&amp;"")="", ISNUMBER(SEARCH("FALTA", A1047))), "UPC faltante/inválido", ""), IF(AND(A1047&lt;&gt;"", IFERROR(_xlfn.XMATCH(A1047,$A$2:$A$1063,0,1)&lt;&gt;_xlfn.XMATCH(A1047,$A$2:$A$1063,0,-1),FALSE)), "Código de barras duplicado", ""), IF(AND(E1047&lt;&gt;"", COUNTIF($E$2:$E$1063, E1047)&gt;1), "SKU duplicado", ""), IF(OR(J1047="", J1047=""), "[Aviso] División no capturada ()", IF(ISNA(MATCH(J1047, Criterios!$A$123:$A$126, 0)), "División no válida", "")), IF(OR(K1047="", K1047=""), "[Aviso] Categoría no capturada ()", IF(ISNA(MATCH(K1047, Criterios!$A$81:$A$120, 0)), "Categoría no válida", IF(AND(J1047&lt;&gt;"", J1047&lt;&gt;"", J1047&lt;&gt;VLOOKUP(K1047, Criterios!$A$81:$B$120, 2, FALSE)), "División no coincide con Categoría", ""))), IF(OR(L1047="", L1047=""), "[Aviso] Género no capturado ()", IF(ISNA(MATCH(L1047, Criterios!$B$123:$B$127, 0)), "Género no válido", "")), IF(OR(N1047="", N1047=""), "[Aviso] Temporada no capturada ()", IF(ISNA(MATCH(N1047, Criterios!$C$123:$C$128, 0)), "Temporada no válida", "")), IF(OR(O1047="", O1047=""), "[Aviso] Ciclo de vida no capturado ()", IF(ISNA(MATCH(O1047, Criterios!$D$123:$D$124, 0)), "Ciclo de vida no válido", ""))))</f>
        <v/>
      </c>
      <c r="AC1047" s="56" t="n"/>
      <c r="AD1047" s="51" t="n"/>
      <c r="AE1047" s="156" t="n"/>
      <c r="AF1047" s="51" t="n"/>
      <c r="AG1047" s="156" t="inlineStr">
        <is>
          <t>Nuevo – Odoo Universal Unique Brands 01/10/2026</t>
        </is>
      </c>
      <c r="AH1047" s="156" t="inlineStr">
        <is>
          <t>01/10/2026: alta desde Odoo Universal Unique Brands (no existía en Productos por código de barras ni SKU) | Sin código de barras ni SKU en la plataforma: capturar antes de usarlo en escaneo | Color: campo de la fuente | Homologación G1522 06/10/2026: Validación G1522: Código de barras faltante; WB SKU faltante · Validador NetSuite / Odoo: V1: falta código de barras · Validador Shopify: V1: falta código de barras</t>
        </is>
      </c>
      <c r="AI1047" s="156" t="n"/>
      <c r="AJ1047" s="156" t="n"/>
      <c r="AK1047" s="155" t="inlineStr">
        <is>
          <t>Odoo: producto 30972 / plantilla 39512</t>
        </is>
      </c>
      <c r="AL1047" s="58" t="n"/>
      <c r="AM1047" s="58" t="n"/>
      <c r="AN1047" s="155" t="inlineStr">
        <is>
          <t>Odoo Universal Unique Brands</t>
        </is>
      </c>
      <c r="AO1047" s="59" t="n"/>
      <c r="AP1047" s="59" t="n"/>
      <c r="AQ1047" s="59" t="n">
        <v>0</v>
      </c>
      <c r="AR1047" s="155" t="n"/>
    </row>
    <row r="1048">
      <c r="A1048" s="50" t="n"/>
      <c r="B1048" s="51" t="n"/>
      <c r="C1048" s="156" t="inlineStr">
        <is>
          <t>Wrangler</t>
        </is>
      </c>
      <c r="D1048" s="156" t="inlineStr">
        <is>
          <t>C47567-27</t>
        </is>
      </c>
      <c r="E1048" s="156" t="n"/>
      <c r="F1048" s="156" t="inlineStr">
        <is>
          <t>34</t>
        </is>
      </c>
      <c r="G1048" s="156" t="inlineStr">
        <is>
          <t>34</t>
        </is>
      </c>
      <c r="H1048" s="156" t="inlineStr">
        <is>
          <t>Wrangler</t>
        </is>
      </c>
      <c r="I1048" s="156" t="inlineStr">
        <is>
          <t>Cinturón de hombre C47567-27 Café</t>
        </is>
      </c>
      <c r="J1048" s="156" t="inlineStr">
        <is>
          <t>Accesorios</t>
        </is>
      </c>
      <c r="K1048" s="156" t="inlineStr">
        <is>
          <t>Cinturones</t>
        </is>
      </c>
      <c r="L1048" s="156" t="inlineStr">
        <is>
          <t>Hombre</t>
        </is>
      </c>
      <c r="M1048" s="156" t="inlineStr">
        <is>
          <t>Wrangler</t>
        </is>
      </c>
      <c r="N1048" s="156" t="inlineStr">
        <is>
          <t>SS26</t>
        </is>
      </c>
      <c r="O1048" s="156" t="n"/>
      <c r="P1048" s="156" t="inlineStr">
        <is>
          <t>Cafe</t>
        </is>
      </c>
      <c r="Q1048" s="156" t="n"/>
      <c r="R1048" s="156" t="n"/>
      <c r="S1048" s="156" t="n"/>
      <c r="T1048" s="156" t="inlineStr">
        <is>
          <t>Cinturón Vaquero</t>
        </is>
      </c>
      <c r="U1048" s="156" t="inlineStr">
        <is>
          <t>México</t>
        </is>
      </c>
      <c r="V1048" s="156" t="inlineStr">
        <is>
          <t>PZS</t>
        </is>
      </c>
      <c r="W1048" s="51" t="inlineStr">
        <is>
          <t>53102501</t>
        </is>
      </c>
      <c r="X1048" s="156" t="n"/>
      <c r="Y1048" s="54" t="n">
        <v>292.76</v>
      </c>
      <c r="Z1048" s="54" t="n">
        <v>430.6</v>
      </c>
      <c r="AA1048" s="55">
        <f>IF(AND(A1048="", B1048="", E1048=""), "", IF(AB1048="", "Válido", IF((LEN(AB1048)-LEN(SUBSTITUTE(AB1048,"; ","")))/2+1&gt;(LEN(AB1048)-LEN(SUBSTITUTE(AB1048,"[Aviso]","")))/7, "Con Incidencias", "Válido")))</f>
        <v/>
      </c>
      <c r="AB1048" s="56">
        <f>IF(AND(A1048="", B1048="", E1048=""), "", TEXTJOIN("; ", TRUE, IF(OR(TRIM(A1048&amp;"")="", ISNUMBER(SEARCH("FALTA", A1048))), "UPC faltante/inválido", ""), IF(AND(A1048&lt;&gt;"", IFERROR(_xlfn.XMATCH(A1048,$A$2:$A$1063,0,1)&lt;&gt;_xlfn.XMATCH(A1048,$A$2:$A$1063,0,-1),FALSE)), "Código de barras duplicado", ""), IF(AND(E1048&lt;&gt;"", COUNTIF($E$2:$E$1063, E1048)&gt;1), "SKU duplicado", ""), IF(OR(J1048="", J1048=""), "[Aviso] División no capturada ()", IF(ISNA(MATCH(J1048, Criterios!$A$123:$A$126, 0)), "División no válida", "")), IF(OR(K1048="", K1048=""), "[Aviso] Categoría no capturada ()", IF(ISNA(MATCH(K1048, Criterios!$A$81:$A$120, 0)), "Categoría no válida", IF(AND(J1048&lt;&gt;"", J1048&lt;&gt;"", J1048&lt;&gt;VLOOKUP(K1048, Criterios!$A$81:$B$120, 2, FALSE)), "División no coincide con Categoría", ""))), IF(OR(L1048="", L1048=""), "[Aviso] Género no capturado ()", IF(ISNA(MATCH(L1048, Criterios!$B$123:$B$127, 0)), "Género no válido", "")), IF(OR(N1048="", N1048=""), "[Aviso] Temporada no capturada ()", IF(ISNA(MATCH(N1048, Criterios!$C$123:$C$128, 0)), "Temporada no válida", "")), IF(OR(O1048="", O1048=""), "[Aviso] Ciclo de vida no capturado ()", IF(ISNA(MATCH(O1048, Criterios!$D$123:$D$124, 0)), "Ciclo de vida no válido", ""))))</f>
        <v/>
      </c>
      <c r="AC1048" s="56" t="n"/>
      <c r="AD1048" s="51" t="n"/>
      <c r="AE1048" s="156" t="n"/>
      <c r="AF1048" s="51" t="n"/>
      <c r="AG1048" s="156" t="inlineStr">
        <is>
          <t>Nuevo – Odoo Universal Unique Brands 01/10/2026</t>
        </is>
      </c>
      <c r="AH1048" s="156" t="inlineStr">
        <is>
          <t>01/10/2026: alta desde Odoo Universal Unique Brands (no existía en Productos por código de barras ni SKU) | Sin código de barras ni SKU en la plataforma: capturar antes de usarlo en escaneo | Color: campo de la fuente | Homologación G1522 06/10/2026: Validación G1522: Código de barras faltante; WB SKU faltante · Validador NetSuite / Odoo: V1: falta código de barras · Validador Shopify: V1: falta código de barras</t>
        </is>
      </c>
      <c r="AI1048" s="156" t="n"/>
      <c r="AJ1048" s="156" t="n"/>
      <c r="AK1048" s="155" t="inlineStr">
        <is>
          <t>Odoo: producto 30973 / plantilla 39512</t>
        </is>
      </c>
      <c r="AL1048" s="58" t="n"/>
      <c r="AM1048" s="58" t="n"/>
      <c r="AN1048" s="155" t="inlineStr">
        <is>
          <t>Odoo Universal Unique Brands</t>
        </is>
      </c>
      <c r="AO1048" s="59" t="n"/>
      <c r="AP1048" s="59" t="n"/>
      <c r="AQ1048" s="59" t="n">
        <v>0</v>
      </c>
      <c r="AR1048" s="155" t="n"/>
    </row>
    <row r="1049">
      <c r="A1049" s="50" t="n"/>
      <c r="B1049" s="51" t="n"/>
      <c r="C1049" s="156" t="inlineStr">
        <is>
          <t>Wrangler</t>
        </is>
      </c>
      <c r="D1049" s="156" t="inlineStr">
        <is>
          <t>C47567-27</t>
        </is>
      </c>
      <c r="E1049" s="156" t="n"/>
      <c r="F1049" s="156" t="inlineStr">
        <is>
          <t>38</t>
        </is>
      </c>
      <c r="G1049" s="156" t="inlineStr">
        <is>
          <t>38</t>
        </is>
      </c>
      <c r="H1049" s="156" t="inlineStr">
        <is>
          <t>Wrangler</t>
        </is>
      </c>
      <c r="I1049" s="156" t="inlineStr">
        <is>
          <t>Cinturón de hombre C47567-27 Café</t>
        </is>
      </c>
      <c r="J1049" s="156" t="inlineStr">
        <is>
          <t>Accesorios</t>
        </is>
      </c>
      <c r="K1049" s="156" t="inlineStr">
        <is>
          <t>Cinturones</t>
        </is>
      </c>
      <c r="L1049" s="156" t="inlineStr">
        <is>
          <t>Hombre</t>
        </is>
      </c>
      <c r="M1049" s="156" t="inlineStr">
        <is>
          <t>Wrangler</t>
        </is>
      </c>
      <c r="N1049" s="156" t="inlineStr">
        <is>
          <t>SS26</t>
        </is>
      </c>
      <c r="O1049" s="156" t="n"/>
      <c r="P1049" s="156" t="inlineStr">
        <is>
          <t>Cafe</t>
        </is>
      </c>
      <c r="Q1049" s="156" t="n"/>
      <c r="R1049" s="156" t="n"/>
      <c r="S1049" s="156" t="n"/>
      <c r="T1049" s="156" t="inlineStr">
        <is>
          <t>Cinturón Vaquero</t>
        </is>
      </c>
      <c r="U1049" s="156" t="inlineStr">
        <is>
          <t>México</t>
        </is>
      </c>
      <c r="V1049" s="156" t="inlineStr">
        <is>
          <t>PZS</t>
        </is>
      </c>
      <c r="W1049" s="51" t="inlineStr">
        <is>
          <t>53102501</t>
        </is>
      </c>
      <c r="X1049" s="156" t="n"/>
      <c r="Y1049" s="54" t="n">
        <v>292.76</v>
      </c>
      <c r="Z1049" s="54" t="n">
        <v>430.6</v>
      </c>
      <c r="AA1049" s="55">
        <f>IF(AND(A1049="", B1049="", E1049=""), "", IF(AB1049="", "Válido", IF((LEN(AB1049)-LEN(SUBSTITUTE(AB1049,"; ","")))/2+1&gt;(LEN(AB1049)-LEN(SUBSTITUTE(AB1049,"[Aviso]","")))/7, "Con Incidencias", "Válido")))</f>
        <v/>
      </c>
      <c r="AB1049" s="56">
        <f>IF(AND(A1049="", B1049="", E1049=""), "", TEXTJOIN("; ", TRUE, IF(OR(TRIM(A1049&amp;"")="", ISNUMBER(SEARCH("FALTA", A1049))), "UPC faltante/inválido", ""), IF(AND(A1049&lt;&gt;"", IFERROR(_xlfn.XMATCH(A1049,$A$2:$A$1063,0,1)&lt;&gt;_xlfn.XMATCH(A1049,$A$2:$A$1063,0,-1),FALSE)), "Código de barras duplicado", ""), IF(AND(E1049&lt;&gt;"", COUNTIF($E$2:$E$1063, E1049)&gt;1), "SKU duplicado", ""), IF(OR(J1049="", J1049=""), "[Aviso] División no capturada ()", IF(ISNA(MATCH(J1049, Criterios!$A$123:$A$126, 0)), "División no válida", "")), IF(OR(K1049="", K1049=""), "[Aviso] Categoría no capturada ()", IF(ISNA(MATCH(K1049, Criterios!$A$81:$A$120, 0)), "Categoría no válida", IF(AND(J1049&lt;&gt;"", J1049&lt;&gt;"", J1049&lt;&gt;VLOOKUP(K1049, Criterios!$A$81:$B$120, 2, FALSE)), "División no coincide con Categoría", ""))), IF(OR(L1049="", L1049=""), "[Aviso] Género no capturado ()", IF(ISNA(MATCH(L1049, Criterios!$B$123:$B$127, 0)), "Género no válido", "")), IF(OR(N1049="", N1049=""), "[Aviso] Temporada no capturada ()", IF(ISNA(MATCH(N1049, Criterios!$C$123:$C$128, 0)), "Temporada no válida", "")), IF(OR(O1049="", O1049=""), "[Aviso] Ciclo de vida no capturado ()", IF(ISNA(MATCH(O1049, Criterios!$D$123:$D$124, 0)), "Ciclo de vida no válido", ""))))</f>
        <v/>
      </c>
      <c r="AC1049" s="56" t="n"/>
      <c r="AD1049" s="51" t="n"/>
      <c r="AE1049" s="156" t="n"/>
      <c r="AF1049" s="51" t="n"/>
      <c r="AG1049" s="156" t="inlineStr">
        <is>
          <t>Nuevo – Odoo Universal Unique Brands 01/10/2026</t>
        </is>
      </c>
      <c r="AH1049" s="156" t="inlineStr">
        <is>
          <t>01/10/2026: alta desde Odoo Universal Unique Brands (no existía en Productos por código de barras ni SKU) | Sin código de barras ni SKU en la plataforma: capturar antes de usarlo en escaneo | Color: campo de la fuente | Homologación G1522 06/10/2026: Validación G1522: Código de barras faltante; WB SKU faltante · Validador NetSuite / Odoo: V1: falta código de barras · Validador Shopify: V1: falta código de barras</t>
        </is>
      </c>
      <c r="AI1049" s="156" t="n"/>
      <c r="AJ1049" s="156" t="n"/>
      <c r="AK1049" s="155" t="inlineStr">
        <is>
          <t>Odoo: producto 30975 / plantilla 39512</t>
        </is>
      </c>
      <c r="AL1049" s="58" t="n"/>
      <c r="AM1049" s="58" t="n"/>
      <c r="AN1049" s="155" t="inlineStr">
        <is>
          <t>Odoo Universal Unique Brands</t>
        </is>
      </c>
      <c r="AO1049" s="59" t="n"/>
      <c r="AP1049" s="59" t="n"/>
      <c r="AQ1049" s="59" t="n">
        <v>0</v>
      </c>
      <c r="AR1049" s="155" t="n"/>
    </row>
    <row r="1050">
      <c r="A1050" s="50" t="n"/>
      <c r="B1050" s="51" t="n"/>
      <c r="C1050" s="156" t="inlineStr">
        <is>
          <t>Wrangler</t>
        </is>
      </c>
      <c r="D1050" s="156" t="inlineStr">
        <is>
          <t>C47567-27</t>
        </is>
      </c>
      <c r="E1050" s="156" t="n"/>
      <c r="F1050" s="156" t="inlineStr">
        <is>
          <t>40</t>
        </is>
      </c>
      <c r="G1050" s="156" t="inlineStr">
        <is>
          <t>40</t>
        </is>
      </c>
      <c r="H1050" s="156" t="inlineStr">
        <is>
          <t>Wrangler</t>
        </is>
      </c>
      <c r="I1050" s="156" t="inlineStr">
        <is>
          <t>Cinturón de hombre C47567-27 Café</t>
        </is>
      </c>
      <c r="J1050" s="156" t="inlineStr">
        <is>
          <t>Accesorios</t>
        </is>
      </c>
      <c r="K1050" s="156" t="inlineStr">
        <is>
          <t>Cinturones</t>
        </is>
      </c>
      <c r="L1050" s="156" t="inlineStr">
        <is>
          <t>Hombre</t>
        </is>
      </c>
      <c r="M1050" s="156" t="inlineStr">
        <is>
          <t>Wrangler</t>
        </is>
      </c>
      <c r="N1050" s="156" t="inlineStr">
        <is>
          <t>SS26</t>
        </is>
      </c>
      <c r="O1050" s="156" t="n"/>
      <c r="P1050" s="156" t="inlineStr">
        <is>
          <t>Cafe</t>
        </is>
      </c>
      <c r="Q1050" s="156" t="n"/>
      <c r="R1050" s="156" t="n"/>
      <c r="S1050" s="156" t="n"/>
      <c r="T1050" s="156" t="inlineStr">
        <is>
          <t>Cinturón Vaquero</t>
        </is>
      </c>
      <c r="U1050" s="156" t="inlineStr">
        <is>
          <t>México</t>
        </is>
      </c>
      <c r="V1050" s="156" t="inlineStr">
        <is>
          <t>PZS</t>
        </is>
      </c>
      <c r="W1050" s="51" t="inlineStr">
        <is>
          <t>53102501</t>
        </is>
      </c>
      <c r="X1050" s="156" t="n"/>
      <c r="Y1050" s="54" t="n">
        <v>292.76</v>
      </c>
      <c r="Z1050" s="54" t="n">
        <v>430.6</v>
      </c>
      <c r="AA1050" s="55">
        <f>IF(AND(A1050="", B1050="", E1050=""), "", IF(AB1050="", "Válido", IF((LEN(AB1050)-LEN(SUBSTITUTE(AB1050,"; ","")))/2+1&gt;(LEN(AB1050)-LEN(SUBSTITUTE(AB1050,"[Aviso]","")))/7, "Con Incidencias", "Válido")))</f>
        <v/>
      </c>
      <c r="AB1050" s="56">
        <f>IF(AND(A1050="", B1050="", E1050=""), "", TEXTJOIN("; ", TRUE, IF(OR(TRIM(A1050&amp;"")="", ISNUMBER(SEARCH("FALTA", A1050))), "UPC faltante/inválido", ""), IF(AND(A1050&lt;&gt;"", IFERROR(_xlfn.XMATCH(A1050,$A$2:$A$1063,0,1)&lt;&gt;_xlfn.XMATCH(A1050,$A$2:$A$1063,0,-1),FALSE)), "Código de barras duplicado", ""), IF(AND(E1050&lt;&gt;"", COUNTIF($E$2:$E$1063, E1050)&gt;1), "SKU duplicado", ""), IF(OR(J1050="", J1050=""), "[Aviso] División no capturada ()", IF(ISNA(MATCH(J1050, Criterios!$A$123:$A$126, 0)), "División no válida", "")), IF(OR(K1050="", K1050=""), "[Aviso] Categoría no capturada ()", IF(ISNA(MATCH(K1050, Criterios!$A$81:$A$120, 0)), "Categoría no válida", IF(AND(J1050&lt;&gt;"", J1050&lt;&gt;"", J1050&lt;&gt;VLOOKUP(K1050, Criterios!$A$81:$B$120, 2, FALSE)), "División no coincide con Categoría", ""))), IF(OR(L1050="", L1050=""), "[Aviso] Género no capturado ()", IF(ISNA(MATCH(L1050, Criterios!$B$123:$B$127, 0)), "Género no válido", "")), IF(OR(N1050="", N1050=""), "[Aviso] Temporada no capturada ()", IF(ISNA(MATCH(N1050, Criterios!$C$123:$C$128, 0)), "Temporada no válida", "")), IF(OR(O1050="", O1050=""), "[Aviso] Ciclo de vida no capturado ()", IF(ISNA(MATCH(O1050, Criterios!$D$123:$D$124, 0)), "Ciclo de vida no válido", ""))))</f>
        <v/>
      </c>
      <c r="AC1050" s="56" t="n"/>
      <c r="AD1050" s="51" t="n"/>
      <c r="AE1050" s="156" t="n"/>
      <c r="AF1050" s="51" t="n"/>
      <c r="AG1050" s="156" t="inlineStr">
        <is>
          <t>Nuevo – Odoo Universal Unique Brands 01/10/2026</t>
        </is>
      </c>
      <c r="AH1050" s="156" t="inlineStr">
        <is>
          <t>01/10/2026: alta desde Odoo Universal Unique Brands (no existía en Productos por código de barras ni SKU) | Sin código de barras ni SKU en la plataforma: capturar antes de usarlo en escaneo | Color: campo de la fuente | Homologación G1522 06/10/2026: Validación G1522: Código de barras faltante; WB SKU faltante · Validador NetSuite / Odoo: V1: falta código de barras · Validador Shopify: V1: falta código de barras</t>
        </is>
      </c>
      <c r="AI1050" s="156" t="n"/>
      <c r="AJ1050" s="156" t="n"/>
      <c r="AK1050" s="155" t="inlineStr">
        <is>
          <t>Odoo: producto 30976 / plantilla 39512</t>
        </is>
      </c>
      <c r="AL1050" s="58" t="n"/>
      <c r="AM1050" s="58" t="n"/>
      <c r="AN1050" s="155" t="inlineStr">
        <is>
          <t>Odoo Universal Unique Brands</t>
        </is>
      </c>
      <c r="AO1050" s="59" t="n"/>
      <c r="AP1050" s="59" t="n"/>
      <c r="AQ1050" s="59" t="n">
        <v>0</v>
      </c>
      <c r="AR1050" s="155" t="n"/>
    </row>
    <row r="1051">
      <c r="A1051" s="50" t="n"/>
      <c r="B1051" s="51" t="n"/>
      <c r="C1051" s="156" t="inlineStr">
        <is>
          <t>Wrangler</t>
        </is>
      </c>
      <c r="D1051" s="156" t="inlineStr">
        <is>
          <t>C47567-27</t>
        </is>
      </c>
      <c r="E1051" s="156" t="n"/>
      <c r="F1051" s="156" t="inlineStr">
        <is>
          <t>42</t>
        </is>
      </c>
      <c r="G1051" s="156" t="inlineStr">
        <is>
          <t>42</t>
        </is>
      </c>
      <c r="H1051" s="156" t="inlineStr">
        <is>
          <t>Wrangler</t>
        </is>
      </c>
      <c r="I1051" s="156" t="inlineStr">
        <is>
          <t>Cinturón de hombre C47567-27 Café</t>
        </is>
      </c>
      <c r="J1051" s="156" t="inlineStr">
        <is>
          <t>Accesorios</t>
        </is>
      </c>
      <c r="K1051" s="156" t="inlineStr">
        <is>
          <t>Cinturones</t>
        </is>
      </c>
      <c r="L1051" s="156" t="inlineStr">
        <is>
          <t>Hombre</t>
        </is>
      </c>
      <c r="M1051" s="156" t="inlineStr">
        <is>
          <t>Wrangler</t>
        </is>
      </c>
      <c r="N1051" s="156" t="inlineStr">
        <is>
          <t>SS26</t>
        </is>
      </c>
      <c r="O1051" s="156" t="n"/>
      <c r="P1051" s="156" t="inlineStr">
        <is>
          <t>Cafe</t>
        </is>
      </c>
      <c r="Q1051" s="156" t="n"/>
      <c r="R1051" s="156" t="n"/>
      <c r="S1051" s="156" t="n"/>
      <c r="T1051" s="156" t="inlineStr">
        <is>
          <t>Cinturón Vaquero</t>
        </is>
      </c>
      <c r="U1051" s="156" t="inlineStr">
        <is>
          <t>México</t>
        </is>
      </c>
      <c r="V1051" s="156" t="inlineStr">
        <is>
          <t>PZS</t>
        </is>
      </c>
      <c r="W1051" s="51" t="inlineStr">
        <is>
          <t>53102501</t>
        </is>
      </c>
      <c r="X1051" s="156" t="n"/>
      <c r="Y1051" s="54" t="n">
        <v>292.76</v>
      </c>
      <c r="Z1051" s="54" t="n">
        <v>430.6</v>
      </c>
      <c r="AA1051" s="55">
        <f>IF(AND(A1051="", B1051="", E1051=""), "", IF(AB1051="", "Válido", IF((LEN(AB1051)-LEN(SUBSTITUTE(AB1051,"; ","")))/2+1&gt;(LEN(AB1051)-LEN(SUBSTITUTE(AB1051,"[Aviso]","")))/7, "Con Incidencias", "Válido")))</f>
        <v/>
      </c>
      <c r="AB1051" s="56">
        <f>IF(AND(A1051="", B1051="", E1051=""), "", TEXTJOIN("; ", TRUE, IF(OR(TRIM(A1051&amp;"")="", ISNUMBER(SEARCH("FALTA", A1051))), "UPC faltante/inválido", ""), IF(AND(A1051&lt;&gt;"", IFERROR(_xlfn.XMATCH(A1051,$A$2:$A$1063,0,1)&lt;&gt;_xlfn.XMATCH(A1051,$A$2:$A$1063,0,-1),FALSE)), "Código de barras duplicado", ""), IF(AND(E1051&lt;&gt;"", COUNTIF($E$2:$E$1063, E1051)&gt;1), "SKU duplicado", ""), IF(OR(J1051="", J1051=""), "[Aviso] División no capturada ()", IF(ISNA(MATCH(J1051, Criterios!$A$123:$A$126, 0)), "División no válida", "")), IF(OR(K1051="", K1051=""), "[Aviso] Categoría no capturada ()", IF(ISNA(MATCH(K1051, Criterios!$A$81:$A$120, 0)), "Categoría no válida", IF(AND(J1051&lt;&gt;"", J1051&lt;&gt;"", J1051&lt;&gt;VLOOKUP(K1051, Criterios!$A$81:$B$120, 2, FALSE)), "División no coincide con Categoría", ""))), IF(OR(L1051="", L1051=""), "[Aviso] Género no capturado ()", IF(ISNA(MATCH(L1051, Criterios!$B$123:$B$127, 0)), "Género no válido", "")), IF(OR(N1051="", N1051=""), "[Aviso] Temporada no capturada ()", IF(ISNA(MATCH(N1051, Criterios!$C$123:$C$128, 0)), "Temporada no válida", "")), IF(OR(O1051="", O1051=""), "[Aviso] Ciclo de vida no capturado ()", IF(ISNA(MATCH(O1051, Criterios!$D$123:$D$124, 0)), "Ciclo de vida no válido", ""))))</f>
        <v/>
      </c>
      <c r="AC1051" s="56" t="n"/>
      <c r="AD1051" s="51" t="n"/>
      <c r="AE1051" s="156" t="n"/>
      <c r="AF1051" s="51" t="n"/>
      <c r="AG1051" s="156" t="inlineStr">
        <is>
          <t>Nuevo – Odoo Universal Unique Brands 01/10/2026</t>
        </is>
      </c>
      <c r="AH1051" s="156" t="inlineStr">
        <is>
          <t>01/10/2026: alta desde Odoo Universal Unique Brands (no existía en Productos por código de barras ni SKU) | Sin código de barras ni SKU en la plataforma: capturar antes de usarlo en escaneo | Color: campo de la fuente | Homologación G1522 06/10/2026: Validación G1522: Código de barras faltante; WB SKU faltante · Validador NetSuite / Odoo: V1: falta código de barras · Validador Shopify: V1: falta código de barras</t>
        </is>
      </c>
      <c r="AI1051" s="156" t="n"/>
      <c r="AJ1051" s="156" t="n"/>
      <c r="AK1051" s="155" t="inlineStr">
        <is>
          <t>Odoo: producto 30977 / plantilla 39512</t>
        </is>
      </c>
      <c r="AL1051" s="58" t="n"/>
      <c r="AM1051" s="58" t="n"/>
      <c r="AN1051" s="155" t="inlineStr">
        <is>
          <t>Odoo Universal Unique Brands</t>
        </is>
      </c>
      <c r="AO1051" s="59" t="n"/>
      <c r="AP1051" s="59" t="n"/>
      <c r="AQ1051" s="59" t="n">
        <v>0</v>
      </c>
      <c r="AR1051" s="155" t="n"/>
    </row>
    <row r="1052">
      <c r="A1052" s="50" t="n"/>
      <c r="B1052" s="51" t="n"/>
      <c r="C1052" s="156" t="inlineStr">
        <is>
          <t>Wrangler</t>
        </is>
      </c>
      <c r="D1052" s="156" t="inlineStr">
        <is>
          <t>C47567-27</t>
        </is>
      </c>
      <c r="E1052" s="156" t="n"/>
      <c r="F1052" s="156" t="inlineStr">
        <is>
          <t>44</t>
        </is>
      </c>
      <c r="G1052" s="156" t="inlineStr">
        <is>
          <t>44</t>
        </is>
      </c>
      <c r="H1052" s="156" t="inlineStr">
        <is>
          <t>Wrangler</t>
        </is>
      </c>
      <c r="I1052" s="156" t="inlineStr">
        <is>
          <t>Cinturón de hombre C47567-27 Café</t>
        </is>
      </c>
      <c r="J1052" s="156" t="inlineStr">
        <is>
          <t>Accesorios</t>
        </is>
      </c>
      <c r="K1052" s="156" t="inlineStr">
        <is>
          <t>Cinturones</t>
        </is>
      </c>
      <c r="L1052" s="156" t="inlineStr">
        <is>
          <t>Hombre</t>
        </is>
      </c>
      <c r="M1052" s="156" t="inlineStr">
        <is>
          <t>Wrangler</t>
        </is>
      </c>
      <c r="N1052" s="156" t="inlineStr">
        <is>
          <t>SS26</t>
        </is>
      </c>
      <c r="O1052" s="156" t="n"/>
      <c r="P1052" s="156" t="inlineStr">
        <is>
          <t>Cafe</t>
        </is>
      </c>
      <c r="Q1052" s="156" t="n"/>
      <c r="R1052" s="156" t="n"/>
      <c r="S1052" s="156" t="n"/>
      <c r="T1052" s="156" t="inlineStr">
        <is>
          <t>Cinturón Vaquero</t>
        </is>
      </c>
      <c r="U1052" s="156" t="inlineStr">
        <is>
          <t>México</t>
        </is>
      </c>
      <c r="V1052" s="156" t="inlineStr">
        <is>
          <t>PZS</t>
        </is>
      </c>
      <c r="W1052" s="51" t="inlineStr">
        <is>
          <t>53102501</t>
        </is>
      </c>
      <c r="X1052" s="156" t="n"/>
      <c r="Y1052" s="54" t="n">
        <v>292.76</v>
      </c>
      <c r="Z1052" s="54" t="n">
        <v>430.6</v>
      </c>
      <c r="AA1052" s="55">
        <f>IF(AND(A1052="", B1052="", E1052=""), "", IF(AB1052="", "Válido", IF((LEN(AB1052)-LEN(SUBSTITUTE(AB1052,"; ","")))/2+1&gt;(LEN(AB1052)-LEN(SUBSTITUTE(AB1052,"[Aviso]","")))/7, "Con Incidencias", "Válido")))</f>
        <v/>
      </c>
      <c r="AB1052" s="56">
        <f>IF(AND(A1052="", B1052="", E1052=""), "", TEXTJOIN("; ", TRUE, IF(OR(TRIM(A1052&amp;"")="", ISNUMBER(SEARCH("FALTA", A1052))), "UPC faltante/inválido", ""), IF(AND(A1052&lt;&gt;"", IFERROR(_xlfn.XMATCH(A1052,$A$2:$A$1063,0,1)&lt;&gt;_xlfn.XMATCH(A1052,$A$2:$A$1063,0,-1),FALSE)), "Código de barras duplicado", ""), IF(AND(E1052&lt;&gt;"", COUNTIF($E$2:$E$1063, E1052)&gt;1), "SKU duplicado", ""), IF(OR(J1052="", J1052=""), "[Aviso] División no capturada ()", IF(ISNA(MATCH(J1052, Criterios!$A$123:$A$126, 0)), "División no válida", "")), IF(OR(K1052="", K1052=""), "[Aviso] Categoría no capturada ()", IF(ISNA(MATCH(K1052, Criterios!$A$81:$A$120, 0)), "Categoría no válida", IF(AND(J1052&lt;&gt;"", J1052&lt;&gt;"", J1052&lt;&gt;VLOOKUP(K1052, Criterios!$A$81:$B$120, 2, FALSE)), "División no coincide con Categoría", ""))), IF(OR(L1052="", L1052=""), "[Aviso] Género no capturado ()", IF(ISNA(MATCH(L1052, Criterios!$B$123:$B$127, 0)), "Género no válido", "")), IF(OR(N1052="", N1052=""), "[Aviso] Temporada no capturada ()", IF(ISNA(MATCH(N1052, Criterios!$C$123:$C$128, 0)), "Temporada no válida", "")), IF(OR(O1052="", O1052=""), "[Aviso] Ciclo de vida no capturado ()", IF(ISNA(MATCH(O1052, Criterios!$D$123:$D$124, 0)), "Ciclo de vida no válido", ""))))</f>
        <v/>
      </c>
      <c r="AC1052" s="56" t="n"/>
      <c r="AD1052" s="51" t="n"/>
      <c r="AE1052" s="156" t="n"/>
      <c r="AF1052" s="51" t="n"/>
      <c r="AG1052" s="156" t="inlineStr">
        <is>
          <t>Nuevo – Odoo Universal Unique Brands 01/10/2026</t>
        </is>
      </c>
      <c r="AH1052" s="156" t="inlineStr">
        <is>
          <t>01/10/2026: alta desde Odoo Universal Unique Brands (no existía en Productos por código de barras ni SKU) | Sin código de barras ni SKU en la plataforma: capturar antes de usarlo en escaneo | Color: campo de la fuente | Homologación G1522 06/10/2026: Validación G1522: Código de barras faltante; WB SKU faltante · Validador NetSuite / Odoo: V1: falta código de barras · Validador Shopify: V1: falta código de barras</t>
        </is>
      </c>
      <c r="AI1052" s="156" t="n"/>
      <c r="AJ1052" s="156" t="n"/>
      <c r="AK1052" s="155" t="inlineStr">
        <is>
          <t>Odoo: producto 30978 / plantilla 39512</t>
        </is>
      </c>
      <c r="AL1052" s="58" t="n"/>
      <c r="AM1052" s="58" t="n"/>
      <c r="AN1052" s="155" t="inlineStr">
        <is>
          <t>Odoo Universal Unique Brands</t>
        </is>
      </c>
      <c r="AO1052" s="59" t="n"/>
      <c r="AP1052" s="59" t="n"/>
      <c r="AQ1052" s="59" t="n">
        <v>0</v>
      </c>
      <c r="AR1052" s="155" t="n"/>
    </row>
    <row r="1053">
      <c r="A1053" s="50" t="n"/>
      <c r="B1053" s="51" t="n"/>
      <c r="C1053" s="156" t="inlineStr">
        <is>
          <t>Wrangler</t>
        </is>
      </c>
      <c r="D1053" s="156" t="inlineStr">
        <is>
          <t>WG102-8120SPK</t>
        </is>
      </c>
      <c r="E1053" s="156" t="inlineStr">
        <is>
          <t>WG102-8120SPK</t>
        </is>
      </c>
      <c r="F1053" s="156" t="inlineStr">
        <is>
          <t>Talla única</t>
        </is>
      </c>
      <c r="G1053" s="156" t="inlineStr">
        <is>
          <t>One Size</t>
        </is>
      </c>
      <c r="H1053" s="156" t="inlineStr">
        <is>
          <t>Wrangler</t>
        </is>
      </c>
      <c r="I1053" s="156" t="inlineStr">
        <is>
          <t>Bolsa Wrangler Rosa</t>
        </is>
      </c>
      <c r="J1053" s="156" t="inlineStr">
        <is>
          <t>Accesorios</t>
        </is>
      </c>
      <c r="K1053" s="156" t="inlineStr">
        <is>
          <t>Bolsos</t>
        </is>
      </c>
      <c r="L1053" s="156" t="inlineStr">
        <is>
          <t>Unisex</t>
        </is>
      </c>
      <c r="M1053" s="156" t="inlineStr">
        <is>
          <t>Wrangler</t>
        </is>
      </c>
      <c r="N1053" s="156" t="n"/>
      <c r="O1053" s="156" t="n"/>
      <c r="P1053" s="156" t="inlineStr">
        <is>
          <t>Rosa</t>
        </is>
      </c>
      <c r="Q1053" s="156" t="n"/>
      <c r="R1053" s="156" t="n"/>
      <c r="S1053" s="156" t="n"/>
      <c r="T1053" s="156" t="inlineStr">
        <is>
          <t>Bolsa</t>
        </is>
      </c>
      <c r="U1053" s="156" t="inlineStr">
        <is>
          <t>México</t>
        </is>
      </c>
      <c r="V1053" s="156" t="inlineStr">
        <is>
          <t>PZS</t>
        </is>
      </c>
      <c r="W1053" s="51" t="inlineStr">
        <is>
          <t>53121601</t>
        </is>
      </c>
      <c r="X1053" s="156" t="n"/>
      <c r="Y1053" s="54" t="n"/>
      <c r="Z1053" s="54" t="n">
        <v>799</v>
      </c>
      <c r="AA1053" s="55">
        <f>IF(AND(A1053="", B1053="", E1053=""), "", IF(AB1053="", "Válido", IF((LEN(AB1053)-LEN(SUBSTITUTE(AB1053,"; ","")))/2+1&gt;(LEN(AB1053)-LEN(SUBSTITUTE(AB1053,"[Aviso]","")))/7, "Con Incidencias", "Válido")))</f>
        <v/>
      </c>
      <c r="AB1053" s="56">
        <f>IF(AND(A1053="", B1053="", E1053=""), "", TEXTJOIN("; ", TRUE, IF(OR(TRIM(A1053&amp;"")="", ISNUMBER(SEARCH("FALTA", A1053))), "UPC faltante/inválido", ""), IF(AND(A1053&lt;&gt;"", IFERROR(_xlfn.XMATCH(A1053,$A$2:$A$1063,0,1)&lt;&gt;_xlfn.XMATCH(A1053,$A$2:$A$1063,0,-1),FALSE)), "Código de barras duplicado", ""), IF(AND(E1053&lt;&gt;"", COUNTIF($E$2:$E$1063, E1053)&gt;1), "SKU duplicado", ""), IF(OR(J1053="", J1053=""), "[Aviso] División no capturada ()", IF(ISNA(MATCH(J1053, Criterios!$A$123:$A$126, 0)), "División no válida", "")), IF(OR(K1053="", K1053=""), "[Aviso] Categoría no capturada ()", IF(ISNA(MATCH(K1053, Criterios!$A$81:$A$120, 0)), "Categoría no válida", IF(AND(J1053&lt;&gt;"", J1053&lt;&gt;"", J1053&lt;&gt;VLOOKUP(K1053, Criterios!$A$81:$B$120, 2, FALSE)), "División no coincide con Categoría", ""))), IF(OR(L1053="", L1053=""), "[Aviso] Género no capturado ()", IF(ISNA(MATCH(L1053, Criterios!$B$123:$B$127, 0)), "Género no válido", "")), IF(OR(N1053="", N1053=""), "[Aviso] Temporada no capturada ()", IF(ISNA(MATCH(N1053, Criterios!$C$123:$C$128, 0)), "Temporada no válida", "")), IF(OR(O1053="", O1053=""), "[Aviso] Ciclo de vida no capturado ()", IF(ISNA(MATCH(O1053, Criterios!$D$123:$D$124, 0)), "Ciclo de vida no válido", ""))))</f>
        <v/>
      </c>
      <c r="AC1053" s="56" t="n"/>
      <c r="AD1053" s="51" t="n"/>
      <c r="AE1053" s="156" t="n"/>
      <c r="AF1053" s="51" t="n"/>
      <c r="AG1053" s="156" t="inlineStr">
        <is>
          <t>Nuevo – Odoo Universal Unique Brands 01/10/2026</t>
        </is>
      </c>
      <c r="AH1053" s="156" t="inlineStr">
        <is>
          <t>01/10/2026: alta desde Odoo Universal Unique Brands (no existía en Productos por código de barras ni SKU) | Categoría: Sinónimo "Bolsa" en nombre (fuera de tabla D); Género: campo de la fuente; Color: campo de la fuente | Homologación G1522 06/10/2026: Validación G1522: Código de barras faltante · Validador NetSuite / Odoo: V1: falta código de barras · Validador Shopify: V1: falta código de barras; WB: precio con IVA no termina en 9</t>
        </is>
      </c>
      <c r="AI1053" s="156" t="n"/>
      <c r="AJ1053" s="156" t="n"/>
      <c r="AK1053" s="155" t="inlineStr">
        <is>
          <t>Odoo: producto 19107 / plantilla 23460 | Odoo: producto 27215 / plantilla 33915</t>
        </is>
      </c>
      <c r="AL1053" s="58" t="n"/>
      <c r="AM1053" s="58" t="n"/>
      <c r="AN1053" s="155" t="inlineStr">
        <is>
          <t>Odoo Universal Unique Brands</t>
        </is>
      </c>
      <c r="AO1053" s="59" t="n"/>
      <c r="AP1053" s="59" t="n"/>
      <c r="AQ1053" s="59" t="n">
        <v>8</v>
      </c>
      <c r="AR1053" s="155" t="inlineStr">
        <is>
          <t>Odoo Universal Unique Brands › Bodega 25 › Bodega 25/General: 6 | Odoo Universal Unique Brands › Bodega 25 › Bodega 25/General: 2</t>
        </is>
      </c>
    </row>
    <row r="1054">
      <c r="A1054" s="50" t="inlineStr">
        <is>
          <t>717019710119</t>
        </is>
      </c>
      <c r="B1054" s="51" t="n"/>
      <c r="C1054" s="156" t="inlineStr">
        <is>
          <t>Wrangler</t>
        </is>
      </c>
      <c r="D1054" s="156" t="inlineStr">
        <is>
          <t>WG102-8603BR</t>
        </is>
      </c>
      <c r="E1054" s="156" t="inlineStr">
        <is>
          <t>WG102-8603BR</t>
        </is>
      </c>
      <c r="F1054" s="156" t="inlineStr">
        <is>
          <t>Talla única</t>
        </is>
      </c>
      <c r="G1054" s="156" t="inlineStr">
        <is>
          <t>One Size</t>
        </is>
      </c>
      <c r="H1054" s="156" t="inlineStr">
        <is>
          <t>Wrangler</t>
        </is>
      </c>
      <c r="I1054" s="156" t="inlineStr">
        <is>
          <t>Mochila Wrangler Café</t>
        </is>
      </c>
      <c r="J1054" s="156" t="inlineStr">
        <is>
          <t>Accesorios</t>
        </is>
      </c>
      <c r="K1054" s="156" t="inlineStr">
        <is>
          <t>Mochilas</t>
        </is>
      </c>
      <c r="L1054" s="156" t="inlineStr">
        <is>
          <t>Unisex</t>
        </is>
      </c>
      <c r="M1054" s="156" t="inlineStr">
        <is>
          <t>Wrangler</t>
        </is>
      </c>
      <c r="N1054" s="156" t="n"/>
      <c r="O1054" s="156" t="n"/>
      <c r="P1054" s="156" t="inlineStr">
        <is>
          <t>Cafe</t>
        </is>
      </c>
      <c r="Q1054" s="156" t="n"/>
      <c r="R1054" s="156" t="n"/>
      <c r="S1054" s="156" t="n"/>
      <c r="T1054" s="156" t="inlineStr">
        <is>
          <t>Mochila</t>
        </is>
      </c>
      <c r="U1054" s="156" t="inlineStr">
        <is>
          <t>México</t>
        </is>
      </c>
      <c r="V1054" s="156" t="inlineStr">
        <is>
          <t>PZS</t>
        </is>
      </c>
      <c r="W1054" s="51" t="inlineStr">
        <is>
          <t>53121601</t>
        </is>
      </c>
      <c r="X1054" s="156" t="inlineStr">
        <is>
          <t>https://cdn.shopify.com/s/files/1/0005/9015/1741/files/Wrangler_Cow_Print_Decorated_Zipper_Backpack_Brown_f.webp?v=1760583712</t>
        </is>
      </c>
      <c r="Y1054" s="54" t="n">
        <v>1</v>
      </c>
      <c r="Z1054" s="54" t="n">
        <v>649</v>
      </c>
      <c r="AA1054" s="55">
        <f>IF(AND(A1054="", B1054="", E1054=""), "", IF(AB1054="", "Válido", IF((LEN(AB1054)-LEN(SUBSTITUTE(AB1054,"; ","")))/2+1&gt;(LEN(AB1054)-LEN(SUBSTITUTE(AB1054,"[Aviso]","")))/7, "Con Incidencias", "Válido")))</f>
        <v/>
      </c>
      <c r="AB1054" s="56">
        <f>IF(AND(A1054="", B1054="", E1054=""), "", TEXTJOIN("; ", TRUE, IF(OR(TRIM(A1054&amp;"")="", ISNUMBER(SEARCH("FALTA", A1054))), "UPC faltante/inválido", ""), IF(AND(A1054&lt;&gt;"", IFERROR(_xlfn.XMATCH(A1054,$A$2:$A$1063,0,1)&lt;&gt;_xlfn.XMATCH(A1054,$A$2:$A$1063,0,-1),FALSE)), "Código de barras duplicado", ""), IF(AND(E1054&lt;&gt;"", COUNTIF($E$2:$E$1063, E1054)&gt;1), "SKU duplicado", ""), IF(OR(J1054="", J1054=""), "[Aviso] División no capturada ()", IF(ISNA(MATCH(J1054, Criterios!$A$123:$A$126, 0)), "División no válida", "")), IF(OR(K1054="", K1054=""), "[Aviso] Categoría no capturada ()", IF(ISNA(MATCH(K1054, Criterios!$A$81:$A$120, 0)), "Categoría no válida", IF(AND(J1054&lt;&gt;"", J1054&lt;&gt;"", J1054&lt;&gt;VLOOKUP(K1054, Criterios!$A$81:$B$120, 2, FALSE)), "División no coincide con Categoría", ""))), IF(OR(L1054="", L1054=""), "[Aviso] Género no capturado ()", IF(ISNA(MATCH(L1054, Criterios!$B$123:$B$127, 0)), "Género no válido", "")), IF(OR(N1054="", N1054=""), "[Aviso] Temporada no capturada ()", IF(ISNA(MATCH(N1054, Criterios!$C$123:$C$128, 0)), "Temporada no válida", "")), IF(OR(O1054="", O1054=""), "[Aviso] Ciclo de vida no capturado ()", IF(ISNA(MATCH(O1054, Criterios!$D$123:$D$124, 0)), "Ciclo de vida no válido", ""))))</f>
        <v/>
      </c>
      <c r="AC1054" s="56" t="n"/>
      <c r="AD1054" s="51" t="n"/>
      <c r="AE1054" s="156" t="n"/>
      <c r="AF1054" s="51" t="n"/>
      <c r="AG1054" s="156" t="inlineStr">
        <is>
          <t>Nuevo – Odoo Universal Unique Brands 01/10/2026</t>
        </is>
      </c>
      <c r="AH1054" s="156" t="inlineStr">
        <is>
          <t>01/10/2026: alta desde Odoo Universal Unique Brands (no existía en Productos por código de barras ni SKU) | Género: campo de la fuente; Color: campo de la fuente | Homologación G1522 06/10/2026: Enlace de imagen: «» → «https://cdn.shopify.com/s/files/1/0005/9015/1741/files/Wrangler_Cow_Print_Decorated_Zipper_Backpack_Brown_f.webp?v=1760583712» (Completado por investigación en línea) · Validación G1522: [Aviso] Precio de compra posiblemente en USD · Validador Shopify: WB: precio con IVA no termina en 9</t>
        </is>
      </c>
      <c r="AI1054" s="156" t="n"/>
      <c r="AJ1054" s="156" t="n"/>
      <c r="AK1054" s="155" t="inlineStr">
        <is>
          <t>Odoo: producto 19108 / plantilla 23461 | Investigación en línea 06/10/2026: https://montanawestworld.com/products/wrangler-cow-print-backpack</t>
        </is>
      </c>
      <c r="AL1054" s="58" t="n"/>
      <c r="AM1054" s="58" t="n"/>
      <c r="AN1054" s="155" t="inlineStr">
        <is>
          <t>Odoo Universal Unique Brands</t>
        </is>
      </c>
      <c r="AO1054" s="59" t="n"/>
      <c r="AP1054" s="59" t="n"/>
      <c r="AQ1054" s="59" t="n">
        <v>6</v>
      </c>
      <c r="AR1054" s="155" t="inlineStr">
        <is>
          <t>Odoo Universal Unique Brands › Bodega 25 › Bodega 25/General: 6</t>
        </is>
      </c>
    </row>
    <row r="1055">
      <c r="A1055" s="50" t="inlineStr">
        <is>
          <t>717325213793</t>
        </is>
      </c>
      <c r="B1055" s="51" t="n"/>
      <c r="C1055" s="156" t="inlineStr">
        <is>
          <t>Wrangler</t>
        </is>
      </c>
      <c r="D1055" s="156" t="inlineStr">
        <is>
          <t>WG102-8603TN</t>
        </is>
      </c>
      <c r="E1055" s="156" t="inlineStr">
        <is>
          <t>WG102-8603TN</t>
        </is>
      </c>
      <c r="F1055" s="156" t="inlineStr">
        <is>
          <t>Talla única</t>
        </is>
      </c>
      <c r="G1055" s="156" t="inlineStr">
        <is>
          <t>One Size</t>
        </is>
      </c>
      <c r="H1055" s="156" t="inlineStr">
        <is>
          <t>Wrangler</t>
        </is>
      </c>
      <c r="I1055" s="156" t="inlineStr">
        <is>
          <t>Mochila Wrangler Camel</t>
        </is>
      </c>
      <c r="J1055" s="156" t="inlineStr">
        <is>
          <t>Accesorios</t>
        </is>
      </c>
      <c r="K1055" s="156" t="inlineStr">
        <is>
          <t>Mochilas</t>
        </is>
      </c>
      <c r="L1055" s="156" t="inlineStr">
        <is>
          <t>Unisex</t>
        </is>
      </c>
      <c r="M1055" s="156" t="inlineStr">
        <is>
          <t>Wrangler</t>
        </is>
      </c>
      <c r="N1055" s="156" t="n"/>
      <c r="O1055" s="156" t="n"/>
      <c r="P1055" s="156" t="inlineStr">
        <is>
          <t>Beige</t>
        </is>
      </c>
      <c r="Q1055" s="156" t="n"/>
      <c r="R1055" s="156" t="n"/>
      <c r="S1055" s="156" t="n"/>
      <c r="T1055" s="156" t="inlineStr">
        <is>
          <t>Mochila</t>
        </is>
      </c>
      <c r="U1055" s="156" t="inlineStr">
        <is>
          <t>México</t>
        </is>
      </c>
      <c r="V1055" s="156" t="inlineStr">
        <is>
          <t>PZS</t>
        </is>
      </c>
      <c r="W1055" s="51" t="inlineStr">
        <is>
          <t>53121601</t>
        </is>
      </c>
      <c r="X1055" s="156" t="n"/>
      <c r="Y1055" s="54" t="n"/>
      <c r="Z1055" s="54" t="n">
        <v>649</v>
      </c>
      <c r="AA1055" s="55">
        <f>IF(AND(A1055="", B1055="", E1055=""), "", IF(AB1055="", "Válido", IF((LEN(AB1055)-LEN(SUBSTITUTE(AB1055,"; ","")))/2+1&gt;(LEN(AB1055)-LEN(SUBSTITUTE(AB1055,"[Aviso]","")))/7, "Con Incidencias", "Válido")))</f>
        <v/>
      </c>
      <c r="AB1055" s="56">
        <f>IF(AND(A1055="", B1055="", E1055=""), "", TEXTJOIN("; ", TRUE, IF(OR(TRIM(A1055&amp;"")="", ISNUMBER(SEARCH("FALTA", A1055))), "UPC faltante/inválido", ""), IF(AND(A1055&lt;&gt;"", IFERROR(_xlfn.XMATCH(A1055,$A$2:$A$1063,0,1)&lt;&gt;_xlfn.XMATCH(A1055,$A$2:$A$1063,0,-1),FALSE)), "Código de barras duplicado", ""), IF(AND(E1055&lt;&gt;"", COUNTIF($E$2:$E$1063, E1055)&gt;1), "SKU duplicado", ""), IF(OR(J1055="", J1055=""), "[Aviso] División no capturada ()", IF(ISNA(MATCH(J1055, Criterios!$A$123:$A$126, 0)), "División no válida", "")), IF(OR(K1055="", K1055=""), "[Aviso] Categoría no capturada ()", IF(ISNA(MATCH(K1055, Criterios!$A$81:$A$120, 0)), "Categoría no válida", IF(AND(J1055&lt;&gt;"", J1055&lt;&gt;"", J1055&lt;&gt;VLOOKUP(K1055, Criterios!$A$81:$B$120, 2, FALSE)), "División no coincide con Categoría", ""))), IF(OR(L1055="", L1055=""), "[Aviso] Género no capturado ()", IF(ISNA(MATCH(L1055, Criterios!$B$123:$B$127, 0)), "Género no válido", "")), IF(OR(N1055="", N1055=""), "[Aviso] Temporada no capturada ()", IF(ISNA(MATCH(N1055, Criterios!$C$123:$C$128, 0)), "Temporada no válida", "")), IF(OR(O1055="", O1055=""), "[Aviso] Ciclo de vida no capturado ()", IF(ISNA(MATCH(O1055, Criterios!$D$123:$D$124, 0)), "Ciclo de vida no válido", ""))))</f>
        <v/>
      </c>
      <c r="AC1055" s="56" t="n"/>
      <c r="AD1055" s="51" t="n"/>
      <c r="AE1055" s="156" t="n"/>
      <c r="AF1055" s="51" t="n"/>
      <c r="AG1055" s="156" t="inlineStr">
        <is>
          <t>Nuevo – Odoo Universal Unique Brands 01/10/2026</t>
        </is>
      </c>
      <c r="AH1055" s="156" t="inlineStr">
        <is>
          <t>01/10/2026: alta desde Odoo Universal Unique Brands (no existía en Productos por código de barras ni SKU) | Género: campo de la fuente; Color: campo de la fuente | Homologación G1522 06/10/2026: Validador Shopify: WB: precio con IVA no termina en 9</t>
        </is>
      </c>
      <c r="AI1055" s="156" t="n"/>
      <c r="AJ1055" s="156" t="n"/>
      <c r="AK1055" s="155" t="inlineStr">
        <is>
          <t>Odoo: producto 19109 / plantilla 23462</t>
        </is>
      </c>
      <c r="AL1055" s="58" t="n"/>
      <c r="AM1055" s="58" t="n"/>
      <c r="AN1055" s="155" t="inlineStr">
        <is>
          <t>Odoo Universal Unique Brands</t>
        </is>
      </c>
      <c r="AO1055" s="59" t="n"/>
      <c r="AP1055" s="59" t="n"/>
      <c r="AQ1055" s="59" t="n">
        <v>0</v>
      </c>
      <c r="AR1055" s="155" t="n"/>
    </row>
    <row r="1056">
      <c r="A1056" s="50" t="n"/>
      <c r="B1056" s="51" t="n"/>
      <c r="C1056" s="156" t="inlineStr">
        <is>
          <t>Wrangler</t>
        </is>
      </c>
      <c r="D1056" s="156" t="inlineStr">
        <is>
          <t>WG120-209ΚΗ</t>
        </is>
      </c>
      <c r="E1056" s="156" t="inlineStr">
        <is>
          <t>WG120-209ΚΗ</t>
        </is>
      </c>
      <c r="F1056" s="156" t="inlineStr">
        <is>
          <t>Talla única</t>
        </is>
      </c>
      <c r="G1056" s="156" t="inlineStr">
        <is>
          <t>One Size</t>
        </is>
      </c>
      <c r="H1056" s="156" t="inlineStr">
        <is>
          <t>Wrangler</t>
        </is>
      </c>
      <c r="I1056" s="156" t="inlineStr">
        <is>
          <t>Bolsa Wrangler Caqui</t>
        </is>
      </c>
      <c r="J1056" s="156" t="inlineStr">
        <is>
          <t>Accesorios</t>
        </is>
      </c>
      <c r="K1056" s="156" t="inlineStr">
        <is>
          <t>Bolsos</t>
        </is>
      </c>
      <c r="L1056" s="156" t="inlineStr">
        <is>
          <t>Unisex</t>
        </is>
      </c>
      <c r="M1056" s="156" t="inlineStr">
        <is>
          <t>Wrangler</t>
        </is>
      </c>
      <c r="N1056" s="156" t="n"/>
      <c r="O1056" s="156" t="n"/>
      <c r="P1056" s="156" t="inlineStr">
        <is>
          <t>Beige</t>
        </is>
      </c>
      <c r="Q1056" s="156" t="n"/>
      <c r="R1056" s="156" t="n"/>
      <c r="S1056" s="156" t="n"/>
      <c r="T1056" s="156" t="inlineStr">
        <is>
          <t>Bolsa</t>
        </is>
      </c>
      <c r="U1056" s="156" t="inlineStr">
        <is>
          <t>México</t>
        </is>
      </c>
      <c r="V1056" s="156" t="inlineStr">
        <is>
          <t>PZS</t>
        </is>
      </c>
      <c r="W1056" s="51" t="inlineStr">
        <is>
          <t>53121601</t>
        </is>
      </c>
      <c r="X1056" s="156" t="n"/>
      <c r="Y1056" s="54" t="n"/>
      <c r="Z1056" s="54" t="n">
        <v>399</v>
      </c>
      <c r="AA1056" s="55">
        <f>IF(AND(A1056="", B1056="", E1056=""), "", IF(AB1056="", "Válido", IF((LEN(AB1056)-LEN(SUBSTITUTE(AB1056,"; ","")))/2+1&gt;(LEN(AB1056)-LEN(SUBSTITUTE(AB1056,"[Aviso]","")))/7, "Con Incidencias", "Válido")))</f>
        <v/>
      </c>
      <c r="AB1056" s="56">
        <f>IF(AND(A1056="", B1056="", E1056=""), "", TEXTJOIN("; ", TRUE, IF(OR(TRIM(A1056&amp;"")="", ISNUMBER(SEARCH("FALTA", A1056))), "UPC faltante/inválido", ""), IF(AND(A1056&lt;&gt;"", IFERROR(_xlfn.XMATCH(A1056,$A$2:$A$1063,0,1)&lt;&gt;_xlfn.XMATCH(A1056,$A$2:$A$1063,0,-1),FALSE)), "Código de barras duplicado", ""), IF(AND(E1056&lt;&gt;"", COUNTIF($E$2:$E$1063, E1056)&gt;1), "SKU duplicado", ""), IF(OR(J1056="", J1056=""), "[Aviso] División no capturada ()", IF(ISNA(MATCH(J1056, Criterios!$A$123:$A$126, 0)), "División no válida", "")), IF(OR(K1056="", K1056=""), "[Aviso] Categoría no capturada ()", IF(ISNA(MATCH(K1056, Criterios!$A$81:$A$120, 0)), "Categoría no válida", IF(AND(J1056&lt;&gt;"", J1056&lt;&gt;"", J1056&lt;&gt;VLOOKUP(K1056, Criterios!$A$81:$B$120, 2, FALSE)), "División no coincide con Categoría", ""))), IF(OR(L1056="", L1056=""), "[Aviso] Género no capturado ()", IF(ISNA(MATCH(L1056, Criterios!$B$123:$B$127, 0)), "Género no válido", "")), IF(OR(N1056="", N1056=""), "[Aviso] Temporada no capturada ()", IF(ISNA(MATCH(N1056, Criterios!$C$123:$C$128, 0)), "Temporada no válida", "")), IF(OR(O1056="", O1056=""), "[Aviso] Ciclo de vida no capturado ()", IF(ISNA(MATCH(O1056, Criterios!$D$123:$D$124, 0)), "Ciclo de vida no válido", ""))))</f>
        <v/>
      </c>
      <c r="AC1056" s="56" t="n"/>
      <c r="AD1056" s="51" t="n"/>
      <c r="AE1056" s="156" t="n"/>
      <c r="AF1056" s="51" t="n"/>
      <c r="AG1056" s="156" t="inlineStr">
        <is>
          <t>Nuevo – Odoo Universal Unique Brands 01/10/2026</t>
        </is>
      </c>
      <c r="AH1056" s="156" t="inlineStr">
        <is>
          <t>01/10/2026: alta desde Odoo Universal Unique Brands (no existía en Productos por código de barras ni SKU) | Categoría: Sinónimo "Bolsa" en nombre (fuera de tabla D); Género: campo de la fuente; Color: campo de la fuente | Homologación G1522 06/10/2026: Validación G1522: Código de barras faltante · Validador NetSuite / Odoo: V1: falta código de barras · Validador Shopify: V1: falta código de barras; WB: precio con IVA no termina en 9</t>
        </is>
      </c>
      <c r="AI1056" s="156" t="n"/>
      <c r="AJ1056" s="156" t="n"/>
      <c r="AK1056" s="155" t="inlineStr">
        <is>
          <t>Odoo: producto 19111 / plantilla 23464</t>
        </is>
      </c>
      <c r="AL1056" s="58" t="n"/>
      <c r="AM1056" s="58" t="n"/>
      <c r="AN1056" s="155" t="inlineStr">
        <is>
          <t>Odoo Universal Unique Brands</t>
        </is>
      </c>
      <c r="AO1056" s="59" t="n"/>
      <c r="AP1056" s="59" t="n"/>
      <c r="AQ1056" s="59" t="n">
        <v>6</v>
      </c>
      <c r="AR1056" s="155" t="inlineStr">
        <is>
          <t>Odoo Universal Unique Brands › Bodega 25 › Bodega 25/General: 6</t>
        </is>
      </c>
    </row>
    <row r="1057">
      <c r="A1057" s="50" t="inlineStr">
        <is>
          <t>717019710027</t>
        </is>
      </c>
      <c r="B1057" s="51" t="n"/>
      <c r="C1057" s="156" t="inlineStr">
        <is>
          <t>Wrangler</t>
        </is>
      </c>
      <c r="D1057" s="156" t="inlineStr">
        <is>
          <t>WG133-8603BK</t>
        </is>
      </c>
      <c r="E1057" s="156" t="inlineStr">
        <is>
          <t>WG133-8603BK</t>
        </is>
      </c>
      <c r="F1057" s="156" t="inlineStr">
        <is>
          <t>Talla única</t>
        </is>
      </c>
      <c r="G1057" s="156" t="inlineStr">
        <is>
          <t>One Size</t>
        </is>
      </c>
      <c r="H1057" s="156" t="inlineStr">
        <is>
          <t>Wrangler</t>
        </is>
      </c>
      <c r="I1057" s="156" t="inlineStr">
        <is>
          <t>Mochila Wrangler Negro</t>
        </is>
      </c>
      <c r="J1057" s="156" t="inlineStr">
        <is>
          <t>Accesorios</t>
        </is>
      </c>
      <c r="K1057" s="156" t="inlineStr">
        <is>
          <t>Mochilas</t>
        </is>
      </c>
      <c r="L1057" s="156" t="inlineStr">
        <is>
          <t>Unisex</t>
        </is>
      </c>
      <c r="M1057" s="156" t="inlineStr">
        <is>
          <t>Wrangler</t>
        </is>
      </c>
      <c r="N1057" s="156" t="n"/>
      <c r="O1057" s="156" t="n"/>
      <c r="P1057" s="156" t="inlineStr">
        <is>
          <t>Negro</t>
        </is>
      </c>
      <c r="Q1057" s="156" t="n"/>
      <c r="R1057" s="156" t="n"/>
      <c r="S1057" s="156" t="n"/>
      <c r="T1057" s="156" t="inlineStr">
        <is>
          <t>Mochila</t>
        </is>
      </c>
      <c r="U1057" s="156" t="inlineStr">
        <is>
          <t>México</t>
        </is>
      </c>
      <c r="V1057" s="156" t="inlineStr">
        <is>
          <t>PZS</t>
        </is>
      </c>
      <c r="W1057" s="51" t="inlineStr">
        <is>
          <t>53121601</t>
        </is>
      </c>
      <c r="X1057" s="156" t="inlineStr">
        <is>
          <t>https://cdn.shopify.com/s/files/1/0005/9015/1741/files/Wrangler_Cow_Print_Backpack_M.webp?v=1720779901</t>
        </is>
      </c>
      <c r="Y1057" s="54" t="n"/>
      <c r="Z1057" s="54" t="n">
        <v>649</v>
      </c>
      <c r="AA1057" s="55">
        <f>IF(AND(A1057="", B1057="", E1057=""), "", IF(AB1057="", "Válido", IF((LEN(AB1057)-LEN(SUBSTITUTE(AB1057,"; ","")))/2+1&gt;(LEN(AB1057)-LEN(SUBSTITUTE(AB1057,"[Aviso]","")))/7, "Con Incidencias", "Válido")))</f>
        <v/>
      </c>
      <c r="AB1057" s="56">
        <f>IF(AND(A1057="", B1057="", E1057=""), "", TEXTJOIN("; ", TRUE, IF(OR(TRIM(A1057&amp;"")="", ISNUMBER(SEARCH("FALTA", A1057))), "UPC faltante/inválido", ""), IF(AND(A1057&lt;&gt;"", IFERROR(_xlfn.XMATCH(A1057,$A$2:$A$1063,0,1)&lt;&gt;_xlfn.XMATCH(A1057,$A$2:$A$1063,0,-1),FALSE)), "Código de barras duplicado", ""), IF(AND(E1057&lt;&gt;"", COUNTIF($E$2:$E$1063, E1057)&gt;1), "SKU duplicado", ""), IF(OR(J1057="", J1057=""), "[Aviso] División no capturada ()", IF(ISNA(MATCH(J1057, Criterios!$A$123:$A$126, 0)), "División no válida", "")), IF(OR(K1057="", K1057=""), "[Aviso] Categoría no capturada ()", IF(ISNA(MATCH(K1057, Criterios!$A$81:$A$120, 0)), "Categoría no válida", IF(AND(J1057&lt;&gt;"", J1057&lt;&gt;"", J1057&lt;&gt;VLOOKUP(K1057, Criterios!$A$81:$B$120, 2, FALSE)), "División no coincide con Categoría", ""))), IF(OR(L1057="", L1057=""), "[Aviso] Género no capturado ()", IF(ISNA(MATCH(L1057, Criterios!$B$123:$B$127, 0)), "Género no válido", "")), IF(OR(N1057="", N1057=""), "[Aviso] Temporada no capturada ()", IF(ISNA(MATCH(N1057, Criterios!$C$123:$C$128, 0)), "Temporada no válida", "")), IF(OR(O1057="", O1057=""), "[Aviso] Ciclo de vida no capturado ()", IF(ISNA(MATCH(O1057, Criterios!$D$123:$D$124, 0)), "Ciclo de vida no válido", ""))))</f>
        <v/>
      </c>
      <c r="AC1057" s="56" t="n"/>
      <c r="AD1057" s="51" t="n"/>
      <c r="AE1057" s="156" t="n"/>
      <c r="AF1057" s="51" t="n"/>
      <c r="AG1057" s="156" t="inlineStr">
        <is>
          <t>Nuevo – Odoo Universal Unique Brands 01/10/2026</t>
        </is>
      </c>
      <c r="AH1057" s="156" t="inlineStr">
        <is>
          <t>01/10/2026: alta desde Odoo Universal Unique Brands (no existía en Productos por código de barras ni SKU) | Género: campo de la fuente; Color: campo de la fuente | Homologación G1522 06/10/2026: Enlace de imagen: «» → «https://cdn.shopify.com/s/files/1/0005/9015/1741/files/Wrangler_Cow_Print_Backpack_M.webp?v=1720779901» (Completado por investigación en línea) · Validador Shopify: WB: precio con IVA no termina en 9</t>
        </is>
      </c>
      <c r="AI1057" s="156" t="n"/>
      <c r="AJ1057" s="156" t="n"/>
      <c r="AK1057" s="155" t="inlineStr">
        <is>
          <t>Odoo: producto 19112 / plantilla 23465 | Investigación en línea 06/10/2026: https://montanawestworld.com/products/wrangler-cow-print-backpack</t>
        </is>
      </c>
      <c r="AL1057" s="58" t="n"/>
      <c r="AM1057" s="58" t="n"/>
      <c r="AN1057" s="155" t="inlineStr">
        <is>
          <t>Odoo Universal Unique Brands</t>
        </is>
      </c>
      <c r="AO1057" s="59" t="n"/>
      <c r="AP1057" s="59" t="n"/>
      <c r="AQ1057" s="59" t="n">
        <v>6</v>
      </c>
      <c r="AR1057" s="155" t="inlineStr">
        <is>
          <t>Odoo Universal Unique Brands › Bodega 25 › Bodega 25/General: 6</t>
        </is>
      </c>
    </row>
    <row r="1058">
      <c r="A1058" s="50" t="inlineStr">
        <is>
          <t>717325211706</t>
        </is>
      </c>
      <c r="B1058" s="51" t="n"/>
      <c r="C1058" s="156" t="inlineStr">
        <is>
          <t>Wrangler</t>
        </is>
      </c>
      <c r="D1058" s="156" t="inlineStr">
        <is>
          <t>WG160-60102BR</t>
        </is>
      </c>
      <c r="E1058" s="156" t="inlineStr">
        <is>
          <t>WG160-60102BR</t>
        </is>
      </c>
      <c r="F1058" s="156" t="inlineStr">
        <is>
          <t>Talla única</t>
        </is>
      </c>
      <c r="G1058" s="156" t="inlineStr">
        <is>
          <t>One Size</t>
        </is>
      </c>
      <c r="H1058" s="156" t="inlineStr">
        <is>
          <t>Wrangler</t>
        </is>
      </c>
      <c r="I1058" s="156" t="inlineStr">
        <is>
          <t>Bolsa De Mano Wrangler Café</t>
        </is>
      </c>
      <c r="J1058" s="156" t="inlineStr">
        <is>
          <t>Accesorios</t>
        </is>
      </c>
      <c r="K1058" s="156" t="inlineStr">
        <is>
          <t>Bolsos</t>
        </is>
      </c>
      <c r="L1058" s="156" t="inlineStr">
        <is>
          <t>Unisex</t>
        </is>
      </c>
      <c r="M1058" s="156" t="inlineStr">
        <is>
          <t>Wrangler</t>
        </is>
      </c>
      <c r="N1058" s="156" t="n"/>
      <c r="O1058" s="156" t="n"/>
      <c r="P1058" s="156" t="inlineStr">
        <is>
          <t>Cafe</t>
        </is>
      </c>
      <c r="Q1058" s="156" t="n"/>
      <c r="R1058" s="156" t="n"/>
      <c r="S1058" s="156" t="n"/>
      <c r="T1058" s="156" t="inlineStr">
        <is>
          <t>Bolsa De Mano</t>
        </is>
      </c>
      <c r="U1058" s="156" t="inlineStr">
        <is>
          <t>México</t>
        </is>
      </c>
      <c r="V1058" s="156" t="inlineStr">
        <is>
          <t>PZS</t>
        </is>
      </c>
      <c r="W1058" s="51" t="inlineStr">
        <is>
          <t>53121601</t>
        </is>
      </c>
      <c r="X1058" s="156" t="n"/>
      <c r="Y1058" s="54" t="n"/>
      <c r="Z1058" s="54" t="n">
        <v>599</v>
      </c>
      <c r="AA1058" s="55">
        <f>IF(AND(A1058="", B1058="", E1058=""), "", IF(AB1058="", "Válido", IF((LEN(AB1058)-LEN(SUBSTITUTE(AB1058,"; ","")))/2+1&gt;(LEN(AB1058)-LEN(SUBSTITUTE(AB1058,"[Aviso]","")))/7, "Con Incidencias", "Válido")))</f>
        <v/>
      </c>
      <c r="AB1058" s="56">
        <f>IF(AND(A1058="", B1058="", E1058=""), "", TEXTJOIN("; ", TRUE, IF(OR(TRIM(A1058&amp;"")="", ISNUMBER(SEARCH("FALTA", A1058))), "UPC faltante/inválido", ""), IF(AND(A1058&lt;&gt;"", IFERROR(_xlfn.XMATCH(A1058,$A$2:$A$1063,0,1)&lt;&gt;_xlfn.XMATCH(A1058,$A$2:$A$1063,0,-1),FALSE)), "Código de barras duplicado", ""), IF(AND(E1058&lt;&gt;"", COUNTIF($E$2:$E$1063, E1058)&gt;1), "SKU duplicado", ""), IF(OR(J1058="", J1058=""), "[Aviso] División no capturada ()", IF(ISNA(MATCH(J1058, Criterios!$A$123:$A$126, 0)), "División no válida", "")), IF(OR(K1058="", K1058=""), "[Aviso] Categoría no capturada ()", IF(ISNA(MATCH(K1058, Criterios!$A$81:$A$120, 0)), "Categoría no válida", IF(AND(J1058&lt;&gt;"", J1058&lt;&gt;"", J1058&lt;&gt;VLOOKUP(K1058, Criterios!$A$81:$B$120, 2, FALSE)), "División no coincide con Categoría", ""))), IF(OR(L1058="", L1058=""), "[Aviso] Género no capturado ()", IF(ISNA(MATCH(L1058, Criterios!$B$123:$B$127, 0)), "Género no válido", "")), IF(OR(N1058="", N1058=""), "[Aviso] Temporada no capturada ()", IF(ISNA(MATCH(N1058, Criterios!$C$123:$C$128, 0)), "Temporada no válida", "")), IF(OR(O1058="", O1058=""), "[Aviso] Ciclo de vida no capturado ()", IF(ISNA(MATCH(O1058, Criterios!$D$123:$D$124, 0)), "Ciclo de vida no válido", ""))))</f>
        <v/>
      </c>
      <c r="AC1058" s="56" t="n"/>
      <c r="AD1058" s="51" t="n"/>
      <c r="AE1058" s="156" t="n"/>
      <c r="AF1058" s="51" t="n"/>
      <c r="AG1058" s="156" t="inlineStr">
        <is>
          <t>Nuevo – Odoo Universal Unique Brands 01/10/2026</t>
        </is>
      </c>
      <c r="AH1058" s="156" t="inlineStr">
        <is>
          <t>01/10/2026: alta desde Odoo Universal Unique Brands (no existía en Productos por código de barras ni SKU) | Categoría: Palabra clave "Bolso" en tipo/categoría de la fuente (Accesorios / Bolsos / Bolsa tote); Género: campo de la fuente; Color: campo de la fuente | Homologación G1522 06/10/2026: Validador Shopify: WB: precio con IVA no termina en 9</t>
        </is>
      </c>
      <c r="AI1058" s="156" t="n"/>
      <c r="AJ1058" s="156" t="n"/>
      <c r="AK1058" s="155" t="inlineStr">
        <is>
          <t>Odoo: producto 19113 / plantilla 23466 | Odoo: producto 27256 / plantilla 33956</t>
        </is>
      </c>
      <c r="AL1058" s="58" t="n"/>
      <c r="AM1058" s="58" t="n"/>
      <c r="AN1058" s="155" t="inlineStr">
        <is>
          <t>Odoo Universal Unique Brands</t>
        </is>
      </c>
      <c r="AO1058" s="59" t="n"/>
      <c r="AP1058" s="59" t="n"/>
      <c r="AQ1058" s="59" t="n">
        <v>1</v>
      </c>
      <c r="AR1058" s="155" t="inlineStr">
        <is>
          <t>Odoo Universal Unique Brands › Bodega 25 › Bodega 25/General: 3</t>
        </is>
      </c>
    </row>
    <row r="1059">
      <c r="A1059" s="50" t="inlineStr">
        <is>
          <t>717019742783</t>
        </is>
      </c>
      <c r="B1059" s="51" t="n"/>
      <c r="C1059" s="156" t="inlineStr">
        <is>
          <t>Wrangler</t>
        </is>
      </c>
      <c r="D1059" s="156" t="inlineStr">
        <is>
          <t>WG174-5110BK</t>
        </is>
      </c>
      <c r="E1059" s="156" t="inlineStr">
        <is>
          <t>WG174-5110BK</t>
        </is>
      </c>
      <c r="F1059" s="156" t="inlineStr">
        <is>
          <t>Talla única</t>
        </is>
      </c>
      <c r="G1059" s="156" t="inlineStr">
        <is>
          <t>One Size</t>
        </is>
      </c>
      <c r="H1059" s="156" t="inlineStr">
        <is>
          <t>Wrangler</t>
        </is>
      </c>
      <c r="I1059" s="156" t="inlineStr">
        <is>
          <t>Maleta Duffle Wrangler Negro</t>
        </is>
      </c>
      <c r="J1059" s="156" t="inlineStr">
        <is>
          <t>Accesorios</t>
        </is>
      </c>
      <c r="K1059" s="156" t="inlineStr">
        <is>
          <t>Equipaje</t>
        </is>
      </c>
      <c r="L1059" s="156" t="inlineStr">
        <is>
          <t>Unisex</t>
        </is>
      </c>
      <c r="M1059" s="156" t="inlineStr">
        <is>
          <t>Wrangler</t>
        </is>
      </c>
      <c r="N1059" s="156" t="n"/>
      <c r="O1059" s="156" t="n"/>
      <c r="P1059" s="156" t="inlineStr">
        <is>
          <t>Negro</t>
        </is>
      </c>
      <c r="Q1059" s="156" t="n"/>
      <c r="R1059" s="156" t="n"/>
      <c r="S1059" s="156" t="n"/>
      <c r="T1059" s="156" t="inlineStr">
        <is>
          <t>Maleta Duffle</t>
        </is>
      </c>
      <c r="U1059" s="156" t="inlineStr">
        <is>
          <t>México</t>
        </is>
      </c>
      <c r="V1059" s="156" t="inlineStr">
        <is>
          <t>PZS</t>
        </is>
      </c>
      <c r="W1059" s="51" t="inlineStr">
        <is>
          <t>53121700</t>
        </is>
      </c>
      <c r="X1059" s="156" t="inlineStr">
        <is>
          <t>https://cdn.shopify.com/s/files/1/0005/9015/1741/files/Wrangler_Aztec_Knitted_Duffle_Bag_Black1.webp?v=1750731958</t>
        </is>
      </c>
      <c r="Y1059" s="54" t="n"/>
      <c r="Z1059" s="54" t="n">
        <v>949</v>
      </c>
      <c r="AA1059" s="55">
        <f>IF(AND(A1059="", B1059="", E1059=""), "", IF(AB1059="", "Válido", IF((LEN(AB1059)-LEN(SUBSTITUTE(AB1059,"; ","")))/2+1&gt;(LEN(AB1059)-LEN(SUBSTITUTE(AB1059,"[Aviso]","")))/7, "Con Incidencias", "Válido")))</f>
        <v/>
      </c>
      <c r="AB1059" s="56">
        <f>IF(AND(A1059="", B1059="", E1059=""), "", TEXTJOIN("; ", TRUE, IF(OR(TRIM(A1059&amp;"")="", ISNUMBER(SEARCH("FALTA", A1059))), "UPC faltante/inválido", ""), IF(AND(A1059&lt;&gt;"", IFERROR(_xlfn.XMATCH(A1059,$A$2:$A$1063,0,1)&lt;&gt;_xlfn.XMATCH(A1059,$A$2:$A$1063,0,-1),FALSE)), "Código de barras duplicado", ""), IF(AND(E1059&lt;&gt;"", COUNTIF($E$2:$E$1063, E1059)&gt;1), "SKU duplicado", ""), IF(OR(J1059="", J1059=""), "[Aviso] División no capturada ()", IF(ISNA(MATCH(J1059, Criterios!$A$123:$A$126, 0)), "División no válida", "")), IF(OR(K1059="", K1059=""), "[Aviso] Categoría no capturada ()", IF(ISNA(MATCH(K1059, Criterios!$A$81:$A$120, 0)), "Categoría no válida", IF(AND(J1059&lt;&gt;"", J1059&lt;&gt;"", J1059&lt;&gt;VLOOKUP(K1059, Criterios!$A$81:$B$120, 2, FALSE)), "División no coincide con Categoría", ""))), IF(OR(L1059="", L1059=""), "[Aviso] Género no capturado ()", IF(ISNA(MATCH(L1059, Criterios!$B$123:$B$127, 0)), "Género no válido", "")), IF(OR(N1059="", N1059=""), "[Aviso] Temporada no capturada ()", IF(ISNA(MATCH(N1059, Criterios!$C$123:$C$128, 0)), "Temporada no válida", "")), IF(OR(O1059="", O1059=""), "[Aviso] Ciclo de vida no capturado ()", IF(ISNA(MATCH(O1059, Criterios!$D$123:$D$124, 0)), "Ciclo de vida no válido", ""))))</f>
        <v/>
      </c>
      <c r="AC1059" s="56" t="n"/>
      <c r="AD1059" s="51" t="n"/>
      <c r="AE1059" s="156" t="n"/>
      <c r="AF1059" s="51" t="n"/>
      <c r="AG1059" s="156" t="inlineStr">
        <is>
          <t>Nuevo – Odoo Universal Unique Brands 01/10/2026</t>
        </is>
      </c>
      <c r="AH1059" s="156" t="inlineStr">
        <is>
          <t>01/10/2026: alta desde Odoo Universal Unique Brands (no existía en Productos por código de barras ni SKU) | Categoría: Sinónimo "Maleta" en nombre (fuera de tabla D); Género: campo de la fuente; Color: campo de la fuente | Homologación G1522 06/10/2026: Enlace de imagen: «» → «https://cdn.shopify.com/s/files/1/0005/9015/1741/files/Wrangler_Aztec_Knitted_Duffle_Bag_Black1.webp?v=1750731958» (Completado por investigación en línea) · Validador Shopify: WB: precio con IVA no termina en 9</t>
        </is>
      </c>
      <c r="AI1059" s="156" t="n"/>
      <c r="AJ1059" s="156" t="n"/>
      <c r="AK1059" s="155" t="inlineStr">
        <is>
          <t>Odoo: producto 19116 / plantilla 23469 | Odoo: producto 27300 / plantilla 34000 | Investigación en línea 06/10/2026: https://montanawestworld.com/products/wrangler-aztec-duffle-bag</t>
        </is>
      </c>
      <c r="AL1059" s="58" t="n"/>
      <c r="AM1059" s="58" t="n"/>
      <c r="AN1059" s="155" t="inlineStr">
        <is>
          <t>Odoo Universal Unique Brands</t>
        </is>
      </c>
      <c r="AO1059" s="59" t="n"/>
      <c r="AP1059" s="59" t="n"/>
      <c r="AQ1059" s="59" t="n">
        <v>3</v>
      </c>
      <c r="AR1059" s="155" t="inlineStr">
        <is>
          <t>Odoo Universal Unique Brands › Bodega 25 › Bodega 25/General: 6</t>
        </is>
      </c>
    </row>
    <row r="1060">
      <c r="A1060" s="50" t="inlineStr">
        <is>
          <t>717325216138</t>
        </is>
      </c>
      <c r="B1060" s="51" t="n"/>
      <c r="C1060" s="156" t="inlineStr">
        <is>
          <t>Wrangler</t>
        </is>
      </c>
      <c r="D1060" s="156" t="inlineStr">
        <is>
          <t>WG201-8012PK</t>
        </is>
      </c>
      <c r="E1060" s="156" t="inlineStr">
        <is>
          <t>WG201-8012PK</t>
        </is>
      </c>
      <c r="F1060" s="156" t="inlineStr">
        <is>
          <t>Talla única</t>
        </is>
      </c>
      <c r="G1060" s="156" t="inlineStr">
        <is>
          <t>One Size</t>
        </is>
      </c>
      <c r="H1060" s="156" t="inlineStr">
        <is>
          <t>Wrangler</t>
        </is>
      </c>
      <c r="I1060" s="156" t="inlineStr">
        <is>
          <t>Bolsa Wrangler Rosa</t>
        </is>
      </c>
      <c r="J1060" s="156" t="inlineStr">
        <is>
          <t>Accesorios</t>
        </is>
      </c>
      <c r="K1060" s="156" t="inlineStr">
        <is>
          <t>Bolsos</t>
        </is>
      </c>
      <c r="L1060" s="156" t="inlineStr">
        <is>
          <t>Unisex</t>
        </is>
      </c>
      <c r="M1060" s="156" t="inlineStr">
        <is>
          <t>Wrangler</t>
        </is>
      </c>
      <c r="N1060" s="156" t="n"/>
      <c r="O1060" s="156" t="n"/>
      <c r="P1060" s="156" t="inlineStr">
        <is>
          <t>Rosa</t>
        </is>
      </c>
      <c r="Q1060" s="156" t="n"/>
      <c r="R1060" s="156" t="n"/>
      <c r="S1060" s="156" t="n"/>
      <c r="T1060" s="156" t="inlineStr">
        <is>
          <t>Bolsa</t>
        </is>
      </c>
      <c r="U1060" s="156" t="inlineStr">
        <is>
          <t>México</t>
        </is>
      </c>
      <c r="V1060" s="156" t="inlineStr">
        <is>
          <t>PZS</t>
        </is>
      </c>
      <c r="W1060" s="51" t="inlineStr">
        <is>
          <t>53121601</t>
        </is>
      </c>
      <c r="X1060" s="156" t="n"/>
      <c r="Y1060" s="54" t="n"/>
      <c r="Z1060" s="54" t="n">
        <v>499</v>
      </c>
      <c r="AA1060" s="55">
        <f>IF(AND(A1060="", B1060="", E1060=""), "", IF(AB1060="", "Válido", IF((LEN(AB1060)-LEN(SUBSTITUTE(AB1060,"; ","")))/2+1&gt;(LEN(AB1060)-LEN(SUBSTITUTE(AB1060,"[Aviso]","")))/7, "Con Incidencias", "Válido")))</f>
        <v/>
      </c>
      <c r="AB1060" s="56">
        <f>IF(AND(A1060="", B1060="", E1060=""), "", TEXTJOIN("; ", TRUE, IF(OR(TRIM(A1060&amp;"")="", ISNUMBER(SEARCH("FALTA", A1060))), "UPC faltante/inválido", ""), IF(AND(A1060&lt;&gt;"", IFERROR(_xlfn.XMATCH(A1060,$A$2:$A$1063,0,1)&lt;&gt;_xlfn.XMATCH(A1060,$A$2:$A$1063,0,-1),FALSE)), "Código de barras duplicado", ""), IF(AND(E1060&lt;&gt;"", COUNTIF($E$2:$E$1063, E1060)&gt;1), "SKU duplicado", ""), IF(OR(J1060="", J1060=""), "[Aviso] División no capturada ()", IF(ISNA(MATCH(J1060, Criterios!$A$123:$A$126, 0)), "División no válida", "")), IF(OR(K1060="", K1060=""), "[Aviso] Categoría no capturada ()", IF(ISNA(MATCH(K1060, Criterios!$A$81:$A$120, 0)), "Categoría no válida", IF(AND(J1060&lt;&gt;"", J1060&lt;&gt;"", J1060&lt;&gt;VLOOKUP(K1060, Criterios!$A$81:$B$120, 2, FALSE)), "División no coincide con Categoría", ""))), IF(OR(L1060="", L1060=""), "[Aviso] Género no capturado ()", IF(ISNA(MATCH(L1060, Criterios!$B$123:$B$127, 0)), "Género no válido", "")), IF(OR(N1060="", N1060=""), "[Aviso] Temporada no capturada ()", IF(ISNA(MATCH(N1060, Criterios!$C$123:$C$128, 0)), "Temporada no válida", "")), IF(OR(O1060="", O1060=""), "[Aviso] Ciclo de vida no capturado ()", IF(ISNA(MATCH(O1060, Criterios!$D$123:$D$124, 0)), "Ciclo de vida no válido", ""))))</f>
        <v/>
      </c>
      <c r="AC1060" s="56" t="n"/>
      <c r="AD1060" s="51" t="n"/>
      <c r="AE1060" s="156" t="n"/>
      <c r="AF1060" s="51" t="n"/>
      <c r="AG1060" s="156" t="inlineStr">
        <is>
          <t>Nuevo – Odoo Universal Unique Brands 01/10/2026</t>
        </is>
      </c>
      <c r="AH1060" s="156" t="inlineStr">
        <is>
          <t>01/10/2026: alta desde Odoo Universal Unique Brands (no existía en Productos por código de barras ni SKU) | Categoría: Sinónimo "Bolsa" en nombre (fuera de tabla D); Género: campo de la fuente; Color: campo de la fuente | Homologación G1522 06/10/2026: Validador Shopify: WB: precio con IVA no termina en 9</t>
        </is>
      </c>
      <c r="AI1060" s="156" t="n"/>
      <c r="AJ1060" s="156" t="n"/>
      <c r="AK1060" s="155" t="inlineStr">
        <is>
          <t>Odoo: producto 19117 / plantilla 23470</t>
        </is>
      </c>
      <c r="AL1060" s="58" t="n"/>
      <c r="AM1060" s="58" t="n"/>
      <c r="AN1060" s="155" t="inlineStr">
        <is>
          <t>Odoo Universal Unique Brands</t>
        </is>
      </c>
      <c r="AO1060" s="59" t="n"/>
      <c r="AP1060" s="59" t="n"/>
      <c r="AQ1060" s="59" t="n">
        <v>6</v>
      </c>
      <c r="AR1060" s="155" t="inlineStr">
        <is>
          <t>Odoo Universal Unique Brands › Bodega 25 › Bodega 25/General: 6</t>
        </is>
      </c>
    </row>
    <row r="1061">
      <c r="A1061" s="50" t="inlineStr">
        <is>
          <t>717019690763</t>
        </is>
      </c>
      <c r="B1061" s="51" t="n"/>
      <c r="C1061" s="156" t="inlineStr">
        <is>
          <t>Wrangler</t>
        </is>
      </c>
      <c r="D1061" s="156" t="inlineStr">
        <is>
          <t>WG2211-8119DPK</t>
        </is>
      </c>
      <c r="E1061" s="156" t="inlineStr">
        <is>
          <t>WG2211-8119DPK</t>
        </is>
      </c>
      <c r="F1061" s="156" t="inlineStr">
        <is>
          <t>Talla única</t>
        </is>
      </c>
      <c r="G1061" s="156" t="inlineStr">
        <is>
          <t>One Size</t>
        </is>
      </c>
      <c r="H1061" s="156" t="inlineStr">
        <is>
          <t>Wrangler</t>
        </is>
      </c>
      <c r="I1061" s="156" t="inlineStr">
        <is>
          <t>Bolsa Tote Wrangler Rosa Oscuro</t>
        </is>
      </c>
      <c r="J1061" s="156" t="inlineStr">
        <is>
          <t>Accesorios</t>
        </is>
      </c>
      <c r="K1061" s="156" t="inlineStr">
        <is>
          <t>Bolsos</t>
        </is>
      </c>
      <c r="L1061" s="156" t="inlineStr">
        <is>
          <t>Unisex</t>
        </is>
      </c>
      <c r="M1061" s="156" t="inlineStr">
        <is>
          <t>Wrangler</t>
        </is>
      </c>
      <c r="N1061" s="156" t="n"/>
      <c r="O1061" s="156" t="n"/>
      <c r="P1061" s="156" t="inlineStr">
        <is>
          <t>Rosa</t>
        </is>
      </c>
      <c r="Q1061" s="156" t="n"/>
      <c r="R1061" s="156" t="n"/>
      <c r="S1061" s="156" t="n"/>
      <c r="T1061" s="156" t="inlineStr">
        <is>
          <t>Bolsa Tote</t>
        </is>
      </c>
      <c r="U1061" s="156" t="inlineStr">
        <is>
          <t>México</t>
        </is>
      </c>
      <c r="V1061" s="156" t="inlineStr">
        <is>
          <t>PZS</t>
        </is>
      </c>
      <c r="W1061" s="51" t="inlineStr">
        <is>
          <t>53121601</t>
        </is>
      </c>
      <c r="X1061" s="156" t="n"/>
      <c r="Y1061" s="54" t="n"/>
      <c r="Z1061" s="54" t="n">
        <v>849</v>
      </c>
      <c r="AA1061" s="55">
        <f>IF(AND(A1061="", B1061="", E1061=""), "", IF(AB1061="", "Válido", IF((LEN(AB1061)-LEN(SUBSTITUTE(AB1061,"; ","")))/2+1&gt;(LEN(AB1061)-LEN(SUBSTITUTE(AB1061,"[Aviso]","")))/7, "Con Incidencias", "Válido")))</f>
        <v/>
      </c>
      <c r="AB1061" s="56">
        <f>IF(AND(A1061="", B1061="", E1061=""), "", TEXTJOIN("; ", TRUE, IF(OR(TRIM(A1061&amp;"")="", ISNUMBER(SEARCH("FALTA", A1061))), "UPC faltante/inválido", ""), IF(AND(A1061&lt;&gt;"", IFERROR(_xlfn.XMATCH(A1061,$A$2:$A$1063,0,1)&lt;&gt;_xlfn.XMATCH(A1061,$A$2:$A$1063,0,-1),FALSE)), "Código de barras duplicado", ""), IF(AND(E1061&lt;&gt;"", COUNTIF($E$2:$E$1063, E1061)&gt;1), "SKU duplicado", ""), IF(OR(J1061="", J1061=""), "[Aviso] División no capturada ()", IF(ISNA(MATCH(J1061, Criterios!$A$123:$A$126, 0)), "División no válida", "")), IF(OR(K1061="", K1061=""), "[Aviso] Categoría no capturada ()", IF(ISNA(MATCH(K1061, Criterios!$A$81:$A$120, 0)), "Categoría no válida", IF(AND(J1061&lt;&gt;"", J1061&lt;&gt;"", J1061&lt;&gt;VLOOKUP(K1061, Criterios!$A$81:$B$120, 2, FALSE)), "División no coincide con Categoría", ""))), IF(OR(L1061="", L1061=""), "[Aviso] Género no capturado ()", IF(ISNA(MATCH(L1061, Criterios!$B$123:$B$127, 0)), "Género no válido", "")), IF(OR(N1061="", N1061=""), "[Aviso] Temporada no capturada ()", IF(ISNA(MATCH(N1061, Criterios!$C$123:$C$128, 0)), "Temporada no válida", "")), IF(OR(O1061="", O1061=""), "[Aviso] Ciclo de vida no capturado ()", IF(ISNA(MATCH(O1061, Criterios!$D$123:$D$124, 0)), "Ciclo de vida no válido", ""))))</f>
        <v/>
      </c>
      <c r="AC1061" s="56" t="n"/>
      <c r="AD1061" s="51" t="n"/>
      <c r="AE1061" s="156" t="n"/>
      <c r="AF1061" s="51" t="n"/>
      <c r="AG1061" s="156" t="inlineStr">
        <is>
          <t>Nuevo – Odoo Universal Unique Brands 01/10/2026</t>
        </is>
      </c>
      <c r="AH1061" s="156" t="inlineStr">
        <is>
          <t>01/10/2026: alta desde Odoo Universal Unique Brands (no existía en Productos por código de barras ni SKU) | Categoría: Palabra clave "Bolso" en tipo/categoría de la fuente (Accesorios / Bolsos / Bolsa tote); Género: campo de la fuente; Color: campo de la fuente | Homologación G1522 06/10/2026: Validador Shopify: WB: precio con IVA no termina en 9</t>
        </is>
      </c>
      <c r="AI1061" s="156" t="n"/>
      <c r="AJ1061" s="156" t="n"/>
      <c r="AK1061" s="155" t="inlineStr">
        <is>
          <t>Odoo: producto 19118 / plantilla 23471 | Odoo: producto 27385 / plantilla 34085</t>
        </is>
      </c>
      <c r="AL1061" s="58" t="n"/>
      <c r="AM1061" s="58" t="n"/>
      <c r="AN1061" s="155" t="inlineStr">
        <is>
          <t>Odoo Universal Unique Brands</t>
        </is>
      </c>
      <c r="AO1061" s="59" t="n"/>
      <c r="AP1061" s="59" t="n"/>
      <c r="AQ1061" s="59" t="n">
        <v>7</v>
      </c>
      <c r="AR1061" s="155" t="inlineStr">
        <is>
          <t>Odoo Universal Unique Brands › Bodega 25 › Bodega 25/General: 6 | Odoo Universal Unique Brands › Bodega 25 › Bodega 25/General: 1</t>
        </is>
      </c>
    </row>
    <row r="1062">
      <c r="A1062" s="50" t="inlineStr">
        <is>
          <t>717690428136</t>
        </is>
      </c>
      <c r="B1062" s="51" t="n"/>
      <c r="C1062" s="156" t="inlineStr">
        <is>
          <t>Wrangler</t>
        </is>
      </c>
      <c r="D1062" s="156" t="inlineStr">
        <is>
          <t>WG60-9110JN</t>
        </is>
      </c>
      <c r="E1062" s="156" t="inlineStr">
        <is>
          <t>WG60-9110JN</t>
        </is>
      </c>
      <c r="F1062" s="156" t="inlineStr">
        <is>
          <t>Talla única</t>
        </is>
      </c>
      <c r="G1062" s="156" t="inlineStr">
        <is>
          <t>One Size</t>
        </is>
      </c>
      <c r="H1062" s="156" t="inlineStr">
        <is>
          <t>Wrangler</t>
        </is>
      </c>
      <c r="I1062" s="156" t="inlineStr">
        <is>
          <t>Mochila Wrangler Mezclilla</t>
        </is>
      </c>
      <c r="J1062" s="156" t="inlineStr">
        <is>
          <t>Accesorios</t>
        </is>
      </c>
      <c r="K1062" s="156" t="inlineStr">
        <is>
          <t>Mochilas</t>
        </is>
      </c>
      <c r="L1062" s="156" t="inlineStr">
        <is>
          <t>Unisex</t>
        </is>
      </c>
      <c r="M1062" s="156" t="inlineStr">
        <is>
          <t>Wrangler</t>
        </is>
      </c>
      <c r="N1062" s="156" t="n"/>
      <c r="O1062" s="156" t="n"/>
      <c r="P1062" s="156" t="inlineStr">
        <is>
          <t>Varios</t>
        </is>
      </c>
      <c r="Q1062" s="156" t="n"/>
      <c r="R1062" s="156" t="n"/>
      <c r="S1062" s="156" t="n"/>
      <c r="T1062" s="156" t="inlineStr">
        <is>
          <t>Mochila</t>
        </is>
      </c>
      <c r="U1062" s="156" t="inlineStr">
        <is>
          <t>México</t>
        </is>
      </c>
      <c r="V1062" s="156" t="inlineStr">
        <is>
          <t>PZS</t>
        </is>
      </c>
      <c r="W1062" s="51" t="inlineStr">
        <is>
          <t>53121601</t>
        </is>
      </c>
      <c r="X1062" s="156" t="inlineStr">
        <is>
          <t>https://cdn.shopify.com/s/files/1/0005/9015/1741/files/WG60-9110JN0.webp?v=1758248026</t>
        </is>
      </c>
      <c r="Y1062" s="54" t="n"/>
      <c r="Z1062" s="54" t="n">
        <v>849</v>
      </c>
      <c r="AA1062" s="55">
        <f>IF(AND(A1062="", B1062="", E1062=""), "", IF(AB1062="", "Válido", IF((LEN(AB1062)-LEN(SUBSTITUTE(AB1062,"; ","")))/2+1&gt;(LEN(AB1062)-LEN(SUBSTITUTE(AB1062,"[Aviso]","")))/7, "Con Incidencias", "Válido")))</f>
        <v/>
      </c>
      <c r="AB1062" s="56">
        <f>IF(AND(A1062="", B1062="", E1062=""), "", TEXTJOIN("; ", TRUE, IF(OR(TRIM(A1062&amp;"")="", ISNUMBER(SEARCH("FALTA", A1062))), "UPC faltante/inválido", ""), IF(AND(A1062&lt;&gt;"", IFERROR(_xlfn.XMATCH(A1062,$A$2:$A$1063,0,1)&lt;&gt;_xlfn.XMATCH(A1062,$A$2:$A$1063,0,-1),FALSE)), "Código de barras duplicado", ""), IF(AND(E1062&lt;&gt;"", COUNTIF($E$2:$E$1063, E1062)&gt;1), "SKU duplicado", ""), IF(OR(J1062="", J1062=""), "[Aviso] División no capturada ()", IF(ISNA(MATCH(J1062, Criterios!$A$123:$A$126, 0)), "División no válida", "")), IF(OR(K1062="", K1062=""), "[Aviso] Categoría no capturada ()", IF(ISNA(MATCH(K1062, Criterios!$A$81:$A$120, 0)), "Categoría no válida", IF(AND(J1062&lt;&gt;"", J1062&lt;&gt;"", J1062&lt;&gt;VLOOKUP(K1062, Criterios!$A$81:$B$120, 2, FALSE)), "División no coincide con Categoría", ""))), IF(OR(L1062="", L1062=""), "[Aviso] Género no capturado ()", IF(ISNA(MATCH(L1062, Criterios!$B$123:$B$127, 0)), "Género no válido", "")), IF(OR(N1062="", N1062=""), "[Aviso] Temporada no capturada ()", IF(ISNA(MATCH(N1062, Criterios!$C$123:$C$128, 0)), "Temporada no válida", "")), IF(OR(O1062="", O1062=""), "[Aviso] Ciclo de vida no capturado ()", IF(ISNA(MATCH(O1062, Criterios!$D$123:$D$124, 0)), "Ciclo de vida no válido", ""))))</f>
        <v/>
      </c>
      <c r="AC1062" s="56" t="n"/>
      <c r="AD1062" s="51" t="n"/>
      <c r="AE1062" s="156" t="n"/>
      <c r="AF1062" s="51" t="n"/>
      <c r="AG1062" s="156" t="inlineStr">
        <is>
          <t>Nuevo – Odoo Universal Unique Brands 01/10/2026</t>
        </is>
      </c>
      <c r="AH1062" s="156" t="inlineStr">
        <is>
          <t>01/10/2026: alta desde Odoo Universal Unique Brands (no existía en Productos por código de barras ni SKU) | Género: campo de la fuente; Color: campo de la fuente | Homologación G1522 06/10/2026: Enlace de imagen: «» → «https://cdn.shopify.com/s/files/1/0005/9015/1741/files/WG60-9110JN0.webp?v=1758248026» (Completado por investigación en línea) · Validador Shopify: WB: precio con IVA no termina en 9</t>
        </is>
      </c>
      <c r="AI1062" s="156" t="n"/>
      <c r="AJ1062" s="156" t="n"/>
      <c r="AK1062" s="155" t="inlineStr">
        <is>
          <t>Odoo: producto 19120 / plantilla 23473 | Investigación en línea 06/10/2026: https://montanawestworld.com/products/wrangler-cowboy-print-diaper-bag</t>
        </is>
      </c>
      <c r="AL1062" s="58" t="n"/>
      <c r="AM1062" s="58" t="n"/>
      <c r="AN1062" s="155" t="inlineStr">
        <is>
          <t>Odoo Universal Unique Brands</t>
        </is>
      </c>
      <c r="AO1062" s="59" t="n"/>
      <c r="AP1062" s="59" t="n"/>
      <c r="AQ1062" s="59" t="n">
        <v>2</v>
      </c>
      <c r="AR1062" s="155" t="inlineStr">
        <is>
          <t>Odoo Universal Unique Brands › Bodega 25 › Bodega 25/General: 2</t>
        </is>
      </c>
    </row>
    <row r="1063">
      <c r="A1063" s="50" t="n"/>
      <c r="B1063" s="51" t="n"/>
      <c r="C1063" s="156" t="inlineStr">
        <is>
          <t>Wrangler</t>
        </is>
      </c>
      <c r="D1063" s="156" t="inlineStr">
        <is>
          <t>WG705-8120BR</t>
        </is>
      </c>
      <c r="E1063" s="156" t="inlineStr">
        <is>
          <t>WG705-8120BR</t>
        </is>
      </c>
      <c r="F1063" s="156" t="inlineStr">
        <is>
          <t>Talla única</t>
        </is>
      </c>
      <c r="G1063" s="156" t="inlineStr">
        <is>
          <t>One Size</t>
        </is>
      </c>
      <c r="H1063" s="156" t="inlineStr">
        <is>
          <t>Wrangler</t>
        </is>
      </c>
      <c r="I1063" s="156" t="inlineStr">
        <is>
          <t>Bolsa Tote Mini Wrangler Café</t>
        </is>
      </c>
      <c r="J1063" s="156" t="inlineStr">
        <is>
          <t>Accesorios</t>
        </is>
      </c>
      <c r="K1063" s="156" t="inlineStr">
        <is>
          <t>Bolsos</t>
        </is>
      </c>
      <c r="L1063" s="156" t="inlineStr">
        <is>
          <t>Unisex</t>
        </is>
      </c>
      <c r="M1063" s="156" t="inlineStr">
        <is>
          <t>Wrangler</t>
        </is>
      </c>
      <c r="N1063" s="156" t="n"/>
      <c r="O1063" s="156" t="n"/>
      <c r="P1063" s="156" t="inlineStr">
        <is>
          <t>Cafe</t>
        </is>
      </c>
      <c r="Q1063" s="156" t="n"/>
      <c r="R1063" s="156" t="n"/>
      <c r="S1063" s="156" t="n"/>
      <c r="T1063" s="156" t="inlineStr">
        <is>
          <t>Bolsa Tote Mini</t>
        </is>
      </c>
      <c r="U1063" s="156" t="inlineStr">
        <is>
          <t>México</t>
        </is>
      </c>
      <c r="V1063" s="156" t="inlineStr">
        <is>
          <t>PZS</t>
        </is>
      </c>
      <c r="W1063" s="51" t="inlineStr">
        <is>
          <t>53121601</t>
        </is>
      </c>
      <c r="X1063" s="156" t="n"/>
      <c r="Y1063" s="54" t="n"/>
      <c r="Z1063" s="54" t="n">
        <v>449</v>
      </c>
      <c r="AA1063" s="55">
        <f>IF(AND(A1063="", B1063="", E1063=""), "", IF(AB1063="", "Válido", IF((LEN(AB1063)-LEN(SUBSTITUTE(AB1063,"; ","")))/2+1&gt;(LEN(AB1063)-LEN(SUBSTITUTE(AB1063,"[Aviso]","")))/7, "Con Incidencias", "Válido")))</f>
        <v/>
      </c>
      <c r="AB1063" s="56">
        <f>IF(AND(A1063="", B1063="", E1063=""), "", TEXTJOIN("; ", TRUE, IF(OR(TRIM(A1063&amp;"")="", ISNUMBER(SEARCH("FALTA", A1063))), "UPC faltante/inválido", ""), IF(AND(A1063&lt;&gt;"", IFERROR(_xlfn.XMATCH(A1063,$A$2:$A$1063,0,1)&lt;&gt;_xlfn.XMATCH(A1063,$A$2:$A$1063,0,-1),FALSE)), "Código de barras duplicado", ""), IF(AND(E1063&lt;&gt;"", COUNTIF($E$2:$E$1063, E1063)&gt;1), "SKU duplicado", ""), IF(OR(J1063="", J1063=""), "[Aviso] División no capturada ()", IF(ISNA(MATCH(J1063, Criterios!$A$123:$A$126, 0)), "División no válida", "")), IF(OR(K1063="", K1063=""), "[Aviso] Categoría no capturada ()", IF(ISNA(MATCH(K1063, Criterios!$A$81:$A$120, 0)), "Categoría no válida", IF(AND(J1063&lt;&gt;"", J1063&lt;&gt;"", J1063&lt;&gt;VLOOKUP(K1063, Criterios!$A$81:$B$120, 2, FALSE)), "División no coincide con Categoría", ""))), IF(OR(L1063="", L1063=""), "[Aviso] Género no capturado ()", IF(ISNA(MATCH(L1063, Criterios!$B$123:$B$127, 0)), "Género no válido", "")), IF(OR(N1063="", N1063=""), "[Aviso] Temporada no capturada ()", IF(ISNA(MATCH(N1063, Criterios!$C$123:$C$128, 0)), "Temporada no válida", "")), IF(OR(O1063="", O1063=""), "[Aviso] Ciclo de vida no capturado ()", IF(ISNA(MATCH(O1063, Criterios!$D$123:$D$124, 0)), "Ciclo de vida no válido", ""))))</f>
        <v/>
      </c>
      <c r="AC1063" s="56" t="n"/>
      <c r="AD1063" s="51" t="n"/>
      <c r="AE1063" s="156" t="n"/>
      <c r="AF1063" s="51" t="n"/>
      <c r="AG1063" s="156" t="inlineStr">
        <is>
          <t>Nuevo – Odoo Universal Unique Brands 01/10/2026</t>
        </is>
      </c>
      <c r="AH1063" s="156" t="inlineStr">
        <is>
          <t>01/10/2026: alta desde Odoo Universal Unique Brands (no existía en Productos por código de barras ni SKU) | Categoría: Palabra clave "Bolso" en tipo/categoría de la fuente (Accesorios / Bolsos / Bolsa tote); Género: campo de la fuente; Color: campo de la fuente | Homologación G1522 06/10/2026: Validación G1522: Código de barras faltante · Validador NetSuite / Odoo: V1: falta código de barras · Validador Shopify: V1: falta código de barras; WB: precio con IVA no termina en 9</t>
        </is>
      </c>
      <c r="AI1063" s="156" t="n"/>
      <c r="AJ1063" s="156" t="n"/>
      <c r="AK1063" s="155" t="inlineStr">
        <is>
          <t>Odoo: producto 19121 / plantilla 23474</t>
        </is>
      </c>
      <c r="AL1063" s="58" t="n"/>
      <c r="AM1063" s="58" t="n"/>
      <c r="AN1063" s="155" t="inlineStr">
        <is>
          <t>Odoo Universal Unique Brands</t>
        </is>
      </c>
      <c r="AO1063" s="59" t="n"/>
      <c r="AP1063" s="59" t="n"/>
      <c r="AQ1063" s="59" t="n">
        <v>6</v>
      </c>
      <c r="AR1063" s="155" t="inlineStr">
        <is>
          <t>Odoo Universal Unique Brands › Bodega 25 › Bodega 25/General: 6</t>
        </is>
      </c>
    </row>
  </sheetData>
  <autoFilter ref="A1:AR1063"/>
  <conditionalFormatting sqref="AA2:AA1063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1063">
    <cfRule type="expression" priority="3" dxfId="18" stopIfTrue="1">
      <formula>AND(AB2&lt;&gt;"", AA2="Con Incidencias")</formula>
    </cfRule>
  </conditionalFormatting>
  <dataValidations count="11">
    <dataValidation sqref="O2:O1063" showDropDown="0" showInputMessage="0" showErrorMessage="0" allowBlank="1" type="list">
      <formula1>"Seasonal,Core,No Aplica"</formula1>
    </dataValidation>
    <dataValidation sqref="C2:C1063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1063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1063" showDropDown="0" showInputMessage="0" showErrorMessage="0" allowBlank="1" type="list">
      <formula1>"Rojo,Azul,Amarillo,Verde,Naranja,Morado,Rosa,Negro,Blanco,Gris,Beige,Cafe,Varios,No Aplica"</formula1>
    </dataValidation>
    <dataValidation sqref="R2:R1063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1063" showDropDown="0" showInputMessage="0" showErrorMessage="1" allowBlank="1" type="list">
      <formula1>Criterios!$A$81:$A$120</formula1>
    </dataValidation>
    <dataValidation sqref="N2:N1063" showDropDown="0" showInputMessage="0" showErrorMessage="0" allowBlank="1" type="list">
      <formula1>"SS26,FW26,SS27,FW27,SS28,FW28,No Aplica"</formula1>
    </dataValidation>
    <dataValidation sqref="Q2:Q1063" showDropDown="0" showInputMessage="0" showErrorMessage="0" allowBlank="1" type="list">
      <formula1>"Regular,Relajado,Slim,Clásico,Moderno,Recto,Bootcut"</formula1>
    </dataValidation>
    <dataValidation sqref="J2:J1063" showDropDown="0" showInputMessage="0" showErrorMessage="0" allowBlank="1" type="list">
      <formula1>"Accesorios,Ropa,Denim,Calzado,No Aplica"</formula1>
    </dataValidation>
    <dataValidation sqref="L2:L1063" showDropDown="0" showInputMessage="0" showErrorMessage="0" allowBlank="1" type="list">
      <formula1>"Hombre,Mujer,Niño,Niña,Unisex,No Aplica"</formula1>
    </dataValidation>
    <dataValidation sqref="V2:V1063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1063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1062, 16)"),"052356088867")</f>
        <v/>
      </c>
      <c r="Q2">
        <f>IFERROR(__xludf.DUMMYFUNCTION("MAP(FILTER(A2:A1063, (B2:B1063&lt;&gt;"""")+(D2:D1063&lt;&gt;"""")), FILTER(B2:B1063, (B2:B1063&lt;&gt;"""")+(D2:D1063&lt;&gt;"""")),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IFERROR(__xludf.DUMMYFUNCTION("MAP(FILTER(A2:A1063, (B2:B1063&lt;&gt;"""")+(D2:D1063&lt;&gt;"""")), FILTER(B2:B1063, (B2:B1063&lt;&gt;"""")+(D2:D1063&lt;&gt;"""")), FILTER(Q2:Q1063, (B2:B1063&lt;&gt;"""")+(D2:D1063&lt;&gt;"""")),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55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  <row r="2">
      <c r="A2" s="51" t="inlineStr">
        <is>
          <t>5</t>
        </is>
      </c>
      <c r="B2" s="156" t="inlineStr">
        <is>
          <t>Productos (NetSuite) — fila original 2911</t>
        </is>
      </c>
      <c r="C2" s="125" t="inlineStr">
        <is>
          <t>Mismo código de barras que Shopify Western Brothers pero es un artículo distinto: división distinta (Ropa vs Calzado); marca y categoría distintas (Denver/Playeras vs Wrangler/Botas); descripciones sin relación («Playera Denver caballero blanco» vs «Botas Wrangler Nova Café»)</t>
        </is>
      </c>
      <c r="D2" s="60" t="inlineStr">
        <is>
          <t>7506499570832</t>
        </is>
      </c>
      <c r="E2" s="59" t="inlineStr">
        <is>
          <t>108358</t>
        </is>
      </c>
      <c r="F2" s="155" t="inlineStr">
        <is>
          <t>Multimarca</t>
        </is>
      </c>
      <c r="G2" s="155" t="inlineStr">
        <is>
          <t>WADC0215-2</t>
        </is>
      </c>
      <c r="H2" s="155" t="inlineStr">
        <is>
          <t>WADC0215-2-25</t>
        </is>
      </c>
      <c r="I2" s="155" t="inlineStr">
        <is>
          <t>25</t>
        </is>
      </c>
      <c r="J2" s="155" t="inlineStr">
        <is>
          <t>7</t>
        </is>
      </c>
      <c r="K2" s="155" t="inlineStr">
        <is>
          <t>Wrangler</t>
        </is>
      </c>
      <c r="L2" s="155" t="inlineStr">
        <is>
          <t>Botas Wrangler Nova Café</t>
        </is>
      </c>
      <c r="M2" s="155" t="inlineStr">
        <is>
          <t>Calzado</t>
        </is>
      </c>
      <c r="N2" s="155" t="inlineStr">
        <is>
          <t>Botas</t>
        </is>
      </c>
      <c r="O2" s="155" t="inlineStr">
        <is>
          <t>Mujer</t>
        </is>
      </c>
      <c r="P2" s="155" t="inlineStr">
        <is>
          <t>Wrangler</t>
        </is>
      </c>
      <c r="Q2" s="155" t="inlineStr">
        <is>
          <t>SS26</t>
        </is>
      </c>
      <c r="R2" s="155" t="inlineStr">
        <is>
          <t>Seasonal</t>
        </is>
      </c>
      <c r="S2" s="155" t="inlineStr">
        <is>
          <t>Cafe</t>
        </is>
      </c>
      <c r="T2" s="155" t="n"/>
      <c r="U2" s="155" t="n"/>
      <c r="V2" s="155" t="inlineStr">
        <is>
          <t>100% Piel</t>
        </is>
      </c>
      <c r="W2" s="155" t="inlineStr">
        <is>
          <t>Botas Wrangler Nova Café. Bota de la marca Wrangler. Estilo WADC0215-2.</t>
        </is>
      </c>
      <c r="X2" s="155" t="inlineStr">
        <is>
          <t>México</t>
        </is>
      </c>
      <c r="Y2" s="155" t="inlineStr">
        <is>
          <t>PRS</t>
        </is>
      </c>
      <c r="Z2" s="59" t="inlineStr">
        <is>
          <t>53111500</t>
        </is>
      </c>
      <c r="AA2" s="126" t="n"/>
      <c r="AB2" s="61" t="n">
        <v>658</v>
      </c>
      <c r="AC2" s="61" t="n">
        <v>1118.9655172</v>
      </c>
      <c r="AD2" s="62" t="n"/>
      <c r="AE2" s="64" t="n"/>
      <c r="AF2" s="64" t="n"/>
      <c r="AG2" s="59" t="n">
        <v>1</v>
      </c>
      <c r="AH2" s="155" t="inlineStr">
        <is>
          <t>WB OUTLET LERMA (1)</t>
        </is>
      </c>
      <c r="AI2" s="59" t="n">
        <v>1</v>
      </c>
      <c r="AJ2" s="155" t="inlineStr">
        <is>
          <t>Nuevo – NetSuite con existencia</t>
        </is>
      </c>
      <c r="AK2" s="155" t="inlineStr">
        <is>
          <t>Género por validar | Revisión 29/09/2026: Campos sin respaldo: R, X; Auditoría NetSuite 30/09/2026: llenado desde NetSuite [M,P,V,Y,S]</t>
        </is>
      </c>
      <c r="AL2" s="155" t="inlineStr">
        <is>
          <t>No</t>
        </is>
      </c>
      <c r="AM2" s="155" t="n"/>
      <c r="AN2" s="155" t="inlineStr">
        <is>
          <t>ProductosCatalogoEstandar907.xlsx: fila 6110 [L,N,O,S,U,Y]; G1522_Extraccion_Articulos_NetSuite_2026-09-30.xlsx: fila 56517 [M,P,V,Y,S]</t>
        </is>
      </c>
      <c r="AO2" s="58" t="n"/>
      <c r="AP2" s="58" t="n">
        <v>1118.9655172</v>
      </c>
      <c r="AQ2" s="155" t="n"/>
      <c r="AR2" s="59" t="n"/>
      <c r="AS2" s="59" t="n"/>
      <c r="AT2" s="59" t="n"/>
      <c r="AU2" s="155" t="n"/>
    </row>
    <row r="3">
      <c r="A3" s="51" t="inlineStr">
        <is>
          <t>5</t>
        </is>
      </c>
      <c r="B3" s="156" t="inlineStr">
        <is>
          <t>Shopify Western Brothers</t>
        </is>
      </c>
      <c r="C3" s="125" t="inlineStr">
        <is>
          <t>Artículo distinto con el mismo código de barras que la fila de Productos de este grupo</t>
        </is>
      </c>
      <c r="D3" s="60" t="inlineStr">
        <is>
          <t>7506499570832</t>
        </is>
      </c>
      <c r="E3" s="59" t="inlineStr">
        <is>
          <t>47621314412729</t>
        </is>
      </c>
      <c r="F3" s="155" t="inlineStr">
        <is>
          <t>Denver</t>
        </is>
      </c>
      <c r="G3" s="155" t="inlineStr">
        <is>
          <t>01-TDAG012-0010</t>
        </is>
      </c>
      <c r="H3" s="155" t="inlineStr">
        <is>
          <t>7506499570832</t>
        </is>
      </c>
      <c r="I3" s="155" t="inlineStr">
        <is>
          <t>S</t>
        </is>
      </c>
      <c r="J3" s="155" t="inlineStr">
        <is>
          <t>S</t>
        </is>
      </c>
      <c r="K3" s="155" t="inlineStr">
        <is>
          <t>Denver</t>
        </is>
      </c>
      <c r="L3" s="155" t="inlineStr">
        <is>
          <t>Playera Denver caballero blanco</t>
        </is>
      </c>
      <c r="M3" s="155" t="inlineStr">
        <is>
          <t>Ropa</t>
        </is>
      </c>
      <c r="N3" s="155" t="inlineStr">
        <is>
          <t>Playeras</t>
        </is>
      </c>
      <c r="O3" s="155" t="inlineStr">
        <is>
          <t>Hombre</t>
        </is>
      </c>
      <c r="P3" s="155" t="inlineStr">
        <is>
          <t>Denver</t>
        </is>
      </c>
      <c r="Q3" s="155" t="inlineStr">
        <is>
          <t>SS26</t>
        </is>
      </c>
      <c r="R3" s="155" t="inlineStr">
        <is>
          <t>Seasonal</t>
        </is>
      </c>
      <c r="S3" s="155" t="inlineStr">
        <is>
          <t>Blanco</t>
        </is>
      </c>
      <c r="T3" s="155" t="n"/>
      <c r="U3" s="155" t="inlineStr">
        <is>
          <t>No Aplica</t>
        </is>
      </c>
      <c r="V3" s="155" t="n"/>
      <c r="W3" s="155" t="n"/>
      <c r="X3" s="155" t="n"/>
      <c r="Y3" s="155" t="inlineStr">
        <is>
          <t>PZS</t>
        </is>
      </c>
      <c r="Z3" s="59" t="n"/>
      <c r="AA3" s="126" t="n"/>
      <c r="AB3" s="61" t="n"/>
      <c r="AC3" s="61" t="n">
        <v>649</v>
      </c>
      <c r="AD3" s="62" t="n"/>
      <c r="AE3" s="64" t="n"/>
      <c r="AF3" s="64" t="inlineStr">
        <is>
          <t>Sin duplicados en el catálogo · No encontrado en otros sistemas</t>
        </is>
      </c>
      <c r="AG3" s="59" t="n"/>
      <c r="AH3" s="155" t="n"/>
      <c r="AI3" s="59" t="n"/>
      <c r="AJ3" s="155" t="inlineStr">
        <is>
          <t>Shopify · Western Brothers · Activo · Tipo: Ropa</t>
        </is>
      </c>
      <c r="AK3" s="155" t="inlineStr">
        <is>
          <t>Color detectado en el nombre (blanco)</t>
        </is>
      </c>
      <c r="AL3" s="155" t="n"/>
      <c r="AM3" s="155" t="n"/>
      <c r="AN3" s="155" t="inlineStr">
        <is>
          <t>Shopify WB: producto 8569955352761 / variante 47621314412729</t>
        </is>
      </c>
      <c r="AO3" s="58" t="n"/>
      <c r="AP3" s="58" t="n">
        <v>649</v>
      </c>
      <c r="AQ3" s="155" t="inlineStr">
        <is>
          <t>Shopify Western Brothers</t>
        </is>
      </c>
      <c r="AR3" s="59" t="n"/>
      <c r="AS3" s="59" t="n">
        <v>3</v>
      </c>
      <c r="AT3" s="59" t="n"/>
      <c r="AU3" s="155" t="inlineStr">
        <is>
          <t>Shopify Western Brothers › Western Brothers Outlet Lerma: 3</t>
        </is>
      </c>
    </row>
    <row r="4">
      <c r="A4" s="51" t="n">
        <v>6</v>
      </c>
      <c r="B4" s="156" t="inlineStr">
        <is>
          <t>Productos — registro conservado</t>
        </is>
      </c>
      <c r="C4" s="125" t="inlineStr">
        <is>
          <t>Homologación G1522: mismo producto (mismo WB SKU)</t>
        </is>
      </c>
      <c r="D4" s="60" t="inlineStr">
        <is>
          <t>7506674601176</t>
        </is>
      </c>
      <c r="E4" s="59" t="inlineStr">
        <is>
          <t>117920</t>
        </is>
      </c>
      <c r="F4" s="155" t="inlineStr">
        <is>
          <t>Wrangler</t>
        </is>
      </c>
      <c r="G4" s="155" t="inlineStr">
        <is>
          <t>C49733-59</t>
        </is>
      </c>
      <c r="H4" s="155" t="inlineStr">
        <is>
          <t>C49733-59-32</t>
        </is>
      </c>
      <c r="I4" s="155" t="inlineStr">
        <is>
          <t>32</t>
        </is>
      </c>
      <c r="J4" s="155" t="inlineStr">
        <is>
          <t>32</t>
        </is>
      </c>
      <c r="K4" s="155" t="inlineStr">
        <is>
          <t>Wrangler</t>
        </is>
      </c>
      <c r="L4" s="155" t="inlineStr">
        <is>
          <t>Cinturón Wrangler Una Vista Casual para Hombre, Color Negro</t>
        </is>
      </c>
      <c r="M4" s="155" t="inlineStr">
        <is>
          <t>Accesorios</t>
        </is>
      </c>
      <c r="N4" s="155" t="inlineStr">
        <is>
          <t>Cinturones</t>
        </is>
      </c>
      <c r="O4" s="155" t="inlineStr">
        <is>
          <t>Hombre</t>
        </is>
      </c>
      <c r="P4" s="155" t="inlineStr">
        <is>
          <t>Wrangler</t>
        </is>
      </c>
      <c r="Q4" s="155" t="inlineStr">
        <is>
          <t>SS26</t>
        </is>
      </c>
      <c r="R4" s="155" t="inlineStr">
        <is>
          <t>Seasonal</t>
        </is>
      </c>
      <c r="S4" s="155" t="inlineStr">
        <is>
          <t>Negro</t>
        </is>
      </c>
      <c r="T4" s="155" t="n"/>
      <c r="U4" s="155" t="n"/>
      <c r="V4" s="155" t="inlineStr">
        <is>
          <t>100% piel de vacuno</t>
        </is>
      </c>
      <c r="W4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4" s="155" t="inlineStr">
        <is>
          <t>México</t>
        </is>
      </c>
      <c r="Y4" s="155" t="inlineStr">
        <is>
          <t>PZS</t>
        </is>
      </c>
      <c r="Z4" s="59" t="inlineStr">
        <is>
          <t>53102501</t>
        </is>
      </c>
      <c r="AA4" s="126" t="n"/>
      <c r="AB4" s="61" t="n">
        <v>344.48</v>
      </c>
      <c r="AC4" s="61" t="n">
        <v>949</v>
      </c>
      <c r="AD4" s="62" t="inlineStr">
        <is>
          <t>Con Incidencias</t>
        </is>
      </c>
      <c r="AE4" s="64" t="inlineStr">
        <is>
          <t>SKU duplicado</t>
        </is>
      </c>
      <c r="AF4" s="64" t="n"/>
      <c r="AG4" s="59" t="n">
        <v>1</v>
      </c>
      <c r="AH4" s="155" t="inlineStr">
        <is>
          <t>WB OUTLET LERMA (1)</t>
        </is>
      </c>
      <c r="AI4" s="59" t="n">
        <v>1</v>
      </c>
      <c r="AJ4" s="155" t="inlineStr">
        <is>
          <t>Catálogo existente</t>
        </is>
      </c>
      <c r="AK4" s="155" t="inlineStr">
        <is>
          <t>Coincidencia por código de barras (ID NetSuite 117920) | ID alternativo de Hoja a Revisar 117920 (UPC coincidente); se conserva ID principal; Auditoría NetSuite 30/09/2026: llenado desde NetSuite [Z]; Vinculado por código de barras al ID NetSuite 117920 (antes en Identificador interno: 'C49733-59-32'); 01/10/2026: mismo SKU registrado también en fila 67750 con código 7503063066844 (ID 30910, desde Hoja3); revisar cuál es el vigente | 01/10/2026: complementado desde Shopify Western Brothers (match por código de barras): WB Fit, WB Silueta</t>
        </is>
      </c>
      <c r="AL4" s="155" t="inlineStr">
        <is>
          <t>No</t>
        </is>
      </c>
      <c r="AM4" s="155" t="n"/>
      <c r="AN4" s="155" t="inlineStr">
        <is>
          <t>| Hoja a Revisar: fila 196098 (ID 117920, misma clave UPC); G1522_Extraccion_Articulos_NetSuite_2026-09-30.xlsx: fila 64161 [Z] | Shopify WB: producto 10310436716729 / variante 50512591356089</t>
        </is>
      </c>
      <c r="AO4" s="58" t="inlineStr">
        <is>
          <t>344,48</t>
        </is>
      </c>
      <c r="AP4" s="58" t="n"/>
      <c r="AQ4" s="155" t="inlineStr">
        <is>
          <t>Shopify Western Brothers</t>
        </is>
      </c>
      <c r="AR4" s="59" t="n"/>
      <c r="AS4" s="59" t="n">
        <v>1</v>
      </c>
      <c r="AT4" s="59" t="n"/>
      <c r="AU4" s="155" t="inlineStr">
        <is>
          <t>Shopify Western Brothers › Western Brothers Outlet Lerma: 1</t>
        </is>
      </c>
    </row>
    <row r="5">
      <c r="A5" s="51" t="n">
        <v>6</v>
      </c>
      <c r="B5" s="156" t="inlineStr">
        <is>
          <t>Productos — registro integrado en el anterior</t>
        </is>
      </c>
      <c r="C5" s="125" t="inlineStr">
        <is>
          <t>Homologación G1522: mismo producto (mismo WB SKU)</t>
        </is>
      </c>
      <c r="D5" s="60" t="inlineStr">
        <is>
          <t>7503063066844</t>
        </is>
      </c>
      <c r="E5" s="59" t="inlineStr">
        <is>
          <t>30910</t>
        </is>
      </c>
      <c r="F5" s="155" t="inlineStr">
        <is>
          <t>Wrangler</t>
        </is>
      </c>
      <c r="G5" s="155" t="inlineStr">
        <is>
          <t>C49733-59</t>
        </is>
      </c>
      <c r="H5" s="155" t="inlineStr">
        <is>
          <t>C49733-59-32</t>
        </is>
      </c>
      <c r="I5" s="155" t="inlineStr">
        <is>
          <t>32</t>
        </is>
      </c>
      <c r="J5" s="155" t="inlineStr">
        <is>
          <t>32</t>
        </is>
      </c>
      <c r="K5" s="155" t="inlineStr">
        <is>
          <t>Wrangler</t>
        </is>
      </c>
      <c r="L5" s="155" t="inlineStr">
        <is>
          <t>Cinturon de hombre C49733-59 Negro</t>
        </is>
      </c>
      <c r="M5" s="155" t="inlineStr">
        <is>
          <t>Accesorios</t>
        </is>
      </c>
      <c r="N5" s="155" t="inlineStr">
        <is>
          <t>Cinturones</t>
        </is>
      </c>
      <c r="O5" s="155" t="inlineStr">
        <is>
          <t>Hombre</t>
        </is>
      </c>
      <c r="P5" s="155" t="inlineStr">
        <is>
          <t>Wrangler</t>
        </is>
      </c>
      <c r="Q5" s="155" t="inlineStr">
        <is>
          <t>FW26</t>
        </is>
      </c>
      <c r="R5" s="155" t="n"/>
      <c r="S5" s="155" t="inlineStr">
        <is>
          <t>Negro</t>
        </is>
      </c>
      <c r="T5" s="155" t="n"/>
      <c r="U5" s="155" t="n"/>
      <c r="V5" s="155" t="inlineStr">
        <is>
          <t>100% PIEL VACUNO</t>
        </is>
      </c>
      <c r="W5" s="155" t="inlineStr">
        <is>
          <t>Cinturón para Caballero de Piel</t>
        </is>
      </c>
      <c r="X5" s="155" t="inlineStr">
        <is>
          <t>México</t>
        </is>
      </c>
      <c r="Y5" s="155" t="inlineStr">
        <is>
          <t>PZS</t>
        </is>
      </c>
      <c r="Z5" s="59" t="inlineStr">
        <is>
          <t>53102501</t>
        </is>
      </c>
      <c r="AA5" s="126" t="n"/>
      <c r="AB5" s="61" t="n">
        <v>344.48</v>
      </c>
      <c r="AC5" s="61" t="n">
        <v>430.603448</v>
      </c>
      <c r="AD5" s="62" t="inlineStr">
        <is>
          <t>Con Incidencias</t>
        </is>
      </c>
      <c r="AE5" s="64" t="inlineStr">
        <is>
          <t>SKU duplicado; [Aviso] Ciclo de vida no capturado ()</t>
        </is>
      </c>
      <c r="AF5" s="64" t="n"/>
      <c r="AG5" s="59" t="n"/>
      <c r="AH5" s="155" t="n"/>
      <c r="AI5" s="59" t="n"/>
      <c r="AJ5" s="155" t="inlineStr">
        <is>
          <t>Nuevo – Carga Hoja3 01/10/2026</t>
        </is>
      </c>
      <c r="AK5" s="155" t="inlineStr">
        <is>
          <t>Alta 01/10/2026 desde Hoja3 (fila 731); Mismo SKU que la fila 2420 con otro código/ID; revisar cuál es el vigente | 01/10/2026: complementado desde Odoo Universal Unique Brands (match por código de barras): WB Talla de EE. UU.</t>
        </is>
      </c>
      <c r="AL5" s="155" t="n"/>
      <c r="AM5" s="155" t="n"/>
      <c r="AN5" s="155" t="inlineStr">
        <is>
          <t>Hoja3: fila 731 | Odoo: producto 30910 / plantilla 39653</t>
        </is>
      </c>
      <c r="AO5" s="58" t="n"/>
      <c r="AP5" s="58" t="n"/>
      <c r="AQ5" s="155" t="inlineStr">
        <is>
          <t>Odoo Universal Unique Brands</t>
        </is>
      </c>
      <c r="AR5" s="59" t="n"/>
      <c r="AS5" s="59" t="n"/>
      <c r="AT5" s="59" t="n">
        <v>5</v>
      </c>
      <c r="AU5" s="155" t="inlineStr">
        <is>
          <t>Odoo Universal Unique Brands › Bodega 25 › Bodega 25/General: 5</t>
        </is>
      </c>
    </row>
    <row r="6">
      <c r="A6" s="51" t="n">
        <v>7</v>
      </c>
      <c r="B6" s="156" t="inlineStr">
        <is>
          <t>Productos — registro conservado</t>
        </is>
      </c>
      <c r="C6" s="125" t="inlineStr">
        <is>
          <t>Homologación G1522: mismo producto (mismo WB SKU)</t>
        </is>
      </c>
      <c r="D6" s="60" t="inlineStr">
        <is>
          <t>7506674601183</t>
        </is>
      </c>
      <c r="E6" s="59" t="inlineStr">
        <is>
          <t>117921</t>
        </is>
      </c>
      <c r="F6" s="155" t="inlineStr">
        <is>
          <t>Wrangler</t>
        </is>
      </c>
      <c r="G6" s="155" t="inlineStr">
        <is>
          <t>C49733-59</t>
        </is>
      </c>
      <c r="H6" s="155" t="inlineStr">
        <is>
          <t>C49733-59-34</t>
        </is>
      </c>
      <c r="I6" s="155" t="inlineStr">
        <is>
          <t>34</t>
        </is>
      </c>
      <c r="J6" s="155" t="inlineStr">
        <is>
          <t>34</t>
        </is>
      </c>
      <c r="K6" s="155" t="inlineStr">
        <is>
          <t>Wrangler</t>
        </is>
      </c>
      <c r="L6" s="155" t="inlineStr">
        <is>
          <t>Cinturón Wrangler Una Vista Casual para Hombre, Color Negro</t>
        </is>
      </c>
      <c r="M6" s="155" t="inlineStr">
        <is>
          <t>Accesorios</t>
        </is>
      </c>
      <c r="N6" s="155" t="inlineStr">
        <is>
          <t>Cinturones</t>
        </is>
      </c>
      <c r="O6" s="155" t="inlineStr">
        <is>
          <t>Hombre</t>
        </is>
      </c>
      <c r="P6" s="155" t="inlineStr">
        <is>
          <t>Wrangler</t>
        </is>
      </c>
      <c r="Q6" s="155" t="inlineStr">
        <is>
          <t>SS26</t>
        </is>
      </c>
      <c r="R6" s="155" t="inlineStr">
        <is>
          <t>Seasonal</t>
        </is>
      </c>
      <c r="S6" s="155" t="inlineStr">
        <is>
          <t>Negro</t>
        </is>
      </c>
      <c r="T6" s="155" t="n"/>
      <c r="U6" s="155" t="n"/>
      <c r="V6" s="155" t="inlineStr">
        <is>
          <t>100% piel de vacuno</t>
        </is>
      </c>
      <c r="W6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6" s="155" t="inlineStr">
        <is>
          <t>México</t>
        </is>
      </c>
      <c r="Y6" s="155" t="inlineStr">
        <is>
          <t>PZS</t>
        </is>
      </c>
      <c r="Z6" s="59" t="inlineStr">
        <is>
          <t>53102501</t>
        </is>
      </c>
      <c r="AA6" s="126" t="n"/>
      <c r="AB6" s="61" t="n">
        <v>344.48</v>
      </c>
      <c r="AC6" s="61" t="n">
        <v>949</v>
      </c>
      <c r="AD6" s="62" t="inlineStr">
        <is>
          <t>Con Incidencias</t>
        </is>
      </c>
      <c r="AE6" s="64" t="inlineStr">
        <is>
          <t>SKU duplicado</t>
        </is>
      </c>
      <c r="AF6" s="64" t="n"/>
      <c r="AG6" s="59" t="n">
        <v>2</v>
      </c>
      <c r="AH6" s="155" t="inlineStr">
        <is>
          <t>WB OUTLET LERMA (2)</t>
        </is>
      </c>
      <c r="AI6" s="59" t="n">
        <v>2</v>
      </c>
      <c r="AJ6" s="155" t="inlineStr">
        <is>
          <t>Catálogo existente</t>
        </is>
      </c>
      <c r="AK6" s="155" t="inlineStr">
        <is>
          <t>Coincidencia por código de barras (ID NetSuite 117921) | ID alternativo de Hoja a Revisar 117921 (UPC coincidente); se conserva ID principal; Auditoría NetSuite 30/09/2026: llenado desde NetSuite [Z]; Vinculado por código de barras al ID NetSuite 117921 (antes en Identificador interno: 'C49733-59-34'); 01/10/2026: mismo SKU registrado también en fila 67751 con código 7503063066851 (ID 30911, desde Hoja3); revisar cuál es el vigente | 01/10/2026: complementado desde Shopify Western Brothers (match por código de barras): WB Fit, WB Silueta</t>
        </is>
      </c>
      <c r="AL6" s="155" t="inlineStr">
        <is>
          <t>No</t>
        </is>
      </c>
      <c r="AM6" s="155" t="n"/>
      <c r="AN6" s="155" t="inlineStr">
        <is>
          <t>| Hoja a Revisar: fila 196099 (ID 117921, misma clave UPC); G1522_Extraccion_Articulos_NetSuite_2026-09-30.xlsx: fila 64162 [Z] | Shopify WB: producto 10310436716729 / variante 50512591388857</t>
        </is>
      </c>
      <c r="AO6" s="58" t="inlineStr">
        <is>
          <t>344,48</t>
        </is>
      </c>
      <c r="AP6" s="58" t="n"/>
      <c r="AQ6" s="155" t="inlineStr">
        <is>
          <t>Shopify Western Brothers</t>
        </is>
      </c>
      <c r="AR6" s="59" t="n"/>
      <c r="AS6" s="59" t="n">
        <v>2</v>
      </c>
      <c r="AT6" s="59" t="n"/>
      <c r="AU6" s="155" t="inlineStr">
        <is>
          <t>Shopify Western Brothers › Western Brothers Outlet Lerma: 2</t>
        </is>
      </c>
    </row>
    <row r="7">
      <c r="A7" s="51" t="n">
        <v>7</v>
      </c>
      <c r="B7" s="156" t="inlineStr">
        <is>
          <t>Productos — registro integrado en el anterior</t>
        </is>
      </c>
      <c r="C7" s="125" t="inlineStr">
        <is>
          <t>Homologación G1522: mismo producto (mismo WB SKU)</t>
        </is>
      </c>
      <c r="D7" s="60" t="inlineStr">
        <is>
          <t>7503063066851</t>
        </is>
      </c>
      <c r="E7" s="59" t="inlineStr">
        <is>
          <t>30911</t>
        </is>
      </c>
      <c r="F7" s="155" t="inlineStr">
        <is>
          <t>Wrangler</t>
        </is>
      </c>
      <c r="G7" s="155" t="inlineStr">
        <is>
          <t>C49733-59</t>
        </is>
      </c>
      <c r="H7" s="155" t="inlineStr">
        <is>
          <t>C49733-59-34</t>
        </is>
      </c>
      <c r="I7" s="155" t="inlineStr">
        <is>
          <t>34</t>
        </is>
      </c>
      <c r="J7" s="155" t="inlineStr">
        <is>
          <t>34</t>
        </is>
      </c>
      <c r="K7" s="155" t="inlineStr">
        <is>
          <t>Wrangler</t>
        </is>
      </c>
      <c r="L7" s="155" t="inlineStr">
        <is>
          <t>Cinturon de hombre C49733-59 Negro</t>
        </is>
      </c>
      <c r="M7" s="155" t="inlineStr">
        <is>
          <t>Accesorios</t>
        </is>
      </c>
      <c r="N7" s="155" t="inlineStr">
        <is>
          <t>Cinturones</t>
        </is>
      </c>
      <c r="O7" s="155" t="inlineStr">
        <is>
          <t>Hombre</t>
        </is>
      </c>
      <c r="P7" s="155" t="inlineStr">
        <is>
          <t>Wrangler</t>
        </is>
      </c>
      <c r="Q7" s="155" t="inlineStr">
        <is>
          <t>FW26</t>
        </is>
      </c>
      <c r="R7" s="155" t="n"/>
      <c r="S7" s="155" t="inlineStr">
        <is>
          <t>Negro</t>
        </is>
      </c>
      <c r="T7" s="155" t="n"/>
      <c r="U7" s="155" t="n"/>
      <c r="V7" s="155" t="inlineStr">
        <is>
          <t>100% PIEL VACUNO</t>
        </is>
      </c>
      <c r="W7" s="155" t="inlineStr">
        <is>
          <t>Cinturón para Caballero de Piel</t>
        </is>
      </c>
      <c r="X7" s="155" t="inlineStr">
        <is>
          <t>México</t>
        </is>
      </c>
      <c r="Y7" s="155" t="inlineStr">
        <is>
          <t>PZS</t>
        </is>
      </c>
      <c r="Z7" s="59" t="inlineStr">
        <is>
          <t>53102501</t>
        </is>
      </c>
      <c r="AA7" s="126" t="n"/>
      <c r="AB7" s="61" t="n">
        <v>344.48</v>
      </c>
      <c r="AC7" s="61" t="n">
        <v>430.603448</v>
      </c>
      <c r="AD7" s="62" t="inlineStr">
        <is>
          <t>Con Incidencias</t>
        </is>
      </c>
      <c r="AE7" s="64" t="inlineStr">
        <is>
          <t>SKU duplicado; [Aviso] Ciclo de vida no capturado ()</t>
        </is>
      </c>
      <c r="AF7" s="64" t="n"/>
      <c r="AG7" s="59" t="n"/>
      <c r="AH7" s="155" t="n"/>
      <c r="AI7" s="59" t="n"/>
      <c r="AJ7" s="155" t="inlineStr">
        <is>
          <t>Nuevo – Carga Hoja3 01/10/2026</t>
        </is>
      </c>
      <c r="AK7" s="155" t="inlineStr">
        <is>
          <t>Alta 01/10/2026 desde Hoja3 (fila 732); Mismo SKU que la fila 2421 con otro código/ID; revisar cuál es el vigente | 01/10/2026: complementado desde Odoo Universal Unique Brands (match por código de barras): WB Talla de EE. UU.</t>
        </is>
      </c>
      <c r="AL7" s="155" t="n"/>
      <c r="AM7" s="155" t="n"/>
      <c r="AN7" s="155" t="inlineStr">
        <is>
          <t>Hoja3: fila 732 | Odoo: producto 30911 / plantilla 39653</t>
        </is>
      </c>
      <c r="AO7" s="58" t="n"/>
      <c r="AP7" s="58" t="n"/>
      <c r="AQ7" s="155" t="inlineStr">
        <is>
          <t>Odoo Universal Unique Brands</t>
        </is>
      </c>
      <c r="AR7" s="59" t="n"/>
      <c r="AS7" s="59" t="n"/>
      <c r="AT7" s="59" t="n">
        <v>10</v>
      </c>
      <c r="AU7" s="155" t="inlineStr">
        <is>
          <t>Odoo Universal Unique Brands › Bodega 25 › Bodega 25/General: 10</t>
        </is>
      </c>
    </row>
    <row r="8">
      <c r="A8" s="51" t="n">
        <v>8</v>
      </c>
      <c r="B8" s="156" t="inlineStr">
        <is>
          <t>Productos — registro conservado</t>
        </is>
      </c>
      <c r="C8" s="125" t="inlineStr">
        <is>
          <t>Homologación G1522: mismo producto (mismo WB SKU)</t>
        </is>
      </c>
      <c r="D8" s="60" t="inlineStr">
        <is>
          <t>7506674601190</t>
        </is>
      </c>
      <c r="E8" s="59" t="inlineStr">
        <is>
          <t>117922</t>
        </is>
      </c>
      <c r="F8" s="155" t="inlineStr">
        <is>
          <t>Wrangler</t>
        </is>
      </c>
      <c r="G8" s="155" t="inlineStr">
        <is>
          <t>C49733-59</t>
        </is>
      </c>
      <c r="H8" s="155" t="inlineStr">
        <is>
          <t>C49733-59-36</t>
        </is>
      </c>
      <c r="I8" s="155" t="inlineStr">
        <is>
          <t>36</t>
        </is>
      </c>
      <c r="J8" s="155" t="inlineStr">
        <is>
          <t>36</t>
        </is>
      </c>
      <c r="K8" s="155" t="inlineStr">
        <is>
          <t>Wrangler</t>
        </is>
      </c>
      <c r="L8" s="155" t="inlineStr">
        <is>
          <t>Cinturón Wrangler Una Vista Casual para Hombre, Color Negro</t>
        </is>
      </c>
      <c r="M8" s="155" t="inlineStr">
        <is>
          <t>Accesorios</t>
        </is>
      </c>
      <c r="N8" s="155" t="inlineStr">
        <is>
          <t>Cinturones</t>
        </is>
      </c>
      <c r="O8" s="155" t="inlineStr">
        <is>
          <t>Hombre</t>
        </is>
      </c>
      <c r="P8" s="155" t="inlineStr">
        <is>
          <t>Wrangler</t>
        </is>
      </c>
      <c r="Q8" s="155" t="inlineStr">
        <is>
          <t>SS26</t>
        </is>
      </c>
      <c r="R8" s="155" t="inlineStr">
        <is>
          <t>Seasonal</t>
        </is>
      </c>
      <c r="S8" s="155" t="inlineStr">
        <is>
          <t>Negro</t>
        </is>
      </c>
      <c r="T8" s="155" t="n"/>
      <c r="U8" s="155" t="n"/>
      <c r="V8" s="155" t="inlineStr">
        <is>
          <t>100% piel de vacuno</t>
        </is>
      </c>
      <c r="W8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8" s="155" t="inlineStr">
        <is>
          <t>México</t>
        </is>
      </c>
      <c r="Y8" s="155" t="inlineStr">
        <is>
          <t>PZS</t>
        </is>
      </c>
      <c r="Z8" s="59" t="inlineStr">
        <is>
          <t>53102501</t>
        </is>
      </c>
      <c r="AA8" s="126" t="n"/>
      <c r="AB8" s="61" t="n">
        <v>344.48</v>
      </c>
      <c r="AC8" s="61" t="n">
        <v>949</v>
      </c>
      <c r="AD8" s="62" t="inlineStr">
        <is>
          <t>Con Incidencias</t>
        </is>
      </c>
      <c r="AE8" s="64" t="inlineStr">
        <is>
          <t>SKU duplicado</t>
        </is>
      </c>
      <c r="AF8" s="64" t="n"/>
      <c r="AG8" s="59" t="n">
        <v>2</v>
      </c>
      <c r="AH8" s="155" t="inlineStr">
        <is>
          <t>WB OUTLET LERMA (2)</t>
        </is>
      </c>
      <c r="AI8" s="59" t="n">
        <v>2</v>
      </c>
      <c r="AJ8" s="155" t="inlineStr">
        <is>
          <t>Catálogo existente</t>
        </is>
      </c>
      <c r="AK8" s="155" t="inlineStr">
        <is>
          <t>Coincidencia por código de barras (ID NetSuite 117922) | ID alternativo de Hoja a Revisar 117922 (UPC coincidente); se conserva ID principal; Auditoría NetSuite 30/09/2026: llenado desde NetSuite [Z]; Vinculado por código de barras al ID NetSuite 117922 (antes en Identificador interno: 'C49733-59-36'); 01/10/2026: mismo SKU registrado también en fila 67752 con código 7503063066868 (ID 30912, desde Hoja3); revisar cuál es el vigente | 01/10/2026: complementado desde Shopify Western Brothers (match por código de barras): WB Fit, WB Silueta</t>
        </is>
      </c>
      <c r="AL8" s="155" t="inlineStr">
        <is>
          <t>No</t>
        </is>
      </c>
      <c r="AM8" s="155" t="n"/>
      <c r="AN8" s="155" t="inlineStr">
        <is>
          <t>| Hoja a Revisar: fila 196100 (ID 117922, misma clave UPC); G1522_Extraccion_Articulos_NetSuite_2026-09-30.xlsx: fila 64163 [Z] | Shopify WB: producto 10310436716729 / variante 50512591421625</t>
        </is>
      </c>
      <c r="AO8" s="58" t="inlineStr">
        <is>
          <t>344,48</t>
        </is>
      </c>
      <c r="AP8" s="58" t="n"/>
      <c r="AQ8" s="155" t="inlineStr">
        <is>
          <t>Shopify Western Brothers</t>
        </is>
      </c>
      <c r="AR8" s="59" t="n"/>
      <c r="AS8" s="59" t="n">
        <v>2</v>
      </c>
      <c r="AT8" s="59" t="n"/>
      <c r="AU8" s="155" t="inlineStr">
        <is>
          <t>Shopify Western Brothers › Western Brothers Outlet Lerma: 2</t>
        </is>
      </c>
    </row>
    <row r="9">
      <c r="A9" s="51" t="n">
        <v>8</v>
      </c>
      <c r="B9" s="156" t="inlineStr">
        <is>
          <t>Productos — registro integrado en el anterior</t>
        </is>
      </c>
      <c r="C9" s="125" t="inlineStr">
        <is>
          <t>Homologación G1522: mismo producto (mismo WB SKU)</t>
        </is>
      </c>
      <c r="D9" s="60" t="inlineStr">
        <is>
          <t>7503063066868</t>
        </is>
      </c>
      <c r="E9" s="59" t="inlineStr">
        <is>
          <t>30912</t>
        </is>
      </c>
      <c r="F9" s="155" t="inlineStr">
        <is>
          <t>Wrangler</t>
        </is>
      </c>
      <c r="G9" s="155" t="inlineStr">
        <is>
          <t>C49733-59</t>
        </is>
      </c>
      <c r="H9" s="155" t="inlineStr">
        <is>
          <t>C49733-59-36</t>
        </is>
      </c>
      <c r="I9" s="155" t="inlineStr">
        <is>
          <t>36</t>
        </is>
      </c>
      <c r="J9" s="155" t="inlineStr">
        <is>
          <t>36</t>
        </is>
      </c>
      <c r="K9" s="155" t="inlineStr">
        <is>
          <t>Wrangler</t>
        </is>
      </c>
      <c r="L9" s="155" t="inlineStr">
        <is>
          <t>Cinturon de hombre C49733-59 Negro</t>
        </is>
      </c>
      <c r="M9" s="155" t="inlineStr">
        <is>
          <t>Accesorios</t>
        </is>
      </c>
      <c r="N9" s="155" t="inlineStr">
        <is>
          <t>Cinturones</t>
        </is>
      </c>
      <c r="O9" s="155" t="inlineStr">
        <is>
          <t>Hombre</t>
        </is>
      </c>
      <c r="P9" s="155" t="inlineStr">
        <is>
          <t>Wrangler</t>
        </is>
      </c>
      <c r="Q9" s="155" t="inlineStr">
        <is>
          <t>FW26</t>
        </is>
      </c>
      <c r="R9" s="155" t="n"/>
      <c r="S9" s="155" t="inlineStr">
        <is>
          <t>Negro</t>
        </is>
      </c>
      <c r="T9" s="155" t="n"/>
      <c r="U9" s="155" t="n"/>
      <c r="V9" s="155" t="inlineStr">
        <is>
          <t>100% PIEL VACUNO</t>
        </is>
      </c>
      <c r="W9" s="155" t="inlineStr">
        <is>
          <t>Cinturón para Caballero de Piel</t>
        </is>
      </c>
      <c r="X9" s="155" t="inlineStr">
        <is>
          <t>México</t>
        </is>
      </c>
      <c r="Y9" s="155" t="inlineStr">
        <is>
          <t>PZS</t>
        </is>
      </c>
      <c r="Z9" s="59" t="inlineStr">
        <is>
          <t>53102501</t>
        </is>
      </c>
      <c r="AA9" s="126" t="n"/>
      <c r="AB9" s="61" t="n">
        <v>344.48</v>
      </c>
      <c r="AC9" s="61" t="n">
        <v>430.603448</v>
      </c>
      <c r="AD9" s="62" t="inlineStr">
        <is>
          <t>Con Incidencias</t>
        </is>
      </c>
      <c r="AE9" s="64" t="inlineStr">
        <is>
          <t>SKU duplicado; [Aviso] Ciclo de vida no capturado ()</t>
        </is>
      </c>
      <c r="AF9" s="64" t="n"/>
      <c r="AG9" s="59" t="n"/>
      <c r="AH9" s="155" t="n"/>
      <c r="AI9" s="59" t="n"/>
      <c r="AJ9" s="155" t="inlineStr">
        <is>
          <t>Nuevo – Carga Hoja3 01/10/2026</t>
        </is>
      </c>
      <c r="AK9" s="155" t="inlineStr">
        <is>
          <t>Alta 01/10/2026 desde Hoja3 (fila 733); Mismo SKU que la fila 2422 con otro código/ID; revisar cuál es el vigente | 01/10/2026: complementado desde Odoo Universal Unique Brands (match por código de barras): WB Talla de EE. UU.</t>
        </is>
      </c>
      <c r="AL9" s="155" t="n"/>
      <c r="AM9" s="155" t="n"/>
      <c r="AN9" s="155" t="inlineStr">
        <is>
          <t>Hoja3: fila 733 | Odoo: producto 30912 / plantilla 39653</t>
        </is>
      </c>
      <c r="AO9" s="58" t="n"/>
      <c r="AP9" s="58" t="n"/>
      <c r="AQ9" s="155" t="inlineStr">
        <is>
          <t>Odoo Universal Unique Brands</t>
        </is>
      </c>
      <c r="AR9" s="59" t="n"/>
      <c r="AS9" s="59" t="n"/>
      <c r="AT9" s="59" t="n">
        <v>10</v>
      </c>
      <c r="AU9" s="155" t="inlineStr">
        <is>
          <t>Odoo Universal Unique Brands › Bodega 25 › Bodega 25/General: 10</t>
        </is>
      </c>
    </row>
    <row r="10">
      <c r="A10" s="51" t="n">
        <v>9</v>
      </c>
      <c r="B10" s="156" t="inlineStr">
        <is>
          <t>Productos — registro conservado</t>
        </is>
      </c>
      <c r="C10" s="125" t="inlineStr">
        <is>
          <t>Homologación G1522: mismo producto (mismo WB SKU)</t>
        </is>
      </c>
      <c r="D10" s="60" t="inlineStr">
        <is>
          <t>7506674601206</t>
        </is>
      </c>
      <c r="E10" s="59" t="inlineStr">
        <is>
          <t>117923</t>
        </is>
      </c>
      <c r="F10" s="155" t="inlineStr">
        <is>
          <t>Wrangler</t>
        </is>
      </c>
      <c r="G10" s="155" t="inlineStr">
        <is>
          <t>C49733-59</t>
        </is>
      </c>
      <c r="H10" s="155" t="inlineStr">
        <is>
          <t>C49733-59-38</t>
        </is>
      </c>
      <c r="I10" s="155" t="inlineStr">
        <is>
          <t>38</t>
        </is>
      </c>
      <c r="J10" s="155" t="inlineStr">
        <is>
          <t>38</t>
        </is>
      </c>
      <c r="K10" s="155" t="inlineStr">
        <is>
          <t>Wrangler</t>
        </is>
      </c>
      <c r="L10" s="155" t="inlineStr">
        <is>
          <t>Cinturón Wrangler Una Vista Casual para Hombre, Color Negro</t>
        </is>
      </c>
      <c r="M10" s="155" t="inlineStr">
        <is>
          <t>Accesorios</t>
        </is>
      </c>
      <c r="N10" s="155" t="inlineStr">
        <is>
          <t>Cinturones</t>
        </is>
      </c>
      <c r="O10" s="155" t="inlineStr">
        <is>
          <t>Hombre</t>
        </is>
      </c>
      <c r="P10" s="155" t="inlineStr">
        <is>
          <t>Wrangler</t>
        </is>
      </c>
      <c r="Q10" s="155" t="inlineStr">
        <is>
          <t>SS26</t>
        </is>
      </c>
      <c r="R10" s="155" t="inlineStr">
        <is>
          <t>Seasonal</t>
        </is>
      </c>
      <c r="S10" s="155" t="inlineStr">
        <is>
          <t>Negro</t>
        </is>
      </c>
      <c r="T10" s="155" t="n"/>
      <c r="U10" s="155" t="n"/>
      <c r="V10" s="155" t="inlineStr">
        <is>
          <t>100% piel de vacuno</t>
        </is>
      </c>
      <c r="W10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0" s="155" t="inlineStr">
        <is>
          <t>México</t>
        </is>
      </c>
      <c r="Y10" s="155" t="inlineStr">
        <is>
          <t>PZS</t>
        </is>
      </c>
      <c r="Z10" s="59" t="inlineStr">
        <is>
          <t>53102501</t>
        </is>
      </c>
      <c r="AA10" s="126" t="n"/>
      <c r="AB10" s="61" t="n">
        <v>344.48</v>
      </c>
      <c r="AC10" s="61" t="n">
        <v>949</v>
      </c>
      <c r="AD10" s="62" t="inlineStr">
        <is>
          <t>Con Incidencias</t>
        </is>
      </c>
      <c r="AE10" s="64" t="inlineStr">
        <is>
          <t>SKU duplicado</t>
        </is>
      </c>
      <c r="AF10" s="64" t="n"/>
      <c r="AG10" s="59" t="n">
        <v>3</v>
      </c>
      <c r="AH10" s="155" t="inlineStr">
        <is>
          <t>WB OUTLET LERMA (3)</t>
        </is>
      </c>
      <c r="AI10" s="59" t="n">
        <v>3</v>
      </c>
      <c r="AJ10" s="155" t="inlineStr">
        <is>
          <t>Catálogo existente</t>
        </is>
      </c>
      <c r="AK10" s="155" t="inlineStr">
        <is>
          <t>Coincidencia por código de barras (ID NetSuite 117923) | ID alternativo de Hoja a Revisar 117923 (UPC coincidente); se conserva ID principal; Auditoría NetSuite 30/09/2026: llenado desde NetSuite [Z]; Vinculado por código de barras al ID NetSuite 117923 (antes en Identificador interno: 'C49733-59-38'); 01/10/2026: mismo SKU registrado también en fila 67753 con código 7503063066875 (ID 30913, desde Hoja3); revisar cuál es el vigente | 01/10/2026: complementado desde Shopify Western Brothers (match por código de barras): WB Fit, WB Silueta</t>
        </is>
      </c>
      <c r="AL10" s="155" t="inlineStr">
        <is>
          <t>No</t>
        </is>
      </c>
      <c r="AM10" s="155" t="n"/>
      <c r="AN10" s="155" t="inlineStr">
        <is>
          <t>| Hoja a Revisar: fila 196101 (ID 117923, misma clave UPC); G1522_Extraccion_Articulos_NetSuite_2026-09-30.xlsx: fila 64164 [Z] | Shopify WB: producto 10310436716729 / variante 50512591454393</t>
        </is>
      </c>
      <c r="AO10" s="58" t="inlineStr">
        <is>
          <t>344,48</t>
        </is>
      </c>
      <c r="AP10" s="58" t="n"/>
      <c r="AQ10" s="155" t="inlineStr">
        <is>
          <t>Shopify Western Brothers</t>
        </is>
      </c>
      <c r="AR10" s="59" t="n"/>
      <c r="AS10" s="59" t="n">
        <v>3</v>
      </c>
      <c r="AT10" s="59" t="n"/>
      <c r="AU10" s="155" t="inlineStr">
        <is>
          <t>Shopify Western Brothers › Western Brothers Outlet Lerma: 3</t>
        </is>
      </c>
    </row>
    <row r="11">
      <c r="A11" s="51" t="n">
        <v>9</v>
      </c>
      <c r="B11" s="156" t="inlineStr">
        <is>
          <t>Productos — registro integrado en el anterior</t>
        </is>
      </c>
      <c r="C11" s="125" t="inlineStr">
        <is>
          <t>Homologación G1522: mismo producto (mismo WB SKU)</t>
        </is>
      </c>
      <c r="D11" s="60" t="inlineStr">
        <is>
          <t>7503063066875</t>
        </is>
      </c>
      <c r="E11" s="59" t="inlineStr">
        <is>
          <t>30913</t>
        </is>
      </c>
      <c r="F11" s="155" t="inlineStr">
        <is>
          <t>Wrangler</t>
        </is>
      </c>
      <c r="G11" s="155" t="inlineStr">
        <is>
          <t>C49733-59</t>
        </is>
      </c>
      <c r="H11" s="155" t="inlineStr">
        <is>
          <t>C49733-59-38</t>
        </is>
      </c>
      <c r="I11" s="155" t="inlineStr">
        <is>
          <t>38</t>
        </is>
      </c>
      <c r="J11" s="155" t="inlineStr">
        <is>
          <t>38</t>
        </is>
      </c>
      <c r="K11" s="155" t="inlineStr">
        <is>
          <t>Wrangler</t>
        </is>
      </c>
      <c r="L11" s="155" t="inlineStr">
        <is>
          <t>Cinturon de hombre C49733-59 Negro</t>
        </is>
      </c>
      <c r="M11" s="155" t="inlineStr">
        <is>
          <t>Accesorios</t>
        </is>
      </c>
      <c r="N11" s="155" t="inlineStr">
        <is>
          <t>Cinturones</t>
        </is>
      </c>
      <c r="O11" s="155" t="inlineStr">
        <is>
          <t>Hombre</t>
        </is>
      </c>
      <c r="P11" s="155" t="inlineStr">
        <is>
          <t>Wrangler</t>
        </is>
      </c>
      <c r="Q11" s="155" t="inlineStr">
        <is>
          <t>FW26</t>
        </is>
      </c>
      <c r="R11" s="155" t="n"/>
      <c r="S11" s="155" t="inlineStr">
        <is>
          <t>Negro</t>
        </is>
      </c>
      <c r="T11" s="155" t="n"/>
      <c r="U11" s="155" t="n"/>
      <c r="V11" s="155" t="inlineStr">
        <is>
          <t>100% PIEL VACUNO</t>
        </is>
      </c>
      <c r="W11" s="155" t="inlineStr">
        <is>
          <t>Cinturón para Caballero de Piel</t>
        </is>
      </c>
      <c r="X11" s="155" t="inlineStr">
        <is>
          <t>México</t>
        </is>
      </c>
      <c r="Y11" s="155" t="inlineStr">
        <is>
          <t>PZS</t>
        </is>
      </c>
      <c r="Z11" s="59" t="inlineStr">
        <is>
          <t>53102501</t>
        </is>
      </c>
      <c r="AA11" s="126" t="n"/>
      <c r="AB11" s="61" t="n">
        <v>344.48</v>
      </c>
      <c r="AC11" s="61" t="n">
        <v>430.603448</v>
      </c>
      <c r="AD11" s="62" t="inlineStr">
        <is>
          <t>Con Incidencias</t>
        </is>
      </c>
      <c r="AE11" s="64" t="inlineStr">
        <is>
          <t>SKU duplicado; [Aviso] Ciclo de vida no capturado ()</t>
        </is>
      </c>
      <c r="AF11" s="64" t="n"/>
      <c r="AG11" s="59" t="n"/>
      <c r="AH11" s="155" t="n"/>
      <c r="AI11" s="59" t="n"/>
      <c r="AJ11" s="155" t="inlineStr">
        <is>
          <t>Nuevo – Carga Hoja3 01/10/2026</t>
        </is>
      </c>
      <c r="AK11" s="155" t="inlineStr">
        <is>
          <t>Alta 01/10/2026 desde Hoja3 (fila 734); Mismo SKU que la fila 2423 con otro código/ID; revisar cuál es el vigente | 01/10/2026: complementado desde Odoo Universal Unique Brands (match por código de barras): WB Talla de EE. UU.</t>
        </is>
      </c>
      <c r="AL11" s="155" t="n"/>
      <c r="AM11" s="155" t="n"/>
      <c r="AN11" s="155" t="inlineStr">
        <is>
          <t>Hoja3: fila 734 | Odoo: producto 30913 / plantilla 39653</t>
        </is>
      </c>
      <c r="AO11" s="58" t="n"/>
      <c r="AP11" s="58" t="n"/>
      <c r="AQ11" s="155" t="inlineStr">
        <is>
          <t>Odoo Universal Unique Brands</t>
        </is>
      </c>
      <c r="AR11" s="59" t="n"/>
      <c r="AS11" s="59" t="n"/>
      <c r="AT11" s="59" t="n">
        <v>15</v>
      </c>
      <c r="AU11" s="155" t="inlineStr">
        <is>
          <t>Odoo Universal Unique Brands › Bodega 25 › Bodega 25/General: 15</t>
        </is>
      </c>
    </row>
    <row r="12">
      <c r="A12" s="51" t="n">
        <v>10</v>
      </c>
      <c r="B12" s="156" t="inlineStr">
        <is>
          <t>Productos — registro conservado</t>
        </is>
      </c>
      <c r="C12" s="125" t="inlineStr">
        <is>
          <t>Homologación G1522: mismo producto (mismo WB SKU)</t>
        </is>
      </c>
      <c r="D12" s="60" t="inlineStr">
        <is>
          <t>7506674601213</t>
        </is>
      </c>
      <c r="E12" s="59" t="inlineStr">
        <is>
          <t>117924</t>
        </is>
      </c>
      <c r="F12" s="155" t="inlineStr">
        <is>
          <t>Wrangler</t>
        </is>
      </c>
      <c r="G12" s="155" t="inlineStr">
        <is>
          <t>C49733-59</t>
        </is>
      </c>
      <c r="H12" s="155" t="inlineStr">
        <is>
          <t>C49733-59-40</t>
        </is>
      </c>
      <c r="I12" s="155" t="inlineStr">
        <is>
          <t>40</t>
        </is>
      </c>
      <c r="J12" s="155" t="inlineStr">
        <is>
          <t>40</t>
        </is>
      </c>
      <c r="K12" s="155" t="inlineStr">
        <is>
          <t>Wrangler</t>
        </is>
      </c>
      <c r="L12" s="155" t="inlineStr">
        <is>
          <t>Cinturón Wrangler Una Vista Casual para Hombre, Color Negro</t>
        </is>
      </c>
      <c r="M12" s="155" t="inlineStr">
        <is>
          <t>Accesorios</t>
        </is>
      </c>
      <c r="N12" s="155" t="inlineStr">
        <is>
          <t>Cinturones</t>
        </is>
      </c>
      <c r="O12" s="155" t="inlineStr">
        <is>
          <t>Hombre</t>
        </is>
      </c>
      <c r="P12" s="155" t="inlineStr">
        <is>
          <t>Wrangler</t>
        </is>
      </c>
      <c r="Q12" s="155" t="inlineStr">
        <is>
          <t>SS26</t>
        </is>
      </c>
      <c r="R12" s="155" t="inlineStr">
        <is>
          <t>Seasonal</t>
        </is>
      </c>
      <c r="S12" s="155" t="inlineStr">
        <is>
          <t>Negro</t>
        </is>
      </c>
      <c r="T12" s="155" t="n"/>
      <c r="U12" s="155" t="n"/>
      <c r="V12" s="155" t="inlineStr">
        <is>
          <t>100% piel de vacuno</t>
        </is>
      </c>
      <c r="W12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2" s="155" t="inlineStr">
        <is>
          <t>México</t>
        </is>
      </c>
      <c r="Y12" s="155" t="inlineStr">
        <is>
          <t>PZS</t>
        </is>
      </c>
      <c r="Z12" s="59" t="inlineStr">
        <is>
          <t>53102501</t>
        </is>
      </c>
      <c r="AA12" s="126" t="n"/>
      <c r="AB12" s="61" t="n">
        <v>344.48</v>
      </c>
      <c r="AC12" s="61" t="n">
        <v>949</v>
      </c>
      <c r="AD12" s="62" t="inlineStr">
        <is>
          <t>Con Incidencias</t>
        </is>
      </c>
      <c r="AE12" s="64" t="inlineStr">
        <is>
          <t>SKU duplicado</t>
        </is>
      </c>
      <c r="AF12" s="64" t="n"/>
      <c r="AG12" s="59" t="n">
        <v>2</v>
      </c>
      <c r="AH12" s="155" t="inlineStr">
        <is>
          <t>WB OUTLET LERMA (2)</t>
        </is>
      </c>
      <c r="AI12" s="59" t="n">
        <v>2</v>
      </c>
      <c r="AJ12" s="155" t="inlineStr">
        <is>
          <t>Catálogo existente</t>
        </is>
      </c>
      <c r="AK12" s="155" t="inlineStr">
        <is>
          <t>Coincidencia por código de barras (ID NetSuite 117924) | ID alternativo de Hoja a Revisar 117924 (UPC coincidente); se conserva ID principal; Auditoría NetSuite 30/09/2026: llenado desde NetSuite [Z]; Vinculado por código de barras al ID NetSuite 117924 (antes en Identificador interno: 'C49733-59-40'); 01/10/2026: mismo SKU registrado también en fila 67754 con código 7503063066882 (ID 30914, desde Hoja3); revisar cuál es el vigente | 01/10/2026: complementado desde Shopify Western Brothers (match por código de barras): WB Fit, WB Silueta</t>
        </is>
      </c>
      <c r="AL12" s="155" t="inlineStr">
        <is>
          <t>No</t>
        </is>
      </c>
      <c r="AM12" s="155" t="n"/>
      <c r="AN12" s="155" t="inlineStr">
        <is>
          <t>| Hoja a Revisar: fila 196102 (ID 117924, misma clave UPC); G1522_Extraccion_Articulos_NetSuite_2026-09-30.xlsx: fila 64165 [Z] | Shopify WB: producto 10310436716729 / variante 50512591487161</t>
        </is>
      </c>
      <c r="AO12" s="58" t="inlineStr">
        <is>
          <t>344,48</t>
        </is>
      </c>
      <c r="AP12" s="58" t="n"/>
      <c r="AQ12" s="155" t="inlineStr">
        <is>
          <t>Shopify Western Brothers</t>
        </is>
      </c>
      <c r="AR12" s="59" t="n"/>
      <c r="AS12" s="59" t="n">
        <v>2</v>
      </c>
      <c r="AT12" s="59" t="n"/>
      <c r="AU12" s="155" t="inlineStr">
        <is>
          <t>Shopify Western Brothers › Western Brothers Outlet Lerma: 2</t>
        </is>
      </c>
    </row>
    <row r="13">
      <c r="A13" s="51" t="n">
        <v>10</v>
      </c>
      <c r="B13" s="156" t="inlineStr">
        <is>
          <t>Productos — registro integrado en el anterior</t>
        </is>
      </c>
      <c r="C13" s="125" t="inlineStr">
        <is>
          <t>Homologación G1522: mismo producto (mismo WB SKU)</t>
        </is>
      </c>
      <c r="D13" s="60" t="inlineStr">
        <is>
          <t>7503063066882</t>
        </is>
      </c>
      <c r="E13" s="59" t="inlineStr">
        <is>
          <t>30914</t>
        </is>
      </c>
      <c r="F13" s="155" t="inlineStr">
        <is>
          <t>Wrangler</t>
        </is>
      </c>
      <c r="G13" s="155" t="inlineStr">
        <is>
          <t>C49733-59</t>
        </is>
      </c>
      <c r="H13" s="155" t="inlineStr">
        <is>
          <t>C49733-59-40</t>
        </is>
      </c>
      <c r="I13" s="155" t="inlineStr">
        <is>
          <t>40</t>
        </is>
      </c>
      <c r="J13" s="155" t="inlineStr">
        <is>
          <t>40</t>
        </is>
      </c>
      <c r="K13" s="155" t="inlineStr">
        <is>
          <t>Wrangler</t>
        </is>
      </c>
      <c r="L13" s="155" t="inlineStr">
        <is>
          <t>Cinturon de hombre C49733-59 Negro</t>
        </is>
      </c>
      <c r="M13" s="155" t="inlineStr">
        <is>
          <t>Accesorios</t>
        </is>
      </c>
      <c r="N13" s="155" t="inlineStr">
        <is>
          <t>Cinturones</t>
        </is>
      </c>
      <c r="O13" s="155" t="inlineStr">
        <is>
          <t>Hombre</t>
        </is>
      </c>
      <c r="P13" s="155" t="inlineStr">
        <is>
          <t>Wrangler</t>
        </is>
      </c>
      <c r="Q13" s="155" t="inlineStr">
        <is>
          <t>FW26</t>
        </is>
      </c>
      <c r="R13" s="155" t="n"/>
      <c r="S13" s="155" t="inlineStr">
        <is>
          <t>Negro</t>
        </is>
      </c>
      <c r="T13" s="155" t="n"/>
      <c r="U13" s="155" t="n"/>
      <c r="V13" s="155" t="inlineStr">
        <is>
          <t>100% PIEL VACUNO</t>
        </is>
      </c>
      <c r="W13" s="155" t="inlineStr">
        <is>
          <t>Cinturón para Caballero de Piel</t>
        </is>
      </c>
      <c r="X13" s="155" t="inlineStr">
        <is>
          <t>México</t>
        </is>
      </c>
      <c r="Y13" s="155" t="inlineStr">
        <is>
          <t>PZS</t>
        </is>
      </c>
      <c r="Z13" s="59" t="inlineStr">
        <is>
          <t>53102501</t>
        </is>
      </c>
      <c r="AA13" s="126" t="n"/>
      <c r="AB13" s="61" t="n">
        <v>344.48</v>
      </c>
      <c r="AC13" s="61" t="n">
        <v>430.603448</v>
      </c>
      <c r="AD13" s="62" t="inlineStr">
        <is>
          <t>Con Incidencias</t>
        </is>
      </c>
      <c r="AE13" s="64" t="inlineStr">
        <is>
          <t>SKU duplicado; [Aviso] Ciclo de vida no capturado ()</t>
        </is>
      </c>
      <c r="AF13" s="64" t="n"/>
      <c r="AG13" s="59" t="n"/>
      <c r="AH13" s="155" t="n"/>
      <c r="AI13" s="59" t="n"/>
      <c r="AJ13" s="155" t="inlineStr">
        <is>
          <t>Nuevo – Carga Hoja3 01/10/2026</t>
        </is>
      </c>
      <c r="AK13" s="155" t="inlineStr">
        <is>
          <t>Alta 01/10/2026 desde Hoja3 (fila 735); Mismo SKU que la fila 2424 con otro código/ID; revisar cuál es el vigente | 01/10/2026: complementado desde Odoo Universal Unique Brands (match por código de barras): WB Talla de EE. UU.</t>
        </is>
      </c>
      <c r="AL13" s="155" t="n"/>
      <c r="AM13" s="155" t="n"/>
      <c r="AN13" s="155" t="inlineStr">
        <is>
          <t>Hoja3: fila 735 | Odoo: producto 30914 / plantilla 39653</t>
        </is>
      </c>
      <c r="AO13" s="58" t="n"/>
      <c r="AP13" s="58" t="n"/>
      <c r="AQ13" s="155" t="inlineStr">
        <is>
          <t>Odoo Universal Unique Brands</t>
        </is>
      </c>
      <c r="AR13" s="59" t="n"/>
      <c r="AS13" s="59" t="n"/>
      <c r="AT13" s="59" t="n">
        <v>22</v>
      </c>
      <c r="AU13" s="155" t="inlineStr">
        <is>
          <t>Odoo Universal Unique Brands › Bodega 25 › Bodega 25/General: 22</t>
        </is>
      </c>
    </row>
    <row r="14">
      <c r="A14" s="51" t="n">
        <v>11</v>
      </c>
      <c r="B14" s="156" t="inlineStr">
        <is>
          <t>Productos — registro conservado</t>
        </is>
      </c>
      <c r="C14" s="125" t="inlineStr">
        <is>
          <t>Homologación G1522: mismo producto (mismo WB SKU)</t>
        </is>
      </c>
      <c r="D14" s="60" t="inlineStr">
        <is>
          <t>7506674601220</t>
        </is>
      </c>
      <c r="E14" s="59" t="inlineStr">
        <is>
          <t>117925</t>
        </is>
      </c>
      <c r="F14" s="155" t="inlineStr">
        <is>
          <t>Wrangler</t>
        </is>
      </c>
      <c r="G14" s="155" t="inlineStr">
        <is>
          <t>C49733-59</t>
        </is>
      </c>
      <c r="H14" s="155" t="inlineStr">
        <is>
          <t>C49733-59-42</t>
        </is>
      </c>
      <c r="I14" s="155" t="inlineStr">
        <is>
          <t>42</t>
        </is>
      </c>
      <c r="J14" s="155" t="inlineStr">
        <is>
          <t>42</t>
        </is>
      </c>
      <c r="K14" s="155" t="inlineStr">
        <is>
          <t>Wrangler</t>
        </is>
      </c>
      <c r="L14" s="155" t="inlineStr">
        <is>
          <t>Cinturón Wrangler Una Vista Casual para Hombre, Color Negro</t>
        </is>
      </c>
      <c r="M14" s="155" t="inlineStr">
        <is>
          <t>Accesorios</t>
        </is>
      </c>
      <c r="N14" s="155" t="inlineStr">
        <is>
          <t>Cinturones</t>
        </is>
      </c>
      <c r="O14" s="155" t="inlineStr">
        <is>
          <t>Hombre</t>
        </is>
      </c>
      <c r="P14" s="155" t="inlineStr">
        <is>
          <t>Wrangler</t>
        </is>
      </c>
      <c r="Q14" s="155" t="inlineStr">
        <is>
          <t>SS26</t>
        </is>
      </c>
      <c r="R14" s="155" t="inlineStr">
        <is>
          <t>Seasonal</t>
        </is>
      </c>
      <c r="S14" s="155" t="inlineStr">
        <is>
          <t>Negro</t>
        </is>
      </c>
      <c r="T14" s="155" t="n"/>
      <c r="U14" s="155" t="n"/>
      <c r="V14" s="155" t="inlineStr">
        <is>
          <t>100% piel de vacuno</t>
        </is>
      </c>
      <c r="W14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4" s="155" t="inlineStr">
        <is>
          <t>México</t>
        </is>
      </c>
      <c r="Y14" s="155" t="inlineStr">
        <is>
          <t>PZS</t>
        </is>
      </c>
      <c r="Z14" s="59" t="inlineStr">
        <is>
          <t>53102501</t>
        </is>
      </c>
      <c r="AA14" s="126" t="n"/>
      <c r="AB14" s="61" t="n">
        <v>344.48</v>
      </c>
      <c r="AC14" s="61" t="n">
        <v>949</v>
      </c>
      <c r="AD14" s="62" t="inlineStr">
        <is>
          <t>Con Incidencias</t>
        </is>
      </c>
      <c r="AE14" s="64" t="inlineStr">
        <is>
          <t>SKU duplicado</t>
        </is>
      </c>
      <c r="AF14" s="64" t="n"/>
      <c r="AG14" s="59" t="n">
        <v>2</v>
      </c>
      <c r="AH14" s="155" t="inlineStr">
        <is>
          <t>WB OUTLET LERMA (2)</t>
        </is>
      </c>
      <c r="AI14" s="59" t="n">
        <v>2</v>
      </c>
      <c r="AJ14" s="155" t="inlineStr">
        <is>
          <t>Catálogo existente</t>
        </is>
      </c>
      <c r="AK14" s="155" t="inlineStr">
        <is>
          <t>Coincidencia por código de barras (ID NetSuite 117925) | ID alternativo de Hoja a Revisar 117925 (UPC coincidente); se conserva ID principal; Auditoría NetSuite 30/09/2026: llenado desde NetSuite [Z]; Vinculado por código de barras al ID NetSuite 117925 (antes en Identificador interno: 'C49733-59-42'); 01/10/2026: mismo SKU registrado también en fila 67755 con código 7503063066899 (ID 30915, desde Hoja3); revisar cuál es el vigente | 01/10/2026: complementado desde Shopify Western Brothers (match por código de barras): WB Fit, WB Silueta</t>
        </is>
      </c>
      <c r="AL14" s="155" t="inlineStr">
        <is>
          <t>No</t>
        </is>
      </c>
      <c r="AM14" s="155" t="n"/>
      <c r="AN14" s="155" t="inlineStr">
        <is>
          <t>| Hoja a Revisar: fila 196103 (ID 117925, misma clave UPC); G1522_Extraccion_Articulos_NetSuite_2026-09-30.xlsx: fila 64166 [Z] | Shopify WB: producto 10310436716729 / variante 50512591519929</t>
        </is>
      </c>
      <c r="AO14" s="58" t="inlineStr">
        <is>
          <t>344,48</t>
        </is>
      </c>
      <c r="AP14" s="58" t="n"/>
      <c r="AQ14" s="155" t="inlineStr">
        <is>
          <t>Shopify Western Brothers</t>
        </is>
      </c>
      <c r="AR14" s="59" t="n"/>
      <c r="AS14" s="59" t="n">
        <v>2</v>
      </c>
      <c r="AT14" s="59" t="n"/>
      <c r="AU14" s="155" t="inlineStr">
        <is>
          <t>Shopify Western Brothers › Western Brothers Outlet Lerma: 2</t>
        </is>
      </c>
    </row>
    <row r="15">
      <c r="A15" s="51" t="n">
        <v>11</v>
      </c>
      <c r="B15" s="156" t="inlineStr">
        <is>
          <t>Productos — registro integrado en el anterior</t>
        </is>
      </c>
      <c r="C15" s="125" t="inlineStr">
        <is>
          <t>Homologación G1522: mismo producto (mismo WB SKU)</t>
        </is>
      </c>
      <c r="D15" s="60" t="inlineStr">
        <is>
          <t>7503063066899</t>
        </is>
      </c>
      <c r="E15" s="59" t="inlineStr">
        <is>
          <t>30915</t>
        </is>
      </c>
      <c r="F15" s="155" t="inlineStr">
        <is>
          <t>Wrangler</t>
        </is>
      </c>
      <c r="G15" s="155" t="inlineStr">
        <is>
          <t>C49733-59</t>
        </is>
      </c>
      <c r="H15" s="155" t="inlineStr">
        <is>
          <t>C49733-59-42</t>
        </is>
      </c>
      <c r="I15" s="155" t="inlineStr">
        <is>
          <t>42</t>
        </is>
      </c>
      <c r="J15" s="155" t="inlineStr">
        <is>
          <t>42</t>
        </is>
      </c>
      <c r="K15" s="155" t="inlineStr">
        <is>
          <t>Wrangler</t>
        </is>
      </c>
      <c r="L15" s="155" t="inlineStr">
        <is>
          <t>Cinturon de hombre C49733-59 Negro</t>
        </is>
      </c>
      <c r="M15" s="155" t="inlineStr">
        <is>
          <t>Accesorios</t>
        </is>
      </c>
      <c r="N15" s="155" t="inlineStr">
        <is>
          <t>Cinturones</t>
        </is>
      </c>
      <c r="O15" s="155" t="inlineStr">
        <is>
          <t>Hombre</t>
        </is>
      </c>
      <c r="P15" s="155" t="inlineStr">
        <is>
          <t>Wrangler</t>
        </is>
      </c>
      <c r="Q15" s="155" t="inlineStr">
        <is>
          <t>FW26</t>
        </is>
      </c>
      <c r="R15" s="155" t="n"/>
      <c r="S15" s="155" t="inlineStr">
        <is>
          <t>Negro</t>
        </is>
      </c>
      <c r="T15" s="155" t="n"/>
      <c r="U15" s="155" t="n"/>
      <c r="V15" s="155" t="inlineStr">
        <is>
          <t>100% PIEL VACUNO</t>
        </is>
      </c>
      <c r="W15" s="155" t="inlineStr">
        <is>
          <t>Cinturón para Caballero de Piel</t>
        </is>
      </c>
      <c r="X15" s="155" t="inlineStr">
        <is>
          <t>México</t>
        </is>
      </c>
      <c r="Y15" s="155" t="inlineStr">
        <is>
          <t>PZS</t>
        </is>
      </c>
      <c r="Z15" s="59" t="inlineStr">
        <is>
          <t>53102501</t>
        </is>
      </c>
      <c r="AA15" s="126" t="n"/>
      <c r="AB15" s="61" t="n">
        <v>344.48</v>
      </c>
      <c r="AC15" s="61" t="n">
        <v>430.603448</v>
      </c>
      <c r="AD15" s="62" t="inlineStr">
        <is>
          <t>Con Incidencias</t>
        </is>
      </c>
      <c r="AE15" s="64" t="inlineStr">
        <is>
          <t>SKU duplicado; [Aviso] Ciclo de vida no capturado ()</t>
        </is>
      </c>
      <c r="AF15" s="64" t="n"/>
      <c r="AG15" s="59" t="n"/>
      <c r="AH15" s="155" t="n"/>
      <c r="AI15" s="59" t="n"/>
      <c r="AJ15" s="155" t="inlineStr">
        <is>
          <t>Nuevo – Carga Hoja3 01/10/2026</t>
        </is>
      </c>
      <c r="AK15" s="155" t="inlineStr">
        <is>
          <t>Alta 01/10/2026 desde Hoja3 (fila 736); Mismo SKU que la fila 2425 con otro código/ID; revisar cuál es el vigente | 01/10/2026: complementado desde Odoo Universal Unique Brands (match por código de barras): WB Talla de EE. UU.</t>
        </is>
      </c>
      <c r="AL15" s="155" t="n"/>
      <c r="AM15" s="155" t="n"/>
      <c r="AN15" s="155" t="inlineStr">
        <is>
          <t>Hoja3: fila 736 | Odoo: producto 30915 / plantilla 39653</t>
        </is>
      </c>
      <c r="AO15" s="58" t="n"/>
      <c r="AP15" s="58" t="n"/>
      <c r="AQ15" s="155" t="inlineStr">
        <is>
          <t>Odoo Universal Unique Brands</t>
        </is>
      </c>
      <c r="AR15" s="59" t="n"/>
      <c r="AS15" s="59" t="n"/>
      <c r="AT15" s="59" t="n">
        <v>22</v>
      </c>
      <c r="AU15" s="155" t="inlineStr">
        <is>
          <t>Odoo Universal Unique Brands › Bodega 25 › Bodega 25/General: 22</t>
        </is>
      </c>
    </row>
    <row r="16">
      <c r="A16" s="51" t="n">
        <v>12</v>
      </c>
      <c r="B16" s="156" t="inlineStr">
        <is>
          <t>Productos — registro conservado</t>
        </is>
      </c>
      <c r="C16" s="125" t="inlineStr">
        <is>
          <t>Homologación G1522: mismo producto (mismo WB SKU)</t>
        </is>
      </c>
      <c r="D16" s="60" t="inlineStr">
        <is>
          <t>7506674601237</t>
        </is>
      </c>
      <c r="E16" s="59" t="inlineStr">
        <is>
          <t>117926</t>
        </is>
      </c>
      <c r="F16" s="155" t="inlineStr">
        <is>
          <t>Wrangler</t>
        </is>
      </c>
      <c r="G16" s="155" t="inlineStr">
        <is>
          <t>C49733-59</t>
        </is>
      </c>
      <c r="H16" s="155" t="inlineStr">
        <is>
          <t>C49733-59-44</t>
        </is>
      </c>
      <c r="I16" s="155" t="inlineStr">
        <is>
          <t>44</t>
        </is>
      </c>
      <c r="J16" s="155" t="inlineStr">
        <is>
          <t>44</t>
        </is>
      </c>
      <c r="K16" s="155" t="inlineStr">
        <is>
          <t>Wrangler</t>
        </is>
      </c>
      <c r="L16" s="155" t="inlineStr">
        <is>
          <t>Cinturón Wrangler Una Vista Casual para Hombre, Color Negro</t>
        </is>
      </c>
      <c r="M16" s="155" t="inlineStr">
        <is>
          <t>Accesorios</t>
        </is>
      </c>
      <c r="N16" s="155" t="inlineStr">
        <is>
          <t>Cinturones</t>
        </is>
      </c>
      <c r="O16" s="155" t="inlineStr">
        <is>
          <t>Hombre</t>
        </is>
      </c>
      <c r="P16" s="155" t="inlineStr">
        <is>
          <t>Wrangler</t>
        </is>
      </c>
      <c r="Q16" s="155" t="inlineStr">
        <is>
          <t>SS26</t>
        </is>
      </c>
      <c r="R16" s="155" t="inlineStr">
        <is>
          <t>Seasonal</t>
        </is>
      </c>
      <c r="S16" s="155" t="inlineStr">
        <is>
          <t>Negro</t>
        </is>
      </c>
      <c r="T16" s="155" t="n"/>
      <c r="U16" s="155" t="n"/>
      <c r="V16" s="155" t="inlineStr">
        <is>
          <t>100% piel de vacuno</t>
        </is>
      </c>
      <c r="W16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6" s="155" t="inlineStr">
        <is>
          <t>México</t>
        </is>
      </c>
      <c r="Y16" s="155" t="inlineStr">
        <is>
          <t>PZS</t>
        </is>
      </c>
      <c r="Z16" s="59" t="inlineStr">
        <is>
          <t>53102501</t>
        </is>
      </c>
      <c r="AA16" s="126" t="n"/>
      <c r="AB16" s="61" t="n">
        <v>344.48</v>
      </c>
      <c r="AC16" s="61" t="n">
        <v>949</v>
      </c>
      <c r="AD16" s="62" t="inlineStr">
        <is>
          <t>Con Incidencias</t>
        </is>
      </c>
      <c r="AE16" s="64" t="inlineStr">
        <is>
          <t>SKU duplicado</t>
        </is>
      </c>
      <c r="AF16" s="64" t="n"/>
      <c r="AG16" s="59" t="n">
        <v>1</v>
      </c>
      <c r="AH16" s="155" t="inlineStr">
        <is>
          <t>WB OUTLET LERMA (1)</t>
        </is>
      </c>
      <c r="AI16" s="59" t="n">
        <v>1</v>
      </c>
      <c r="AJ16" s="155" t="inlineStr">
        <is>
          <t>Catálogo existente</t>
        </is>
      </c>
      <c r="AK16" s="155" t="inlineStr">
        <is>
          <t>Coincidencia por código de barras (ID NetSuite 117926) | ID alternativo de Hoja a Revisar 117926 (UPC coincidente); se conserva ID principal; Auditoría NetSuite 30/09/2026: llenado desde NetSuite [Z]; Vinculado por código de barras al ID NetSuite 117926 (antes en Identificador interno: 'C49733-59-44'); 01/10/2026: mismo SKU registrado también en fila 67756 con código 7503063066905 (ID 30916, desde Hoja3); revisar cuál es el vigente | 01/10/2026: complementado desde Shopify Western Brothers (match por código de barras): WB Fit, WB Silueta</t>
        </is>
      </c>
      <c r="AL16" s="155" t="inlineStr">
        <is>
          <t>No</t>
        </is>
      </c>
      <c r="AM16" s="155" t="n"/>
      <c r="AN16" s="155" t="inlineStr">
        <is>
          <t>| Hoja a Revisar: fila 196104 (ID 117926, misma clave UPC); G1522_Extraccion_Articulos_NetSuite_2026-09-30.xlsx: fila 64167 [Z] | Shopify WB: producto 10310436716729 / variante 50512591552697</t>
        </is>
      </c>
      <c r="AO16" s="58" t="inlineStr">
        <is>
          <t>344,48</t>
        </is>
      </c>
      <c r="AP16" s="58" t="n"/>
      <c r="AQ16" s="155" t="inlineStr">
        <is>
          <t>Shopify Western Brothers</t>
        </is>
      </c>
      <c r="AR16" s="59" t="n"/>
      <c r="AS16" s="59" t="n">
        <v>1</v>
      </c>
      <c r="AT16" s="59" t="n"/>
      <c r="AU16" s="155" t="inlineStr">
        <is>
          <t>Shopify Western Brothers › Western Brothers Outlet Lerma: 1</t>
        </is>
      </c>
    </row>
    <row r="17">
      <c r="A17" s="51" t="n">
        <v>12</v>
      </c>
      <c r="B17" s="156" t="inlineStr">
        <is>
          <t>Productos — registro integrado en el anterior</t>
        </is>
      </c>
      <c r="C17" s="125" t="inlineStr">
        <is>
          <t>Homologación G1522: mismo producto (mismo WB SKU)</t>
        </is>
      </c>
      <c r="D17" s="60" t="inlineStr">
        <is>
          <t>7503063066905</t>
        </is>
      </c>
      <c r="E17" s="59" t="inlineStr">
        <is>
          <t>30916</t>
        </is>
      </c>
      <c r="F17" s="155" t="inlineStr">
        <is>
          <t>Wrangler</t>
        </is>
      </c>
      <c r="G17" s="155" t="inlineStr">
        <is>
          <t>C49733-59</t>
        </is>
      </c>
      <c r="H17" s="155" t="inlineStr">
        <is>
          <t>C49733-59-44</t>
        </is>
      </c>
      <c r="I17" s="155" t="inlineStr">
        <is>
          <t>44</t>
        </is>
      </c>
      <c r="J17" s="155" t="inlineStr">
        <is>
          <t>44</t>
        </is>
      </c>
      <c r="K17" s="155" t="inlineStr">
        <is>
          <t>Wrangler</t>
        </is>
      </c>
      <c r="L17" s="155" t="inlineStr">
        <is>
          <t>Cinturon de hombre C49733-59 Negro</t>
        </is>
      </c>
      <c r="M17" s="155" t="inlineStr">
        <is>
          <t>Accesorios</t>
        </is>
      </c>
      <c r="N17" s="155" t="inlineStr">
        <is>
          <t>Cinturones</t>
        </is>
      </c>
      <c r="O17" s="155" t="inlineStr">
        <is>
          <t>Hombre</t>
        </is>
      </c>
      <c r="P17" s="155" t="inlineStr">
        <is>
          <t>Wrangler</t>
        </is>
      </c>
      <c r="Q17" s="155" t="inlineStr">
        <is>
          <t>FW26</t>
        </is>
      </c>
      <c r="R17" s="155" t="n"/>
      <c r="S17" s="155" t="inlineStr">
        <is>
          <t>Negro</t>
        </is>
      </c>
      <c r="T17" s="155" t="n"/>
      <c r="U17" s="155" t="n"/>
      <c r="V17" s="155" t="inlineStr">
        <is>
          <t>100% PIEL VACUNO</t>
        </is>
      </c>
      <c r="W17" s="155" t="inlineStr">
        <is>
          <t>Cinturón para Caballero de Piel</t>
        </is>
      </c>
      <c r="X17" s="155" t="inlineStr">
        <is>
          <t>México</t>
        </is>
      </c>
      <c r="Y17" s="155" t="inlineStr">
        <is>
          <t>PZS</t>
        </is>
      </c>
      <c r="Z17" s="59" t="inlineStr">
        <is>
          <t>53102501</t>
        </is>
      </c>
      <c r="AA17" s="126" t="n"/>
      <c r="AB17" s="61" t="n">
        <v>344.48</v>
      </c>
      <c r="AC17" s="61" t="n">
        <v>430.603448</v>
      </c>
      <c r="AD17" s="62" t="inlineStr">
        <is>
          <t>Con Incidencias</t>
        </is>
      </c>
      <c r="AE17" s="64" t="inlineStr">
        <is>
          <t>SKU duplicado; [Aviso] Ciclo de vida no capturado ()</t>
        </is>
      </c>
      <c r="AF17" s="64" t="n"/>
      <c r="AG17" s="59" t="n"/>
      <c r="AH17" s="155" t="n"/>
      <c r="AI17" s="59" t="n"/>
      <c r="AJ17" s="155" t="inlineStr">
        <is>
          <t>Nuevo – Carga Hoja3 01/10/2026</t>
        </is>
      </c>
      <c r="AK17" s="155" t="inlineStr">
        <is>
          <t>Alta 01/10/2026 desde Hoja3 (fila 737); Mismo SKU que la fila 2426 con otro código/ID; revisar cuál es el vigente | 01/10/2026: complementado desde Odoo Universal Unique Brands (match por código de barras): WB Talla de EE. UU.</t>
        </is>
      </c>
      <c r="AL17" s="155" t="n"/>
      <c r="AM17" s="155" t="n"/>
      <c r="AN17" s="155" t="inlineStr">
        <is>
          <t>Hoja3: fila 737 | Odoo: producto 30916 / plantilla 39653</t>
        </is>
      </c>
      <c r="AO17" s="58" t="n"/>
      <c r="AP17" s="58" t="n"/>
      <c r="AQ17" s="155" t="inlineStr">
        <is>
          <t>Odoo Universal Unique Brands</t>
        </is>
      </c>
      <c r="AR17" s="59" t="n"/>
      <c r="AS17" s="59" t="n"/>
      <c r="AT17" s="59" t="n">
        <v>17</v>
      </c>
      <c r="AU17" s="155" t="inlineStr">
        <is>
          <t>Odoo Universal Unique Brands › Bodega 25 › Bodega 25/General: 17</t>
        </is>
      </c>
    </row>
    <row r="18">
      <c r="A18" s="51" t="n">
        <v>13</v>
      </c>
      <c r="B18" s="156" t="inlineStr">
        <is>
          <t>Productos — registro conservado</t>
        </is>
      </c>
      <c r="C18" s="125" t="inlineStr">
        <is>
          <t>Homologación G1522: mismo producto (mismo WB SKU)</t>
        </is>
      </c>
      <c r="D18" s="60" t="inlineStr">
        <is>
          <t>7506674601107</t>
        </is>
      </c>
      <c r="E18" s="59" t="inlineStr">
        <is>
          <t>117927</t>
        </is>
      </c>
      <c r="F18" s="155" t="inlineStr">
        <is>
          <t>Wrangler</t>
        </is>
      </c>
      <c r="G18" s="155" t="inlineStr">
        <is>
          <t>C49733-27</t>
        </is>
      </c>
      <c r="H18" s="155" t="inlineStr">
        <is>
          <t>C49733-27-32</t>
        </is>
      </c>
      <c r="I18" s="155" t="inlineStr">
        <is>
          <t>32</t>
        </is>
      </c>
      <c r="J18" s="155" t="inlineStr">
        <is>
          <t>32</t>
        </is>
      </c>
      <c r="K18" s="155" t="inlineStr">
        <is>
          <t>Wrangler</t>
        </is>
      </c>
      <c r="L18" s="155" t="inlineStr">
        <is>
          <t>Cinturón Wrangler Una Vista Casual para Hombre, Color Cafe</t>
        </is>
      </c>
      <c r="M18" s="155" t="inlineStr">
        <is>
          <t>Accesorios</t>
        </is>
      </c>
      <c r="N18" s="155" t="inlineStr">
        <is>
          <t>Cinturones</t>
        </is>
      </c>
      <c r="O18" s="155" t="inlineStr">
        <is>
          <t>Hombre</t>
        </is>
      </c>
      <c r="P18" s="155" t="inlineStr">
        <is>
          <t>Wrangler</t>
        </is>
      </c>
      <c r="Q18" s="155" t="inlineStr">
        <is>
          <t>SS26</t>
        </is>
      </c>
      <c r="R18" s="155" t="inlineStr">
        <is>
          <t>Seasonal</t>
        </is>
      </c>
      <c r="S18" s="155" t="inlineStr">
        <is>
          <t>Cafe</t>
        </is>
      </c>
      <c r="T18" s="155" t="n"/>
      <c r="U18" s="155" t="n"/>
      <c r="V18" s="155" t="inlineStr">
        <is>
          <t>100% piel de vacuno</t>
        </is>
      </c>
      <c r="W18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8" s="155" t="inlineStr">
        <is>
          <t>México</t>
        </is>
      </c>
      <c r="Y18" s="155" t="inlineStr">
        <is>
          <t>PZS</t>
        </is>
      </c>
      <c r="Z18" s="59" t="inlineStr">
        <is>
          <t>53102501</t>
        </is>
      </c>
      <c r="AA18" s="126" t="n"/>
      <c r="AB18" s="61" t="n">
        <v>344.48</v>
      </c>
      <c r="AC18" s="61" t="n">
        <v>949</v>
      </c>
      <c r="AD18" s="62" t="inlineStr">
        <is>
          <t>Con Incidencias</t>
        </is>
      </c>
      <c r="AE18" s="64" t="inlineStr">
        <is>
          <t>SKU duplicado</t>
        </is>
      </c>
      <c r="AF18" s="64" t="n"/>
      <c r="AG18" s="59" t="n">
        <v>1</v>
      </c>
      <c r="AH18" s="155" t="inlineStr">
        <is>
          <t>WB OUTLET LERMA (1)</t>
        </is>
      </c>
      <c r="AI18" s="59" t="n">
        <v>1</v>
      </c>
      <c r="AJ18" s="155" t="inlineStr">
        <is>
          <t>Catálogo existente</t>
        </is>
      </c>
      <c r="AK18" s="155" t="inlineStr">
        <is>
          <t>Coincidencia por código de barras (ID NetSuite 117927) | ID alternativo de Hoja a Revisar 117927 (UPC coincidente); se conserva ID principal; Auditoría NetSuite 30/09/2026: llenado desde NetSuite [Z]; Vinculado por código de barras al ID NetSuite 117927 (antes en Identificador interno: 'C49733-27-32'); 01/10/2026: mismo SKU registrado también en fila 67743 con código 7503063066912 (ID 30918, desde Hoja3); revisar cuál es el vigente | 01/10/2026: complementado desde Shopify Western Brothers (match por código de barras): WB Fit, WB Silueta</t>
        </is>
      </c>
      <c r="AL18" s="155" t="inlineStr">
        <is>
          <t>No</t>
        </is>
      </c>
      <c r="AM18" s="155" t="n"/>
      <c r="AN18" s="155" t="inlineStr">
        <is>
          <t>| Hoja a Revisar: fila 196090 (ID 117927, misma clave UPC); G1522_Extraccion_Articulos_NetSuite_2026-09-30.xlsx: fila 64168 [Z] | Shopify WB: producto 10310436749497 / variante 50512591585465</t>
        </is>
      </c>
      <c r="AO18" s="58" t="inlineStr">
        <is>
          <t>344,48</t>
        </is>
      </c>
      <c r="AP18" s="58" t="n"/>
      <c r="AQ18" s="155" t="inlineStr">
        <is>
          <t>Shopify Western Brothers</t>
        </is>
      </c>
      <c r="AR18" s="59" t="n"/>
      <c r="AS18" s="59" t="n">
        <v>1</v>
      </c>
      <c r="AT18" s="59" t="n"/>
      <c r="AU18" s="155" t="inlineStr">
        <is>
          <t>Shopify Western Brothers › Western Brothers Outlet Lerma: 1</t>
        </is>
      </c>
    </row>
    <row r="19">
      <c r="A19" s="51" t="n">
        <v>13</v>
      </c>
      <c r="B19" s="156" t="inlineStr">
        <is>
          <t>Productos — registro integrado en el anterior</t>
        </is>
      </c>
      <c r="C19" s="125" t="inlineStr">
        <is>
          <t>Homologación G1522: mismo producto (mismo WB SKU)</t>
        </is>
      </c>
      <c r="D19" s="60" t="inlineStr">
        <is>
          <t>7503063066912</t>
        </is>
      </c>
      <c r="E19" s="59" t="inlineStr">
        <is>
          <t>30918</t>
        </is>
      </c>
      <c r="F19" s="155" t="inlineStr">
        <is>
          <t>Wrangler</t>
        </is>
      </c>
      <c r="G19" s="155" t="inlineStr">
        <is>
          <t>C49733-27</t>
        </is>
      </c>
      <c r="H19" s="155" t="inlineStr">
        <is>
          <t>C49733-27-32</t>
        </is>
      </c>
      <c r="I19" s="155" t="inlineStr">
        <is>
          <t>32</t>
        </is>
      </c>
      <c r="J19" s="155" t="inlineStr">
        <is>
          <t>32</t>
        </is>
      </c>
      <c r="K19" s="155" t="inlineStr">
        <is>
          <t>Wrangler</t>
        </is>
      </c>
      <c r="L19" s="155" t="inlineStr">
        <is>
          <t>Cinturón de hombre C49733-27 Café</t>
        </is>
      </c>
      <c r="M19" s="155" t="inlineStr">
        <is>
          <t>Accesorios</t>
        </is>
      </c>
      <c r="N19" s="155" t="inlineStr">
        <is>
          <t>Cinturones</t>
        </is>
      </c>
      <c r="O19" s="155" t="inlineStr">
        <is>
          <t>Hombre</t>
        </is>
      </c>
      <c r="P19" s="155" t="inlineStr">
        <is>
          <t>Wrangler</t>
        </is>
      </c>
      <c r="Q19" s="155" t="inlineStr">
        <is>
          <t>FW26</t>
        </is>
      </c>
      <c r="R19" s="155" t="n"/>
      <c r="S19" s="155" t="inlineStr">
        <is>
          <t>Cafe</t>
        </is>
      </c>
      <c r="T19" s="155" t="n"/>
      <c r="U19" s="155" t="n"/>
      <c r="V19" s="155" t="inlineStr">
        <is>
          <t>100% PIEL VACUNO</t>
        </is>
      </c>
      <c r="W19" s="155" t="inlineStr">
        <is>
          <t>Cinturón para Caballero de Piel</t>
        </is>
      </c>
      <c r="X19" s="155" t="inlineStr">
        <is>
          <t>México</t>
        </is>
      </c>
      <c r="Y19" s="155" t="inlineStr">
        <is>
          <t>PZS</t>
        </is>
      </c>
      <c r="Z19" s="59" t="inlineStr">
        <is>
          <t>53102501</t>
        </is>
      </c>
      <c r="AA19" s="126" t="n"/>
      <c r="AB19" s="61" t="n">
        <v>344.48</v>
      </c>
      <c r="AC19" s="61" t="n">
        <v>430.603448</v>
      </c>
      <c r="AD19" s="62" t="inlineStr">
        <is>
          <t>Con Incidencias</t>
        </is>
      </c>
      <c r="AE19" s="64" t="inlineStr">
        <is>
          <t>SKU duplicado; [Aviso] Ciclo de vida no capturado ()</t>
        </is>
      </c>
      <c r="AF19" s="64" t="n"/>
      <c r="AG19" s="59" t="n"/>
      <c r="AH19" s="155" t="n"/>
      <c r="AI19" s="59" t="n"/>
      <c r="AJ19" s="155" t="inlineStr">
        <is>
          <t>Nuevo – Carga Hoja3 01/10/2026</t>
        </is>
      </c>
      <c r="AK19" s="155" t="inlineStr">
        <is>
          <t>Alta 01/10/2026 desde Hoja3 (fila 724); Mismo SKU que la fila 2427 con otro código/ID; revisar cuál es el vigente | 01/10/2026: complementado desde Odoo Universal Unique Brands (match por código de barras): WB Talla de EE. UU.</t>
        </is>
      </c>
      <c r="AL19" s="155" t="n"/>
      <c r="AM19" s="155" t="n"/>
      <c r="AN19" s="155" t="inlineStr">
        <is>
          <t>Hoja3: fila 724 | Odoo: producto 30918 / plantilla 39654</t>
        </is>
      </c>
      <c r="AO19" s="58" t="n"/>
      <c r="AP19" s="58" t="n"/>
      <c r="AQ19" s="155" t="inlineStr">
        <is>
          <t>Odoo Universal Unique Brands</t>
        </is>
      </c>
      <c r="AR19" s="59" t="n"/>
      <c r="AS19" s="59" t="n"/>
      <c r="AT19" s="59" t="n">
        <v>5</v>
      </c>
      <c r="AU19" s="155" t="inlineStr">
        <is>
          <t>Odoo Universal Unique Brands › Bodega 25 › Bodega 25/General: 5</t>
        </is>
      </c>
    </row>
    <row r="20">
      <c r="A20" s="51" t="n">
        <v>14</v>
      </c>
      <c r="B20" s="156" t="inlineStr">
        <is>
          <t>Productos — registro conservado</t>
        </is>
      </c>
      <c r="C20" s="125" t="inlineStr">
        <is>
          <t>Homologación G1522: mismo producto (mismo WB SKU)</t>
        </is>
      </c>
      <c r="D20" s="60" t="inlineStr">
        <is>
          <t>7506674601114</t>
        </is>
      </c>
      <c r="E20" s="59" t="inlineStr">
        <is>
          <t>117928</t>
        </is>
      </c>
      <c r="F20" s="155" t="inlineStr">
        <is>
          <t>Wrangler</t>
        </is>
      </c>
      <c r="G20" s="155" t="inlineStr">
        <is>
          <t>C49733-27</t>
        </is>
      </c>
      <c r="H20" s="155" t="inlineStr">
        <is>
          <t>C49733-27-34</t>
        </is>
      </c>
      <c r="I20" s="155" t="inlineStr">
        <is>
          <t>34</t>
        </is>
      </c>
      <c r="J20" s="155" t="inlineStr">
        <is>
          <t>34</t>
        </is>
      </c>
      <c r="K20" s="155" t="inlineStr">
        <is>
          <t>Wrangler</t>
        </is>
      </c>
      <c r="L20" s="155" t="inlineStr">
        <is>
          <t>Cinturón Wrangler Una Vista Casual para Hombre, Color Cafe</t>
        </is>
      </c>
      <c r="M20" s="155" t="inlineStr">
        <is>
          <t>Accesorios</t>
        </is>
      </c>
      <c r="N20" s="155" t="inlineStr">
        <is>
          <t>Cinturones</t>
        </is>
      </c>
      <c r="O20" s="155" t="inlineStr">
        <is>
          <t>Hombre</t>
        </is>
      </c>
      <c r="P20" s="155" t="inlineStr">
        <is>
          <t>Wrangler</t>
        </is>
      </c>
      <c r="Q20" s="155" t="inlineStr">
        <is>
          <t>SS26</t>
        </is>
      </c>
      <c r="R20" s="155" t="inlineStr">
        <is>
          <t>Seasonal</t>
        </is>
      </c>
      <c r="S20" s="155" t="inlineStr">
        <is>
          <t>Cafe</t>
        </is>
      </c>
      <c r="T20" s="155" t="n"/>
      <c r="U20" s="155" t="n"/>
      <c r="V20" s="155" t="inlineStr">
        <is>
          <t>100% piel de vacuno</t>
        </is>
      </c>
      <c r="W20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20" s="155" t="inlineStr">
        <is>
          <t>México</t>
        </is>
      </c>
      <c r="Y20" s="155" t="inlineStr">
        <is>
          <t>PZS</t>
        </is>
      </c>
      <c r="Z20" s="59" t="inlineStr">
        <is>
          <t>53102501</t>
        </is>
      </c>
      <c r="AA20" s="126" t="n"/>
      <c r="AB20" s="61" t="n">
        <v>344.48</v>
      </c>
      <c r="AC20" s="61" t="n">
        <v>949</v>
      </c>
      <c r="AD20" s="62" t="inlineStr">
        <is>
          <t>Con Incidencias</t>
        </is>
      </c>
      <c r="AE20" s="64" t="inlineStr">
        <is>
          <t>SKU duplicado</t>
        </is>
      </c>
      <c r="AF20" s="64" t="n"/>
      <c r="AG20" s="59" t="n">
        <v>2</v>
      </c>
      <c r="AH20" s="155" t="inlineStr">
        <is>
          <t>WB OUTLET LERMA (2)</t>
        </is>
      </c>
      <c r="AI20" s="59" t="n">
        <v>2</v>
      </c>
      <c r="AJ20" s="155" t="inlineStr">
        <is>
          <t>Catálogo existente</t>
        </is>
      </c>
      <c r="AK20" s="155" t="inlineStr">
        <is>
          <t>Coincidencia por código de barras (ID NetSuite 117928) | ID alternativo de Hoja a Revisar 117928 (UPC coincidente); se conserva ID principal; Auditoría NetSuite 30/09/2026: llenado desde NetSuite [Z]; Vinculado por código de barras al ID NetSuite 117928 (antes en Identificador interno: 'C49733-27-34'); 01/10/2026: mismo SKU registrado también en fila 67744 con código 7503063066929 (ID 30919, desde Hoja3); revisar cuál es el vigente | 01/10/2026: complementado desde Shopify Western Brothers (match por código de barras): WB Fit, WB Silueta</t>
        </is>
      </c>
      <c r="AL20" s="155" t="inlineStr">
        <is>
          <t>No</t>
        </is>
      </c>
      <c r="AM20" s="155" t="n"/>
      <c r="AN20" s="155" t="inlineStr">
        <is>
          <t>| Hoja a Revisar: fila 196091 (ID 117928, misma clave UPC); G1522_Extraccion_Articulos_NetSuite_2026-09-30.xlsx: fila 64169 [Z] | Shopify WB: producto 10310436749497 / variante 50512591618233</t>
        </is>
      </c>
      <c r="AO20" s="58" t="inlineStr">
        <is>
          <t>344,48</t>
        </is>
      </c>
      <c r="AP20" s="58" t="n"/>
      <c r="AQ20" s="155" t="inlineStr">
        <is>
          <t>Shopify Western Brothers</t>
        </is>
      </c>
      <c r="AR20" s="59" t="n"/>
      <c r="AS20" s="59" t="n">
        <v>2</v>
      </c>
      <c r="AT20" s="59" t="n"/>
      <c r="AU20" s="155" t="inlineStr">
        <is>
          <t>Shopify Western Brothers › Western Brothers Outlet Lerma: 2</t>
        </is>
      </c>
    </row>
    <row r="21">
      <c r="A21" s="51" t="n">
        <v>14</v>
      </c>
      <c r="B21" s="156" t="inlineStr">
        <is>
          <t>Productos — registro integrado en el anterior</t>
        </is>
      </c>
      <c r="C21" s="125" t="inlineStr">
        <is>
          <t>Homologación G1522: mismo producto (mismo WB SKU)</t>
        </is>
      </c>
      <c r="D21" s="60" t="inlineStr">
        <is>
          <t>7503063066929</t>
        </is>
      </c>
      <c r="E21" s="59" t="inlineStr">
        <is>
          <t>30919</t>
        </is>
      </c>
      <c r="F21" s="155" t="inlineStr">
        <is>
          <t>Wrangler</t>
        </is>
      </c>
      <c r="G21" s="155" t="inlineStr">
        <is>
          <t>C49733-27</t>
        </is>
      </c>
      <c r="H21" s="155" t="inlineStr">
        <is>
          <t>C49733-27-34</t>
        </is>
      </c>
      <c r="I21" s="155" t="inlineStr">
        <is>
          <t>34</t>
        </is>
      </c>
      <c r="J21" s="155" t="inlineStr">
        <is>
          <t>34</t>
        </is>
      </c>
      <c r="K21" s="155" t="inlineStr">
        <is>
          <t>Wrangler</t>
        </is>
      </c>
      <c r="L21" s="155" t="inlineStr">
        <is>
          <t>Cinturón de hombre C49733-27 Café</t>
        </is>
      </c>
      <c r="M21" s="155" t="inlineStr">
        <is>
          <t>Accesorios</t>
        </is>
      </c>
      <c r="N21" s="155" t="inlineStr">
        <is>
          <t>Cinturones</t>
        </is>
      </c>
      <c r="O21" s="155" t="inlineStr">
        <is>
          <t>Hombre</t>
        </is>
      </c>
      <c r="P21" s="155" t="inlineStr">
        <is>
          <t>Wrangler</t>
        </is>
      </c>
      <c r="Q21" s="155" t="inlineStr">
        <is>
          <t>FW26</t>
        </is>
      </c>
      <c r="R21" s="155" t="n"/>
      <c r="S21" s="155" t="inlineStr">
        <is>
          <t>Cafe</t>
        </is>
      </c>
      <c r="T21" s="155" t="n"/>
      <c r="U21" s="155" t="n"/>
      <c r="V21" s="155" t="inlineStr">
        <is>
          <t>100% PIEL VACUNO</t>
        </is>
      </c>
      <c r="W21" s="155" t="inlineStr">
        <is>
          <t>Cinturón para Caballero de Piel</t>
        </is>
      </c>
      <c r="X21" s="155" t="inlineStr">
        <is>
          <t>México</t>
        </is>
      </c>
      <c r="Y21" s="155" t="inlineStr">
        <is>
          <t>PZS</t>
        </is>
      </c>
      <c r="Z21" s="59" t="inlineStr">
        <is>
          <t>53102501</t>
        </is>
      </c>
      <c r="AA21" s="126" t="n"/>
      <c r="AB21" s="61" t="n">
        <v>344.48</v>
      </c>
      <c r="AC21" s="61" t="n">
        <v>430.603448</v>
      </c>
      <c r="AD21" s="62" t="inlineStr">
        <is>
          <t>Con Incidencias</t>
        </is>
      </c>
      <c r="AE21" s="64" t="inlineStr">
        <is>
          <t>SKU duplicado; [Aviso] Ciclo de vida no capturado ()</t>
        </is>
      </c>
      <c r="AF21" s="64" t="n"/>
      <c r="AG21" s="59" t="n"/>
      <c r="AH21" s="155" t="n"/>
      <c r="AI21" s="59" t="n"/>
      <c r="AJ21" s="155" t="inlineStr">
        <is>
          <t>Nuevo – Carga Hoja3 01/10/2026</t>
        </is>
      </c>
      <c r="AK21" s="155" t="inlineStr">
        <is>
          <t>Alta 01/10/2026 desde Hoja3 (fila 725); Mismo SKU que la fila 2428 con otro código/ID; revisar cuál es el vigente | 01/10/2026: complementado desde Odoo Universal Unique Brands (match por código de barras): WB Talla de EE. UU.</t>
        </is>
      </c>
      <c r="AL21" s="155" t="n"/>
      <c r="AM21" s="155" t="n"/>
      <c r="AN21" s="155" t="inlineStr">
        <is>
          <t>Hoja3: fila 725 | Odoo: producto 30919 / plantilla 39654</t>
        </is>
      </c>
      <c r="AO21" s="58" t="n"/>
      <c r="AP21" s="58" t="n"/>
      <c r="AQ21" s="155" t="inlineStr">
        <is>
          <t>Odoo Universal Unique Brands</t>
        </is>
      </c>
      <c r="AR21" s="59" t="n"/>
      <c r="AS21" s="59" t="n"/>
      <c r="AT21" s="59" t="n">
        <v>10</v>
      </c>
      <c r="AU21" s="155" t="inlineStr">
        <is>
          <t>Odoo Universal Unique Brands › Bodega 25 › Bodega 25/General: 10</t>
        </is>
      </c>
    </row>
    <row r="22">
      <c r="A22" s="51" t="n">
        <v>15</v>
      </c>
      <c r="B22" s="156" t="inlineStr">
        <is>
          <t>Productos — registro conservado</t>
        </is>
      </c>
      <c r="C22" s="125" t="inlineStr">
        <is>
          <t>Homologación G1522: mismo producto (mismo WB SKU)</t>
        </is>
      </c>
      <c r="D22" s="60" t="inlineStr">
        <is>
          <t>7506674601121</t>
        </is>
      </c>
      <c r="E22" s="59" t="inlineStr">
        <is>
          <t>117929</t>
        </is>
      </c>
      <c r="F22" s="155" t="inlineStr">
        <is>
          <t>Wrangler</t>
        </is>
      </c>
      <c r="G22" s="155" t="inlineStr">
        <is>
          <t>C49733-27</t>
        </is>
      </c>
      <c r="H22" s="155" t="inlineStr">
        <is>
          <t>C49733-27-36</t>
        </is>
      </c>
      <c r="I22" s="155" t="inlineStr">
        <is>
          <t>36</t>
        </is>
      </c>
      <c r="J22" s="155" t="inlineStr">
        <is>
          <t>36</t>
        </is>
      </c>
      <c r="K22" s="155" t="inlineStr">
        <is>
          <t>Wrangler</t>
        </is>
      </c>
      <c r="L22" s="155" t="inlineStr">
        <is>
          <t>Cinturón Wrangler Una Vista Casual para Hombre, Color Cafe</t>
        </is>
      </c>
      <c r="M22" s="155" t="inlineStr">
        <is>
          <t>Accesorios</t>
        </is>
      </c>
      <c r="N22" s="155" t="inlineStr">
        <is>
          <t>Cinturones</t>
        </is>
      </c>
      <c r="O22" s="155" t="inlineStr">
        <is>
          <t>Hombre</t>
        </is>
      </c>
      <c r="P22" s="155" t="inlineStr">
        <is>
          <t>Wrangler</t>
        </is>
      </c>
      <c r="Q22" s="155" t="inlineStr">
        <is>
          <t>SS26</t>
        </is>
      </c>
      <c r="R22" s="155" t="inlineStr">
        <is>
          <t>Seasonal</t>
        </is>
      </c>
      <c r="S22" s="155" t="inlineStr">
        <is>
          <t>Cafe</t>
        </is>
      </c>
      <c r="T22" s="155" t="n"/>
      <c r="U22" s="155" t="n"/>
      <c r="V22" s="155" t="inlineStr">
        <is>
          <t>100% piel de vacuno</t>
        </is>
      </c>
      <c r="W22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22" s="155" t="inlineStr">
        <is>
          <t>México</t>
        </is>
      </c>
      <c r="Y22" s="155" t="inlineStr">
        <is>
          <t>PZS</t>
        </is>
      </c>
      <c r="Z22" s="59" t="inlineStr">
        <is>
          <t>53102501</t>
        </is>
      </c>
      <c r="AA22" s="126" t="n"/>
      <c r="AB22" s="61" t="n">
        <v>344.48</v>
      </c>
      <c r="AC22" s="61" t="n">
        <v>949</v>
      </c>
      <c r="AD22" s="62" t="inlineStr">
        <is>
          <t>Con Incidencias</t>
        </is>
      </c>
      <c r="AE22" s="64" t="inlineStr">
        <is>
          <t>SKU duplicado</t>
        </is>
      </c>
      <c r="AF22" s="64" t="n"/>
      <c r="AG22" s="59" t="n">
        <v>1</v>
      </c>
      <c r="AH22" s="155" t="inlineStr">
        <is>
          <t>WB OUTLET LERMA (1)</t>
        </is>
      </c>
      <c r="AI22" s="59" t="n">
        <v>1</v>
      </c>
      <c r="AJ22" s="155" t="inlineStr">
        <is>
          <t>Catálogo existente</t>
        </is>
      </c>
      <c r="AK22" s="155" t="inlineStr">
        <is>
          <t>Coincidencia por código de barras (ID NetSuite 117929) | ID alternativo de Hoja a Revisar 117929 (UPC coincidente); se conserva ID principal; Auditoría NetSuite 30/09/2026: llenado desde NetSuite [Z]; Vinculado por código de barras al ID NetSuite 117929 (antes en Identificador interno: 'C49733-27-36'); 01/10/2026: mismo SKU registrado también en fila 67745 con código 7503063066936 (ID 30920, desde Hoja3); revisar cuál es el vigente | 01/10/2026: complementado desde Shopify Western Brothers (match por código de barras): WB Fit, WB Silueta</t>
        </is>
      </c>
      <c r="AL22" s="155" t="inlineStr">
        <is>
          <t>No</t>
        </is>
      </c>
      <c r="AM22" s="155" t="n"/>
      <c r="AN22" s="155" t="inlineStr">
        <is>
          <t>| Hoja a Revisar: fila 196092 (ID 117929, misma clave UPC); G1522_Extraccion_Articulos_NetSuite_2026-09-30.xlsx: fila 64170 [Z] | Shopify WB: producto 10310436749497 / variante 50512591651001</t>
        </is>
      </c>
      <c r="AO22" s="58" t="inlineStr">
        <is>
          <t>344,48</t>
        </is>
      </c>
      <c r="AP22" s="58" t="n"/>
      <c r="AQ22" s="155" t="inlineStr">
        <is>
          <t>Shopify Western Brothers</t>
        </is>
      </c>
      <c r="AR22" s="59" t="n"/>
      <c r="AS22" s="59" t="n">
        <v>1</v>
      </c>
      <c r="AT22" s="59" t="n"/>
      <c r="AU22" s="155" t="inlineStr">
        <is>
          <t>Shopify Western Brothers › Western Brothers Outlet Lerma: 1</t>
        </is>
      </c>
    </row>
    <row r="23">
      <c r="A23" s="51" t="n">
        <v>15</v>
      </c>
      <c r="B23" s="156" t="inlineStr">
        <is>
          <t>Productos — registro integrado en el anterior</t>
        </is>
      </c>
      <c r="C23" s="125" t="inlineStr">
        <is>
          <t>Homologación G1522: mismo producto (mismo WB SKU)</t>
        </is>
      </c>
      <c r="D23" s="60" t="inlineStr">
        <is>
          <t>7503063066936</t>
        </is>
      </c>
      <c r="E23" s="59" t="inlineStr">
        <is>
          <t>30920</t>
        </is>
      </c>
      <c r="F23" s="155" t="inlineStr">
        <is>
          <t>Wrangler</t>
        </is>
      </c>
      <c r="G23" s="155" t="inlineStr">
        <is>
          <t>C49733-27</t>
        </is>
      </c>
      <c r="H23" s="155" t="inlineStr">
        <is>
          <t>C49733-27-36</t>
        </is>
      </c>
      <c r="I23" s="155" t="inlineStr">
        <is>
          <t>36</t>
        </is>
      </c>
      <c r="J23" s="155" t="inlineStr">
        <is>
          <t>36</t>
        </is>
      </c>
      <c r="K23" s="155" t="inlineStr">
        <is>
          <t>Wrangler</t>
        </is>
      </c>
      <c r="L23" s="155" t="inlineStr">
        <is>
          <t>Cinturón de hombre C49733-27 Café</t>
        </is>
      </c>
      <c r="M23" s="155" t="inlineStr">
        <is>
          <t>Accesorios</t>
        </is>
      </c>
      <c r="N23" s="155" t="inlineStr">
        <is>
          <t>Cinturones</t>
        </is>
      </c>
      <c r="O23" s="155" t="inlineStr">
        <is>
          <t>Hombre</t>
        </is>
      </c>
      <c r="P23" s="155" t="inlineStr">
        <is>
          <t>Wrangler</t>
        </is>
      </c>
      <c r="Q23" s="155" t="inlineStr">
        <is>
          <t>FW26</t>
        </is>
      </c>
      <c r="R23" s="155" t="n"/>
      <c r="S23" s="155" t="inlineStr">
        <is>
          <t>Cafe</t>
        </is>
      </c>
      <c r="T23" s="155" t="n"/>
      <c r="U23" s="155" t="n"/>
      <c r="V23" s="155" t="inlineStr">
        <is>
          <t>100% PIEL VACUNO</t>
        </is>
      </c>
      <c r="W23" s="155" t="inlineStr">
        <is>
          <t>Cinturón para Caballero de Piel</t>
        </is>
      </c>
      <c r="X23" s="155" t="inlineStr">
        <is>
          <t>México</t>
        </is>
      </c>
      <c r="Y23" s="155" t="inlineStr">
        <is>
          <t>PZS</t>
        </is>
      </c>
      <c r="Z23" s="59" t="inlineStr">
        <is>
          <t>53102501</t>
        </is>
      </c>
      <c r="AA23" s="126" t="n"/>
      <c r="AB23" s="61" t="n">
        <v>344.48</v>
      </c>
      <c r="AC23" s="61" t="n">
        <v>430.603448</v>
      </c>
      <c r="AD23" s="62" t="inlineStr">
        <is>
          <t>Con Incidencias</t>
        </is>
      </c>
      <c r="AE23" s="64" t="inlineStr">
        <is>
          <t>SKU duplicado; [Aviso] Ciclo de vida no capturado ()</t>
        </is>
      </c>
      <c r="AF23" s="64" t="n"/>
      <c r="AG23" s="59" t="n"/>
      <c r="AH23" s="155" t="n"/>
      <c r="AI23" s="59" t="n"/>
      <c r="AJ23" s="155" t="inlineStr">
        <is>
          <t>Nuevo – Carga Hoja3 01/10/2026</t>
        </is>
      </c>
      <c r="AK23" s="155" t="inlineStr">
        <is>
          <t>Alta 01/10/2026 desde Hoja3 (fila 726); Mismo SKU que la fila 2429 con otro código/ID; revisar cuál es el vigente | 01/10/2026: complementado desde Odoo Universal Unique Brands (match por código de barras): WB Talla de EE. UU.</t>
        </is>
      </c>
      <c r="AL23" s="155" t="n"/>
      <c r="AM23" s="155" t="n"/>
      <c r="AN23" s="155" t="inlineStr">
        <is>
          <t>Hoja3: fila 726 | Odoo: producto 30920 / plantilla 39654</t>
        </is>
      </c>
      <c r="AO23" s="58" t="n"/>
      <c r="AP23" s="58" t="n"/>
      <c r="AQ23" s="155" t="inlineStr">
        <is>
          <t>Odoo Universal Unique Brands</t>
        </is>
      </c>
      <c r="AR23" s="59" t="n"/>
      <c r="AS23" s="59" t="n"/>
      <c r="AT23" s="59" t="n">
        <v>10</v>
      </c>
      <c r="AU23" s="155" t="inlineStr">
        <is>
          <t>Odoo Universal Unique Brands › Bodega 25 › Bodega 25/General: 10</t>
        </is>
      </c>
    </row>
    <row r="24">
      <c r="A24" s="51" t="n">
        <v>16</v>
      </c>
      <c r="B24" s="156" t="inlineStr">
        <is>
          <t>Productos — registro conservado</t>
        </is>
      </c>
      <c r="C24" s="125" t="inlineStr">
        <is>
          <t>Homologación G1522: mismo producto (mismo WB SKU)</t>
        </is>
      </c>
      <c r="D24" s="60" t="inlineStr">
        <is>
          <t>7506674601138</t>
        </is>
      </c>
      <c r="E24" s="59" t="inlineStr">
        <is>
          <t>117930</t>
        </is>
      </c>
      <c r="F24" s="155" t="inlineStr">
        <is>
          <t>Wrangler</t>
        </is>
      </c>
      <c r="G24" s="155" t="inlineStr">
        <is>
          <t>C49733-27</t>
        </is>
      </c>
      <c r="H24" s="155" t="inlineStr">
        <is>
          <t>C49733-27-38</t>
        </is>
      </c>
      <c r="I24" s="155" t="inlineStr">
        <is>
          <t>38</t>
        </is>
      </c>
      <c r="J24" s="155" t="inlineStr">
        <is>
          <t>38</t>
        </is>
      </c>
      <c r="K24" s="155" t="inlineStr">
        <is>
          <t>Wrangler</t>
        </is>
      </c>
      <c r="L24" s="155" t="inlineStr">
        <is>
          <t>Cinturón Wrangler Una Vista Casual para Hombre, Color Cafe</t>
        </is>
      </c>
      <c r="M24" s="155" t="inlineStr">
        <is>
          <t>Accesorios</t>
        </is>
      </c>
      <c r="N24" s="155" t="inlineStr">
        <is>
          <t>Cinturones</t>
        </is>
      </c>
      <c r="O24" s="155" t="inlineStr">
        <is>
          <t>Hombre</t>
        </is>
      </c>
      <c r="P24" s="155" t="inlineStr">
        <is>
          <t>Wrangler</t>
        </is>
      </c>
      <c r="Q24" s="155" t="inlineStr">
        <is>
          <t>SS26</t>
        </is>
      </c>
      <c r="R24" s="155" t="inlineStr">
        <is>
          <t>Seasonal</t>
        </is>
      </c>
      <c r="S24" s="155" t="inlineStr">
        <is>
          <t>Cafe</t>
        </is>
      </c>
      <c r="T24" s="155" t="n"/>
      <c r="U24" s="155" t="n"/>
      <c r="V24" s="155" t="inlineStr">
        <is>
          <t>100% piel de vacuno</t>
        </is>
      </c>
      <c r="W24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24" s="155" t="inlineStr">
        <is>
          <t>México</t>
        </is>
      </c>
      <c r="Y24" s="155" t="inlineStr">
        <is>
          <t>PZS</t>
        </is>
      </c>
      <c r="Z24" s="59" t="inlineStr">
        <is>
          <t>53102501</t>
        </is>
      </c>
      <c r="AA24" s="126" t="n"/>
      <c r="AB24" s="61" t="n">
        <v>344.48</v>
      </c>
      <c r="AC24" s="61" t="n">
        <v>949</v>
      </c>
      <c r="AD24" s="62" t="inlineStr">
        <is>
          <t>Con Incidencias</t>
        </is>
      </c>
      <c r="AE24" s="64" t="inlineStr">
        <is>
          <t>SKU duplicado</t>
        </is>
      </c>
      <c r="AF24" s="64" t="n"/>
      <c r="AG24" s="59" t="n">
        <v>3</v>
      </c>
      <c r="AH24" s="155" t="inlineStr">
        <is>
          <t>WB OUTLET LERMA (3)</t>
        </is>
      </c>
      <c r="AI24" s="59" t="n">
        <v>3</v>
      </c>
      <c r="AJ24" s="155" t="inlineStr">
        <is>
          <t>Catálogo existente</t>
        </is>
      </c>
      <c r="AK24" s="155" t="inlineStr">
        <is>
          <t>Coincidencia por código de barras (ID NetSuite 117930) | ID alternativo de Hoja a Revisar 117930 (UPC coincidente); se conserva ID principal; Auditoría NetSuite 30/09/2026: llenado desde NetSuite [Z]; Vinculado por código de barras al ID NetSuite 117930 (antes en Identificador interno: 'C49733-27-38'); 01/10/2026: mismo SKU registrado también en fila 67746 con código 7503063066943 (ID 30921, desde Hoja3); revisar cuál es el vigente | 01/10/2026: complementado desde Shopify Western Brothers (match por código de barras): WB Fit, WB Silueta</t>
        </is>
      </c>
      <c r="AL24" s="155" t="inlineStr">
        <is>
          <t>No</t>
        </is>
      </c>
      <c r="AM24" s="155" t="n"/>
      <c r="AN24" s="155" t="inlineStr">
        <is>
          <t>| Hoja a Revisar: fila 196093 (ID 117930, misma clave UPC); G1522_Extraccion_Articulos_NetSuite_2026-09-30.xlsx: fila 64171 [Z] | Shopify WB: producto 10310436749497 / variante 50512591683769</t>
        </is>
      </c>
      <c r="AO24" s="58" t="inlineStr">
        <is>
          <t>344,48</t>
        </is>
      </c>
      <c r="AP24" s="58" t="n"/>
      <c r="AQ24" s="155" t="inlineStr">
        <is>
          <t>Shopify Western Brothers</t>
        </is>
      </c>
      <c r="AR24" s="59" t="n"/>
      <c r="AS24" s="59" t="n">
        <v>3</v>
      </c>
      <c r="AT24" s="59" t="n"/>
      <c r="AU24" s="155" t="inlineStr">
        <is>
          <t>Shopify Western Brothers › Western Brothers Outlet Lerma: 3</t>
        </is>
      </c>
    </row>
    <row r="25">
      <c r="A25" s="51" t="n">
        <v>16</v>
      </c>
      <c r="B25" s="156" t="inlineStr">
        <is>
          <t>Productos — registro integrado en el anterior</t>
        </is>
      </c>
      <c r="C25" s="125" t="inlineStr">
        <is>
          <t>Homologación G1522: mismo producto (mismo WB SKU)</t>
        </is>
      </c>
      <c r="D25" s="60" t="inlineStr">
        <is>
          <t>7503063066943</t>
        </is>
      </c>
      <c r="E25" s="59" t="inlineStr">
        <is>
          <t>30921</t>
        </is>
      </c>
      <c r="F25" s="155" t="inlineStr">
        <is>
          <t>Wrangler</t>
        </is>
      </c>
      <c r="G25" s="155" t="inlineStr">
        <is>
          <t>C49733-27</t>
        </is>
      </c>
      <c r="H25" s="155" t="inlineStr">
        <is>
          <t>C49733-27-38</t>
        </is>
      </c>
      <c r="I25" s="155" t="inlineStr">
        <is>
          <t>38</t>
        </is>
      </c>
      <c r="J25" s="155" t="inlineStr">
        <is>
          <t>38</t>
        </is>
      </c>
      <c r="K25" s="155" t="inlineStr">
        <is>
          <t>Wrangler</t>
        </is>
      </c>
      <c r="L25" s="155" t="inlineStr">
        <is>
          <t>Cinturón de hombre C49733-27 Café</t>
        </is>
      </c>
      <c r="M25" s="155" t="inlineStr">
        <is>
          <t>Accesorios</t>
        </is>
      </c>
      <c r="N25" s="155" t="inlineStr">
        <is>
          <t>Cinturones</t>
        </is>
      </c>
      <c r="O25" s="155" t="inlineStr">
        <is>
          <t>Hombre</t>
        </is>
      </c>
      <c r="P25" s="155" t="inlineStr">
        <is>
          <t>Wrangler</t>
        </is>
      </c>
      <c r="Q25" s="155" t="inlineStr">
        <is>
          <t>FW26</t>
        </is>
      </c>
      <c r="R25" s="155" t="n"/>
      <c r="S25" s="155" t="inlineStr">
        <is>
          <t>Cafe</t>
        </is>
      </c>
      <c r="T25" s="155" t="n"/>
      <c r="U25" s="155" t="n"/>
      <c r="V25" s="155" t="inlineStr">
        <is>
          <t>100% PIEL VACUNO</t>
        </is>
      </c>
      <c r="W25" s="155" t="inlineStr">
        <is>
          <t>Cinturón para Caballero de Piel</t>
        </is>
      </c>
      <c r="X25" s="155" t="inlineStr">
        <is>
          <t>México</t>
        </is>
      </c>
      <c r="Y25" s="155" t="inlineStr">
        <is>
          <t>PZS</t>
        </is>
      </c>
      <c r="Z25" s="59" t="inlineStr">
        <is>
          <t>53102501</t>
        </is>
      </c>
      <c r="AA25" s="126" t="n"/>
      <c r="AB25" s="61" t="n">
        <v>344.48</v>
      </c>
      <c r="AC25" s="61" t="n">
        <v>430.603448</v>
      </c>
      <c r="AD25" s="62" t="inlineStr">
        <is>
          <t>Con Incidencias</t>
        </is>
      </c>
      <c r="AE25" s="64" t="inlineStr">
        <is>
          <t>SKU duplicado; [Aviso] Ciclo de vida no capturado ()</t>
        </is>
      </c>
      <c r="AF25" s="64" t="n"/>
      <c r="AG25" s="59" t="n"/>
      <c r="AH25" s="155" t="n"/>
      <c r="AI25" s="59" t="n"/>
      <c r="AJ25" s="155" t="inlineStr">
        <is>
          <t>Nuevo – Carga Hoja3 01/10/2026</t>
        </is>
      </c>
      <c r="AK25" s="155" t="inlineStr">
        <is>
          <t>Alta 01/10/2026 desde Hoja3 (fila 727); Mismo SKU que la fila 2430 con otro código/ID; revisar cuál es el vigente | 01/10/2026: complementado desde Odoo Universal Unique Brands (match por código de barras): WB Talla de EE. UU.</t>
        </is>
      </c>
      <c r="AL25" s="155" t="n"/>
      <c r="AM25" s="155" t="n"/>
      <c r="AN25" s="155" t="inlineStr">
        <is>
          <t>Hoja3: fila 727 | Odoo: producto 30921 / plantilla 39654</t>
        </is>
      </c>
      <c r="AO25" s="58" t="n"/>
      <c r="AP25" s="58" t="n"/>
      <c r="AQ25" s="155" t="inlineStr">
        <is>
          <t>Odoo Universal Unique Brands</t>
        </is>
      </c>
      <c r="AR25" s="59" t="n"/>
      <c r="AS25" s="59" t="n"/>
      <c r="AT25" s="59" t="n">
        <v>15</v>
      </c>
      <c r="AU25" s="155" t="inlineStr">
        <is>
          <t>Odoo Universal Unique Brands › Bodega 25 › Bodega 25/General: 15</t>
        </is>
      </c>
    </row>
    <row r="26">
      <c r="A26" s="51" t="n">
        <v>17</v>
      </c>
      <c r="B26" s="156" t="inlineStr">
        <is>
          <t>Productos — registro conservado</t>
        </is>
      </c>
      <c r="C26" s="125" t="inlineStr">
        <is>
          <t>Homologación G1522: mismo producto (mismo WB SKU)</t>
        </is>
      </c>
      <c r="D26" s="60" t="inlineStr">
        <is>
          <t>7506674601145</t>
        </is>
      </c>
      <c r="E26" s="59" t="inlineStr">
        <is>
          <t>117931</t>
        </is>
      </c>
      <c r="F26" s="155" t="inlineStr">
        <is>
          <t>Wrangler</t>
        </is>
      </c>
      <c r="G26" s="155" t="inlineStr">
        <is>
          <t>C49733-27</t>
        </is>
      </c>
      <c r="H26" s="155" t="inlineStr">
        <is>
          <t>C49733-27-40</t>
        </is>
      </c>
      <c r="I26" s="155" t="inlineStr">
        <is>
          <t>40</t>
        </is>
      </c>
      <c r="J26" s="155" t="inlineStr">
        <is>
          <t>40</t>
        </is>
      </c>
      <c r="K26" s="155" t="inlineStr">
        <is>
          <t>Wrangler</t>
        </is>
      </c>
      <c r="L26" s="155" t="inlineStr">
        <is>
          <t>Cinturón Wrangler Una Vista Casual para Hombre, Color Cafe</t>
        </is>
      </c>
      <c r="M26" s="155" t="inlineStr">
        <is>
          <t>Accesorios</t>
        </is>
      </c>
      <c r="N26" s="155" t="inlineStr">
        <is>
          <t>Cinturones</t>
        </is>
      </c>
      <c r="O26" s="155" t="inlineStr">
        <is>
          <t>Hombre</t>
        </is>
      </c>
      <c r="P26" s="155" t="inlineStr">
        <is>
          <t>Wrangler</t>
        </is>
      </c>
      <c r="Q26" s="155" t="inlineStr">
        <is>
          <t>SS26</t>
        </is>
      </c>
      <c r="R26" s="155" t="inlineStr">
        <is>
          <t>Seasonal</t>
        </is>
      </c>
      <c r="S26" s="155" t="inlineStr">
        <is>
          <t>Cafe</t>
        </is>
      </c>
      <c r="T26" s="155" t="n"/>
      <c r="U26" s="155" t="n"/>
      <c r="V26" s="155" t="inlineStr">
        <is>
          <t>100% piel de vacuno</t>
        </is>
      </c>
      <c r="W26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26" s="155" t="inlineStr">
        <is>
          <t>México</t>
        </is>
      </c>
      <c r="Y26" s="155" t="inlineStr">
        <is>
          <t>PZS</t>
        </is>
      </c>
      <c r="Z26" s="59" t="inlineStr">
        <is>
          <t>53102501</t>
        </is>
      </c>
      <c r="AA26" s="126" t="n"/>
      <c r="AB26" s="61" t="n">
        <v>344.48</v>
      </c>
      <c r="AC26" s="61" t="n">
        <v>949</v>
      </c>
      <c r="AD26" s="62" t="inlineStr">
        <is>
          <t>Con Incidencias</t>
        </is>
      </c>
      <c r="AE26" s="64" t="inlineStr">
        <is>
          <t>SKU duplicado</t>
        </is>
      </c>
      <c r="AF26" s="64" t="n"/>
      <c r="AG26" s="59" t="n">
        <v>2</v>
      </c>
      <c r="AH26" s="155" t="inlineStr">
        <is>
          <t>WB OUTLET LERMA (2)</t>
        </is>
      </c>
      <c r="AI26" s="59" t="n">
        <v>2</v>
      </c>
      <c r="AJ26" s="155" t="inlineStr">
        <is>
          <t>Catálogo existente</t>
        </is>
      </c>
      <c r="AK26" s="155" t="inlineStr">
        <is>
          <t>Coincidencia por código de barras (ID NetSuite 117931) | ID alternativo de Hoja a Revisar 117931 (UPC coincidente); se conserva ID principal; Auditoría NetSuite 30/09/2026: llenado desde NetSuite [Z]; Vinculado por código de barras al ID NetSuite 117931 (antes en Identificador interno: 'C49733-27-40'); 01/10/2026: mismo SKU registrado también en fila 67747 con código 7503063066950 (ID 30922, desde Hoja3); revisar cuál es el vigente | 01/10/2026: complementado desde Shopify Western Brothers (match por código de barras): WB Fit, WB Silueta</t>
        </is>
      </c>
      <c r="AL26" s="155" t="inlineStr">
        <is>
          <t>No</t>
        </is>
      </c>
      <c r="AM26" s="155" t="n"/>
      <c r="AN26" s="155" t="inlineStr">
        <is>
          <t>| Hoja a Revisar: fila 196094 (ID 117931, misma clave UPC); G1522_Extraccion_Articulos_NetSuite_2026-09-30.xlsx: fila 64172 [Z] | Shopify WB: producto 10310436749497 / variante 50512591716537</t>
        </is>
      </c>
      <c r="AO26" s="58" t="inlineStr">
        <is>
          <t>344,48</t>
        </is>
      </c>
      <c r="AP26" s="58" t="n"/>
      <c r="AQ26" s="155" t="inlineStr">
        <is>
          <t>Shopify Western Brothers</t>
        </is>
      </c>
      <c r="AR26" s="59" t="n"/>
      <c r="AS26" s="59" t="n">
        <v>2</v>
      </c>
      <c r="AT26" s="59" t="n"/>
      <c r="AU26" s="155" t="inlineStr">
        <is>
          <t>Shopify Western Brothers › Western Brothers Outlet Lerma: 2</t>
        </is>
      </c>
    </row>
    <row r="27">
      <c r="A27" s="51" t="n">
        <v>17</v>
      </c>
      <c r="B27" s="156" t="inlineStr">
        <is>
          <t>Productos — registro integrado en el anterior</t>
        </is>
      </c>
      <c r="C27" s="125" t="inlineStr">
        <is>
          <t>Homologación G1522: mismo producto (mismo WB SKU)</t>
        </is>
      </c>
      <c r="D27" s="60" t="inlineStr">
        <is>
          <t>7503063066950</t>
        </is>
      </c>
      <c r="E27" s="59" t="inlineStr">
        <is>
          <t>30922</t>
        </is>
      </c>
      <c r="F27" s="155" t="inlineStr">
        <is>
          <t>Wrangler</t>
        </is>
      </c>
      <c r="G27" s="155" t="inlineStr">
        <is>
          <t>C49733-27</t>
        </is>
      </c>
      <c r="H27" s="155" t="inlineStr">
        <is>
          <t>C49733-27-40</t>
        </is>
      </c>
      <c r="I27" s="155" t="inlineStr">
        <is>
          <t>40</t>
        </is>
      </c>
      <c r="J27" s="155" t="inlineStr">
        <is>
          <t>40</t>
        </is>
      </c>
      <c r="K27" s="155" t="inlineStr">
        <is>
          <t>Wrangler</t>
        </is>
      </c>
      <c r="L27" s="155" t="inlineStr">
        <is>
          <t>Cinturón de hombre C49733-27 Café</t>
        </is>
      </c>
      <c r="M27" s="155" t="inlineStr">
        <is>
          <t>Accesorios</t>
        </is>
      </c>
      <c r="N27" s="155" t="inlineStr">
        <is>
          <t>Cinturones</t>
        </is>
      </c>
      <c r="O27" s="155" t="inlineStr">
        <is>
          <t>Hombre</t>
        </is>
      </c>
      <c r="P27" s="155" t="inlineStr">
        <is>
          <t>Wrangler</t>
        </is>
      </c>
      <c r="Q27" s="155" t="inlineStr">
        <is>
          <t>FW26</t>
        </is>
      </c>
      <c r="R27" s="155" t="n"/>
      <c r="S27" s="155" t="inlineStr">
        <is>
          <t>Cafe</t>
        </is>
      </c>
      <c r="T27" s="155" t="n"/>
      <c r="U27" s="155" t="n"/>
      <c r="V27" s="155" t="inlineStr">
        <is>
          <t>100% PIEL VACUNO</t>
        </is>
      </c>
      <c r="W27" s="155" t="inlineStr">
        <is>
          <t>Cinturón para Caballero de Piel</t>
        </is>
      </c>
      <c r="X27" s="155" t="inlineStr">
        <is>
          <t>México</t>
        </is>
      </c>
      <c r="Y27" s="155" t="inlineStr">
        <is>
          <t>PZS</t>
        </is>
      </c>
      <c r="Z27" s="59" t="inlineStr">
        <is>
          <t>53102501</t>
        </is>
      </c>
      <c r="AA27" s="126" t="n"/>
      <c r="AB27" s="61" t="n">
        <v>344.48</v>
      </c>
      <c r="AC27" s="61" t="n">
        <v>430.603448</v>
      </c>
      <c r="AD27" s="62" t="inlineStr">
        <is>
          <t>Con Incidencias</t>
        </is>
      </c>
      <c r="AE27" s="64" t="inlineStr">
        <is>
          <t>SKU duplicado; [Aviso] Ciclo de vida no capturado ()</t>
        </is>
      </c>
      <c r="AF27" s="64" t="n"/>
      <c r="AG27" s="59" t="n"/>
      <c r="AH27" s="155" t="n"/>
      <c r="AI27" s="59" t="n"/>
      <c r="AJ27" s="155" t="inlineStr">
        <is>
          <t>Nuevo – Carga Hoja3 01/10/2026</t>
        </is>
      </c>
      <c r="AK27" s="155" t="inlineStr">
        <is>
          <t>Alta 01/10/2026 desde Hoja3 (fila 728); Mismo SKU que la fila 2431 con otro código/ID; revisar cuál es el vigente | 01/10/2026: complementado desde Odoo Universal Unique Brands (match por código de barras): WB Talla de EE. UU.</t>
        </is>
      </c>
      <c r="AL27" s="155" t="n"/>
      <c r="AM27" s="155" t="n"/>
      <c r="AN27" s="155" t="inlineStr">
        <is>
          <t>Hoja3: fila 728 | Odoo: producto 30922 / plantilla 39654</t>
        </is>
      </c>
      <c r="AO27" s="58" t="n"/>
      <c r="AP27" s="58" t="n"/>
      <c r="AQ27" s="155" t="inlineStr">
        <is>
          <t>Odoo Universal Unique Brands</t>
        </is>
      </c>
      <c r="AR27" s="59" t="n"/>
      <c r="AS27" s="59" t="n"/>
      <c r="AT27" s="59" t="n">
        <v>22</v>
      </c>
      <c r="AU27" s="155" t="inlineStr">
        <is>
          <t>Odoo Universal Unique Brands › Bodega 25 › Bodega 25/General: 22</t>
        </is>
      </c>
    </row>
    <row r="28">
      <c r="A28" s="51" t="n">
        <v>18</v>
      </c>
      <c r="B28" s="156" t="inlineStr">
        <is>
          <t>Productos — registro conservado</t>
        </is>
      </c>
      <c r="C28" s="125" t="inlineStr">
        <is>
          <t>Homologación G1522: mismo producto (mismo WB SKU)</t>
        </is>
      </c>
      <c r="D28" s="60" t="inlineStr">
        <is>
          <t>7506674601152</t>
        </is>
      </c>
      <c r="E28" s="59" t="inlineStr">
        <is>
          <t>117932</t>
        </is>
      </c>
      <c r="F28" s="155" t="inlineStr">
        <is>
          <t>Wrangler</t>
        </is>
      </c>
      <c r="G28" s="155" t="inlineStr">
        <is>
          <t>C49733-27</t>
        </is>
      </c>
      <c r="H28" s="155" t="inlineStr">
        <is>
          <t>C49733-27-42</t>
        </is>
      </c>
      <c r="I28" s="155" t="inlineStr">
        <is>
          <t>42</t>
        </is>
      </c>
      <c r="J28" s="155" t="inlineStr">
        <is>
          <t>42</t>
        </is>
      </c>
      <c r="K28" s="155" t="inlineStr">
        <is>
          <t>Wrangler</t>
        </is>
      </c>
      <c r="L28" s="155" t="inlineStr">
        <is>
          <t>Cinturón Wrangler Una Vista Casual para Hombre, Color Cafe</t>
        </is>
      </c>
      <c r="M28" s="155" t="inlineStr">
        <is>
          <t>Accesorios</t>
        </is>
      </c>
      <c r="N28" s="155" t="inlineStr">
        <is>
          <t>Cinturones</t>
        </is>
      </c>
      <c r="O28" s="155" t="inlineStr">
        <is>
          <t>Hombre</t>
        </is>
      </c>
      <c r="P28" s="155" t="inlineStr">
        <is>
          <t>Wrangler</t>
        </is>
      </c>
      <c r="Q28" s="155" t="inlineStr">
        <is>
          <t>SS26</t>
        </is>
      </c>
      <c r="R28" s="155" t="inlineStr">
        <is>
          <t>Seasonal</t>
        </is>
      </c>
      <c r="S28" s="155" t="inlineStr">
        <is>
          <t>Cafe</t>
        </is>
      </c>
      <c r="T28" s="155" t="n"/>
      <c r="U28" s="155" t="n"/>
      <c r="V28" s="155" t="inlineStr">
        <is>
          <t>100% piel de vacuno</t>
        </is>
      </c>
      <c r="W28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28" s="155" t="inlineStr">
        <is>
          <t>México</t>
        </is>
      </c>
      <c r="Y28" s="155" t="inlineStr">
        <is>
          <t>PZS</t>
        </is>
      </c>
      <c r="Z28" s="59" t="inlineStr">
        <is>
          <t>53102501</t>
        </is>
      </c>
      <c r="AA28" s="126" t="n"/>
      <c r="AB28" s="61" t="n">
        <v>344.48</v>
      </c>
      <c r="AC28" s="61" t="n">
        <v>949</v>
      </c>
      <c r="AD28" s="62" t="inlineStr">
        <is>
          <t>Con Incidencias</t>
        </is>
      </c>
      <c r="AE28" s="64" t="inlineStr">
        <is>
          <t>SKU duplicado</t>
        </is>
      </c>
      <c r="AF28" s="64" t="n"/>
      <c r="AG28" s="59" t="n">
        <v>2</v>
      </c>
      <c r="AH28" s="155" t="inlineStr">
        <is>
          <t>WB OUTLET LERMA (2)</t>
        </is>
      </c>
      <c r="AI28" s="59" t="n">
        <v>2</v>
      </c>
      <c r="AJ28" s="155" t="inlineStr">
        <is>
          <t>Catálogo existente</t>
        </is>
      </c>
      <c r="AK28" s="155" t="inlineStr">
        <is>
          <t>Coincidencia por código de barras (ID NetSuite 117932) | ID alternativo de Hoja a Revisar 117932 (UPC coincidente); se conserva ID principal; Auditoría NetSuite 30/09/2026: llenado desde NetSuite [Z]; Vinculado por código de barras al ID NetSuite 117932 (antes en Identificador interno: 'C49733-27-42'); 01/10/2026: mismo SKU registrado también en fila 67748 con código 7503063066967 (ID 30923, desde Hoja3); revisar cuál es el vigente | 01/10/2026: complementado desde Shopify Western Brothers (match por código de barras): WB Fit, WB Silueta</t>
        </is>
      </c>
      <c r="AL28" s="155" t="inlineStr">
        <is>
          <t>No</t>
        </is>
      </c>
      <c r="AM28" s="155" t="n"/>
      <c r="AN28" s="155" t="inlineStr">
        <is>
          <t>| Hoja a Revisar: fila 196095 (ID 117932, misma clave UPC); G1522_Extraccion_Articulos_NetSuite_2026-09-30.xlsx: fila 64173 [Z] | Shopify WB: producto 10310436749497 / variante 50512591749305</t>
        </is>
      </c>
      <c r="AO28" s="58" t="inlineStr">
        <is>
          <t>344,48</t>
        </is>
      </c>
      <c r="AP28" s="58" t="n"/>
      <c r="AQ28" s="155" t="inlineStr">
        <is>
          <t>Shopify Western Brothers</t>
        </is>
      </c>
      <c r="AR28" s="59" t="n"/>
      <c r="AS28" s="59" t="n">
        <v>2</v>
      </c>
      <c r="AT28" s="59" t="n"/>
      <c r="AU28" s="155" t="inlineStr">
        <is>
          <t>Shopify Western Brothers › Western Brothers Outlet Lerma: 2</t>
        </is>
      </c>
    </row>
    <row r="29">
      <c r="A29" s="51" t="n">
        <v>18</v>
      </c>
      <c r="B29" s="156" t="inlineStr">
        <is>
          <t>Productos — registro integrado en el anterior</t>
        </is>
      </c>
      <c r="C29" s="125" t="inlineStr">
        <is>
          <t>Homologación G1522: mismo producto (mismo WB SKU)</t>
        </is>
      </c>
      <c r="D29" s="60" t="inlineStr">
        <is>
          <t>7503063066967</t>
        </is>
      </c>
      <c r="E29" s="59" t="inlineStr">
        <is>
          <t>30923</t>
        </is>
      </c>
      <c r="F29" s="155" t="inlineStr">
        <is>
          <t>Wrangler</t>
        </is>
      </c>
      <c r="G29" s="155" t="inlineStr">
        <is>
          <t>C49733-27</t>
        </is>
      </c>
      <c r="H29" s="155" t="inlineStr">
        <is>
          <t>C49733-27-42</t>
        </is>
      </c>
      <c r="I29" s="155" t="inlineStr">
        <is>
          <t>42</t>
        </is>
      </c>
      <c r="J29" s="155" t="inlineStr">
        <is>
          <t>42</t>
        </is>
      </c>
      <c r="K29" s="155" t="inlineStr">
        <is>
          <t>Wrangler</t>
        </is>
      </c>
      <c r="L29" s="155" t="inlineStr">
        <is>
          <t>Cinturón de hombre C49733-27 Café</t>
        </is>
      </c>
      <c r="M29" s="155" t="inlineStr">
        <is>
          <t>Accesorios</t>
        </is>
      </c>
      <c r="N29" s="155" t="inlineStr">
        <is>
          <t>Cinturones</t>
        </is>
      </c>
      <c r="O29" s="155" t="inlineStr">
        <is>
          <t>Hombre</t>
        </is>
      </c>
      <c r="P29" s="155" t="inlineStr">
        <is>
          <t>Wrangler</t>
        </is>
      </c>
      <c r="Q29" s="155" t="inlineStr">
        <is>
          <t>FW26</t>
        </is>
      </c>
      <c r="R29" s="155" t="n"/>
      <c r="S29" s="155" t="inlineStr">
        <is>
          <t>Cafe</t>
        </is>
      </c>
      <c r="T29" s="155" t="n"/>
      <c r="U29" s="155" t="n"/>
      <c r="V29" s="155" t="inlineStr">
        <is>
          <t>100% PIEL VACUNO</t>
        </is>
      </c>
      <c r="W29" s="155" t="inlineStr">
        <is>
          <t>Cinturón para Caballero de Piel</t>
        </is>
      </c>
      <c r="X29" s="155" t="inlineStr">
        <is>
          <t>México</t>
        </is>
      </c>
      <c r="Y29" s="155" t="inlineStr">
        <is>
          <t>PZS</t>
        </is>
      </c>
      <c r="Z29" s="59" t="inlineStr">
        <is>
          <t>53102501</t>
        </is>
      </c>
      <c r="AA29" s="126" t="n"/>
      <c r="AB29" s="61" t="n">
        <v>344.48</v>
      </c>
      <c r="AC29" s="61" t="n">
        <v>430.603448</v>
      </c>
      <c r="AD29" s="62" t="inlineStr">
        <is>
          <t>Con Incidencias</t>
        </is>
      </c>
      <c r="AE29" s="64" t="inlineStr">
        <is>
          <t>SKU duplicado; [Aviso] Ciclo de vida no capturado ()</t>
        </is>
      </c>
      <c r="AF29" s="64" t="n"/>
      <c r="AG29" s="59" t="n"/>
      <c r="AH29" s="155" t="n"/>
      <c r="AI29" s="59" t="n"/>
      <c r="AJ29" s="155" t="inlineStr">
        <is>
          <t>Nuevo – Carga Hoja3 01/10/2026</t>
        </is>
      </c>
      <c r="AK29" s="155" t="inlineStr">
        <is>
          <t>Alta 01/10/2026 desde Hoja3 (fila 729); Mismo SKU que la fila 2432 con otro código/ID; revisar cuál es el vigente | 01/10/2026: complementado desde Odoo Universal Unique Brands (match por código de barras): WB Talla de EE. UU.</t>
        </is>
      </c>
      <c r="AL29" s="155" t="n"/>
      <c r="AM29" s="155" t="n"/>
      <c r="AN29" s="155" t="inlineStr">
        <is>
          <t>Hoja3: fila 729 | Odoo: producto 30923 / plantilla 39654</t>
        </is>
      </c>
      <c r="AO29" s="58" t="n"/>
      <c r="AP29" s="58" t="n"/>
      <c r="AQ29" s="155" t="inlineStr">
        <is>
          <t>Odoo Universal Unique Brands</t>
        </is>
      </c>
      <c r="AR29" s="59" t="n"/>
      <c r="AS29" s="59" t="n"/>
      <c r="AT29" s="59" t="n">
        <v>22</v>
      </c>
      <c r="AU29" s="155" t="inlineStr">
        <is>
          <t>Odoo Universal Unique Brands › Bodega 25 › Bodega 25/General: 22</t>
        </is>
      </c>
    </row>
    <row r="30">
      <c r="A30" s="51" t="n">
        <v>19</v>
      </c>
      <c r="B30" s="156" t="inlineStr">
        <is>
          <t>Productos — registro conservado</t>
        </is>
      </c>
      <c r="C30" s="125" t="inlineStr">
        <is>
          <t>Homologación G1522: mismo producto (mismo WB SKU)</t>
        </is>
      </c>
      <c r="D30" s="60" t="inlineStr">
        <is>
          <t>7506674601169</t>
        </is>
      </c>
      <c r="E30" s="59" t="inlineStr">
        <is>
          <t>117933</t>
        </is>
      </c>
      <c r="F30" s="155" t="inlineStr">
        <is>
          <t>Wrangler</t>
        </is>
      </c>
      <c r="G30" s="155" t="inlineStr">
        <is>
          <t>C49733-27</t>
        </is>
      </c>
      <c r="H30" s="155" t="inlineStr">
        <is>
          <t>C49733-27-44</t>
        </is>
      </c>
      <c r="I30" s="155" t="inlineStr">
        <is>
          <t>44</t>
        </is>
      </c>
      <c r="J30" s="155" t="inlineStr">
        <is>
          <t>44</t>
        </is>
      </c>
      <c r="K30" s="155" t="inlineStr">
        <is>
          <t>Wrangler</t>
        </is>
      </c>
      <c r="L30" s="155" t="inlineStr">
        <is>
          <t>Cinturón Wrangler Una Vista Casual para Hombre, Color Cafe</t>
        </is>
      </c>
      <c r="M30" s="155" t="inlineStr">
        <is>
          <t>Accesorios</t>
        </is>
      </c>
      <c r="N30" s="155" t="inlineStr">
        <is>
          <t>Cinturones</t>
        </is>
      </c>
      <c r="O30" s="155" t="inlineStr">
        <is>
          <t>Hombre</t>
        </is>
      </c>
      <c r="P30" s="155" t="inlineStr">
        <is>
          <t>Wrangler</t>
        </is>
      </c>
      <c r="Q30" s="155" t="inlineStr">
        <is>
          <t>SS26</t>
        </is>
      </c>
      <c r="R30" s="155" t="inlineStr">
        <is>
          <t>Seasonal</t>
        </is>
      </c>
      <c r="S30" s="155" t="inlineStr">
        <is>
          <t>Cafe</t>
        </is>
      </c>
      <c r="T30" s="155" t="n"/>
      <c r="U30" s="155" t="n"/>
      <c r="V30" s="155" t="inlineStr">
        <is>
          <t>100% piel de vacuno</t>
        </is>
      </c>
      <c r="W30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30" s="155" t="inlineStr">
        <is>
          <t>México</t>
        </is>
      </c>
      <c r="Y30" s="155" t="inlineStr">
        <is>
          <t>PZS</t>
        </is>
      </c>
      <c r="Z30" s="59" t="inlineStr">
        <is>
          <t>53102501</t>
        </is>
      </c>
      <c r="AA30" s="126" t="n"/>
      <c r="AB30" s="61" t="n">
        <v>344.48</v>
      </c>
      <c r="AC30" s="61" t="n">
        <v>949</v>
      </c>
      <c r="AD30" s="62" t="inlineStr">
        <is>
          <t>Con Incidencias</t>
        </is>
      </c>
      <c r="AE30" s="64" t="inlineStr">
        <is>
          <t>SKU duplicado</t>
        </is>
      </c>
      <c r="AF30" s="64" t="n"/>
      <c r="AG30" s="59" t="n">
        <v>1</v>
      </c>
      <c r="AH30" s="155" t="inlineStr">
        <is>
          <t>WB OUTLET LERMA (1)</t>
        </is>
      </c>
      <c r="AI30" s="59" t="n">
        <v>1</v>
      </c>
      <c r="AJ30" s="155" t="inlineStr">
        <is>
          <t>Catálogo existente</t>
        </is>
      </c>
      <c r="AK30" s="155" t="inlineStr">
        <is>
          <t>Coincidencia por código de barras (ID NetSuite 117933) | ID alternativo de Hoja a Revisar 117933 (UPC coincidente); se conserva ID principal; Auditoría NetSuite 30/09/2026: llenado desde NetSuite [Z]; Vinculado por código de barras al ID NetSuite 117933 (antes en Identificador interno: 'C49733-27-44'); 01/10/2026: mismo SKU registrado también en fila 67749 con código 7503063066974 (ID 30924, desde Hoja3); revisar cuál es el vigente | 01/10/2026: complementado desde Shopify Western Brothers (match por código de barras): WB Fit, WB Silueta</t>
        </is>
      </c>
      <c r="AL30" s="155" t="inlineStr">
        <is>
          <t>No</t>
        </is>
      </c>
      <c r="AM30" s="155" t="n"/>
      <c r="AN30" s="155" t="inlineStr">
        <is>
          <t>| Hoja a Revisar: fila 196096 (ID 117933, misma clave UPC); G1522_Extraccion_Articulos_NetSuite_2026-09-30.xlsx: fila 64174 [Z] | Shopify WB: producto 10310436749497 / variante 50512591782073</t>
        </is>
      </c>
      <c r="AO30" s="58" t="inlineStr">
        <is>
          <t>344,48</t>
        </is>
      </c>
      <c r="AP30" s="58" t="n"/>
      <c r="AQ30" s="155" t="inlineStr">
        <is>
          <t>Shopify Western Brothers</t>
        </is>
      </c>
      <c r="AR30" s="59" t="n"/>
      <c r="AS30" s="59" t="n">
        <v>1</v>
      </c>
      <c r="AT30" s="59" t="n"/>
      <c r="AU30" s="155" t="inlineStr">
        <is>
          <t>Shopify Western Brothers › Western Brothers Outlet Lerma: 1</t>
        </is>
      </c>
    </row>
    <row r="31">
      <c r="A31" s="51" t="n">
        <v>19</v>
      </c>
      <c r="B31" s="156" t="inlineStr">
        <is>
          <t>Productos — registro integrado en el anterior</t>
        </is>
      </c>
      <c r="C31" s="125" t="inlineStr">
        <is>
          <t>Homologación G1522: mismo producto (mismo WB SKU)</t>
        </is>
      </c>
      <c r="D31" s="60" t="inlineStr">
        <is>
          <t>7503063066974</t>
        </is>
      </c>
      <c r="E31" s="59" t="inlineStr">
        <is>
          <t>30924</t>
        </is>
      </c>
      <c r="F31" s="155" t="inlineStr">
        <is>
          <t>Wrangler</t>
        </is>
      </c>
      <c r="G31" s="155" t="inlineStr">
        <is>
          <t>C49733-27</t>
        </is>
      </c>
      <c r="H31" s="155" t="inlineStr">
        <is>
          <t>C49733-27-44</t>
        </is>
      </c>
      <c r="I31" s="155" t="inlineStr">
        <is>
          <t>44</t>
        </is>
      </c>
      <c r="J31" s="155" t="inlineStr">
        <is>
          <t>44</t>
        </is>
      </c>
      <c r="K31" s="155" t="inlineStr">
        <is>
          <t>Wrangler</t>
        </is>
      </c>
      <c r="L31" s="155" t="inlineStr">
        <is>
          <t>Cinturón de hombre C49733-27 Café</t>
        </is>
      </c>
      <c r="M31" s="155" t="inlineStr">
        <is>
          <t>Accesorios</t>
        </is>
      </c>
      <c r="N31" s="155" t="inlineStr">
        <is>
          <t>Cinturones</t>
        </is>
      </c>
      <c r="O31" s="155" t="inlineStr">
        <is>
          <t>Hombre</t>
        </is>
      </c>
      <c r="P31" s="155" t="inlineStr">
        <is>
          <t>Wrangler</t>
        </is>
      </c>
      <c r="Q31" s="155" t="inlineStr">
        <is>
          <t>FW26</t>
        </is>
      </c>
      <c r="R31" s="155" t="n"/>
      <c r="S31" s="155" t="inlineStr">
        <is>
          <t>Cafe</t>
        </is>
      </c>
      <c r="T31" s="155" t="n"/>
      <c r="U31" s="155" t="n"/>
      <c r="V31" s="155" t="inlineStr">
        <is>
          <t>100% PIEL VACUNO</t>
        </is>
      </c>
      <c r="W31" s="155" t="inlineStr">
        <is>
          <t>Cinturón para Caballero de Piel</t>
        </is>
      </c>
      <c r="X31" s="155" t="inlineStr">
        <is>
          <t>México</t>
        </is>
      </c>
      <c r="Y31" s="155" t="inlineStr">
        <is>
          <t>PZS</t>
        </is>
      </c>
      <c r="Z31" s="59" t="inlineStr">
        <is>
          <t>53102501</t>
        </is>
      </c>
      <c r="AA31" s="126" t="n"/>
      <c r="AB31" s="61" t="n">
        <v>344.48</v>
      </c>
      <c r="AC31" s="61" t="n">
        <v>430.603448</v>
      </c>
      <c r="AD31" s="62" t="inlineStr">
        <is>
          <t>Con Incidencias</t>
        </is>
      </c>
      <c r="AE31" s="64" t="inlineStr">
        <is>
          <t>SKU duplicado; [Aviso] Ciclo de vida no capturado ()</t>
        </is>
      </c>
      <c r="AF31" s="64" t="n"/>
      <c r="AG31" s="59" t="n"/>
      <c r="AH31" s="155" t="n"/>
      <c r="AI31" s="59" t="n"/>
      <c r="AJ31" s="155" t="inlineStr">
        <is>
          <t>Nuevo – Carga Hoja3 01/10/2026</t>
        </is>
      </c>
      <c r="AK31" s="155" t="inlineStr">
        <is>
          <t>Alta 01/10/2026 desde Hoja3 (fila 730); Mismo SKU que la fila 2433 con otro código/ID; revisar cuál es el vigente | 01/10/2026: complementado desde Odoo Universal Unique Brands (match por código de barras): WB Talla de EE. UU.</t>
        </is>
      </c>
      <c r="AL31" s="155" t="n"/>
      <c r="AM31" s="155" t="n"/>
      <c r="AN31" s="155" t="inlineStr">
        <is>
          <t>Hoja3: fila 730 | Odoo: producto 30924 / plantilla 39654</t>
        </is>
      </c>
      <c r="AO31" s="58" t="n"/>
      <c r="AP31" s="58" t="n"/>
      <c r="AQ31" s="155" t="inlineStr">
        <is>
          <t>Odoo Universal Unique Brands</t>
        </is>
      </c>
      <c r="AR31" s="59" t="n"/>
      <c r="AS31" s="59" t="n"/>
      <c r="AT31" s="59" t="n">
        <v>17</v>
      </c>
      <c r="AU31" s="155" t="inlineStr">
        <is>
          <t>Odoo Universal Unique Brands › Bodega 25 › Bodega 25/General: 17</t>
        </is>
      </c>
    </row>
    <row r="32">
      <c r="A32" s="51" t="n">
        <v>20</v>
      </c>
      <c r="B32" s="156" t="inlineStr">
        <is>
          <t>Productos — registro conservado</t>
        </is>
      </c>
      <c r="C32" s="125" t="inlineStr">
        <is>
          <t>Homologación G1522: mismo producto (mismo WB SKU)</t>
        </is>
      </c>
      <c r="D32" s="60" t="inlineStr">
        <is>
          <t>7506674600964</t>
        </is>
      </c>
      <c r="E32" s="59" t="inlineStr">
        <is>
          <t>117906</t>
        </is>
      </c>
      <c r="F32" s="155" t="inlineStr">
        <is>
          <t>Wrangler</t>
        </is>
      </c>
      <c r="G32" s="155" t="inlineStr">
        <is>
          <t>C49731-59</t>
        </is>
      </c>
      <c r="H32" s="155" t="inlineStr">
        <is>
          <t>C49731-59-32</t>
        </is>
      </c>
      <c r="I32" s="155" t="inlineStr">
        <is>
          <t>32</t>
        </is>
      </c>
      <c r="J32" s="155" t="inlineStr">
        <is>
          <t>32</t>
        </is>
      </c>
      <c r="K32" s="155" t="inlineStr">
        <is>
          <t>Wrangler</t>
        </is>
      </c>
      <c r="L32" s="155" t="inlineStr">
        <is>
          <t>Cinturón Wrangler Una Vista Casual para Hombre, Color Negro</t>
        </is>
      </c>
      <c r="M32" s="155" t="inlineStr">
        <is>
          <t>Accesorios</t>
        </is>
      </c>
      <c r="N32" s="155" t="inlineStr">
        <is>
          <t>Cinturones</t>
        </is>
      </c>
      <c r="O32" s="155" t="inlineStr">
        <is>
          <t>Hombre</t>
        </is>
      </c>
      <c r="P32" s="155" t="inlineStr">
        <is>
          <t>Wrangler</t>
        </is>
      </c>
      <c r="Q32" s="155" t="inlineStr">
        <is>
          <t>SS26</t>
        </is>
      </c>
      <c r="R32" s="155" t="inlineStr">
        <is>
          <t>Seasonal</t>
        </is>
      </c>
      <c r="S32" s="155" t="inlineStr">
        <is>
          <t>Negro</t>
        </is>
      </c>
      <c r="T32" s="155" t="n"/>
      <c r="U32" s="155" t="n"/>
      <c r="V32" s="155" t="inlineStr">
        <is>
          <t>100% piel de vacuno</t>
        </is>
      </c>
      <c r="W32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32" s="155" t="inlineStr">
        <is>
          <t>México</t>
        </is>
      </c>
      <c r="Y32" s="155" t="inlineStr">
        <is>
          <t>PZS</t>
        </is>
      </c>
      <c r="Z32" s="59" t="inlineStr">
        <is>
          <t>53102501</t>
        </is>
      </c>
      <c r="AA32" s="126" t="n"/>
      <c r="AB32" s="61" t="n">
        <v>344.48</v>
      </c>
      <c r="AC32" s="61" t="n">
        <v>949</v>
      </c>
      <c r="AD32" s="62" t="inlineStr">
        <is>
          <t>Con Incidencias</t>
        </is>
      </c>
      <c r="AE32" s="64" t="inlineStr">
        <is>
          <t>SKU duplicado</t>
        </is>
      </c>
      <c r="AF32" s="64" t="n"/>
      <c r="AG32" s="59" t="n">
        <v>1</v>
      </c>
      <c r="AH32" s="155" t="inlineStr">
        <is>
          <t>WB OUTLET LERMA (1)</t>
        </is>
      </c>
      <c r="AI32" s="59" t="n">
        <v>1</v>
      </c>
      <c r="AJ32" s="155" t="inlineStr">
        <is>
          <t>Catálogo existente</t>
        </is>
      </c>
      <c r="AK32" s="155" t="inlineStr">
        <is>
          <t>Coincidencia por código de barras (ID NetSuite 117906) | ID alternativo de Hoja a Revisar 117906 (UPC coincidente); se conserva ID principal; Auditoría NetSuite 30/09/2026: llenado desde NetSuite [Z]; Vinculado por código de barras al ID NetSuite 117906 (antes en Identificador interno: 'C49731-59-32'); 01/10/2026: mismo SKU registrado también en fila 67729 con código 7503063066707 (ID 30980, desde Hoja3); revisar cuál es el vigente | 01/10/2026: complementado desde Shopify Western Brothers (match por código de barras): WB Fit, WB Silueta</t>
        </is>
      </c>
      <c r="AL32" s="155" t="inlineStr">
        <is>
          <t>No</t>
        </is>
      </c>
      <c r="AM32" s="155" t="n"/>
      <c r="AN32" s="155" t="inlineStr">
        <is>
          <t>| Hoja a Revisar: fila 196074 (ID 117906, misma clave UPC); G1522_Extraccion_Articulos_NetSuite_2026-09-30.xlsx: fila 64147 [Z] | Shopify WB: producto 10310436323513 / variante 50512590569657</t>
        </is>
      </c>
      <c r="AO32" s="58" t="inlineStr">
        <is>
          <t>344,48</t>
        </is>
      </c>
      <c r="AP32" s="58" t="n"/>
      <c r="AQ32" s="155" t="inlineStr">
        <is>
          <t>Shopify Western Brothers</t>
        </is>
      </c>
      <c r="AR32" s="59" t="n"/>
      <c r="AS32" s="59" t="n">
        <v>1</v>
      </c>
      <c r="AT32" s="59" t="n"/>
      <c r="AU32" s="155" t="inlineStr">
        <is>
          <t>Shopify Western Brothers › Western Brothers Outlet Lerma: 1</t>
        </is>
      </c>
    </row>
    <row r="33">
      <c r="A33" s="51" t="n">
        <v>20</v>
      </c>
      <c r="B33" s="156" t="inlineStr">
        <is>
          <t>Productos — registro integrado en el anterior</t>
        </is>
      </c>
      <c r="C33" s="125" t="inlineStr">
        <is>
          <t>Homologación G1522: mismo producto (mismo WB SKU)</t>
        </is>
      </c>
      <c r="D33" s="60" t="inlineStr">
        <is>
          <t>7503063066707</t>
        </is>
      </c>
      <c r="E33" s="59" t="inlineStr">
        <is>
          <t>30980</t>
        </is>
      </c>
      <c r="F33" s="155" t="inlineStr">
        <is>
          <t>Wrangler</t>
        </is>
      </c>
      <c r="G33" s="155" t="inlineStr">
        <is>
          <t>C49731-59</t>
        </is>
      </c>
      <c r="H33" s="155" t="inlineStr">
        <is>
          <t>C49731-59-32</t>
        </is>
      </c>
      <c r="I33" s="155" t="inlineStr">
        <is>
          <t>32</t>
        </is>
      </c>
      <c r="J33" s="155" t="inlineStr">
        <is>
          <t>32</t>
        </is>
      </c>
      <c r="K33" s="155" t="inlineStr">
        <is>
          <t>Wrangler</t>
        </is>
      </c>
      <c r="L33" s="155" t="inlineStr">
        <is>
          <t>Cinturon de hombre C49731-59 Negro</t>
        </is>
      </c>
      <c r="M33" s="155" t="inlineStr">
        <is>
          <t>Accesorios</t>
        </is>
      </c>
      <c r="N33" s="155" t="inlineStr">
        <is>
          <t>Cinturones</t>
        </is>
      </c>
      <c r="O33" s="155" t="inlineStr">
        <is>
          <t>Hombre</t>
        </is>
      </c>
      <c r="P33" s="155" t="inlineStr">
        <is>
          <t>Wrangler</t>
        </is>
      </c>
      <c r="Q33" s="155" t="inlineStr">
        <is>
          <t>FW26</t>
        </is>
      </c>
      <c r="R33" s="155" t="n"/>
      <c r="S33" s="155" t="inlineStr">
        <is>
          <t>Negro</t>
        </is>
      </c>
      <c r="T33" s="155" t="n"/>
      <c r="U33" s="155" t="n"/>
      <c r="V33" s="155" t="inlineStr">
        <is>
          <t>70% CUERO VACUNO 30% REGENERADO</t>
        </is>
      </c>
      <c r="W33" s="155" t="inlineStr">
        <is>
          <t>Cinturón para Caballero de Piel</t>
        </is>
      </c>
      <c r="X33" s="155" t="inlineStr">
        <is>
          <t>México</t>
        </is>
      </c>
      <c r="Y33" s="155" t="inlineStr">
        <is>
          <t>PZS</t>
        </is>
      </c>
      <c r="Z33" s="59" t="inlineStr">
        <is>
          <t>53102501</t>
        </is>
      </c>
      <c r="AA33" s="126" t="n"/>
      <c r="AB33" s="61" t="n">
        <v>344.48</v>
      </c>
      <c r="AC33" s="61" t="n">
        <v>430.603448</v>
      </c>
      <c r="AD33" s="62" t="inlineStr">
        <is>
          <t>Con Incidencias</t>
        </is>
      </c>
      <c r="AE33" s="64" t="inlineStr">
        <is>
          <t>SKU duplicado; [Aviso] Ciclo de vida no capturado ()</t>
        </is>
      </c>
      <c r="AF33" s="64" t="n"/>
      <c r="AG33" s="59" t="n"/>
      <c r="AH33" s="155" t="n"/>
      <c r="AI33" s="59" t="n"/>
      <c r="AJ33" s="155" t="inlineStr">
        <is>
          <t>Nuevo – Carga Hoja3 01/10/2026</t>
        </is>
      </c>
      <c r="AK33" s="155" t="inlineStr">
        <is>
          <t>Alta 01/10/2026 desde Hoja3 (fila 710); Mismo SKU que la fila 2441 con otro código/ID; revisar cuál es el vigente | 01/10/2026: complementado desde Odoo Universal Unique Brands (match por código de barras): WB Talla de EE. UU.</t>
        </is>
      </c>
      <c r="AL33" s="155" t="n"/>
      <c r="AM33" s="155" t="n"/>
      <c r="AN33" s="155" t="inlineStr">
        <is>
          <t>Hoja3: fila 710 | Odoo: producto 30980 / plantilla 39662</t>
        </is>
      </c>
      <c r="AO33" s="58" t="n"/>
      <c r="AP33" s="58" t="n"/>
      <c r="AQ33" s="155" t="inlineStr">
        <is>
          <t>Odoo Universal Unique Brands</t>
        </is>
      </c>
      <c r="AR33" s="59" t="n"/>
      <c r="AS33" s="59" t="n"/>
      <c r="AT33" s="59" t="n">
        <v>5</v>
      </c>
      <c r="AU33" s="155" t="inlineStr">
        <is>
          <t>Odoo Universal Unique Brands › Bodega 25 › Bodega 25/General: 5</t>
        </is>
      </c>
    </row>
    <row r="34">
      <c r="A34" s="51" t="n">
        <v>21</v>
      </c>
      <c r="B34" s="156" t="inlineStr">
        <is>
          <t>Productos — registro conservado</t>
        </is>
      </c>
      <c r="C34" s="125" t="inlineStr">
        <is>
          <t>Homologación G1522: mismo producto (mismo WB SKU)</t>
        </is>
      </c>
      <c r="D34" s="60" t="inlineStr">
        <is>
          <t>7506674600971</t>
        </is>
      </c>
      <c r="E34" s="59" t="inlineStr">
        <is>
          <t>117907</t>
        </is>
      </c>
      <c r="F34" s="155" t="inlineStr">
        <is>
          <t>Wrangler</t>
        </is>
      </c>
      <c r="G34" s="155" t="inlineStr">
        <is>
          <t>C49731-59</t>
        </is>
      </c>
      <c r="H34" s="155" t="inlineStr">
        <is>
          <t>C49731-59-34</t>
        </is>
      </c>
      <c r="I34" s="155" t="inlineStr">
        <is>
          <t>34</t>
        </is>
      </c>
      <c r="J34" s="155" t="inlineStr">
        <is>
          <t>34</t>
        </is>
      </c>
      <c r="K34" s="155" t="inlineStr">
        <is>
          <t>Wrangler</t>
        </is>
      </c>
      <c r="L34" s="155" t="inlineStr">
        <is>
          <t>Cinturón Wrangler Una Vista Casual para Hombre, Color Negro</t>
        </is>
      </c>
      <c r="M34" s="155" t="inlineStr">
        <is>
          <t>Accesorios</t>
        </is>
      </c>
      <c r="N34" s="155" t="inlineStr">
        <is>
          <t>Cinturones</t>
        </is>
      </c>
      <c r="O34" s="155" t="inlineStr">
        <is>
          <t>Hombre</t>
        </is>
      </c>
      <c r="P34" s="155" t="inlineStr">
        <is>
          <t>Wrangler</t>
        </is>
      </c>
      <c r="Q34" s="155" t="inlineStr">
        <is>
          <t>SS26</t>
        </is>
      </c>
      <c r="R34" s="155" t="inlineStr">
        <is>
          <t>Seasonal</t>
        </is>
      </c>
      <c r="S34" s="155" t="inlineStr">
        <is>
          <t>Negro</t>
        </is>
      </c>
      <c r="T34" s="155" t="n"/>
      <c r="U34" s="155" t="n"/>
      <c r="V34" s="155" t="inlineStr">
        <is>
          <t>100% piel de vacuno</t>
        </is>
      </c>
      <c r="W34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34" s="155" t="inlineStr">
        <is>
          <t>México</t>
        </is>
      </c>
      <c r="Y34" s="155" t="inlineStr">
        <is>
          <t>PZS</t>
        </is>
      </c>
      <c r="Z34" s="59" t="inlineStr">
        <is>
          <t>53102501</t>
        </is>
      </c>
      <c r="AA34" s="126" t="n"/>
      <c r="AB34" s="61" t="n">
        <v>344.48</v>
      </c>
      <c r="AC34" s="61" t="n">
        <v>949</v>
      </c>
      <c r="AD34" s="62" t="inlineStr">
        <is>
          <t>Con Incidencias</t>
        </is>
      </c>
      <c r="AE34" s="64" t="inlineStr">
        <is>
          <t>SKU duplicado</t>
        </is>
      </c>
      <c r="AF34" s="64" t="n"/>
      <c r="AG34" s="59" t="n">
        <v>2</v>
      </c>
      <c r="AH34" s="155" t="inlineStr">
        <is>
          <t>WB OUTLET LERMA (2)</t>
        </is>
      </c>
      <c r="AI34" s="59" t="n">
        <v>2</v>
      </c>
      <c r="AJ34" s="155" t="inlineStr">
        <is>
          <t>Catálogo existente</t>
        </is>
      </c>
      <c r="AK34" s="155" t="inlineStr">
        <is>
          <t>Coincidencia por código de barras (ID NetSuite 117907) | ID alternativo de Hoja a Revisar 117907 (UPC coincidente); se conserva ID principal; Auditoría NetSuite 30/09/2026: llenado desde NetSuite [Z]; Vinculado por código de barras al ID NetSuite 117907 (antes en Identificador interno: 'C49731-59-34'); 01/10/2026: mismo SKU registrado también en fila 67730 con código 7503063066714 (ID 30981, desde Hoja3); revisar cuál es el vigente | 01/10/2026: complementado desde Shopify Western Brothers (match por código de barras): WB Fit, WB Silueta</t>
        </is>
      </c>
      <c r="AL34" s="155" t="inlineStr">
        <is>
          <t>No</t>
        </is>
      </c>
      <c r="AM34" s="155" t="n"/>
      <c r="AN34" s="155" t="inlineStr">
        <is>
          <t>| Hoja a Revisar: fila 196075 (ID 117907, misma clave UPC); G1522_Extraccion_Articulos_NetSuite_2026-09-30.xlsx: fila 64148 [Z] | Shopify WB: producto 10310436323513 / variante 50512590602425</t>
        </is>
      </c>
      <c r="AO34" s="58" t="inlineStr">
        <is>
          <t>344,48</t>
        </is>
      </c>
      <c r="AP34" s="58" t="n"/>
      <c r="AQ34" s="155" t="inlineStr">
        <is>
          <t>Shopify Western Brothers</t>
        </is>
      </c>
      <c r="AR34" s="59" t="n"/>
      <c r="AS34" s="59" t="n">
        <v>2</v>
      </c>
      <c r="AT34" s="59" t="n"/>
      <c r="AU34" s="155" t="inlineStr">
        <is>
          <t>Shopify Western Brothers › Western Brothers Outlet Lerma: 2</t>
        </is>
      </c>
    </row>
    <row r="35">
      <c r="A35" s="51" t="n">
        <v>21</v>
      </c>
      <c r="B35" s="156" t="inlineStr">
        <is>
          <t>Productos — registro integrado en el anterior</t>
        </is>
      </c>
      <c r="C35" s="125" t="inlineStr">
        <is>
          <t>Homologación G1522: mismo producto (mismo WB SKU)</t>
        </is>
      </c>
      <c r="D35" s="60" t="inlineStr">
        <is>
          <t>7503063066714</t>
        </is>
      </c>
      <c r="E35" s="59" t="inlineStr">
        <is>
          <t>30981</t>
        </is>
      </c>
      <c r="F35" s="155" t="inlineStr">
        <is>
          <t>Wrangler</t>
        </is>
      </c>
      <c r="G35" s="155" t="inlineStr">
        <is>
          <t>C49731-59</t>
        </is>
      </c>
      <c r="H35" s="155" t="inlineStr">
        <is>
          <t>C49731-59-34</t>
        </is>
      </c>
      <c r="I35" s="155" t="inlineStr">
        <is>
          <t>34</t>
        </is>
      </c>
      <c r="J35" s="155" t="inlineStr">
        <is>
          <t>34</t>
        </is>
      </c>
      <c r="K35" s="155" t="inlineStr">
        <is>
          <t>Wrangler</t>
        </is>
      </c>
      <c r="L35" s="155" t="inlineStr">
        <is>
          <t>Cinturon de hombre C49731-59 Negro</t>
        </is>
      </c>
      <c r="M35" s="155" t="inlineStr">
        <is>
          <t>Accesorios</t>
        </is>
      </c>
      <c r="N35" s="155" t="inlineStr">
        <is>
          <t>Cinturones</t>
        </is>
      </c>
      <c r="O35" s="155" t="inlineStr">
        <is>
          <t>Hombre</t>
        </is>
      </c>
      <c r="P35" s="155" t="inlineStr">
        <is>
          <t>Wrangler</t>
        </is>
      </c>
      <c r="Q35" s="155" t="inlineStr">
        <is>
          <t>FW26</t>
        </is>
      </c>
      <c r="R35" s="155" t="n"/>
      <c r="S35" s="155" t="inlineStr">
        <is>
          <t>Negro</t>
        </is>
      </c>
      <c r="T35" s="155" t="n"/>
      <c r="U35" s="155" t="n"/>
      <c r="V35" s="155" t="inlineStr">
        <is>
          <t>70% CUERO VACUNO 30% REGENERADO</t>
        </is>
      </c>
      <c r="W35" s="155" t="inlineStr">
        <is>
          <t>Cinturón para Caballero de Piel</t>
        </is>
      </c>
      <c r="X35" s="155" t="inlineStr">
        <is>
          <t>México</t>
        </is>
      </c>
      <c r="Y35" s="155" t="inlineStr">
        <is>
          <t>PZS</t>
        </is>
      </c>
      <c r="Z35" s="59" t="inlineStr">
        <is>
          <t>53102501</t>
        </is>
      </c>
      <c r="AA35" s="126" t="n"/>
      <c r="AB35" s="61" t="n">
        <v>344.48</v>
      </c>
      <c r="AC35" s="61" t="n">
        <v>430.603448</v>
      </c>
      <c r="AD35" s="62" t="inlineStr">
        <is>
          <t>Con Incidencias</t>
        </is>
      </c>
      <c r="AE35" s="64" t="inlineStr">
        <is>
          <t>SKU duplicado; [Aviso] Ciclo de vida no capturado ()</t>
        </is>
      </c>
      <c r="AF35" s="64" t="n"/>
      <c r="AG35" s="59" t="n"/>
      <c r="AH35" s="155" t="n"/>
      <c r="AI35" s="59" t="n"/>
      <c r="AJ35" s="155" t="inlineStr">
        <is>
          <t>Nuevo – Carga Hoja3 01/10/2026</t>
        </is>
      </c>
      <c r="AK35" s="155" t="inlineStr">
        <is>
          <t>Alta 01/10/2026 desde Hoja3 (fila 711); Mismo SKU que la fila 2442 con otro código/ID; revisar cuál es el vigente | 01/10/2026: complementado desde Odoo Universal Unique Brands (match por código de barras): WB Talla de EE. UU.</t>
        </is>
      </c>
      <c r="AL35" s="155" t="n"/>
      <c r="AM35" s="155" t="n"/>
      <c r="AN35" s="155" t="inlineStr">
        <is>
          <t>Hoja3: fila 711 | Odoo: producto 30981 / plantilla 39662</t>
        </is>
      </c>
      <c r="AO35" s="58" t="n"/>
      <c r="AP35" s="58" t="n"/>
      <c r="AQ35" s="155" t="inlineStr">
        <is>
          <t>Odoo Universal Unique Brands</t>
        </is>
      </c>
      <c r="AR35" s="59" t="n"/>
      <c r="AS35" s="59" t="n"/>
      <c r="AT35" s="59" t="n">
        <v>10</v>
      </c>
      <c r="AU35" s="155" t="inlineStr">
        <is>
          <t>Odoo Universal Unique Brands › Bodega 25 › Bodega 25/General: 10</t>
        </is>
      </c>
    </row>
    <row r="36">
      <c r="A36" s="51" t="n">
        <v>22</v>
      </c>
      <c r="B36" s="156" t="inlineStr">
        <is>
          <t>Productos — registro conservado</t>
        </is>
      </c>
      <c r="C36" s="125" t="inlineStr">
        <is>
          <t>Homologación G1522: mismo producto (mismo WB SKU)</t>
        </is>
      </c>
      <c r="D36" s="60" t="inlineStr">
        <is>
          <t>7506674600988</t>
        </is>
      </c>
      <c r="E36" s="59" t="inlineStr">
        <is>
          <t>117908</t>
        </is>
      </c>
      <c r="F36" s="155" t="inlineStr">
        <is>
          <t>Wrangler</t>
        </is>
      </c>
      <c r="G36" s="155" t="inlineStr">
        <is>
          <t>C49731-59</t>
        </is>
      </c>
      <c r="H36" s="155" t="inlineStr">
        <is>
          <t>C49731-59-36</t>
        </is>
      </c>
      <c r="I36" s="155" t="inlineStr">
        <is>
          <t>36</t>
        </is>
      </c>
      <c r="J36" s="155" t="inlineStr">
        <is>
          <t>36</t>
        </is>
      </c>
      <c r="K36" s="155" t="inlineStr">
        <is>
          <t>Wrangler</t>
        </is>
      </c>
      <c r="L36" s="155" t="inlineStr">
        <is>
          <t>Cinturón Wrangler Una Vista Casual para Hombre, Color Negro</t>
        </is>
      </c>
      <c r="M36" s="155" t="inlineStr">
        <is>
          <t>Accesorios</t>
        </is>
      </c>
      <c r="N36" s="155" t="inlineStr">
        <is>
          <t>Cinturones</t>
        </is>
      </c>
      <c r="O36" s="155" t="inlineStr">
        <is>
          <t>Hombre</t>
        </is>
      </c>
      <c r="P36" s="155" t="inlineStr">
        <is>
          <t>Wrangler</t>
        </is>
      </c>
      <c r="Q36" s="155" t="inlineStr">
        <is>
          <t>SS26</t>
        </is>
      </c>
      <c r="R36" s="155" t="inlineStr">
        <is>
          <t>Seasonal</t>
        </is>
      </c>
      <c r="S36" s="155" t="inlineStr">
        <is>
          <t>Negro</t>
        </is>
      </c>
      <c r="T36" s="155" t="n"/>
      <c r="U36" s="155" t="n"/>
      <c r="V36" s="155" t="inlineStr">
        <is>
          <t>100% piel de vacuno</t>
        </is>
      </c>
      <c r="W36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36" s="155" t="inlineStr">
        <is>
          <t>México</t>
        </is>
      </c>
      <c r="Y36" s="155" t="inlineStr">
        <is>
          <t>PZS</t>
        </is>
      </c>
      <c r="Z36" s="59" t="inlineStr">
        <is>
          <t>53102501</t>
        </is>
      </c>
      <c r="AA36" s="126" t="n"/>
      <c r="AB36" s="61" t="n">
        <v>344.48</v>
      </c>
      <c r="AC36" s="61" t="n">
        <v>949</v>
      </c>
      <c r="AD36" s="62" t="inlineStr">
        <is>
          <t>Con Incidencias</t>
        </is>
      </c>
      <c r="AE36" s="64" t="inlineStr">
        <is>
          <t>SKU duplicado</t>
        </is>
      </c>
      <c r="AF36" s="64" t="n"/>
      <c r="AG36" s="59" t="n">
        <v>2</v>
      </c>
      <c r="AH36" s="155" t="inlineStr">
        <is>
          <t>WB OUTLET LERMA (2)</t>
        </is>
      </c>
      <c r="AI36" s="59" t="n">
        <v>2</v>
      </c>
      <c r="AJ36" s="155" t="inlineStr">
        <is>
          <t>Catálogo existente</t>
        </is>
      </c>
      <c r="AK36" s="155" t="inlineStr">
        <is>
          <t>Coincidencia por código de barras (ID NetSuite 117908) | ID alternativo de Hoja a Revisar 117908 (UPC coincidente); se conserva ID principal; Auditoría NetSuite 30/09/2026: llenado desde NetSuite [Z]; Vinculado por código de barras al ID NetSuite 117908 (antes en Identificador interno: 'C49731-59-36'); 01/10/2026: mismo SKU registrado también en fila 67731 con código 7503063066721 (ID 30982, desde Hoja3); revisar cuál es el vigente | 01/10/2026: complementado desde Shopify Western Brothers (match por código de barras): WB Fit, WB Silueta</t>
        </is>
      </c>
      <c r="AL36" s="155" t="inlineStr">
        <is>
          <t>No</t>
        </is>
      </c>
      <c r="AM36" s="155" t="n"/>
      <c r="AN36" s="155" t="inlineStr">
        <is>
          <t>| Hoja a Revisar: fila 196076 (ID 117908, misma clave UPC); G1522_Extraccion_Articulos_NetSuite_2026-09-30.xlsx: fila 64149 [Z] | Shopify WB: producto 10310436323513 / variante 50512590635193</t>
        </is>
      </c>
      <c r="AO36" s="58" t="inlineStr">
        <is>
          <t>344,48</t>
        </is>
      </c>
      <c r="AP36" s="58" t="n"/>
      <c r="AQ36" s="155" t="inlineStr">
        <is>
          <t>Shopify Western Brothers</t>
        </is>
      </c>
      <c r="AR36" s="59" t="n"/>
      <c r="AS36" s="59" t="n">
        <v>2</v>
      </c>
      <c r="AT36" s="59" t="n"/>
      <c r="AU36" s="155" t="inlineStr">
        <is>
          <t>Shopify Western Brothers › Western Brothers Outlet Lerma: 2</t>
        </is>
      </c>
    </row>
    <row r="37">
      <c r="A37" s="51" t="n">
        <v>22</v>
      </c>
      <c r="B37" s="156" t="inlineStr">
        <is>
          <t>Productos — registro integrado en el anterior</t>
        </is>
      </c>
      <c r="C37" s="125" t="inlineStr">
        <is>
          <t>Homologación G1522: mismo producto (mismo WB SKU)</t>
        </is>
      </c>
      <c r="D37" s="60" t="inlineStr">
        <is>
          <t>7503063066721</t>
        </is>
      </c>
      <c r="E37" s="59" t="inlineStr">
        <is>
          <t>30982</t>
        </is>
      </c>
      <c r="F37" s="155" t="inlineStr">
        <is>
          <t>Wrangler</t>
        </is>
      </c>
      <c r="G37" s="155" t="inlineStr">
        <is>
          <t>C49731-59</t>
        </is>
      </c>
      <c r="H37" s="155" t="inlineStr">
        <is>
          <t>C49731-59-36</t>
        </is>
      </c>
      <c r="I37" s="155" t="inlineStr">
        <is>
          <t>36</t>
        </is>
      </c>
      <c r="J37" s="155" t="inlineStr">
        <is>
          <t>36</t>
        </is>
      </c>
      <c r="K37" s="155" t="inlineStr">
        <is>
          <t>Wrangler</t>
        </is>
      </c>
      <c r="L37" s="155" t="inlineStr">
        <is>
          <t>Cinturon de hombre C49731-59 Negro</t>
        </is>
      </c>
      <c r="M37" s="155" t="inlineStr">
        <is>
          <t>Accesorios</t>
        </is>
      </c>
      <c r="N37" s="155" t="inlineStr">
        <is>
          <t>Cinturones</t>
        </is>
      </c>
      <c r="O37" s="155" t="inlineStr">
        <is>
          <t>Hombre</t>
        </is>
      </c>
      <c r="P37" s="155" t="inlineStr">
        <is>
          <t>Wrangler</t>
        </is>
      </c>
      <c r="Q37" s="155" t="inlineStr">
        <is>
          <t>FW26</t>
        </is>
      </c>
      <c r="R37" s="155" t="n"/>
      <c r="S37" s="155" t="inlineStr">
        <is>
          <t>Negro</t>
        </is>
      </c>
      <c r="T37" s="155" t="n"/>
      <c r="U37" s="155" t="n"/>
      <c r="V37" s="155" t="inlineStr">
        <is>
          <t>70% CUERO VACUNO 30% REGENERADO</t>
        </is>
      </c>
      <c r="W37" s="155" t="inlineStr">
        <is>
          <t>Cinturón para Caballero de Piel</t>
        </is>
      </c>
      <c r="X37" s="155" t="inlineStr">
        <is>
          <t>México</t>
        </is>
      </c>
      <c r="Y37" s="155" t="inlineStr">
        <is>
          <t>PZS</t>
        </is>
      </c>
      <c r="Z37" s="59" t="inlineStr">
        <is>
          <t>53102501</t>
        </is>
      </c>
      <c r="AA37" s="126" t="n"/>
      <c r="AB37" s="61" t="n">
        <v>344.48</v>
      </c>
      <c r="AC37" s="61" t="n">
        <v>430.603448</v>
      </c>
      <c r="AD37" s="62" t="inlineStr">
        <is>
          <t>Con Incidencias</t>
        </is>
      </c>
      <c r="AE37" s="64" t="inlineStr">
        <is>
          <t>SKU duplicado; [Aviso] Ciclo de vida no capturado ()</t>
        </is>
      </c>
      <c r="AF37" s="64" t="n"/>
      <c r="AG37" s="59" t="n"/>
      <c r="AH37" s="155" t="n"/>
      <c r="AI37" s="59" t="n"/>
      <c r="AJ37" s="155" t="inlineStr">
        <is>
          <t>Nuevo – Carga Hoja3 01/10/2026</t>
        </is>
      </c>
      <c r="AK37" s="155" t="inlineStr">
        <is>
          <t>Alta 01/10/2026 desde Hoja3 (fila 712); Mismo SKU que la fila 2443 con otro código/ID; revisar cuál es el vigente | 01/10/2026: complementado desde Odoo Universal Unique Brands (match por código de barras): WB Talla de EE. UU.</t>
        </is>
      </c>
      <c r="AL37" s="155" t="n"/>
      <c r="AM37" s="155" t="n"/>
      <c r="AN37" s="155" t="inlineStr">
        <is>
          <t>Hoja3: fila 712 | Odoo: producto 30982 / plantilla 39662</t>
        </is>
      </c>
      <c r="AO37" s="58" t="n"/>
      <c r="AP37" s="58" t="n"/>
      <c r="AQ37" s="155" t="inlineStr">
        <is>
          <t>Odoo Universal Unique Brands</t>
        </is>
      </c>
      <c r="AR37" s="59" t="n"/>
      <c r="AS37" s="59" t="n"/>
      <c r="AT37" s="59" t="n">
        <v>10</v>
      </c>
      <c r="AU37" s="155" t="inlineStr">
        <is>
          <t>Odoo Universal Unique Brands › Bodega 25 › Bodega 25/General: 10</t>
        </is>
      </c>
    </row>
    <row r="38">
      <c r="A38" s="51" t="n">
        <v>23</v>
      </c>
      <c r="B38" s="156" t="inlineStr">
        <is>
          <t>Productos — registro conservado</t>
        </is>
      </c>
      <c r="C38" s="125" t="inlineStr">
        <is>
          <t>Homologación G1522: mismo producto (mismo WB SKU)</t>
        </is>
      </c>
      <c r="D38" s="60" t="inlineStr">
        <is>
          <t>7506674600995</t>
        </is>
      </c>
      <c r="E38" s="59" t="inlineStr">
        <is>
          <t>117909</t>
        </is>
      </c>
      <c r="F38" s="155" t="inlineStr">
        <is>
          <t>Wrangler</t>
        </is>
      </c>
      <c r="G38" s="155" t="inlineStr">
        <is>
          <t>C49731-59</t>
        </is>
      </c>
      <c r="H38" s="155" t="inlineStr">
        <is>
          <t>C49731-59-38</t>
        </is>
      </c>
      <c r="I38" s="155" t="inlineStr">
        <is>
          <t>38</t>
        </is>
      </c>
      <c r="J38" s="155" t="inlineStr">
        <is>
          <t>38</t>
        </is>
      </c>
      <c r="K38" s="155" t="inlineStr">
        <is>
          <t>Wrangler</t>
        </is>
      </c>
      <c r="L38" s="155" t="inlineStr">
        <is>
          <t>Cinturón Wrangler Una Vista Casual para Hombre, Color Negro</t>
        </is>
      </c>
      <c r="M38" s="155" t="inlineStr">
        <is>
          <t>Accesorios</t>
        </is>
      </c>
      <c r="N38" s="155" t="inlineStr">
        <is>
          <t>Cinturones</t>
        </is>
      </c>
      <c r="O38" s="155" t="inlineStr">
        <is>
          <t>Hombre</t>
        </is>
      </c>
      <c r="P38" s="155" t="inlineStr">
        <is>
          <t>Wrangler</t>
        </is>
      </c>
      <c r="Q38" s="155" t="inlineStr">
        <is>
          <t>SS26</t>
        </is>
      </c>
      <c r="R38" s="155" t="inlineStr">
        <is>
          <t>Seasonal</t>
        </is>
      </c>
      <c r="S38" s="155" t="inlineStr">
        <is>
          <t>Negro</t>
        </is>
      </c>
      <c r="T38" s="155" t="n"/>
      <c r="U38" s="155" t="n"/>
      <c r="V38" s="155" t="inlineStr">
        <is>
          <t>100% piel de vacuno</t>
        </is>
      </c>
      <c r="W38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38" s="155" t="inlineStr">
        <is>
          <t>México</t>
        </is>
      </c>
      <c r="Y38" s="155" t="inlineStr">
        <is>
          <t>PZS</t>
        </is>
      </c>
      <c r="Z38" s="59" t="inlineStr">
        <is>
          <t>53102501</t>
        </is>
      </c>
      <c r="AA38" s="126" t="n"/>
      <c r="AB38" s="61" t="n">
        <v>344.48</v>
      </c>
      <c r="AC38" s="61" t="n">
        <v>949</v>
      </c>
      <c r="AD38" s="62" t="inlineStr">
        <is>
          <t>Con Incidencias</t>
        </is>
      </c>
      <c r="AE38" s="64" t="inlineStr">
        <is>
          <t>SKU duplicado</t>
        </is>
      </c>
      <c r="AF38" s="64" t="n"/>
      <c r="AG38" s="59" t="n">
        <v>3</v>
      </c>
      <c r="AH38" s="155" t="inlineStr">
        <is>
          <t>WB OUTLET LERMA (3)</t>
        </is>
      </c>
      <c r="AI38" s="59" t="n">
        <v>3</v>
      </c>
      <c r="AJ38" s="155" t="inlineStr">
        <is>
          <t>Catálogo existente</t>
        </is>
      </c>
      <c r="AK38" s="155" t="inlineStr">
        <is>
          <t>Coincidencia por código de barras (ID NetSuite 117909) | ID alternativo de Hoja a Revisar 117909 (UPC coincidente); se conserva ID principal; Auditoría NetSuite 30/09/2026: llenado desde NetSuite [Z]; Vinculado por código de barras al ID NetSuite 117909 (antes en Identificador interno: 'C49731-59-38'); 01/10/2026: mismo SKU registrado también en fila 67732 con código 7503063066738 (ID 30983, desde Hoja3); revisar cuál es el vigente | 01/10/2026: complementado desde Shopify Western Brothers (match por código de barras): WB Fit, WB Silueta</t>
        </is>
      </c>
      <c r="AL38" s="155" t="inlineStr">
        <is>
          <t>No</t>
        </is>
      </c>
      <c r="AM38" s="155" t="n"/>
      <c r="AN38" s="155" t="inlineStr">
        <is>
          <t>| Hoja a Revisar: fila 196077 (ID 117909, misma clave UPC); G1522_Extraccion_Articulos_NetSuite_2026-09-30.xlsx: fila 64150 [Z] | Shopify WB: producto 10310436323513 / variante 50512590667961</t>
        </is>
      </c>
      <c r="AO38" s="58" t="inlineStr">
        <is>
          <t>344,48</t>
        </is>
      </c>
      <c r="AP38" s="58" t="n"/>
      <c r="AQ38" s="155" t="inlineStr">
        <is>
          <t>Shopify Western Brothers</t>
        </is>
      </c>
      <c r="AR38" s="59" t="n"/>
      <c r="AS38" s="59" t="n">
        <v>3</v>
      </c>
      <c r="AT38" s="59" t="n"/>
      <c r="AU38" s="155" t="inlineStr">
        <is>
          <t>Shopify Western Brothers › Western Brothers Outlet Lerma: 3</t>
        </is>
      </c>
    </row>
    <row r="39">
      <c r="A39" s="51" t="n">
        <v>23</v>
      </c>
      <c r="B39" s="156" t="inlineStr">
        <is>
          <t>Productos — registro integrado en el anterior</t>
        </is>
      </c>
      <c r="C39" s="125" t="inlineStr">
        <is>
          <t>Homologación G1522: mismo producto (mismo WB SKU)</t>
        </is>
      </c>
      <c r="D39" s="60" t="inlineStr">
        <is>
          <t>7503063066738</t>
        </is>
      </c>
      <c r="E39" s="59" t="inlineStr">
        <is>
          <t>30983</t>
        </is>
      </c>
      <c r="F39" s="155" t="inlineStr">
        <is>
          <t>Wrangler</t>
        </is>
      </c>
      <c r="G39" s="155" t="inlineStr">
        <is>
          <t>C49731-59</t>
        </is>
      </c>
      <c r="H39" s="155" t="inlineStr">
        <is>
          <t>C49731-59-38</t>
        </is>
      </c>
      <c r="I39" s="155" t="inlineStr">
        <is>
          <t>38</t>
        </is>
      </c>
      <c r="J39" s="155" t="inlineStr">
        <is>
          <t>38</t>
        </is>
      </c>
      <c r="K39" s="155" t="inlineStr">
        <is>
          <t>Wrangler</t>
        </is>
      </c>
      <c r="L39" s="155" t="inlineStr">
        <is>
          <t>Cinturon de hombre C49731-59 Negro</t>
        </is>
      </c>
      <c r="M39" s="155" t="inlineStr">
        <is>
          <t>Accesorios</t>
        </is>
      </c>
      <c r="N39" s="155" t="inlineStr">
        <is>
          <t>Cinturones</t>
        </is>
      </c>
      <c r="O39" s="155" t="inlineStr">
        <is>
          <t>Hombre</t>
        </is>
      </c>
      <c r="P39" s="155" t="inlineStr">
        <is>
          <t>Wrangler</t>
        </is>
      </c>
      <c r="Q39" s="155" t="inlineStr">
        <is>
          <t>FW26</t>
        </is>
      </c>
      <c r="R39" s="155" t="n"/>
      <c r="S39" s="155" t="inlineStr">
        <is>
          <t>Negro</t>
        </is>
      </c>
      <c r="T39" s="155" t="n"/>
      <c r="U39" s="155" t="n"/>
      <c r="V39" s="155" t="inlineStr">
        <is>
          <t>70% CUERO VACUNO 30% REGENERADO</t>
        </is>
      </c>
      <c r="W39" s="155" t="inlineStr">
        <is>
          <t>Cinturón para Caballero de Piel</t>
        </is>
      </c>
      <c r="X39" s="155" t="inlineStr">
        <is>
          <t>México</t>
        </is>
      </c>
      <c r="Y39" s="155" t="inlineStr">
        <is>
          <t>PZS</t>
        </is>
      </c>
      <c r="Z39" s="59" t="inlineStr">
        <is>
          <t>53102501</t>
        </is>
      </c>
      <c r="AA39" s="126" t="n"/>
      <c r="AB39" s="61" t="n">
        <v>344.48</v>
      </c>
      <c r="AC39" s="61" t="n">
        <v>430.603448</v>
      </c>
      <c r="AD39" s="62" t="inlineStr">
        <is>
          <t>Con Incidencias</t>
        </is>
      </c>
      <c r="AE39" s="64" t="inlineStr">
        <is>
          <t>SKU duplicado; [Aviso] Ciclo de vida no capturado ()</t>
        </is>
      </c>
      <c r="AF39" s="64" t="n"/>
      <c r="AG39" s="59" t="n"/>
      <c r="AH39" s="155" t="n"/>
      <c r="AI39" s="59" t="n"/>
      <c r="AJ39" s="155" t="inlineStr">
        <is>
          <t>Nuevo – Carga Hoja3 01/10/2026</t>
        </is>
      </c>
      <c r="AK39" s="155" t="inlineStr">
        <is>
          <t>Alta 01/10/2026 desde Hoja3 (fila 713); Mismo SKU que la fila 2444 con otro código/ID; revisar cuál es el vigente | 01/10/2026: complementado desde Odoo Universal Unique Brands (match por código de barras): WB Talla de EE. UU.</t>
        </is>
      </c>
      <c r="AL39" s="155" t="n"/>
      <c r="AM39" s="155" t="n"/>
      <c r="AN39" s="155" t="inlineStr">
        <is>
          <t>Hoja3: fila 713 | Odoo: producto 30983 / plantilla 39662</t>
        </is>
      </c>
      <c r="AO39" s="58" t="n"/>
      <c r="AP39" s="58" t="n"/>
      <c r="AQ39" s="155" t="inlineStr">
        <is>
          <t>Odoo Universal Unique Brands</t>
        </is>
      </c>
      <c r="AR39" s="59" t="n"/>
      <c r="AS39" s="59" t="n"/>
      <c r="AT39" s="59" t="n">
        <v>15</v>
      </c>
      <c r="AU39" s="155" t="inlineStr">
        <is>
          <t>Odoo Universal Unique Brands › Bodega 25 › Bodega 25/General: 15</t>
        </is>
      </c>
    </row>
    <row r="40">
      <c r="A40" s="51" t="n">
        <v>24</v>
      </c>
      <c r="B40" s="156" t="inlineStr">
        <is>
          <t>Productos — registro conservado</t>
        </is>
      </c>
      <c r="C40" s="125" t="inlineStr">
        <is>
          <t>Homologación G1522: mismo producto (mismo WB SKU)</t>
        </is>
      </c>
      <c r="D40" s="60" t="inlineStr">
        <is>
          <t>7506674601008</t>
        </is>
      </c>
      <c r="E40" s="59" t="inlineStr">
        <is>
          <t>117910</t>
        </is>
      </c>
      <c r="F40" s="155" t="inlineStr">
        <is>
          <t>Wrangler</t>
        </is>
      </c>
      <c r="G40" s="155" t="inlineStr">
        <is>
          <t>C49731-59</t>
        </is>
      </c>
      <c r="H40" s="155" t="inlineStr">
        <is>
          <t>C49731-59-40</t>
        </is>
      </c>
      <c r="I40" s="155" t="inlineStr">
        <is>
          <t>40</t>
        </is>
      </c>
      <c r="J40" s="155" t="inlineStr">
        <is>
          <t>40</t>
        </is>
      </c>
      <c r="K40" s="155" t="inlineStr">
        <is>
          <t>Wrangler</t>
        </is>
      </c>
      <c r="L40" s="155" t="inlineStr">
        <is>
          <t>Cinturón Wrangler Una Vista Casual para Hombre, Color Negro</t>
        </is>
      </c>
      <c r="M40" s="155" t="inlineStr">
        <is>
          <t>Accesorios</t>
        </is>
      </c>
      <c r="N40" s="155" t="inlineStr">
        <is>
          <t>Cinturones</t>
        </is>
      </c>
      <c r="O40" s="155" t="inlineStr">
        <is>
          <t>Hombre</t>
        </is>
      </c>
      <c r="P40" s="155" t="inlineStr">
        <is>
          <t>Wrangler</t>
        </is>
      </c>
      <c r="Q40" s="155" t="inlineStr">
        <is>
          <t>SS26</t>
        </is>
      </c>
      <c r="R40" s="155" t="inlineStr">
        <is>
          <t>Seasonal</t>
        </is>
      </c>
      <c r="S40" s="155" t="inlineStr">
        <is>
          <t>Negro</t>
        </is>
      </c>
      <c r="T40" s="155" t="n"/>
      <c r="U40" s="155" t="n"/>
      <c r="V40" s="155" t="inlineStr">
        <is>
          <t>100% piel de vacuno</t>
        </is>
      </c>
      <c r="W40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40" s="155" t="inlineStr">
        <is>
          <t>México</t>
        </is>
      </c>
      <c r="Y40" s="155" t="inlineStr">
        <is>
          <t>PZS</t>
        </is>
      </c>
      <c r="Z40" s="59" t="inlineStr">
        <is>
          <t>53102501</t>
        </is>
      </c>
      <c r="AA40" s="126" t="n"/>
      <c r="AB40" s="61" t="n">
        <v>344.48</v>
      </c>
      <c r="AC40" s="61" t="n">
        <v>949</v>
      </c>
      <c r="AD40" s="62" t="inlineStr">
        <is>
          <t>Con Incidencias</t>
        </is>
      </c>
      <c r="AE40" s="64" t="inlineStr">
        <is>
          <t>SKU duplicado</t>
        </is>
      </c>
      <c r="AF40" s="64" t="n"/>
      <c r="AG40" s="59" t="n">
        <v>2</v>
      </c>
      <c r="AH40" s="155" t="inlineStr">
        <is>
          <t>WB OUTLET LERMA (2)</t>
        </is>
      </c>
      <c r="AI40" s="59" t="n">
        <v>2</v>
      </c>
      <c r="AJ40" s="155" t="inlineStr">
        <is>
          <t>Catálogo existente</t>
        </is>
      </c>
      <c r="AK40" s="155" t="inlineStr">
        <is>
          <t>Coincidencia por código de barras (ID NetSuite 117910) | ID alternativo de Hoja a Revisar 117910 (UPC coincidente); se conserva ID principal; Auditoría NetSuite 30/09/2026: llenado desde NetSuite [Z]; Vinculado por código de barras al ID NetSuite 117910 (antes en Identificador interno: 'C49731-59-40'); 01/10/2026: mismo SKU registrado también en fila 67733 con código 7503063066745 (ID 30984, desde Hoja3); revisar cuál es el vigente | 01/10/2026: complementado desde Shopify Western Brothers (match por código de barras): WB Fit, WB Silueta</t>
        </is>
      </c>
      <c r="AL40" s="155" t="inlineStr">
        <is>
          <t>No</t>
        </is>
      </c>
      <c r="AM40" s="155" t="n"/>
      <c r="AN40" s="155" t="inlineStr">
        <is>
          <t>| Hoja a Revisar: fila 196078 (ID 117910, misma clave UPC); G1522_Extraccion_Articulos_NetSuite_2026-09-30.xlsx: fila 64151 [Z] | Shopify WB: producto 10310436323513 / variante 50512590700729</t>
        </is>
      </c>
      <c r="AO40" s="58" t="inlineStr">
        <is>
          <t>344,48</t>
        </is>
      </c>
      <c r="AP40" s="58" t="n"/>
      <c r="AQ40" s="155" t="inlineStr">
        <is>
          <t>Shopify Western Brothers</t>
        </is>
      </c>
      <c r="AR40" s="59" t="n"/>
      <c r="AS40" s="59" t="n">
        <v>2</v>
      </c>
      <c r="AT40" s="59" t="n"/>
      <c r="AU40" s="155" t="inlineStr">
        <is>
          <t>Shopify Western Brothers › Western Brothers Outlet Lerma: 2</t>
        </is>
      </c>
    </row>
    <row r="41">
      <c r="A41" s="51" t="n">
        <v>24</v>
      </c>
      <c r="B41" s="156" t="inlineStr">
        <is>
          <t>Productos — registro integrado en el anterior</t>
        </is>
      </c>
      <c r="C41" s="125" t="inlineStr">
        <is>
          <t>Homologación G1522: mismo producto (mismo WB SKU)</t>
        </is>
      </c>
      <c r="D41" s="60" t="inlineStr">
        <is>
          <t>7503063066745</t>
        </is>
      </c>
      <c r="E41" s="59" t="inlineStr">
        <is>
          <t>30984</t>
        </is>
      </c>
      <c r="F41" s="155" t="inlineStr">
        <is>
          <t>Wrangler</t>
        </is>
      </c>
      <c r="G41" s="155" t="inlineStr">
        <is>
          <t>C49731-59</t>
        </is>
      </c>
      <c r="H41" s="155" t="inlineStr">
        <is>
          <t>C49731-59-40</t>
        </is>
      </c>
      <c r="I41" s="155" t="inlineStr">
        <is>
          <t>40</t>
        </is>
      </c>
      <c r="J41" s="155" t="inlineStr">
        <is>
          <t>40</t>
        </is>
      </c>
      <c r="K41" s="155" t="inlineStr">
        <is>
          <t>Wrangler</t>
        </is>
      </c>
      <c r="L41" s="155" t="inlineStr">
        <is>
          <t>Cinturon de hombre C49731-59 Negro</t>
        </is>
      </c>
      <c r="M41" s="155" t="inlineStr">
        <is>
          <t>Accesorios</t>
        </is>
      </c>
      <c r="N41" s="155" t="inlineStr">
        <is>
          <t>Cinturones</t>
        </is>
      </c>
      <c r="O41" s="155" t="inlineStr">
        <is>
          <t>Hombre</t>
        </is>
      </c>
      <c r="P41" s="155" t="inlineStr">
        <is>
          <t>Wrangler</t>
        </is>
      </c>
      <c r="Q41" s="155" t="inlineStr">
        <is>
          <t>FW26</t>
        </is>
      </c>
      <c r="R41" s="155" t="n"/>
      <c r="S41" s="155" t="inlineStr">
        <is>
          <t>Negro</t>
        </is>
      </c>
      <c r="T41" s="155" t="n"/>
      <c r="U41" s="155" t="n"/>
      <c r="V41" s="155" t="inlineStr">
        <is>
          <t>70% CUERO VACUNO 30% REGENERADO</t>
        </is>
      </c>
      <c r="W41" s="155" t="inlineStr">
        <is>
          <t>Cinturón para Caballero de Piel</t>
        </is>
      </c>
      <c r="X41" s="155" t="inlineStr">
        <is>
          <t>México</t>
        </is>
      </c>
      <c r="Y41" s="155" t="inlineStr">
        <is>
          <t>PZS</t>
        </is>
      </c>
      <c r="Z41" s="59" t="inlineStr">
        <is>
          <t>53102501</t>
        </is>
      </c>
      <c r="AA41" s="126" t="n"/>
      <c r="AB41" s="61" t="n">
        <v>344.48</v>
      </c>
      <c r="AC41" s="61" t="n">
        <v>430.603448</v>
      </c>
      <c r="AD41" s="62" t="inlineStr">
        <is>
          <t>Con Incidencias</t>
        </is>
      </c>
      <c r="AE41" s="64" t="inlineStr">
        <is>
          <t>SKU duplicado; [Aviso] Ciclo de vida no capturado ()</t>
        </is>
      </c>
      <c r="AF41" s="64" t="n"/>
      <c r="AG41" s="59" t="n"/>
      <c r="AH41" s="155" t="n"/>
      <c r="AI41" s="59" t="n"/>
      <c r="AJ41" s="155" t="inlineStr">
        <is>
          <t>Nuevo – Carga Hoja3 01/10/2026</t>
        </is>
      </c>
      <c r="AK41" s="155" t="inlineStr">
        <is>
          <t>Alta 01/10/2026 desde Hoja3 (fila 714); Mismo SKU que la fila 2445 con otro código/ID; revisar cuál es el vigente | 01/10/2026: complementado desde Odoo Universal Unique Brands (match por código de barras): WB Talla de EE. UU.</t>
        </is>
      </c>
      <c r="AL41" s="155" t="n"/>
      <c r="AM41" s="155" t="n"/>
      <c r="AN41" s="155" t="inlineStr">
        <is>
          <t>Hoja3: fila 714 | Odoo: producto 30984 / plantilla 39662</t>
        </is>
      </c>
      <c r="AO41" s="58" t="n"/>
      <c r="AP41" s="58" t="n"/>
      <c r="AQ41" s="155" t="inlineStr">
        <is>
          <t>Odoo Universal Unique Brands</t>
        </is>
      </c>
      <c r="AR41" s="59" t="n"/>
      <c r="AS41" s="59" t="n"/>
      <c r="AT41" s="59" t="n">
        <v>22</v>
      </c>
      <c r="AU41" s="155" t="inlineStr">
        <is>
          <t>Odoo Universal Unique Brands › Bodega 25 › Bodega 25/General: 22</t>
        </is>
      </c>
    </row>
    <row r="42">
      <c r="A42" s="51" t="n">
        <v>25</v>
      </c>
      <c r="B42" s="156" t="inlineStr">
        <is>
          <t>Productos — registro conservado</t>
        </is>
      </c>
      <c r="C42" s="125" t="inlineStr">
        <is>
          <t>Homologación G1522: mismo producto (mismo WB SKU)</t>
        </is>
      </c>
      <c r="D42" s="60" t="inlineStr">
        <is>
          <t>7506674601015</t>
        </is>
      </c>
      <c r="E42" s="59" t="inlineStr">
        <is>
          <t>117911</t>
        </is>
      </c>
      <c r="F42" s="155" t="inlineStr">
        <is>
          <t>Wrangler</t>
        </is>
      </c>
      <c r="G42" s="155" t="inlineStr">
        <is>
          <t>C49731-59</t>
        </is>
      </c>
      <c r="H42" s="155" t="inlineStr">
        <is>
          <t>C49731-59-42</t>
        </is>
      </c>
      <c r="I42" s="155" t="inlineStr">
        <is>
          <t>42</t>
        </is>
      </c>
      <c r="J42" s="155" t="inlineStr">
        <is>
          <t>42</t>
        </is>
      </c>
      <c r="K42" s="155" t="inlineStr">
        <is>
          <t>Wrangler</t>
        </is>
      </c>
      <c r="L42" s="155" t="inlineStr">
        <is>
          <t>Cinturón Wrangler Una Vista Casual para Hombre, Color Negro</t>
        </is>
      </c>
      <c r="M42" s="155" t="inlineStr">
        <is>
          <t>Accesorios</t>
        </is>
      </c>
      <c r="N42" s="155" t="inlineStr">
        <is>
          <t>Cinturones</t>
        </is>
      </c>
      <c r="O42" s="155" t="inlineStr">
        <is>
          <t>Hombre</t>
        </is>
      </c>
      <c r="P42" s="155" t="inlineStr">
        <is>
          <t>Wrangler</t>
        </is>
      </c>
      <c r="Q42" s="155" t="inlineStr">
        <is>
          <t>SS26</t>
        </is>
      </c>
      <c r="R42" s="155" t="inlineStr">
        <is>
          <t>Seasonal</t>
        </is>
      </c>
      <c r="S42" s="155" t="inlineStr">
        <is>
          <t>Negro</t>
        </is>
      </c>
      <c r="T42" s="155" t="n"/>
      <c r="U42" s="155" t="n"/>
      <c r="V42" s="155" t="inlineStr">
        <is>
          <t>100% piel de vacuno</t>
        </is>
      </c>
      <c r="W42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42" s="155" t="inlineStr">
        <is>
          <t>México</t>
        </is>
      </c>
      <c r="Y42" s="155" t="inlineStr">
        <is>
          <t>PZS</t>
        </is>
      </c>
      <c r="Z42" s="59" t="inlineStr">
        <is>
          <t>53102501</t>
        </is>
      </c>
      <c r="AA42" s="126" t="n"/>
      <c r="AB42" s="61" t="n">
        <v>344.48</v>
      </c>
      <c r="AC42" s="61" t="n">
        <v>949</v>
      </c>
      <c r="AD42" s="62" t="inlineStr">
        <is>
          <t>Con Incidencias</t>
        </is>
      </c>
      <c r="AE42" s="64" t="inlineStr">
        <is>
          <t>SKU duplicado</t>
        </is>
      </c>
      <c r="AF42" s="64" t="n"/>
      <c r="AG42" s="59" t="n">
        <v>2</v>
      </c>
      <c r="AH42" s="155" t="inlineStr">
        <is>
          <t>WB OUTLET LERMA (2)</t>
        </is>
      </c>
      <c r="AI42" s="59" t="n">
        <v>2</v>
      </c>
      <c r="AJ42" s="155" t="inlineStr">
        <is>
          <t>Catálogo existente</t>
        </is>
      </c>
      <c r="AK42" s="155" t="inlineStr">
        <is>
          <t>Coincidencia por código de barras (ID NetSuite 117911) | ID alternativo de Hoja a Revisar 117911 (UPC coincidente); se conserva ID principal; Auditoría NetSuite 30/09/2026: llenado desde NetSuite [Z]; Vinculado por código de barras al ID NetSuite 117911 (antes en Identificador interno: 'C49731-59-42'); 01/10/2026: mismo SKU registrado también en fila 67734 con código 7503063066752 (ID 30985, desde Hoja3); revisar cuál es el vigente | 01/10/2026: complementado desde Shopify Western Brothers (match por código de barras): WB Fit, WB Silueta</t>
        </is>
      </c>
      <c r="AL42" s="155" t="inlineStr">
        <is>
          <t>No</t>
        </is>
      </c>
      <c r="AM42" s="155" t="n"/>
      <c r="AN42" s="155" t="inlineStr">
        <is>
          <t>| Hoja a Revisar: fila 196079 (ID 117911, misma clave UPC); G1522_Extraccion_Articulos_NetSuite_2026-09-30.xlsx: fila 64152 [Z] | Shopify WB: producto 10310436323513 / variante 50512590733497</t>
        </is>
      </c>
      <c r="AO42" s="58" t="inlineStr">
        <is>
          <t>344,48</t>
        </is>
      </c>
      <c r="AP42" s="58" t="n"/>
      <c r="AQ42" s="155" t="inlineStr">
        <is>
          <t>Shopify Western Brothers</t>
        </is>
      </c>
      <c r="AR42" s="59" t="n"/>
      <c r="AS42" s="59" t="n">
        <v>2</v>
      </c>
      <c r="AT42" s="59" t="n"/>
      <c r="AU42" s="155" t="inlineStr">
        <is>
          <t>Shopify Western Brothers › Western Brothers Outlet Lerma: 2</t>
        </is>
      </c>
    </row>
    <row r="43">
      <c r="A43" s="51" t="n">
        <v>25</v>
      </c>
      <c r="B43" s="156" t="inlineStr">
        <is>
          <t>Productos — registro integrado en el anterior</t>
        </is>
      </c>
      <c r="C43" s="125" t="inlineStr">
        <is>
          <t>Homologación G1522: mismo producto (mismo WB SKU)</t>
        </is>
      </c>
      <c r="D43" s="60" t="inlineStr">
        <is>
          <t>7503063066752</t>
        </is>
      </c>
      <c r="E43" s="59" t="inlineStr">
        <is>
          <t>30985</t>
        </is>
      </c>
      <c r="F43" s="155" t="inlineStr">
        <is>
          <t>Wrangler</t>
        </is>
      </c>
      <c r="G43" s="155" t="inlineStr">
        <is>
          <t>C49731-59</t>
        </is>
      </c>
      <c r="H43" s="155" t="inlineStr">
        <is>
          <t>C49731-59-42</t>
        </is>
      </c>
      <c r="I43" s="155" t="inlineStr">
        <is>
          <t>42</t>
        </is>
      </c>
      <c r="J43" s="155" t="inlineStr">
        <is>
          <t>42</t>
        </is>
      </c>
      <c r="K43" s="155" t="inlineStr">
        <is>
          <t>Wrangler</t>
        </is>
      </c>
      <c r="L43" s="155" t="inlineStr">
        <is>
          <t>Cinturon de hombre C49731-59 Negro</t>
        </is>
      </c>
      <c r="M43" s="155" t="inlineStr">
        <is>
          <t>Accesorios</t>
        </is>
      </c>
      <c r="N43" s="155" t="inlineStr">
        <is>
          <t>Cinturones</t>
        </is>
      </c>
      <c r="O43" s="155" t="inlineStr">
        <is>
          <t>Hombre</t>
        </is>
      </c>
      <c r="P43" s="155" t="inlineStr">
        <is>
          <t>Wrangler</t>
        </is>
      </c>
      <c r="Q43" s="155" t="inlineStr">
        <is>
          <t>FW26</t>
        </is>
      </c>
      <c r="R43" s="155" t="n"/>
      <c r="S43" s="155" t="inlineStr">
        <is>
          <t>Negro</t>
        </is>
      </c>
      <c r="T43" s="155" t="n"/>
      <c r="U43" s="155" t="n"/>
      <c r="V43" s="155" t="inlineStr">
        <is>
          <t>70% CUERO VACUNO 30% REGENERADO</t>
        </is>
      </c>
      <c r="W43" s="155" t="inlineStr">
        <is>
          <t>Cinturón para Caballero de Piel</t>
        </is>
      </c>
      <c r="X43" s="155" t="inlineStr">
        <is>
          <t>México</t>
        </is>
      </c>
      <c r="Y43" s="155" t="inlineStr">
        <is>
          <t>PZS</t>
        </is>
      </c>
      <c r="Z43" s="59" t="inlineStr">
        <is>
          <t>53102501</t>
        </is>
      </c>
      <c r="AA43" s="126" t="n"/>
      <c r="AB43" s="61" t="n">
        <v>344.48</v>
      </c>
      <c r="AC43" s="61" t="n">
        <v>430.603448</v>
      </c>
      <c r="AD43" s="62" t="inlineStr">
        <is>
          <t>Con Incidencias</t>
        </is>
      </c>
      <c r="AE43" s="64" t="inlineStr">
        <is>
          <t>SKU duplicado; [Aviso] Ciclo de vida no capturado ()</t>
        </is>
      </c>
      <c r="AF43" s="64" t="n"/>
      <c r="AG43" s="59" t="n"/>
      <c r="AH43" s="155" t="n"/>
      <c r="AI43" s="59" t="n"/>
      <c r="AJ43" s="155" t="inlineStr">
        <is>
          <t>Nuevo – Carga Hoja3 01/10/2026</t>
        </is>
      </c>
      <c r="AK43" s="155" t="inlineStr">
        <is>
          <t>Alta 01/10/2026 desde Hoja3 (fila 715); Mismo SKU que la fila 2446 con otro código/ID; revisar cuál es el vigente | 01/10/2026: complementado desde Odoo Universal Unique Brands (match por código de barras): WB Talla de EE. UU.</t>
        </is>
      </c>
      <c r="AL43" s="155" t="n"/>
      <c r="AM43" s="155" t="n"/>
      <c r="AN43" s="155" t="inlineStr">
        <is>
          <t>Hoja3: fila 715 | Odoo: producto 30985 / plantilla 39662</t>
        </is>
      </c>
      <c r="AO43" s="58" t="n"/>
      <c r="AP43" s="58" t="n"/>
      <c r="AQ43" s="155" t="inlineStr">
        <is>
          <t>Odoo Universal Unique Brands</t>
        </is>
      </c>
      <c r="AR43" s="59" t="n"/>
      <c r="AS43" s="59" t="n"/>
      <c r="AT43" s="59" t="n">
        <v>22</v>
      </c>
      <c r="AU43" s="155" t="inlineStr">
        <is>
          <t>Odoo Universal Unique Brands › Bodega 25 › Bodega 25/General: 22</t>
        </is>
      </c>
    </row>
    <row r="44">
      <c r="A44" s="51" t="n">
        <v>26</v>
      </c>
      <c r="B44" s="156" t="inlineStr">
        <is>
          <t>Productos — registro conservado</t>
        </is>
      </c>
      <c r="C44" s="125" t="inlineStr">
        <is>
          <t>Homologación G1522: mismo producto (mismo WB SKU)</t>
        </is>
      </c>
      <c r="D44" s="60" t="inlineStr">
        <is>
          <t>7506674601022</t>
        </is>
      </c>
      <c r="E44" s="59" t="inlineStr">
        <is>
          <t>117912</t>
        </is>
      </c>
      <c r="F44" s="155" t="inlineStr">
        <is>
          <t>Wrangler</t>
        </is>
      </c>
      <c r="G44" s="155" t="inlineStr">
        <is>
          <t>C49731-59</t>
        </is>
      </c>
      <c r="H44" s="155" t="inlineStr">
        <is>
          <t>C49731-59-44</t>
        </is>
      </c>
      <c r="I44" s="155" t="inlineStr">
        <is>
          <t>44</t>
        </is>
      </c>
      <c r="J44" s="155" t="inlineStr">
        <is>
          <t>44</t>
        </is>
      </c>
      <c r="K44" s="155" t="inlineStr">
        <is>
          <t>Wrangler</t>
        </is>
      </c>
      <c r="L44" s="155" t="inlineStr">
        <is>
          <t>Cinturón Wrangler Una Vista Casual para Hombre, Color Negro</t>
        </is>
      </c>
      <c r="M44" s="155" t="inlineStr">
        <is>
          <t>Accesorios</t>
        </is>
      </c>
      <c r="N44" s="155" t="inlineStr">
        <is>
          <t>Cinturones</t>
        </is>
      </c>
      <c r="O44" s="155" t="inlineStr">
        <is>
          <t>Hombre</t>
        </is>
      </c>
      <c r="P44" s="155" t="inlineStr">
        <is>
          <t>Wrangler</t>
        </is>
      </c>
      <c r="Q44" s="155" t="inlineStr">
        <is>
          <t>SS26</t>
        </is>
      </c>
      <c r="R44" s="155" t="inlineStr">
        <is>
          <t>Seasonal</t>
        </is>
      </c>
      <c r="S44" s="155" t="inlineStr">
        <is>
          <t>Negro</t>
        </is>
      </c>
      <c r="T44" s="155" t="n"/>
      <c r="U44" s="155" t="n"/>
      <c r="V44" s="155" t="inlineStr">
        <is>
          <t>100% piel de vacuno</t>
        </is>
      </c>
      <c r="W44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44" s="155" t="inlineStr">
        <is>
          <t>México</t>
        </is>
      </c>
      <c r="Y44" s="155" t="inlineStr">
        <is>
          <t>PZS</t>
        </is>
      </c>
      <c r="Z44" s="59" t="inlineStr">
        <is>
          <t>53102501</t>
        </is>
      </c>
      <c r="AA44" s="126" t="n"/>
      <c r="AB44" s="61" t="n">
        <v>344.48</v>
      </c>
      <c r="AC44" s="61" t="n">
        <v>949</v>
      </c>
      <c r="AD44" s="62" t="inlineStr">
        <is>
          <t>Con Incidencias</t>
        </is>
      </c>
      <c r="AE44" s="64" t="inlineStr">
        <is>
          <t>SKU duplicado</t>
        </is>
      </c>
      <c r="AF44" s="64" t="n"/>
      <c r="AG44" s="59" t="n">
        <v>1</v>
      </c>
      <c r="AH44" s="155" t="inlineStr">
        <is>
          <t>WB OUTLET LERMA (1)</t>
        </is>
      </c>
      <c r="AI44" s="59" t="n">
        <v>1</v>
      </c>
      <c r="AJ44" s="155" t="inlineStr">
        <is>
          <t>Catálogo existente</t>
        </is>
      </c>
      <c r="AK44" s="155" t="inlineStr">
        <is>
          <t>Coincidencia por código de barras (ID NetSuite 117912) | ID alternativo de Hoja a Revisar 117912 (UPC coincidente); se conserva ID principal; Auditoría NetSuite 30/09/2026: llenado desde NetSuite [Z]; Vinculado por código de barras al ID NetSuite 117912 (antes en Identificador interno: 'C49731-59-44'); 01/10/2026: mismo SKU registrado también en fila 67735 con código 7503063066769 (ID 30986, desde Hoja3); revisar cuál es el vigente | 01/10/2026: complementado desde Shopify Western Brothers (match por código de barras): WB Fit, WB Silueta</t>
        </is>
      </c>
      <c r="AL44" s="155" t="inlineStr">
        <is>
          <t>No</t>
        </is>
      </c>
      <c r="AM44" s="155" t="n"/>
      <c r="AN44" s="155" t="inlineStr">
        <is>
          <t>| Hoja a Revisar: fila 196080 (ID 117912, misma clave UPC); G1522_Extraccion_Articulos_NetSuite_2026-09-30.xlsx: fila 64153 [Z] | Shopify WB: producto 10310436323513 / variante 50512590766265</t>
        </is>
      </c>
      <c r="AO44" s="58" t="inlineStr">
        <is>
          <t>344,48</t>
        </is>
      </c>
      <c r="AP44" s="58" t="n"/>
      <c r="AQ44" s="155" t="inlineStr">
        <is>
          <t>Shopify Western Brothers</t>
        </is>
      </c>
      <c r="AR44" s="59" t="n"/>
      <c r="AS44" s="59" t="n">
        <v>1</v>
      </c>
      <c r="AT44" s="59" t="n"/>
      <c r="AU44" s="155" t="inlineStr">
        <is>
          <t>Shopify Western Brothers › Western Brothers Outlet Lerma: 1</t>
        </is>
      </c>
    </row>
    <row r="45">
      <c r="A45" s="51" t="n">
        <v>26</v>
      </c>
      <c r="B45" s="156" t="inlineStr">
        <is>
          <t>Productos — registro integrado en el anterior</t>
        </is>
      </c>
      <c r="C45" s="125" t="inlineStr">
        <is>
          <t>Homologación G1522: mismo producto (mismo WB SKU)</t>
        </is>
      </c>
      <c r="D45" s="60" t="inlineStr">
        <is>
          <t>7503063066769</t>
        </is>
      </c>
      <c r="E45" s="59" t="inlineStr">
        <is>
          <t>30986</t>
        </is>
      </c>
      <c r="F45" s="155" t="inlineStr">
        <is>
          <t>Wrangler</t>
        </is>
      </c>
      <c r="G45" s="155" t="inlineStr">
        <is>
          <t>C49731-59</t>
        </is>
      </c>
      <c r="H45" s="155" t="inlineStr">
        <is>
          <t>C49731-59-44</t>
        </is>
      </c>
      <c r="I45" s="155" t="inlineStr">
        <is>
          <t>44</t>
        </is>
      </c>
      <c r="J45" s="155" t="inlineStr">
        <is>
          <t>44</t>
        </is>
      </c>
      <c r="K45" s="155" t="inlineStr">
        <is>
          <t>Wrangler</t>
        </is>
      </c>
      <c r="L45" s="155" t="inlineStr">
        <is>
          <t>Cinturon de hombre C49731-59 Negro</t>
        </is>
      </c>
      <c r="M45" s="155" t="inlineStr">
        <is>
          <t>Accesorios</t>
        </is>
      </c>
      <c r="N45" s="155" t="inlineStr">
        <is>
          <t>Cinturones</t>
        </is>
      </c>
      <c r="O45" s="155" t="inlineStr">
        <is>
          <t>Hombre</t>
        </is>
      </c>
      <c r="P45" s="155" t="inlineStr">
        <is>
          <t>Wrangler</t>
        </is>
      </c>
      <c r="Q45" s="155" t="inlineStr">
        <is>
          <t>FW26</t>
        </is>
      </c>
      <c r="R45" s="155" t="n"/>
      <c r="S45" s="155" t="inlineStr">
        <is>
          <t>Negro</t>
        </is>
      </c>
      <c r="T45" s="155" t="n"/>
      <c r="U45" s="155" t="n"/>
      <c r="V45" s="155" t="inlineStr">
        <is>
          <t>70% CUERO VACUNO 30% REGENERADO</t>
        </is>
      </c>
      <c r="W45" s="155" t="inlineStr">
        <is>
          <t>Cinturón para Caballero de Piel</t>
        </is>
      </c>
      <c r="X45" s="155" t="inlineStr">
        <is>
          <t>México</t>
        </is>
      </c>
      <c r="Y45" s="155" t="inlineStr">
        <is>
          <t>PZS</t>
        </is>
      </c>
      <c r="Z45" s="59" t="inlineStr">
        <is>
          <t>53102501</t>
        </is>
      </c>
      <c r="AA45" s="126" t="n"/>
      <c r="AB45" s="61" t="n">
        <v>344.48</v>
      </c>
      <c r="AC45" s="61" t="n">
        <v>430.603448</v>
      </c>
      <c r="AD45" s="62" t="inlineStr">
        <is>
          <t>Con Incidencias</t>
        </is>
      </c>
      <c r="AE45" s="64" t="inlineStr">
        <is>
          <t>SKU duplicado; [Aviso] Ciclo de vida no capturado ()</t>
        </is>
      </c>
      <c r="AF45" s="64" t="n"/>
      <c r="AG45" s="59" t="n"/>
      <c r="AH45" s="155" t="n"/>
      <c r="AI45" s="59" t="n"/>
      <c r="AJ45" s="155" t="inlineStr">
        <is>
          <t>Nuevo – Carga Hoja3 01/10/2026</t>
        </is>
      </c>
      <c r="AK45" s="155" t="inlineStr">
        <is>
          <t>Alta 01/10/2026 desde Hoja3 (fila 716); Mismo SKU que la fila 2447 con otro código/ID; revisar cuál es el vigente | 01/10/2026: complementado desde Odoo Universal Unique Brands (match por código de barras): WB Talla de EE. UU.</t>
        </is>
      </c>
      <c r="AL45" s="155" t="n"/>
      <c r="AM45" s="155" t="n"/>
      <c r="AN45" s="155" t="inlineStr">
        <is>
          <t>Hoja3: fila 716 | Odoo: producto 30986 / plantilla 39662</t>
        </is>
      </c>
      <c r="AO45" s="58" t="n"/>
      <c r="AP45" s="58" t="n"/>
      <c r="AQ45" s="155" t="inlineStr">
        <is>
          <t>Odoo Universal Unique Brands</t>
        </is>
      </c>
      <c r="AR45" s="59" t="n"/>
      <c r="AS45" s="59" t="n"/>
      <c r="AT45" s="59" t="n">
        <v>17</v>
      </c>
      <c r="AU45" s="155" t="inlineStr">
        <is>
          <t>Odoo Universal Unique Brands › Bodega 25 › Bodega 25/General: 17</t>
        </is>
      </c>
    </row>
    <row r="46">
      <c r="A46" s="51" t="n">
        <v>27</v>
      </c>
      <c r="B46" s="156" t="inlineStr">
        <is>
          <t>Productos — registro conservado</t>
        </is>
      </c>
      <c r="C46" s="125" t="inlineStr">
        <is>
          <t>Homologación G1522: mismo producto (mismo WB SKU)</t>
        </is>
      </c>
      <c r="D46" s="60" t="inlineStr">
        <is>
          <t>7506674600896</t>
        </is>
      </c>
      <c r="E46" s="59" t="inlineStr">
        <is>
          <t>117899</t>
        </is>
      </c>
      <c r="F46" s="155" t="inlineStr">
        <is>
          <t>Wrangler</t>
        </is>
      </c>
      <c r="G46" s="155" t="inlineStr">
        <is>
          <t>C49730-59</t>
        </is>
      </c>
      <c r="H46" s="155" t="inlineStr">
        <is>
          <t>C49730-59-32</t>
        </is>
      </c>
      <c r="I46" s="155" t="inlineStr">
        <is>
          <t>32</t>
        </is>
      </c>
      <c r="J46" s="155" t="inlineStr">
        <is>
          <t>32</t>
        </is>
      </c>
      <c r="K46" s="155" t="inlineStr">
        <is>
          <t>Wrangler</t>
        </is>
      </c>
      <c r="L46" s="155" t="inlineStr">
        <is>
          <t>Cinturón Wrangler Una Vista Casual para Hombre, Color Negro</t>
        </is>
      </c>
      <c r="M46" s="155" t="inlineStr">
        <is>
          <t>Accesorios</t>
        </is>
      </c>
      <c r="N46" s="155" t="inlineStr">
        <is>
          <t>Cinturones</t>
        </is>
      </c>
      <c r="O46" s="155" t="inlineStr">
        <is>
          <t>Hombre</t>
        </is>
      </c>
      <c r="P46" s="155" t="inlineStr">
        <is>
          <t>Wrangler</t>
        </is>
      </c>
      <c r="Q46" s="155" t="inlineStr">
        <is>
          <t>SS26</t>
        </is>
      </c>
      <c r="R46" s="155" t="inlineStr">
        <is>
          <t>Seasonal</t>
        </is>
      </c>
      <c r="S46" s="155" t="inlineStr">
        <is>
          <t>Negro</t>
        </is>
      </c>
      <c r="T46" s="155" t="n"/>
      <c r="U46" s="155" t="n"/>
      <c r="V46" s="155" t="inlineStr">
        <is>
          <t>100% piel de vacuno</t>
        </is>
      </c>
      <c r="W46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46" s="155" t="inlineStr">
        <is>
          <t>México</t>
        </is>
      </c>
      <c r="Y46" s="155" t="inlineStr">
        <is>
          <t>PZS</t>
        </is>
      </c>
      <c r="Z46" s="59" t="inlineStr">
        <is>
          <t>53102501</t>
        </is>
      </c>
      <c r="AA46" s="126" t="n"/>
      <c r="AB46" s="61" t="n">
        <v>344.48</v>
      </c>
      <c r="AC46" s="61" t="n">
        <v>949</v>
      </c>
      <c r="AD46" s="62" t="inlineStr">
        <is>
          <t>Con Incidencias</t>
        </is>
      </c>
      <c r="AE46" s="64" t="inlineStr">
        <is>
          <t>SKU duplicado</t>
        </is>
      </c>
      <c r="AF46" s="64" t="n"/>
      <c r="AG46" s="59" t="n">
        <v>1</v>
      </c>
      <c r="AH46" s="155" t="inlineStr">
        <is>
          <t>WB OUTLET LERMA (1)</t>
        </is>
      </c>
      <c r="AI46" s="59" t="n">
        <v>1</v>
      </c>
      <c r="AJ46" s="155" t="inlineStr">
        <is>
          <t>Catálogo existente</t>
        </is>
      </c>
      <c r="AK46" s="155" t="inlineStr">
        <is>
          <t>Coincidencia por código de barras (ID NetSuite 117899) | ID alternativo de Hoja a Revisar 117899 (UPC coincidente); se conserva ID principal; Auditoría NetSuite 30/09/2026: llenado desde NetSuite [Z]; Vinculado por código de barras al ID NetSuite 117899 (antes en Identificador interno: 'C49730-59-32'); 01/10/2026: mismo SKU registrado también en fila 67722 con código 7503063066608 (ID 30965, desde Hoja3); revisar cuál es el vigente | 01/10/2026: complementado desde Shopify Western Brothers (match por código de barras): WB Fit, WB Silueta</t>
        </is>
      </c>
      <c r="AL46" s="155" t="inlineStr">
        <is>
          <t>No</t>
        </is>
      </c>
      <c r="AM46" s="155" t="n"/>
      <c r="AN46" s="155" t="inlineStr">
        <is>
          <t>| Hoja a Revisar: fila 196066 (ID 117899, misma clave UPC); G1522_Extraccion_Articulos_NetSuite_2026-09-30.xlsx: fila 64140 [Z] | Shopify WB: producto 10310436290745 / variante 50512590340281</t>
        </is>
      </c>
      <c r="AO46" s="58" t="inlineStr">
        <is>
          <t>344,48</t>
        </is>
      </c>
      <c r="AP46" s="58" t="n"/>
      <c r="AQ46" s="155" t="inlineStr">
        <is>
          <t>Shopify Western Brothers</t>
        </is>
      </c>
      <c r="AR46" s="59" t="n"/>
      <c r="AS46" s="59" t="n">
        <v>1</v>
      </c>
      <c r="AT46" s="59" t="n"/>
      <c r="AU46" s="155" t="inlineStr">
        <is>
          <t>Shopify Western Brothers › Western Brothers Outlet Lerma: 1</t>
        </is>
      </c>
    </row>
    <row r="47">
      <c r="A47" s="51" t="n">
        <v>27</v>
      </c>
      <c r="B47" s="156" t="inlineStr">
        <is>
          <t>Productos — registro integrado en el anterior</t>
        </is>
      </c>
      <c r="C47" s="125" t="inlineStr">
        <is>
          <t>Homologación G1522: mismo producto (mismo WB SKU)</t>
        </is>
      </c>
      <c r="D47" s="60" t="inlineStr">
        <is>
          <t>7503063066608</t>
        </is>
      </c>
      <c r="E47" s="59" t="inlineStr">
        <is>
          <t>30965</t>
        </is>
      </c>
      <c r="F47" s="155" t="inlineStr">
        <is>
          <t>Wrangler</t>
        </is>
      </c>
      <c r="G47" s="155" t="inlineStr">
        <is>
          <t>C49730-59</t>
        </is>
      </c>
      <c r="H47" s="155" t="inlineStr">
        <is>
          <t>C49730-59-32</t>
        </is>
      </c>
      <c r="I47" s="155" t="inlineStr">
        <is>
          <t>32</t>
        </is>
      </c>
      <c r="J47" s="155" t="inlineStr">
        <is>
          <t>32</t>
        </is>
      </c>
      <c r="K47" s="155" t="inlineStr">
        <is>
          <t>Wrangler</t>
        </is>
      </c>
      <c r="L47" s="155" t="inlineStr">
        <is>
          <t>Cinturon de hombre C49730-59 Negro</t>
        </is>
      </c>
      <c r="M47" s="155" t="inlineStr">
        <is>
          <t>Accesorios</t>
        </is>
      </c>
      <c r="N47" s="155" t="inlineStr">
        <is>
          <t>Cinturones</t>
        </is>
      </c>
      <c r="O47" s="155" t="inlineStr">
        <is>
          <t>Hombre</t>
        </is>
      </c>
      <c r="P47" s="155" t="inlineStr">
        <is>
          <t>Wrangler</t>
        </is>
      </c>
      <c r="Q47" s="155" t="inlineStr">
        <is>
          <t>FW26</t>
        </is>
      </c>
      <c r="R47" s="155" t="n"/>
      <c r="S47" s="155" t="inlineStr">
        <is>
          <t>Negro</t>
        </is>
      </c>
      <c r="T47" s="155" t="n"/>
      <c r="U47" s="155" t="n"/>
      <c r="V47" s="155" t="inlineStr">
        <is>
          <t>100% PIEL VACUNO</t>
        </is>
      </c>
      <c r="W47" s="155" t="inlineStr">
        <is>
          <t>Cinturón para Caballero de Piel</t>
        </is>
      </c>
      <c r="X47" s="155" t="inlineStr">
        <is>
          <t>México</t>
        </is>
      </c>
      <c r="Y47" s="155" t="inlineStr">
        <is>
          <t>PZS</t>
        </is>
      </c>
      <c r="Z47" s="59" t="inlineStr">
        <is>
          <t>53102501</t>
        </is>
      </c>
      <c r="AA47" s="126" t="n"/>
      <c r="AB47" s="61" t="n">
        <v>344.48</v>
      </c>
      <c r="AC47" s="61" t="n">
        <v>430.603448</v>
      </c>
      <c r="AD47" s="62" t="inlineStr">
        <is>
          <t>Con Incidencias</t>
        </is>
      </c>
      <c r="AE47" s="64" t="inlineStr">
        <is>
          <t>SKU duplicado; [Aviso] Ciclo de vida no capturado ()</t>
        </is>
      </c>
      <c r="AF47" s="64" t="n"/>
      <c r="AG47" s="59" t="n"/>
      <c r="AH47" s="155" t="n"/>
      <c r="AI47" s="59" t="n"/>
      <c r="AJ47" s="155" t="inlineStr">
        <is>
          <t>Nuevo – Carga Hoja3 01/10/2026</t>
        </is>
      </c>
      <c r="AK47" s="155" t="inlineStr">
        <is>
          <t>Alta 01/10/2026 desde Hoja3 (fila 703); Mismo SKU que la fila 2448 con otro código/ID; revisar cuál es el vigente | 01/10/2026: complementado desde Odoo Universal Unique Brands (match por código de barras): WB Talla de EE. UU.</t>
        </is>
      </c>
      <c r="AL47" s="155" t="n"/>
      <c r="AM47" s="155" t="n"/>
      <c r="AN47" s="155" t="inlineStr">
        <is>
          <t>Hoja3: fila 703 | Odoo: producto 30965 / plantilla 39661</t>
        </is>
      </c>
      <c r="AO47" s="58" t="n"/>
      <c r="AP47" s="58" t="n"/>
      <c r="AQ47" s="155" t="inlineStr">
        <is>
          <t>Odoo Universal Unique Brands</t>
        </is>
      </c>
      <c r="AR47" s="59" t="n"/>
      <c r="AS47" s="59" t="n"/>
      <c r="AT47" s="59" t="n">
        <v>5</v>
      </c>
      <c r="AU47" s="155" t="inlineStr">
        <is>
          <t>Odoo Universal Unique Brands › Bodega 25 › Bodega 25/General: 5</t>
        </is>
      </c>
    </row>
    <row r="48">
      <c r="A48" s="51" t="n">
        <v>28</v>
      </c>
      <c r="B48" s="156" t="inlineStr">
        <is>
          <t>Productos — registro conservado</t>
        </is>
      </c>
      <c r="C48" s="125" t="inlineStr">
        <is>
          <t>Homologación G1522: mismo producto (mismo WB SKU)</t>
        </is>
      </c>
      <c r="D48" s="60" t="inlineStr">
        <is>
          <t>7506674600902</t>
        </is>
      </c>
      <c r="E48" s="59" t="inlineStr">
        <is>
          <t>117900</t>
        </is>
      </c>
      <c r="F48" s="155" t="inlineStr">
        <is>
          <t>Wrangler</t>
        </is>
      </c>
      <c r="G48" s="155" t="inlineStr">
        <is>
          <t>C49730-59</t>
        </is>
      </c>
      <c r="H48" s="155" t="inlineStr">
        <is>
          <t>C49730-59-34</t>
        </is>
      </c>
      <c r="I48" s="155" t="inlineStr">
        <is>
          <t>34</t>
        </is>
      </c>
      <c r="J48" s="155" t="inlineStr">
        <is>
          <t>34</t>
        </is>
      </c>
      <c r="K48" s="155" t="inlineStr">
        <is>
          <t>Wrangler</t>
        </is>
      </c>
      <c r="L48" s="155" t="inlineStr">
        <is>
          <t>Cinturón Wrangler Una Vista Casual para Hombre, Color Negro</t>
        </is>
      </c>
      <c r="M48" s="155" t="inlineStr">
        <is>
          <t>Accesorios</t>
        </is>
      </c>
      <c r="N48" s="155" t="inlineStr">
        <is>
          <t>Cinturones</t>
        </is>
      </c>
      <c r="O48" s="155" t="inlineStr">
        <is>
          <t>Hombre</t>
        </is>
      </c>
      <c r="P48" s="155" t="inlineStr">
        <is>
          <t>Wrangler</t>
        </is>
      </c>
      <c r="Q48" s="155" t="inlineStr">
        <is>
          <t>SS26</t>
        </is>
      </c>
      <c r="R48" s="155" t="inlineStr">
        <is>
          <t>Seasonal</t>
        </is>
      </c>
      <c r="S48" s="155" t="inlineStr">
        <is>
          <t>Negro</t>
        </is>
      </c>
      <c r="T48" s="155" t="n"/>
      <c r="U48" s="155" t="n"/>
      <c r="V48" s="155" t="inlineStr">
        <is>
          <t>100% piel de vacuno</t>
        </is>
      </c>
      <c r="W48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48" s="155" t="inlineStr">
        <is>
          <t>México</t>
        </is>
      </c>
      <c r="Y48" s="155" t="inlineStr">
        <is>
          <t>PZS</t>
        </is>
      </c>
      <c r="Z48" s="59" t="inlineStr">
        <is>
          <t>53102501</t>
        </is>
      </c>
      <c r="AA48" s="126" t="n"/>
      <c r="AB48" s="61" t="n">
        <v>344.48</v>
      </c>
      <c r="AC48" s="61" t="n">
        <v>949</v>
      </c>
      <c r="AD48" s="62" t="inlineStr">
        <is>
          <t>Con Incidencias</t>
        </is>
      </c>
      <c r="AE48" s="64" t="inlineStr">
        <is>
          <t>SKU duplicado</t>
        </is>
      </c>
      <c r="AF48" s="64" t="n"/>
      <c r="AG48" s="59" t="n">
        <v>2</v>
      </c>
      <c r="AH48" s="155" t="inlineStr">
        <is>
          <t>WB OUTLET LERMA (2)</t>
        </is>
      </c>
      <c r="AI48" s="59" t="n">
        <v>2</v>
      </c>
      <c r="AJ48" s="155" t="inlineStr">
        <is>
          <t>Catálogo existente</t>
        </is>
      </c>
      <c r="AK48" s="155" t="inlineStr">
        <is>
          <t>Coincidencia por código de barras (ID NetSuite 117900) | ID alternativo de Hoja a Revisar 117900 (UPC coincidente); se conserva ID principal; Auditoría NetSuite 30/09/2026: llenado desde NetSuite [Z]; Vinculado por código de barras al ID NetSuite 117900 (antes en Identificador interno: 'C49730-59-34'); 01/10/2026: mismo SKU registrado también en fila 67723 con código 7503063066615 (ID 30966, desde Hoja3); revisar cuál es el vigente | 01/10/2026: complementado desde Shopify Western Brothers (match por código de barras): WB Fit, WB Silueta</t>
        </is>
      </c>
      <c r="AL48" s="155" t="inlineStr">
        <is>
          <t>No</t>
        </is>
      </c>
      <c r="AM48" s="155" t="n"/>
      <c r="AN48" s="155" t="inlineStr">
        <is>
          <t>| Hoja a Revisar: fila 196067 (ID 117900, misma clave UPC); G1522_Extraccion_Articulos_NetSuite_2026-09-30.xlsx: fila 64141 [Z] | Shopify WB: producto 10310436290745 / variante 50512590373049</t>
        </is>
      </c>
      <c r="AO48" s="58" t="inlineStr">
        <is>
          <t>344,48</t>
        </is>
      </c>
      <c r="AP48" s="58" t="n"/>
      <c r="AQ48" s="155" t="inlineStr">
        <is>
          <t>Shopify Western Brothers</t>
        </is>
      </c>
      <c r="AR48" s="59" t="n"/>
      <c r="AS48" s="59" t="n">
        <v>2</v>
      </c>
      <c r="AT48" s="59" t="n"/>
      <c r="AU48" s="155" t="inlineStr">
        <is>
          <t>Shopify Western Brothers › Western Brothers Outlet Lerma: 2</t>
        </is>
      </c>
    </row>
    <row r="49">
      <c r="A49" s="51" t="n">
        <v>28</v>
      </c>
      <c r="B49" s="156" t="inlineStr">
        <is>
          <t>Productos — registro integrado en el anterior</t>
        </is>
      </c>
      <c r="C49" s="125" t="inlineStr">
        <is>
          <t>Homologación G1522: mismo producto (mismo WB SKU)</t>
        </is>
      </c>
      <c r="D49" s="60" t="inlineStr">
        <is>
          <t>7503063066615</t>
        </is>
      </c>
      <c r="E49" s="59" t="inlineStr">
        <is>
          <t>30966</t>
        </is>
      </c>
      <c r="F49" s="155" t="inlineStr">
        <is>
          <t>Wrangler</t>
        </is>
      </c>
      <c r="G49" s="155" t="inlineStr">
        <is>
          <t>C49730-59</t>
        </is>
      </c>
      <c r="H49" s="155" t="inlineStr">
        <is>
          <t>C49730-59-34</t>
        </is>
      </c>
      <c r="I49" s="155" t="inlineStr">
        <is>
          <t>34</t>
        </is>
      </c>
      <c r="J49" s="155" t="inlineStr">
        <is>
          <t>34</t>
        </is>
      </c>
      <c r="K49" s="155" t="inlineStr">
        <is>
          <t>Wrangler</t>
        </is>
      </c>
      <c r="L49" s="155" t="inlineStr">
        <is>
          <t>Cinturon de hombre C49730-59 Negro</t>
        </is>
      </c>
      <c r="M49" s="155" t="inlineStr">
        <is>
          <t>Accesorios</t>
        </is>
      </c>
      <c r="N49" s="155" t="inlineStr">
        <is>
          <t>Cinturones</t>
        </is>
      </c>
      <c r="O49" s="155" t="inlineStr">
        <is>
          <t>Hombre</t>
        </is>
      </c>
      <c r="P49" s="155" t="inlineStr">
        <is>
          <t>Wrangler</t>
        </is>
      </c>
      <c r="Q49" s="155" t="inlineStr">
        <is>
          <t>FW26</t>
        </is>
      </c>
      <c r="R49" s="155" t="n"/>
      <c r="S49" s="155" t="inlineStr">
        <is>
          <t>Negro</t>
        </is>
      </c>
      <c r="T49" s="155" t="n"/>
      <c r="U49" s="155" t="n"/>
      <c r="V49" s="155" t="inlineStr">
        <is>
          <t>100% PIEL VACUNO</t>
        </is>
      </c>
      <c r="W49" s="155" t="inlineStr">
        <is>
          <t>Cinturón para Caballero de Piel</t>
        </is>
      </c>
      <c r="X49" s="155" t="inlineStr">
        <is>
          <t>México</t>
        </is>
      </c>
      <c r="Y49" s="155" t="inlineStr">
        <is>
          <t>PZS</t>
        </is>
      </c>
      <c r="Z49" s="59" t="inlineStr">
        <is>
          <t>53102501</t>
        </is>
      </c>
      <c r="AA49" s="126" t="n"/>
      <c r="AB49" s="61" t="n">
        <v>344.48</v>
      </c>
      <c r="AC49" s="61" t="n">
        <v>430.603448</v>
      </c>
      <c r="AD49" s="62" t="inlineStr">
        <is>
          <t>Con Incidencias</t>
        </is>
      </c>
      <c r="AE49" s="64" t="inlineStr">
        <is>
          <t>SKU duplicado; [Aviso] Ciclo de vida no capturado ()</t>
        </is>
      </c>
      <c r="AF49" s="64" t="n"/>
      <c r="AG49" s="59" t="n"/>
      <c r="AH49" s="155" t="n"/>
      <c r="AI49" s="59" t="n"/>
      <c r="AJ49" s="155" t="inlineStr">
        <is>
          <t>Nuevo – Carga Hoja3 01/10/2026</t>
        </is>
      </c>
      <c r="AK49" s="155" t="inlineStr">
        <is>
          <t>Alta 01/10/2026 desde Hoja3 (fila 704); Mismo SKU que la fila 2449 con otro código/ID; revisar cuál es el vigente | 01/10/2026: complementado desde Odoo Universal Unique Brands (match por código de barras): WB Talla de EE. UU.</t>
        </is>
      </c>
      <c r="AL49" s="155" t="n"/>
      <c r="AM49" s="155" t="n"/>
      <c r="AN49" s="155" t="inlineStr">
        <is>
          <t>Hoja3: fila 704 | Odoo: producto 30966 / plantilla 39661</t>
        </is>
      </c>
      <c r="AO49" s="58" t="n"/>
      <c r="AP49" s="58" t="n"/>
      <c r="AQ49" s="155" t="inlineStr">
        <is>
          <t>Odoo Universal Unique Brands</t>
        </is>
      </c>
      <c r="AR49" s="59" t="n"/>
      <c r="AS49" s="59" t="n"/>
      <c r="AT49" s="59" t="n">
        <v>10</v>
      </c>
      <c r="AU49" s="155" t="inlineStr">
        <is>
          <t>Odoo Universal Unique Brands › Bodega 25 › Bodega 25/General: 10</t>
        </is>
      </c>
    </row>
    <row r="50">
      <c r="A50" s="51" t="n">
        <v>29</v>
      </c>
      <c r="B50" s="156" t="inlineStr">
        <is>
          <t>Productos — registro conservado</t>
        </is>
      </c>
      <c r="C50" s="125" t="inlineStr">
        <is>
          <t>Homologación G1522: mismo producto (mismo WB SKU)</t>
        </is>
      </c>
      <c r="D50" s="60" t="inlineStr">
        <is>
          <t>7506674600919</t>
        </is>
      </c>
      <c r="E50" s="59" t="inlineStr">
        <is>
          <t>117901</t>
        </is>
      </c>
      <c r="F50" s="155" t="inlineStr">
        <is>
          <t>Wrangler</t>
        </is>
      </c>
      <c r="G50" s="155" t="inlineStr">
        <is>
          <t>C49730-59</t>
        </is>
      </c>
      <c r="H50" s="155" t="inlineStr">
        <is>
          <t>C49730-59-36</t>
        </is>
      </c>
      <c r="I50" s="155" t="inlineStr">
        <is>
          <t>36</t>
        </is>
      </c>
      <c r="J50" s="155" t="inlineStr">
        <is>
          <t>36</t>
        </is>
      </c>
      <c r="K50" s="155" t="inlineStr">
        <is>
          <t>Wrangler</t>
        </is>
      </c>
      <c r="L50" s="155" t="inlineStr">
        <is>
          <t>Cinturón Wrangler Una Vista Casual para Hombre, Color Negro</t>
        </is>
      </c>
      <c r="M50" s="155" t="inlineStr">
        <is>
          <t>Accesorios</t>
        </is>
      </c>
      <c r="N50" s="155" t="inlineStr">
        <is>
          <t>Cinturones</t>
        </is>
      </c>
      <c r="O50" s="155" t="inlineStr">
        <is>
          <t>Hombre</t>
        </is>
      </c>
      <c r="P50" s="155" t="inlineStr">
        <is>
          <t>Wrangler</t>
        </is>
      </c>
      <c r="Q50" s="155" t="inlineStr">
        <is>
          <t>SS26</t>
        </is>
      </c>
      <c r="R50" s="155" t="inlineStr">
        <is>
          <t>Seasonal</t>
        </is>
      </c>
      <c r="S50" s="155" t="inlineStr">
        <is>
          <t>Negro</t>
        </is>
      </c>
      <c r="T50" s="155" t="n"/>
      <c r="U50" s="155" t="n"/>
      <c r="V50" s="155" t="inlineStr">
        <is>
          <t>100% piel de vacuno</t>
        </is>
      </c>
      <c r="W50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50" s="155" t="inlineStr">
        <is>
          <t>México</t>
        </is>
      </c>
      <c r="Y50" s="155" t="inlineStr">
        <is>
          <t>PZS</t>
        </is>
      </c>
      <c r="Z50" s="59" t="inlineStr">
        <is>
          <t>53102501</t>
        </is>
      </c>
      <c r="AA50" s="126" t="n"/>
      <c r="AB50" s="61" t="n">
        <v>344.48</v>
      </c>
      <c r="AC50" s="61" t="n">
        <v>949</v>
      </c>
      <c r="AD50" s="62" t="inlineStr">
        <is>
          <t>Con Incidencias</t>
        </is>
      </c>
      <c r="AE50" s="64" t="inlineStr">
        <is>
          <t>SKU duplicado</t>
        </is>
      </c>
      <c r="AF50" s="64" t="n"/>
      <c r="AG50" s="59" t="n">
        <v>2</v>
      </c>
      <c r="AH50" s="155" t="inlineStr">
        <is>
          <t>WB OUTLET LERMA (2)</t>
        </is>
      </c>
      <c r="AI50" s="59" t="n">
        <v>2</v>
      </c>
      <c r="AJ50" s="155" t="inlineStr">
        <is>
          <t>Catálogo existente</t>
        </is>
      </c>
      <c r="AK50" s="155" t="inlineStr">
        <is>
          <t>Coincidencia por código de barras (ID NetSuite 117901) | ID alternativo de Hoja a Revisar 117901 (UPC coincidente); se conserva ID principal; Auditoría NetSuite 30/09/2026: llenado desde NetSuite [Z]; Vinculado por código de barras al ID NetSuite 117901 (antes en Identificador interno: 'C49730-59-36'); 01/10/2026: mismo SKU registrado también en fila 67724 con código 7503063066622 (ID 30967, desde Hoja3); revisar cuál es el vigente | 01/10/2026: complementado desde Shopify Western Brothers (match por código de barras): WB Fit, WB Silueta</t>
        </is>
      </c>
      <c r="AL50" s="155" t="inlineStr">
        <is>
          <t>No</t>
        </is>
      </c>
      <c r="AM50" s="155" t="n"/>
      <c r="AN50" s="155" t="inlineStr">
        <is>
          <t>| Hoja a Revisar: fila 196068 (ID 117901, misma clave UPC); G1522_Extraccion_Articulos_NetSuite_2026-09-30.xlsx: fila 64142 [Z] | Shopify WB: producto 10310436290745 / variante 50512590405817</t>
        </is>
      </c>
      <c r="AO50" s="58" t="inlineStr">
        <is>
          <t>344,48</t>
        </is>
      </c>
      <c r="AP50" s="58" t="n"/>
      <c r="AQ50" s="155" t="inlineStr">
        <is>
          <t>Shopify Western Brothers</t>
        </is>
      </c>
      <c r="AR50" s="59" t="n"/>
      <c r="AS50" s="59" t="n">
        <v>2</v>
      </c>
      <c r="AT50" s="59" t="n"/>
      <c r="AU50" s="155" t="inlineStr">
        <is>
          <t>Shopify Western Brothers › Western Brothers Outlet Lerma: 2</t>
        </is>
      </c>
    </row>
    <row r="51">
      <c r="A51" s="51" t="n">
        <v>29</v>
      </c>
      <c r="B51" s="156" t="inlineStr">
        <is>
          <t>Productos — registro integrado en el anterior</t>
        </is>
      </c>
      <c r="C51" s="125" t="inlineStr">
        <is>
          <t>Homologación G1522: mismo producto (mismo WB SKU)</t>
        </is>
      </c>
      <c r="D51" s="60" t="inlineStr">
        <is>
          <t>7503063066622</t>
        </is>
      </c>
      <c r="E51" s="59" t="inlineStr">
        <is>
          <t>30967</t>
        </is>
      </c>
      <c r="F51" s="155" t="inlineStr">
        <is>
          <t>Wrangler</t>
        </is>
      </c>
      <c r="G51" s="155" t="inlineStr">
        <is>
          <t>C49730-59</t>
        </is>
      </c>
      <c r="H51" s="155" t="inlineStr">
        <is>
          <t>C49730-59-36</t>
        </is>
      </c>
      <c r="I51" s="155" t="inlineStr">
        <is>
          <t>36</t>
        </is>
      </c>
      <c r="J51" s="155" t="inlineStr">
        <is>
          <t>36</t>
        </is>
      </c>
      <c r="K51" s="155" t="inlineStr">
        <is>
          <t>Wrangler</t>
        </is>
      </c>
      <c r="L51" s="155" t="inlineStr">
        <is>
          <t>Cinturon de hombre C49730-59 Negro</t>
        </is>
      </c>
      <c r="M51" s="155" t="inlineStr">
        <is>
          <t>Accesorios</t>
        </is>
      </c>
      <c r="N51" s="155" t="inlineStr">
        <is>
          <t>Cinturones</t>
        </is>
      </c>
      <c r="O51" s="155" t="inlineStr">
        <is>
          <t>Hombre</t>
        </is>
      </c>
      <c r="P51" s="155" t="inlineStr">
        <is>
          <t>Wrangler</t>
        </is>
      </c>
      <c r="Q51" s="155" t="inlineStr">
        <is>
          <t>FW26</t>
        </is>
      </c>
      <c r="R51" s="155" t="n"/>
      <c r="S51" s="155" t="inlineStr">
        <is>
          <t>Negro</t>
        </is>
      </c>
      <c r="T51" s="155" t="n"/>
      <c r="U51" s="155" t="n"/>
      <c r="V51" s="155" t="inlineStr">
        <is>
          <t>100% PIEL VACUNO</t>
        </is>
      </c>
      <c r="W51" s="155" t="inlineStr">
        <is>
          <t>Cinturón para Caballero de Piel</t>
        </is>
      </c>
      <c r="X51" s="155" t="inlineStr">
        <is>
          <t>México</t>
        </is>
      </c>
      <c r="Y51" s="155" t="inlineStr">
        <is>
          <t>PZS</t>
        </is>
      </c>
      <c r="Z51" s="59" t="inlineStr">
        <is>
          <t>53102501</t>
        </is>
      </c>
      <c r="AA51" s="126" t="n"/>
      <c r="AB51" s="61" t="n">
        <v>344.48</v>
      </c>
      <c r="AC51" s="61" t="n">
        <v>430.603448</v>
      </c>
      <c r="AD51" s="62" t="inlineStr">
        <is>
          <t>Con Incidencias</t>
        </is>
      </c>
      <c r="AE51" s="64" t="inlineStr">
        <is>
          <t>SKU duplicado; [Aviso] Ciclo de vida no capturado ()</t>
        </is>
      </c>
      <c r="AF51" s="64" t="n"/>
      <c r="AG51" s="59" t="n"/>
      <c r="AH51" s="155" t="n"/>
      <c r="AI51" s="59" t="n"/>
      <c r="AJ51" s="155" t="inlineStr">
        <is>
          <t>Nuevo – Carga Hoja3 01/10/2026</t>
        </is>
      </c>
      <c r="AK51" s="155" t="inlineStr">
        <is>
          <t>Alta 01/10/2026 desde Hoja3 (fila 705); Mismo SKU que la fila 2450 con otro código/ID; revisar cuál es el vigente | 01/10/2026: complementado desde Odoo Universal Unique Brands (match por código de barras): WB Talla de EE. UU.</t>
        </is>
      </c>
      <c r="AL51" s="155" t="n"/>
      <c r="AM51" s="155" t="n"/>
      <c r="AN51" s="155" t="inlineStr">
        <is>
          <t>Hoja3: fila 705 | Odoo: producto 30967 / plantilla 39661</t>
        </is>
      </c>
      <c r="AO51" s="58" t="n"/>
      <c r="AP51" s="58" t="n"/>
      <c r="AQ51" s="155" t="inlineStr">
        <is>
          <t>Odoo Universal Unique Brands</t>
        </is>
      </c>
      <c r="AR51" s="59" t="n"/>
      <c r="AS51" s="59" t="n"/>
      <c r="AT51" s="59" t="n">
        <v>10</v>
      </c>
      <c r="AU51" s="155" t="inlineStr">
        <is>
          <t>Odoo Universal Unique Brands › Bodega 25 › Bodega 25/General: 10</t>
        </is>
      </c>
    </row>
    <row r="52">
      <c r="A52" s="51" t="n">
        <v>30</v>
      </c>
      <c r="B52" s="156" t="inlineStr">
        <is>
          <t>Productos — registro conservado</t>
        </is>
      </c>
      <c r="C52" s="125" t="inlineStr">
        <is>
          <t>Homologación G1522: mismo producto (mismo WB SKU)</t>
        </is>
      </c>
      <c r="D52" s="60" t="inlineStr">
        <is>
          <t>7506674600926</t>
        </is>
      </c>
      <c r="E52" s="59" t="inlineStr">
        <is>
          <t>117902</t>
        </is>
      </c>
      <c r="F52" s="155" t="inlineStr">
        <is>
          <t>Wrangler</t>
        </is>
      </c>
      <c r="G52" s="155" t="inlineStr">
        <is>
          <t>C49730-59</t>
        </is>
      </c>
      <c r="H52" s="155" t="inlineStr">
        <is>
          <t>C49730-59-38</t>
        </is>
      </c>
      <c r="I52" s="155" t="inlineStr">
        <is>
          <t>38</t>
        </is>
      </c>
      <c r="J52" s="155" t="inlineStr">
        <is>
          <t>38</t>
        </is>
      </c>
      <c r="K52" s="155" t="inlineStr">
        <is>
          <t>Wrangler</t>
        </is>
      </c>
      <c r="L52" s="155" t="inlineStr">
        <is>
          <t>Cinturón Wrangler Una Vista Casual para Hombre, Color Negro</t>
        </is>
      </c>
      <c r="M52" s="155" t="inlineStr">
        <is>
          <t>Accesorios</t>
        </is>
      </c>
      <c r="N52" s="155" t="inlineStr">
        <is>
          <t>Cinturones</t>
        </is>
      </c>
      <c r="O52" s="155" t="inlineStr">
        <is>
          <t>Hombre</t>
        </is>
      </c>
      <c r="P52" s="155" t="inlineStr">
        <is>
          <t>Wrangler</t>
        </is>
      </c>
      <c r="Q52" s="155" t="inlineStr">
        <is>
          <t>SS26</t>
        </is>
      </c>
      <c r="R52" s="155" t="inlineStr">
        <is>
          <t>Seasonal</t>
        </is>
      </c>
      <c r="S52" s="155" t="inlineStr">
        <is>
          <t>Negro</t>
        </is>
      </c>
      <c r="T52" s="155" t="n"/>
      <c r="U52" s="155" t="n"/>
      <c r="V52" s="155" t="inlineStr">
        <is>
          <t>100% piel de vacuno</t>
        </is>
      </c>
      <c r="W52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52" s="155" t="inlineStr">
        <is>
          <t>México</t>
        </is>
      </c>
      <c r="Y52" s="155" t="inlineStr">
        <is>
          <t>PZS</t>
        </is>
      </c>
      <c r="Z52" s="59" t="inlineStr">
        <is>
          <t>53102501</t>
        </is>
      </c>
      <c r="AA52" s="126" t="n"/>
      <c r="AB52" s="61" t="n">
        <v>344.48</v>
      </c>
      <c r="AC52" s="61" t="n">
        <v>949</v>
      </c>
      <c r="AD52" s="62" t="inlineStr">
        <is>
          <t>Con Incidencias</t>
        </is>
      </c>
      <c r="AE52" s="64" t="inlineStr">
        <is>
          <t>SKU duplicado</t>
        </is>
      </c>
      <c r="AF52" s="64" t="n"/>
      <c r="AG52" s="59" t="n">
        <v>3</v>
      </c>
      <c r="AH52" s="155" t="inlineStr">
        <is>
          <t>WB OUTLET LERMA (3)</t>
        </is>
      </c>
      <c r="AI52" s="59" t="n">
        <v>3</v>
      </c>
      <c r="AJ52" s="155" t="inlineStr">
        <is>
          <t>Catálogo existente</t>
        </is>
      </c>
      <c r="AK52" s="155" t="inlineStr">
        <is>
          <t>Coincidencia por código de barras (ID NetSuite 117902) | ID alternativo de Hoja a Revisar 117902 (UPC coincidente); se conserva ID principal; Auditoría NetSuite 30/09/2026: llenado desde NetSuite [Z]; Vinculado por código de barras al ID NetSuite 117902 (antes en Identificador interno: 'C49730-59-38'); 01/10/2026: mismo SKU registrado también en fila 67725 con código 7503063066639 (ID 30968, desde Hoja3); revisar cuál es el vigente | 01/10/2026: complementado desde Shopify Western Brothers (match por código de barras): WB Fit, WB Silueta</t>
        </is>
      </c>
      <c r="AL52" s="155" t="inlineStr">
        <is>
          <t>No</t>
        </is>
      </c>
      <c r="AM52" s="155" t="n"/>
      <c r="AN52" s="155" t="inlineStr">
        <is>
          <t>| Hoja a Revisar: fila 196069 (ID 117902, misma clave UPC); G1522_Extraccion_Articulos_NetSuite_2026-09-30.xlsx: fila 64143 [Z] | Shopify WB: producto 10310436290745 / variante 50512590438585</t>
        </is>
      </c>
      <c r="AO52" s="58" t="inlineStr">
        <is>
          <t>344,48</t>
        </is>
      </c>
      <c r="AP52" s="58" t="n"/>
      <c r="AQ52" s="155" t="inlineStr">
        <is>
          <t>Shopify Western Brothers</t>
        </is>
      </c>
      <c r="AR52" s="59" t="n"/>
      <c r="AS52" s="59" t="n">
        <v>3</v>
      </c>
      <c r="AT52" s="59" t="n"/>
      <c r="AU52" s="155" t="inlineStr">
        <is>
          <t>Shopify Western Brothers › Western Brothers Outlet Lerma: 3</t>
        </is>
      </c>
    </row>
    <row r="53">
      <c r="A53" s="51" t="n">
        <v>30</v>
      </c>
      <c r="B53" s="156" t="inlineStr">
        <is>
          <t>Productos — registro integrado en el anterior</t>
        </is>
      </c>
      <c r="C53" s="125" t="inlineStr">
        <is>
          <t>Homologación G1522: mismo producto (mismo WB SKU)</t>
        </is>
      </c>
      <c r="D53" s="60" t="inlineStr">
        <is>
          <t>7503063066639</t>
        </is>
      </c>
      <c r="E53" s="59" t="inlineStr">
        <is>
          <t>30968</t>
        </is>
      </c>
      <c r="F53" s="155" t="inlineStr">
        <is>
          <t>Wrangler</t>
        </is>
      </c>
      <c r="G53" s="155" t="inlineStr">
        <is>
          <t>C49730-59</t>
        </is>
      </c>
      <c r="H53" s="155" t="inlineStr">
        <is>
          <t>C49730-59-38</t>
        </is>
      </c>
      <c r="I53" s="155" t="inlineStr">
        <is>
          <t>38</t>
        </is>
      </c>
      <c r="J53" s="155" t="inlineStr">
        <is>
          <t>38</t>
        </is>
      </c>
      <c r="K53" s="155" t="inlineStr">
        <is>
          <t>Wrangler</t>
        </is>
      </c>
      <c r="L53" s="155" t="inlineStr">
        <is>
          <t>Cinturon de hombre C49730-59 Negro</t>
        </is>
      </c>
      <c r="M53" s="155" t="inlineStr">
        <is>
          <t>Accesorios</t>
        </is>
      </c>
      <c r="N53" s="155" t="inlineStr">
        <is>
          <t>Cinturones</t>
        </is>
      </c>
      <c r="O53" s="155" t="inlineStr">
        <is>
          <t>Hombre</t>
        </is>
      </c>
      <c r="P53" s="155" t="inlineStr">
        <is>
          <t>Wrangler</t>
        </is>
      </c>
      <c r="Q53" s="155" t="inlineStr">
        <is>
          <t>FW26</t>
        </is>
      </c>
      <c r="R53" s="155" t="n"/>
      <c r="S53" s="155" t="inlineStr">
        <is>
          <t>Negro</t>
        </is>
      </c>
      <c r="T53" s="155" t="n"/>
      <c r="U53" s="155" t="n"/>
      <c r="V53" s="155" t="inlineStr">
        <is>
          <t>100% PIEL VACUNO</t>
        </is>
      </c>
      <c r="W53" s="155" t="inlineStr">
        <is>
          <t>Cinturón para Caballero de Piel</t>
        </is>
      </c>
      <c r="X53" s="155" t="inlineStr">
        <is>
          <t>México</t>
        </is>
      </c>
      <c r="Y53" s="155" t="inlineStr">
        <is>
          <t>PZS</t>
        </is>
      </c>
      <c r="Z53" s="59" t="inlineStr">
        <is>
          <t>53102501</t>
        </is>
      </c>
      <c r="AA53" s="126" t="n"/>
      <c r="AB53" s="61" t="n">
        <v>344.48</v>
      </c>
      <c r="AC53" s="61" t="n">
        <v>430.603448</v>
      </c>
      <c r="AD53" s="62" t="inlineStr">
        <is>
          <t>Con Incidencias</t>
        </is>
      </c>
      <c r="AE53" s="64" t="inlineStr">
        <is>
          <t>SKU duplicado; [Aviso] Ciclo de vida no capturado ()</t>
        </is>
      </c>
      <c r="AF53" s="64" t="n"/>
      <c r="AG53" s="59" t="n"/>
      <c r="AH53" s="155" t="n"/>
      <c r="AI53" s="59" t="n"/>
      <c r="AJ53" s="155" t="inlineStr">
        <is>
          <t>Nuevo – Carga Hoja3 01/10/2026</t>
        </is>
      </c>
      <c r="AK53" s="155" t="inlineStr">
        <is>
          <t>Alta 01/10/2026 desde Hoja3 (fila 706); Mismo SKU que la fila 2451 con otro código/ID; revisar cuál es el vigente | 01/10/2026: complementado desde Odoo Universal Unique Brands (match por código de barras): WB Talla de EE. UU.</t>
        </is>
      </c>
      <c r="AL53" s="155" t="n"/>
      <c r="AM53" s="155" t="n"/>
      <c r="AN53" s="155" t="inlineStr">
        <is>
          <t>Hoja3: fila 706 | Odoo: producto 30968 / plantilla 39661</t>
        </is>
      </c>
      <c r="AO53" s="58" t="n"/>
      <c r="AP53" s="58" t="n"/>
      <c r="AQ53" s="155" t="inlineStr">
        <is>
          <t>Odoo Universal Unique Brands</t>
        </is>
      </c>
      <c r="AR53" s="59" t="n"/>
      <c r="AS53" s="59" t="n"/>
      <c r="AT53" s="59" t="n">
        <v>15</v>
      </c>
      <c r="AU53" s="155" t="inlineStr">
        <is>
          <t>Odoo Universal Unique Brands › Bodega 25 › Bodega 25/General: 15</t>
        </is>
      </c>
    </row>
    <row r="54">
      <c r="A54" s="51" t="n">
        <v>31</v>
      </c>
      <c r="B54" s="156" t="inlineStr">
        <is>
          <t>Productos — registro conservado</t>
        </is>
      </c>
      <c r="C54" s="125" t="inlineStr">
        <is>
          <t>Homologación G1522: mismo producto (mismo WB SKU)</t>
        </is>
      </c>
      <c r="D54" s="60" t="inlineStr">
        <is>
          <t>7506674600933</t>
        </is>
      </c>
      <c r="E54" s="59" t="inlineStr">
        <is>
          <t>117903</t>
        </is>
      </c>
      <c r="F54" s="155" t="inlineStr">
        <is>
          <t>Wrangler</t>
        </is>
      </c>
      <c r="G54" s="155" t="inlineStr">
        <is>
          <t>C49730-59</t>
        </is>
      </c>
      <c r="H54" s="155" t="inlineStr">
        <is>
          <t>C49730-59-40</t>
        </is>
      </c>
      <c r="I54" s="155" t="inlineStr">
        <is>
          <t>40</t>
        </is>
      </c>
      <c r="J54" s="155" t="inlineStr">
        <is>
          <t>40</t>
        </is>
      </c>
      <c r="K54" s="155" t="inlineStr">
        <is>
          <t>Wrangler</t>
        </is>
      </c>
      <c r="L54" s="155" t="inlineStr">
        <is>
          <t>Cinturón Wrangler Una Vista Casual para Hombre, Color Negro</t>
        </is>
      </c>
      <c r="M54" s="155" t="inlineStr">
        <is>
          <t>Accesorios</t>
        </is>
      </c>
      <c r="N54" s="155" t="inlineStr">
        <is>
          <t>Cinturones</t>
        </is>
      </c>
      <c r="O54" s="155" t="inlineStr">
        <is>
          <t>Hombre</t>
        </is>
      </c>
      <c r="P54" s="155" t="inlineStr">
        <is>
          <t>Wrangler</t>
        </is>
      </c>
      <c r="Q54" s="155" t="inlineStr">
        <is>
          <t>SS26</t>
        </is>
      </c>
      <c r="R54" s="155" t="inlineStr">
        <is>
          <t>Seasonal</t>
        </is>
      </c>
      <c r="S54" s="155" t="inlineStr">
        <is>
          <t>Negro</t>
        </is>
      </c>
      <c r="T54" s="155" t="n"/>
      <c r="U54" s="155" t="n"/>
      <c r="V54" s="155" t="inlineStr">
        <is>
          <t>100% piel de vacuno</t>
        </is>
      </c>
      <c r="W54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54" s="155" t="inlineStr">
        <is>
          <t>México</t>
        </is>
      </c>
      <c r="Y54" s="155" t="inlineStr">
        <is>
          <t>PZS</t>
        </is>
      </c>
      <c r="Z54" s="59" t="inlineStr">
        <is>
          <t>53102501</t>
        </is>
      </c>
      <c r="AA54" s="126" t="n"/>
      <c r="AB54" s="61" t="n">
        <v>344.48</v>
      </c>
      <c r="AC54" s="61" t="n">
        <v>949</v>
      </c>
      <c r="AD54" s="62" t="inlineStr">
        <is>
          <t>Con Incidencias</t>
        </is>
      </c>
      <c r="AE54" s="64" t="inlineStr">
        <is>
          <t>SKU duplicado</t>
        </is>
      </c>
      <c r="AF54" s="64" t="n"/>
      <c r="AG54" s="59" t="n">
        <v>2</v>
      </c>
      <c r="AH54" s="155" t="inlineStr">
        <is>
          <t>WB OUTLET LERMA (2)</t>
        </is>
      </c>
      <c r="AI54" s="59" t="n">
        <v>2</v>
      </c>
      <c r="AJ54" s="155" t="inlineStr">
        <is>
          <t>Catálogo existente</t>
        </is>
      </c>
      <c r="AK54" s="155" t="inlineStr">
        <is>
          <t>Coincidencia por código de barras (ID NetSuite 117903) | ID alternativo de Hoja a Revisar 117903 (UPC coincidente); se conserva ID principal; Auditoría NetSuite 30/09/2026: llenado desde NetSuite [Z]; Vinculado por código de barras al ID NetSuite 117903 (antes en Identificador interno: 'C49730-59-40'); 01/10/2026: mismo SKU registrado también en fila 67726 con código 7503063066646 (ID 30969, desde Hoja3); revisar cuál es el vigente | 01/10/2026: complementado desde Shopify Western Brothers (match por código de barras): WB Fit, WB Silueta</t>
        </is>
      </c>
      <c r="AL54" s="155" t="inlineStr">
        <is>
          <t>No</t>
        </is>
      </c>
      <c r="AM54" s="155" t="n"/>
      <c r="AN54" s="155" t="inlineStr">
        <is>
          <t>| Hoja a Revisar: fila 196070 (ID 117903, misma clave UPC); G1522_Extraccion_Articulos_NetSuite_2026-09-30.xlsx: fila 64144 [Z] | Shopify WB: producto 10310436290745 / variante 50512590471353</t>
        </is>
      </c>
      <c r="AO54" s="58" t="inlineStr">
        <is>
          <t>344,48</t>
        </is>
      </c>
      <c r="AP54" s="58" t="n"/>
      <c r="AQ54" s="155" t="inlineStr">
        <is>
          <t>Shopify Western Brothers</t>
        </is>
      </c>
      <c r="AR54" s="59" t="n"/>
      <c r="AS54" s="59" t="n">
        <v>2</v>
      </c>
      <c r="AT54" s="59" t="n"/>
      <c r="AU54" s="155" t="inlineStr">
        <is>
          <t>Shopify Western Brothers › Western Brothers Outlet Lerma: 2</t>
        </is>
      </c>
    </row>
    <row r="55">
      <c r="A55" s="51" t="n">
        <v>31</v>
      </c>
      <c r="B55" s="156" t="inlineStr">
        <is>
          <t>Productos — registro integrado en el anterior</t>
        </is>
      </c>
      <c r="C55" s="125" t="inlineStr">
        <is>
          <t>Homologación G1522: mismo producto (mismo WB SKU)</t>
        </is>
      </c>
      <c r="D55" s="60" t="inlineStr">
        <is>
          <t>7503063066646</t>
        </is>
      </c>
      <c r="E55" s="59" t="inlineStr">
        <is>
          <t>30969</t>
        </is>
      </c>
      <c r="F55" s="155" t="inlineStr">
        <is>
          <t>Wrangler</t>
        </is>
      </c>
      <c r="G55" s="155" t="inlineStr">
        <is>
          <t>C49730-59</t>
        </is>
      </c>
      <c r="H55" s="155" t="inlineStr">
        <is>
          <t>C49730-59-40</t>
        </is>
      </c>
      <c r="I55" s="155" t="inlineStr">
        <is>
          <t>40</t>
        </is>
      </c>
      <c r="J55" s="155" t="inlineStr">
        <is>
          <t>40</t>
        </is>
      </c>
      <c r="K55" s="155" t="inlineStr">
        <is>
          <t>Wrangler</t>
        </is>
      </c>
      <c r="L55" s="155" t="inlineStr">
        <is>
          <t>Cinturon de hombre C49730-59 Negro</t>
        </is>
      </c>
      <c r="M55" s="155" t="inlineStr">
        <is>
          <t>Accesorios</t>
        </is>
      </c>
      <c r="N55" s="155" t="inlineStr">
        <is>
          <t>Cinturones</t>
        </is>
      </c>
      <c r="O55" s="155" t="inlineStr">
        <is>
          <t>Hombre</t>
        </is>
      </c>
      <c r="P55" s="155" t="inlineStr">
        <is>
          <t>Wrangler</t>
        </is>
      </c>
      <c r="Q55" s="155" t="inlineStr">
        <is>
          <t>FW26</t>
        </is>
      </c>
      <c r="R55" s="155" t="n"/>
      <c r="S55" s="155" t="inlineStr">
        <is>
          <t>Negro</t>
        </is>
      </c>
      <c r="T55" s="155" t="n"/>
      <c r="U55" s="155" t="n"/>
      <c r="V55" s="155" t="inlineStr">
        <is>
          <t>100% PIEL VACUNO</t>
        </is>
      </c>
      <c r="W55" s="155" t="inlineStr">
        <is>
          <t>Cinturón para Caballero de Piel</t>
        </is>
      </c>
      <c r="X55" s="155" t="inlineStr">
        <is>
          <t>México</t>
        </is>
      </c>
      <c r="Y55" s="155" t="inlineStr">
        <is>
          <t>PZS</t>
        </is>
      </c>
      <c r="Z55" s="59" t="inlineStr">
        <is>
          <t>53102501</t>
        </is>
      </c>
      <c r="AA55" s="126" t="n"/>
      <c r="AB55" s="61" t="n">
        <v>344.48</v>
      </c>
      <c r="AC55" s="61" t="n">
        <v>430.603448</v>
      </c>
      <c r="AD55" s="62" t="inlineStr">
        <is>
          <t>Con Incidencias</t>
        </is>
      </c>
      <c r="AE55" s="64" t="inlineStr">
        <is>
          <t>SKU duplicado; [Aviso] Ciclo de vida no capturado ()</t>
        </is>
      </c>
      <c r="AF55" s="64" t="n"/>
      <c r="AG55" s="59" t="n"/>
      <c r="AH55" s="155" t="n"/>
      <c r="AI55" s="59" t="n"/>
      <c r="AJ55" s="155" t="inlineStr">
        <is>
          <t>Nuevo – Carga Hoja3 01/10/2026</t>
        </is>
      </c>
      <c r="AK55" s="155" t="inlineStr">
        <is>
          <t>Alta 01/10/2026 desde Hoja3 (fila 707); Mismo SKU que la fila 2452 con otro código/ID; revisar cuál es el vigente | 01/10/2026: complementado desde Odoo Universal Unique Brands (match por código de barras): WB Talla de EE. UU.</t>
        </is>
      </c>
      <c r="AL55" s="155" t="n"/>
      <c r="AM55" s="155" t="n"/>
      <c r="AN55" s="155" t="inlineStr">
        <is>
          <t>Hoja3: fila 707 | Odoo: producto 30969 / plantilla 39661</t>
        </is>
      </c>
      <c r="AO55" s="58" t="n"/>
      <c r="AP55" s="58" t="n"/>
      <c r="AQ55" s="155" t="inlineStr">
        <is>
          <t>Odoo Universal Unique Brands</t>
        </is>
      </c>
      <c r="AR55" s="59" t="n"/>
      <c r="AS55" s="59" t="n"/>
      <c r="AT55" s="59" t="n">
        <v>22</v>
      </c>
      <c r="AU55" s="155" t="inlineStr">
        <is>
          <t>Odoo Universal Unique Brands › Bodega 25 › Bodega 25/General: 22</t>
        </is>
      </c>
    </row>
    <row r="56">
      <c r="A56" s="51" t="n">
        <v>32</v>
      </c>
      <c r="B56" s="156" t="inlineStr">
        <is>
          <t>Productos — registro conservado</t>
        </is>
      </c>
      <c r="C56" s="125" t="inlineStr">
        <is>
          <t>Homologación G1522: mismo producto (mismo WB SKU)</t>
        </is>
      </c>
      <c r="D56" s="60" t="inlineStr">
        <is>
          <t>7506674600940</t>
        </is>
      </c>
      <c r="E56" s="59" t="inlineStr">
        <is>
          <t>117904</t>
        </is>
      </c>
      <c r="F56" s="155" t="inlineStr">
        <is>
          <t>Wrangler</t>
        </is>
      </c>
      <c r="G56" s="155" t="inlineStr">
        <is>
          <t>C49730-59</t>
        </is>
      </c>
      <c r="H56" s="155" t="inlineStr">
        <is>
          <t>C49730-59-42</t>
        </is>
      </c>
      <c r="I56" s="155" t="inlineStr">
        <is>
          <t>42</t>
        </is>
      </c>
      <c r="J56" s="155" t="inlineStr">
        <is>
          <t>42</t>
        </is>
      </c>
      <c r="K56" s="155" t="inlineStr">
        <is>
          <t>Wrangler</t>
        </is>
      </c>
      <c r="L56" s="155" t="inlineStr">
        <is>
          <t>Cinturón Wrangler Una Vista Casual para Hombre, Color Negro</t>
        </is>
      </c>
      <c r="M56" s="155" t="inlineStr">
        <is>
          <t>Accesorios</t>
        </is>
      </c>
      <c r="N56" s="155" t="inlineStr">
        <is>
          <t>Cinturones</t>
        </is>
      </c>
      <c r="O56" s="155" t="inlineStr">
        <is>
          <t>Hombre</t>
        </is>
      </c>
      <c r="P56" s="155" t="inlineStr">
        <is>
          <t>Wrangler</t>
        </is>
      </c>
      <c r="Q56" s="155" t="inlineStr">
        <is>
          <t>SS26</t>
        </is>
      </c>
      <c r="R56" s="155" t="inlineStr">
        <is>
          <t>Seasonal</t>
        </is>
      </c>
      <c r="S56" s="155" t="inlineStr">
        <is>
          <t>Negro</t>
        </is>
      </c>
      <c r="T56" s="155" t="n"/>
      <c r="U56" s="155" t="n"/>
      <c r="V56" s="155" t="inlineStr">
        <is>
          <t>100% piel de vacuno</t>
        </is>
      </c>
      <c r="W56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56" s="155" t="inlineStr">
        <is>
          <t>México</t>
        </is>
      </c>
      <c r="Y56" s="155" t="inlineStr">
        <is>
          <t>PZS</t>
        </is>
      </c>
      <c r="Z56" s="59" t="inlineStr">
        <is>
          <t>53102501</t>
        </is>
      </c>
      <c r="AA56" s="126" t="n"/>
      <c r="AB56" s="61" t="n">
        <v>344.48</v>
      </c>
      <c r="AC56" s="61" t="n">
        <v>949</v>
      </c>
      <c r="AD56" s="62" t="inlineStr">
        <is>
          <t>Con Incidencias</t>
        </is>
      </c>
      <c r="AE56" s="64" t="inlineStr">
        <is>
          <t>SKU duplicado</t>
        </is>
      </c>
      <c r="AF56" s="64" t="n"/>
      <c r="AG56" s="59" t="n">
        <v>2</v>
      </c>
      <c r="AH56" s="155" t="inlineStr">
        <is>
          <t>WB OUTLET LERMA (2)</t>
        </is>
      </c>
      <c r="AI56" s="59" t="n">
        <v>2</v>
      </c>
      <c r="AJ56" s="155" t="inlineStr">
        <is>
          <t>Catálogo existente</t>
        </is>
      </c>
      <c r="AK56" s="155" t="inlineStr">
        <is>
          <t>Coincidencia por código de barras (ID NetSuite 117904) | ID alternativo de Hoja a Revisar 117904 (UPC coincidente); se conserva ID principal; Auditoría NetSuite 30/09/2026: llenado desde NetSuite [Z]; Vinculado por código de barras al ID NetSuite 117904 (antes en Identificador interno: 'C49730-59-42'); 01/10/2026: mismo SKU registrado también en fila 67727 con código 7503063066653 (ID 30970, desde Hoja3); revisar cuál es el vigente | 01/10/2026: complementado desde Shopify Western Brothers (match por código de barras): WB Fit, WB Silueta</t>
        </is>
      </c>
      <c r="AL56" s="155" t="inlineStr">
        <is>
          <t>No</t>
        </is>
      </c>
      <c r="AM56" s="155" t="n"/>
      <c r="AN56" s="155" t="inlineStr">
        <is>
          <t>| Hoja a Revisar: fila 196071 (ID 117904, misma clave UPC); G1522_Extraccion_Articulos_NetSuite_2026-09-30.xlsx: fila 64145 [Z] | Shopify WB: producto 10310436290745 / variante 50512590504121</t>
        </is>
      </c>
      <c r="AO56" s="58" t="inlineStr">
        <is>
          <t>344,48</t>
        </is>
      </c>
      <c r="AP56" s="58" t="n"/>
      <c r="AQ56" s="155" t="inlineStr">
        <is>
          <t>Shopify Western Brothers</t>
        </is>
      </c>
      <c r="AR56" s="59" t="n"/>
      <c r="AS56" s="59" t="n">
        <v>2</v>
      </c>
      <c r="AT56" s="59" t="n"/>
      <c r="AU56" s="155" t="inlineStr">
        <is>
          <t>Shopify Western Brothers › Western Brothers Outlet Lerma: 2</t>
        </is>
      </c>
    </row>
    <row r="57">
      <c r="A57" s="51" t="n">
        <v>32</v>
      </c>
      <c r="B57" s="156" t="inlineStr">
        <is>
          <t>Productos — registro integrado en el anterior</t>
        </is>
      </c>
      <c r="C57" s="125" t="inlineStr">
        <is>
          <t>Homologación G1522: mismo producto (mismo WB SKU)</t>
        </is>
      </c>
      <c r="D57" s="60" t="inlineStr">
        <is>
          <t>7503063066653</t>
        </is>
      </c>
      <c r="E57" s="59" t="inlineStr">
        <is>
          <t>30970</t>
        </is>
      </c>
      <c r="F57" s="155" t="inlineStr">
        <is>
          <t>Wrangler</t>
        </is>
      </c>
      <c r="G57" s="155" t="inlineStr">
        <is>
          <t>C49730-59</t>
        </is>
      </c>
      <c r="H57" s="155" t="inlineStr">
        <is>
          <t>C49730-59-42</t>
        </is>
      </c>
      <c r="I57" s="155" t="inlineStr">
        <is>
          <t>42</t>
        </is>
      </c>
      <c r="J57" s="155" t="inlineStr">
        <is>
          <t>42</t>
        </is>
      </c>
      <c r="K57" s="155" t="inlineStr">
        <is>
          <t>Wrangler</t>
        </is>
      </c>
      <c r="L57" s="155" t="inlineStr">
        <is>
          <t>Cinturon de hombre C49730-59 Negro</t>
        </is>
      </c>
      <c r="M57" s="155" t="inlineStr">
        <is>
          <t>Accesorios</t>
        </is>
      </c>
      <c r="N57" s="155" t="inlineStr">
        <is>
          <t>Cinturones</t>
        </is>
      </c>
      <c r="O57" s="155" t="inlineStr">
        <is>
          <t>Hombre</t>
        </is>
      </c>
      <c r="P57" s="155" t="inlineStr">
        <is>
          <t>Wrangler</t>
        </is>
      </c>
      <c r="Q57" s="155" t="inlineStr">
        <is>
          <t>FW26</t>
        </is>
      </c>
      <c r="R57" s="155" t="n"/>
      <c r="S57" s="155" t="inlineStr">
        <is>
          <t>Negro</t>
        </is>
      </c>
      <c r="T57" s="155" t="n"/>
      <c r="U57" s="155" t="n"/>
      <c r="V57" s="155" t="inlineStr">
        <is>
          <t>100% PIEL VACUNO</t>
        </is>
      </c>
      <c r="W57" s="155" t="inlineStr">
        <is>
          <t>Cinturón para Caballero de Piel</t>
        </is>
      </c>
      <c r="X57" s="155" t="inlineStr">
        <is>
          <t>México</t>
        </is>
      </c>
      <c r="Y57" s="155" t="inlineStr">
        <is>
          <t>PZS</t>
        </is>
      </c>
      <c r="Z57" s="59" t="inlineStr">
        <is>
          <t>53102501</t>
        </is>
      </c>
      <c r="AA57" s="126" t="n"/>
      <c r="AB57" s="61" t="n">
        <v>344.48</v>
      </c>
      <c r="AC57" s="61" t="n">
        <v>430.603448</v>
      </c>
      <c r="AD57" s="62" t="inlineStr">
        <is>
          <t>Con Incidencias</t>
        </is>
      </c>
      <c r="AE57" s="64" t="inlineStr">
        <is>
          <t>SKU duplicado; [Aviso] Ciclo de vida no capturado ()</t>
        </is>
      </c>
      <c r="AF57" s="64" t="n"/>
      <c r="AG57" s="59" t="n"/>
      <c r="AH57" s="155" t="n"/>
      <c r="AI57" s="59" t="n"/>
      <c r="AJ57" s="155" t="inlineStr">
        <is>
          <t>Nuevo – Carga Hoja3 01/10/2026</t>
        </is>
      </c>
      <c r="AK57" s="155" t="inlineStr">
        <is>
          <t>Alta 01/10/2026 desde Hoja3 (fila 708); Mismo SKU que la fila 2453 con otro código/ID; revisar cuál es el vigente | 01/10/2026: complementado desde Odoo Universal Unique Brands (match por código de barras): WB Talla de EE. UU.</t>
        </is>
      </c>
      <c r="AL57" s="155" t="n"/>
      <c r="AM57" s="155" t="n"/>
      <c r="AN57" s="155" t="inlineStr">
        <is>
          <t>Hoja3: fila 708 | Odoo: producto 30970 / plantilla 39661</t>
        </is>
      </c>
      <c r="AO57" s="58" t="n"/>
      <c r="AP57" s="58" t="n"/>
      <c r="AQ57" s="155" t="inlineStr">
        <is>
          <t>Odoo Universal Unique Brands</t>
        </is>
      </c>
      <c r="AR57" s="59" t="n"/>
      <c r="AS57" s="59" t="n"/>
      <c r="AT57" s="59" t="n">
        <v>22</v>
      </c>
      <c r="AU57" s="155" t="inlineStr">
        <is>
          <t>Odoo Universal Unique Brands › Bodega 25 › Bodega 25/General: 22</t>
        </is>
      </c>
    </row>
    <row r="58">
      <c r="A58" s="51" t="n">
        <v>33</v>
      </c>
      <c r="B58" s="156" t="inlineStr">
        <is>
          <t>Productos — registro conservado</t>
        </is>
      </c>
      <c r="C58" s="125" t="inlineStr">
        <is>
          <t>Homologación G1522: mismo producto (mismo WB SKU)</t>
        </is>
      </c>
      <c r="D58" s="60" t="inlineStr">
        <is>
          <t>7506674600957</t>
        </is>
      </c>
      <c r="E58" s="59" t="inlineStr">
        <is>
          <t>117905</t>
        </is>
      </c>
      <c r="F58" s="155" t="inlineStr">
        <is>
          <t>Wrangler</t>
        </is>
      </c>
      <c r="G58" s="155" t="inlineStr">
        <is>
          <t>C49730-59</t>
        </is>
      </c>
      <c r="H58" s="155" t="inlineStr">
        <is>
          <t>C49730-59-44</t>
        </is>
      </c>
      <c r="I58" s="155" t="inlineStr">
        <is>
          <t>44</t>
        </is>
      </c>
      <c r="J58" s="155" t="inlineStr">
        <is>
          <t>44</t>
        </is>
      </c>
      <c r="K58" s="155" t="inlineStr">
        <is>
          <t>Wrangler</t>
        </is>
      </c>
      <c r="L58" s="155" t="inlineStr">
        <is>
          <t>Cinturón Wrangler Una Vista Casual para Hombre, Color Negro</t>
        </is>
      </c>
      <c r="M58" s="155" t="inlineStr">
        <is>
          <t>Accesorios</t>
        </is>
      </c>
      <c r="N58" s="155" t="inlineStr">
        <is>
          <t>Cinturones</t>
        </is>
      </c>
      <c r="O58" s="155" t="inlineStr">
        <is>
          <t>Hombre</t>
        </is>
      </c>
      <c r="P58" s="155" t="inlineStr">
        <is>
          <t>Wrangler</t>
        </is>
      </c>
      <c r="Q58" s="155" t="inlineStr">
        <is>
          <t>SS26</t>
        </is>
      </c>
      <c r="R58" s="155" t="inlineStr">
        <is>
          <t>Seasonal</t>
        </is>
      </c>
      <c r="S58" s="155" t="inlineStr">
        <is>
          <t>Negro</t>
        </is>
      </c>
      <c r="T58" s="155" t="n"/>
      <c r="U58" s="155" t="n"/>
      <c r="V58" s="155" t="inlineStr">
        <is>
          <t>100% piel de vacuno</t>
        </is>
      </c>
      <c r="W58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58" s="155" t="inlineStr">
        <is>
          <t>México</t>
        </is>
      </c>
      <c r="Y58" s="155" t="inlineStr">
        <is>
          <t>PZS</t>
        </is>
      </c>
      <c r="Z58" s="59" t="inlineStr">
        <is>
          <t>53102501</t>
        </is>
      </c>
      <c r="AA58" s="126" t="n"/>
      <c r="AB58" s="61" t="n">
        <v>344.48</v>
      </c>
      <c r="AC58" s="61" t="n">
        <v>949</v>
      </c>
      <c r="AD58" s="62" t="inlineStr">
        <is>
          <t>Con Incidencias</t>
        </is>
      </c>
      <c r="AE58" s="64" t="inlineStr">
        <is>
          <t>SKU duplicado</t>
        </is>
      </c>
      <c r="AF58" s="64" t="n"/>
      <c r="AG58" s="59" t="n">
        <v>1</v>
      </c>
      <c r="AH58" s="155" t="inlineStr">
        <is>
          <t>WB OUTLET LERMA (1)</t>
        </is>
      </c>
      <c r="AI58" s="59" t="n">
        <v>1</v>
      </c>
      <c r="AJ58" s="155" t="inlineStr">
        <is>
          <t>Catálogo existente</t>
        </is>
      </c>
      <c r="AK58" s="155" t="inlineStr">
        <is>
          <t>Coincidencia por código de barras (ID NetSuite 117905) | ID alternativo de Hoja a Revisar 117905 (UPC coincidente); se conserva ID principal; Auditoría NetSuite 30/09/2026: llenado desde NetSuite [Z]; Vinculado por código de barras al ID NetSuite 117905 (antes en Identificador interno: 'C49730-59-44'); 01/10/2026: mismo SKU registrado también en fila 67728 con código 7503063066660 (ID 30971, desde Hoja3); revisar cuál es el vigente | 01/10/2026: complementado desde Shopify Western Brothers (match por código de barras): WB Fit, WB Silueta</t>
        </is>
      </c>
      <c r="AL58" s="155" t="inlineStr">
        <is>
          <t>No</t>
        </is>
      </c>
      <c r="AM58" s="155" t="n"/>
      <c r="AN58" s="155" t="inlineStr">
        <is>
          <t>| Hoja a Revisar: fila 196072 (ID 117905, misma clave UPC); G1522_Extraccion_Articulos_NetSuite_2026-09-30.xlsx: fila 64146 [Z] | Shopify WB: producto 10310436290745 / variante 50512590536889</t>
        </is>
      </c>
      <c r="AO58" s="58" t="inlineStr">
        <is>
          <t>344,48</t>
        </is>
      </c>
      <c r="AP58" s="58" t="n"/>
      <c r="AQ58" s="155" t="inlineStr">
        <is>
          <t>Shopify Western Brothers</t>
        </is>
      </c>
      <c r="AR58" s="59" t="n"/>
      <c r="AS58" s="59" t="n">
        <v>1</v>
      </c>
      <c r="AT58" s="59" t="n"/>
      <c r="AU58" s="155" t="inlineStr">
        <is>
          <t>Shopify Western Brothers › Western Brothers Outlet Lerma: 1</t>
        </is>
      </c>
    </row>
    <row r="59">
      <c r="A59" s="51" t="n">
        <v>33</v>
      </c>
      <c r="B59" s="156" t="inlineStr">
        <is>
          <t>Productos — registro integrado en el anterior</t>
        </is>
      </c>
      <c r="C59" s="125" t="inlineStr">
        <is>
          <t>Homologación G1522: mismo producto (mismo WB SKU)</t>
        </is>
      </c>
      <c r="D59" s="60" t="inlineStr">
        <is>
          <t>7503063066660</t>
        </is>
      </c>
      <c r="E59" s="59" t="inlineStr">
        <is>
          <t>30971</t>
        </is>
      </c>
      <c r="F59" s="155" t="inlineStr">
        <is>
          <t>Wrangler</t>
        </is>
      </c>
      <c r="G59" s="155" t="inlineStr">
        <is>
          <t>C49730-59</t>
        </is>
      </c>
      <c r="H59" s="155" t="inlineStr">
        <is>
          <t>C49730-59-44</t>
        </is>
      </c>
      <c r="I59" s="155" t="inlineStr">
        <is>
          <t>44</t>
        </is>
      </c>
      <c r="J59" s="155" t="inlineStr">
        <is>
          <t>44</t>
        </is>
      </c>
      <c r="K59" s="155" t="inlineStr">
        <is>
          <t>Wrangler</t>
        </is>
      </c>
      <c r="L59" s="155" t="inlineStr">
        <is>
          <t>Cinturon de hombre C49730-59 Negro</t>
        </is>
      </c>
      <c r="M59" s="155" t="inlineStr">
        <is>
          <t>Accesorios</t>
        </is>
      </c>
      <c r="N59" s="155" t="inlineStr">
        <is>
          <t>Cinturones</t>
        </is>
      </c>
      <c r="O59" s="155" t="inlineStr">
        <is>
          <t>Hombre</t>
        </is>
      </c>
      <c r="P59" s="155" t="inlineStr">
        <is>
          <t>Wrangler</t>
        </is>
      </c>
      <c r="Q59" s="155" t="inlineStr">
        <is>
          <t>FW26</t>
        </is>
      </c>
      <c r="R59" s="155" t="n"/>
      <c r="S59" s="155" t="inlineStr">
        <is>
          <t>Negro</t>
        </is>
      </c>
      <c r="T59" s="155" t="n"/>
      <c r="U59" s="155" t="n"/>
      <c r="V59" s="155" t="inlineStr">
        <is>
          <t>100% PIEL VACUNO</t>
        </is>
      </c>
      <c r="W59" s="155" t="inlineStr">
        <is>
          <t>Cinturón para Caballero de Piel</t>
        </is>
      </c>
      <c r="X59" s="155" t="inlineStr">
        <is>
          <t>México</t>
        </is>
      </c>
      <c r="Y59" s="155" t="inlineStr">
        <is>
          <t>PZS</t>
        </is>
      </c>
      <c r="Z59" s="59" t="inlineStr">
        <is>
          <t>53102501</t>
        </is>
      </c>
      <c r="AA59" s="126" t="n"/>
      <c r="AB59" s="61" t="n">
        <v>344.48</v>
      </c>
      <c r="AC59" s="61" t="n">
        <v>430.603448</v>
      </c>
      <c r="AD59" s="62" t="inlineStr">
        <is>
          <t>Con Incidencias</t>
        </is>
      </c>
      <c r="AE59" s="64" t="inlineStr">
        <is>
          <t>SKU duplicado; [Aviso] Ciclo de vida no capturado ()</t>
        </is>
      </c>
      <c r="AF59" s="64" t="n"/>
      <c r="AG59" s="59" t="n"/>
      <c r="AH59" s="155" t="n"/>
      <c r="AI59" s="59" t="n"/>
      <c r="AJ59" s="155" t="inlineStr">
        <is>
          <t>Nuevo – Carga Hoja3 01/10/2026</t>
        </is>
      </c>
      <c r="AK59" s="155" t="inlineStr">
        <is>
          <t>Alta 01/10/2026 desde Hoja3 (fila 709); Mismo SKU que la fila 2454 con otro código/ID; revisar cuál es el vigente | 01/10/2026: complementado desde Odoo Universal Unique Brands (match por código de barras): WB Talla de EE. UU.</t>
        </is>
      </c>
      <c r="AL59" s="155" t="n"/>
      <c r="AM59" s="155" t="n"/>
      <c r="AN59" s="155" t="inlineStr">
        <is>
          <t>Hoja3: fila 709 | Odoo: producto 30971 / plantilla 39661</t>
        </is>
      </c>
      <c r="AO59" s="58" t="n"/>
      <c r="AP59" s="58" t="n"/>
      <c r="AQ59" s="155" t="inlineStr">
        <is>
          <t>Odoo Universal Unique Brands</t>
        </is>
      </c>
      <c r="AR59" s="59" t="n"/>
      <c r="AS59" s="59" t="n"/>
      <c r="AT59" s="59" t="n">
        <v>17</v>
      </c>
      <c r="AU59" s="155" t="inlineStr">
        <is>
          <t>Odoo Universal Unique Brands › Bodega 25 › Bodega 25/General: 17</t>
        </is>
      </c>
    </row>
    <row r="60">
      <c r="A60" s="51" t="n">
        <v>34</v>
      </c>
      <c r="B60" s="156" t="inlineStr">
        <is>
          <t>Productos — registro conservado</t>
        </is>
      </c>
      <c r="C60" s="125" t="inlineStr">
        <is>
          <t>Homologación G1522: mismo producto (mismo WB SKU)</t>
        </is>
      </c>
      <c r="D60" s="60" t="inlineStr">
        <is>
          <t>7506674600827</t>
        </is>
      </c>
      <c r="E60" s="59" t="inlineStr">
        <is>
          <t>117892</t>
        </is>
      </c>
      <c r="F60" s="155" t="inlineStr">
        <is>
          <t>Wrangler</t>
        </is>
      </c>
      <c r="G60" s="155" t="inlineStr">
        <is>
          <t>C49730-27</t>
        </is>
      </c>
      <c r="H60" s="155" t="inlineStr">
        <is>
          <t>C49730-27-32</t>
        </is>
      </c>
      <c r="I60" s="155" t="inlineStr">
        <is>
          <t>32</t>
        </is>
      </c>
      <c r="J60" s="155" t="inlineStr">
        <is>
          <t>32</t>
        </is>
      </c>
      <c r="K60" s="155" t="inlineStr">
        <is>
          <t>Wrangler</t>
        </is>
      </c>
      <c r="L60" s="155" t="inlineStr">
        <is>
          <t>Cinturón Wrangler Una Vista Casual para Hombre, Color Cafe</t>
        </is>
      </c>
      <c r="M60" s="155" t="inlineStr">
        <is>
          <t>Accesorios</t>
        </is>
      </c>
      <c r="N60" s="155" t="inlineStr">
        <is>
          <t>Cinturones</t>
        </is>
      </c>
      <c r="O60" s="155" t="inlineStr">
        <is>
          <t>Hombre</t>
        </is>
      </c>
      <c r="P60" s="155" t="inlineStr">
        <is>
          <t>Wrangler</t>
        </is>
      </c>
      <c r="Q60" s="155" t="inlineStr">
        <is>
          <t>SS26</t>
        </is>
      </c>
      <c r="R60" s="155" t="inlineStr">
        <is>
          <t>Seasonal</t>
        </is>
      </c>
      <c r="S60" s="155" t="inlineStr">
        <is>
          <t>Cafe</t>
        </is>
      </c>
      <c r="T60" s="155" t="n"/>
      <c r="U60" s="155" t="n"/>
      <c r="V60" s="155" t="inlineStr">
        <is>
          <t>100% piel de vacuno</t>
        </is>
      </c>
      <c r="W60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60" s="155" t="inlineStr">
        <is>
          <t>México</t>
        </is>
      </c>
      <c r="Y60" s="155" t="inlineStr">
        <is>
          <t>PZS</t>
        </is>
      </c>
      <c r="Z60" s="59" t="inlineStr">
        <is>
          <t>53102501</t>
        </is>
      </c>
      <c r="AA60" s="126" t="n"/>
      <c r="AB60" s="61" t="n">
        <v>344.48</v>
      </c>
      <c r="AC60" s="61" t="n">
        <v>949</v>
      </c>
      <c r="AD60" s="62" t="inlineStr">
        <is>
          <t>Con Incidencias</t>
        </is>
      </c>
      <c r="AE60" s="64" t="inlineStr">
        <is>
          <t>SKU duplicado</t>
        </is>
      </c>
      <c r="AF60" s="64" t="n"/>
      <c r="AG60" s="59" t="n">
        <v>1</v>
      </c>
      <c r="AH60" s="155" t="inlineStr">
        <is>
          <t>WB OUTLET LERMA (1)</t>
        </is>
      </c>
      <c r="AI60" s="59" t="n">
        <v>1</v>
      </c>
      <c r="AJ60" s="155" t="inlineStr">
        <is>
          <t>Catálogo existente</t>
        </is>
      </c>
      <c r="AK60" s="155" t="inlineStr">
        <is>
          <t>Coincidencia por código de barras (ID NetSuite 117892) | ID alternativo de Hoja a Revisar 117892 (UPC coincidente); se conserva ID principal; Auditoría NetSuite 30/09/2026: llenado desde NetSuite [Z]; Vinculado por código de barras al ID NetSuite 117892 (antes en Identificador interno: 'C49730-27-32'); 01/10/2026: mismo SKU registrado también en fila 67715 con código 7506204961060 (ID 30957, desde Hoja3); revisar cuál es el vigente | 01/10/2026: complementado desde Shopify Western Brothers (match por código de barras): WB Fit, WB Silueta</t>
        </is>
      </c>
      <c r="AL60" s="155" t="inlineStr">
        <is>
          <t>No</t>
        </is>
      </c>
      <c r="AM60" s="155" t="n"/>
      <c r="AN60" s="155" t="inlineStr">
        <is>
          <t>| Hoja a Revisar: fila 196058 (ID 117892, misma clave UPC); G1522_Extraccion_Articulos_NetSuite_2026-09-30.xlsx: fila 64133 [Z] | Shopify WB: producto 10310436225209 / variante 50512590078137</t>
        </is>
      </c>
      <c r="AO60" s="58" t="inlineStr">
        <is>
          <t>344,48</t>
        </is>
      </c>
      <c r="AP60" s="58" t="n"/>
      <c r="AQ60" s="155" t="inlineStr">
        <is>
          <t>Shopify Western Brothers</t>
        </is>
      </c>
      <c r="AR60" s="59" t="n"/>
      <c r="AS60" s="59" t="n">
        <v>1</v>
      </c>
      <c r="AT60" s="59" t="n"/>
      <c r="AU60" s="155" t="inlineStr">
        <is>
          <t>Shopify Western Brothers › Western Brothers Outlet Lerma: 1</t>
        </is>
      </c>
    </row>
    <row r="61">
      <c r="A61" s="51" t="n">
        <v>34</v>
      </c>
      <c r="B61" s="156" t="inlineStr">
        <is>
          <t>Productos — registro integrado en el anterior</t>
        </is>
      </c>
      <c r="C61" s="125" t="inlineStr">
        <is>
          <t>Homologación G1522: mismo producto (mismo WB SKU)</t>
        </is>
      </c>
      <c r="D61" s="60" t="inlineStr">
        <is>
          <t>7506204961060</t>
        </is>
      </c>
      <c r="E61" s="59" t="inlineStr">
        <is>
          <t>30957</t>
        </is>
      </c>
      <c r="F61" s="155" t="inlineStr">
        <is>
          <t>Wrangler</t>
        </is>
      </c>
      <c r="G61" s="155" t="inlineStr">
        <is>
          <t>C49730-27</t>
        </is>
      </c>
      <c r="H61" s="155" t="inlineStr">
        <is>
          <t>C49730-27-32</t>
        </is>
      </c>
      <c r="I61" s="155" t="inlineStr">
        <is>
          <t>32</t>
        </is>
      </c>
      <c r="J61" s="155" t="inlineStr">
        <is>
          <t>32</t>
        </is>
      </c>
      <c r="K61" s="155" t="inlineStr">
        <is>
          <t>Wrangler</t>
        </is>
      </c>
      <c r="L61" s="155" t="inlineStr">
        <is>
          <t>Cinturon de hombre C49730-27 Café</t>
        </is>
      </c>
      <c r="M61" s="155" t="inlineStr">
        <is>
          <t>Accesorios</t>
        </is>
      </c>
      <c r="N61" s="155" t="inlineStr">
        <is>
          <t>Cinturones</t>
        </is>
      </c>
      <c r="O61" s="155" t="inlineStr">
        <is>
          <t>Hombre</t>
        </is>
      </c>
      <c r="P61" s="155" t="inlineStr">
        <is>
          <t>Wrangler</t>
        </is>
      </c>
      <c r="Q61" s="155" t="inlineStr">
        <is>
          <t>FW26</t>
        </is>
      </c>
      <c r="R61" s="155" t="n"/>
      <c r="S61" s="155" t="inlineStr">
        <is>
          <t>Cafe</t>
        </is>
      </c>
      <c r="T61" s="155" t="n"/>
      <c r="U61" s="155" t="n"/>
      <c r="V61" s="155" t="inlineStr">
        <is>
          <t>100% PIEL VACUNO</t>
        </is>
      </c>
      <c r="W61" s="155" t="inlineStr">
        <is>
          <t>Cinturón para Caballero de Piel</t>
        </is>
      </c>
      <c r="X61" s="155" t="inlineStr">
        <is>
          <t>México</t>
        </is>
      </c>
      <c r="Y61" s="155" t="inlineStr">
        <is>
          <t>PZS</t>
        </is>
      </c>
      <c r="Z61" s="59" t="inlineStr">
        <is>
          <t>53102501</t>
        </is>
      </c>
      <c r="AA61" s="126" t="n"/>
      <c r="AB61" s="61" t="n">
        <v>344.48</v>
      </c>
      <c r="AC61" s="61" t="n">
        <v>430.603448</v>
      </c>
      <c r="AD61" s="62" t="inlineStr">
        <is>
          <t>Con Incidencias</t>
        </is>
      </c>
      <c r="AE61" s="64" t="inlineStr">
        <is>
          <t>SKU duplicado; [Aviso] Ciclo de vida no capturado ()</t>
        </is>
      </c>
      <c r="AF61" s="64" t="n"/>
      <c r="AG61" s="59" t="n"/>
      <c r="AH61" s="155" t="n"/>
      <c r="AI61" s="59" t="n"/>
      <c r="AJ61" s="155" t="inlineStr">
        <is>
          <t>Nuevo – Carga Hoja3 01/10/2026</t>
        </is>
      </c>
      <c r="AK61" s="155" t="inlineStr">
        <is>
          <t>Alta 01/10/2026 desde Hoja3 (fila 696); Mismo SKU que la fila 2455 con otro código/ID; revisar cuál es el vigente | 01/10/2026: complementado desde Odoo Universal Unique Brands (match por código de barras): WB Talla de EE. UU.</t>
        </is>
      </c>
      <c r="AL61" s="155" t="n"/>
      <c r="AM61" s="155" t="n"/>
      <c r="AN61" s="155" t="inlineStr">
        <is>
          <t>Hoja3: fila 696 | Odoo: producto 30957 / plantilla 39660</t>
        </is>
      </c>
      <c r="AO61" s="58" t="n"/>
      <c r="AP61" s="58" t="n"/>
      <c r="AQ61" s="155" t="inlineStr">
        <is>
          <t>Odoo Universal Unique Brands</t>
        </is>
      </c>
      <c r="AR61" s="59" t="n"/>
      <c r="AS61" s="59" t="n"/>
      <c r="AT61" s="59" t="n">
        <v>5</v>
      </c>
      <c r="AU61" s="155" t="inlineStr">
        <is>
          <t>Odoo Universal Unique Brands › Bodega 25 › Bodega 25/General: 5</t>
        </is>
      </c>
    </row>
    <row r="62">
      <c r="A62" s="51" t="n">
        <v>35</v>
      </c>
      <c r="B62" s="156" t="inlineStr">
        <is>
          <t>Productos — registro conservado</t>
        </is>
      </c>
      <c r="C62" s="125" t="inlineStr">
        <is>
          <t>Homologación G1522: mismo producto (mismo WB SKU)</t>
        </is>
      </c>
      <c r="D62" s="60" t="inlineStr">
        <is>
          <t>7506674600834</t>
        </is>
      </c>
      <c r="E62" s="59" t="inlineStr">
        <is>
          <t>117893</t>
        </is>
      </c>
      <c r="F62" s="155" t="inlineStr">
        <is>
          <t>Wrangler</t>
        </is>
      </c>
      <c r="G62" s="155" t="inlineStr">
        <is>
          <t>C49730-27</t>
        </is>
      </c>
      <c r="H62" s="155" t="inlineStr">
        <is>
          <t>C49730-27-34</t>
        </is>
      </c>
      <c r="I62" s="155" t="inlineStr">
        <is>
          <t>34</t>
        </is>
      </c>
      <c r="J62" s="155" t="inlineStr">
        <is>
          <t>34</t>
        </is>
      </c>
      <c r="K62" s="155" t="inlineStr">
        <is>
          <t>Wrangler</t>
        </is>
      </c>
      <c r="L62" s="155" t="inlineStr">
        <is>
          <t>Cinturón Wrangler Una Vista Casual para Hombre, Color Cafe</t>
        </is>
      </c>
      <c r="M62" s="155" t="inlineStr">
        <is>
          <t>Accesorios</t>
        </is>
      </c>
      <c r="N62" s="155" t="inlineStr">
        <is>
          <t>Cinturones</t>
        </is>
      </c>
      <c r="O62" s="155" t="inlineStr">
        <is>
          <t>Hombre</t>
        </is>
      </c>
      <c r="P62" s="155" t="inlineStr">
        <is>
          <t>Wrangler</t>
        </is>
      </c>
      <c r="Q62" s="155" t="inlineStr">
        <is>
          <t>SS26</t>
        </is>
      </c>
      <c r="R62" s="155" t="inlineStr">
        <is>
          <t>Seasonal</t>
        </is>
      </c>
      <c r="S62" s="155" t="inlineStr">
        <is>
          <t>Cafe</t>
        </is>
      </c>
      <c r="T62" s="155" t="n"/>
      <c r="U62" s="155" t="n"/>
      <c r="V62" s="155" t="inlineStr">
        <is>
          <t>100% piel de vacuno</t>
        </is>
      </c>
      <c r="W62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62" s="155" t="inlineStr">
        <is>
          <t>México</t>
        </is>
      </c>
      <c r="Y62" s="155" t="inlineStr">
        <is>
          <t>PZS</t>
        </is>
      </c>
      <c r="Z62" s="59" t="inlineStr">
        <is>
          <t>53102501</t>
        </is>
      </c>
      <c r="AA62" s="126" t="n"/>
      <c r="AB62" s="61" t="n">
        <v>344.48</v>
      </c>
      <c r="AC62" s="61" t="n">
        <v>949</v>
      </c>
      <c r="AD62" s="62" t="inlineStr">
        <is>
          <t>Con Incidencias</t>
        </is>
      </c>
      <c r="AE62" s="64" t="inlineStr">
        <is>
          <t>SKU duplicado</t>
        </is>
      </c>
      <c r="AF62" s="64" t="n"/>
      <c r="AG62" s="59" t="n">
        <v>2</v>
      </c>
      <c r="AH62" s="155" t="inlineStr">
        <is>
          <t>WB OUTLET LERMA (2)</t>
        </is>
      </c>
      <c r="AI62" s="59" t="n">
        <v>2</v>
      </c>
      <c r="AJ62" s="155" t="inlineStr">
        <is>
          <t>Catálogo existente</t>
        </is>
      </c>
      <c r="AK62" s="155" t="inlineStr">
        <is>
          <t>Coincidencia por código de barras (ID NetSuite 117893) | ID alternativo de Hoja a Revisar 117893 (UPC coincidente); se conserva ID principal; Auditoría NetSuite 30/09/2026: llenado desde NetSuite [Z]; Vinculado por código de barras al ID NetSuite 117893 (antes en Identificador interno: 'C49730-27-34'); 01/10/2026: mismo SKU registrado también en fila 67716 con código 7506204961077 (ID 30958, desde Hoja3); revisar cuál es el vigente | 01/10/2026: complementado desde Shopify Western Brothers (match por código de barras): WB Fit, WB Silueta</t>
        </is>
      </c>
      <c r="AL62" s="155" t="inlineStr">
        <is>
          <t>No</t>
        </is>
      </c>
      <c r="AM62" s="155" t="n"/>
      <c r="AN62" s="155" t="inlineStr">
        <is>
          <t>| Hoja a Revisar: fila 196059 (ID 117893, misma clave UPC); G1522_Extraccion_Articulos_NetSuite_2026-09-30.xlsx: fila 64134 [Z] | Shopify WB: producto 10310436225209 / variante 50512590110905</t>
        </is>
      </c>
      <c r="AO62" s="58" t="inlineStr">
        <is>
          <t>344,48</t>
        </is>
      </c>
      <c r="AP62" s="58" t="n"/>
      <c r="AQ62" s="155" t="inlineStr">
        <is>
          <t>Shopify Western Brothers</t>
        </is>
      </c>
      <c r="AR62" s="59" t="n"/>
      <c r="AS62" s="59" t="n">
        <v>2</v>
      </c>
      <c r="AT62" s="59" t="n"/>
      <c r="AU62" s="155" t="inlineStr">
        <is>
          <t>Shopify Western Brothers › Western Brothers Outlet Lerma: 2</t>
        </is>
      </c>
    </row>
    <row r="63">
      <c r="A63" s="51" t="n">
        <v>35</v>
      </c>
      <c r="B63" s="156" t="inlineStr">
        <is>
          <t>Productos — registro integrado en el anterior</t>
        </is>
      </c>
      <c r="C63" s="125" t="inlineStr">
        <is>
          <t>Homologación G1522: mismo producto (mismo WB SKU)</t>
        </is>
      </c>
      <c r="D63" s="60" t="inlineStr">
        <is>
          <t>7506204961077</t>
        </is>
      </c>
      <c r="E63" s="59" t="inlineStr">
        <is>
          <t>30958</t>
        </is>
      </c>
      <c r="F63" s="155" t="inlineStr">
        <is>
          <t>Wrangler</t>
        </is>
      </c>
      <c r="G63" s="155" t="inlineStr">
        <is>
          <t>C49730-27</t>
        </is>
      </c>
      <c r="H63" s="155" t="inlineStr">
        <is>
          <t>C49730-27-34</t>
        </is>
      </c>
      <c r="I63" s="155" t="inlineStr">
        <is>
          <t>34</t>
        </is>
      </c>
      <c r="J63" s="155" t="inlineStr">
        <is>
          <t>34</t>
        </is>
      </c>
      <c r="K63" s="155" t="inlineStr">
        <is>
          <t>Wrangler</t>
        </is>
      </c>
      <c r="L63" s="155" t="inlineStr">
        <is>
          <t>Cinturon de hombre C49730-27 Café</t>
        </is>
      </c>
      <c r="M63" s="155" t="inlineStr">
        <is>
          <t>Accesorios</t>
        </is>
      </c>
      <c r="N63" s="155" t="inlineStr">
        <is>
          <t>Cinturones</t>
        </is>
      </c>
      <c r="O63" s="155" t="inlineStr">
        <is>
          <t>Hombre</t>
        </is>
      </c>
      <c r="P63" s="155" t="inlineStr">
        <is>
          <t>Wrangler</t>
        </is>
      </c>
      <c r="Q63" s="155" t="inlineStr">
        <is>
          <t>FW26</t>
        </is>
      </c>
      <c r="R63" s="155" t="n"/>
      <c r="S63" s="155" t="inlineStr">
        <is>
          <t>Cafe</t>
        </is>
      </c>
      <c r="T63" s="155" t="n"/>
      <c r="U63" s="155" t="n"/>
      <c r="V63" s="155" t="inlineStr">
        <is>
          <t>100% PIEL VACUNO</t>
        </is>
      </c>
      <c r="W63" s="155" t="inlineStr">
        <is>
          <t>Cinturón para Caballero de Piel</t>
        </is>
      </c>
      <c r="X63" s="155" t="inlineStr">
        <is>
          <t>México</t>
        </is>
      </c>
      <c r="Y63" s="155" t="inlineStr">
        <is>
          <t>PZS</t>
        </is>
      </c>
      <c r="Z63" s="59" t="inlineStr">
        <is>
          <t>53102501</t>
        </is>
      </c>
      <c r="AA63" s="126" t="n"/>
      <c r="AB63" s="61" t="n">
        <v>344.48</v>
      </c>
      <c r="AC63" s="61" t="n">
        <v>430.603448</v>
      </c>
      <c r="AD63" s="62" t="inlineStr">
        <is>
          <t>Con Incidencias</t>
        </is>
      </c>
      <c r="AE63" s="64" t="inlineStr">
        <is>
          <t>SKU duplicado; [Aviso] Ciclo de vida no capturado ()</t>
        </is>
      </c>
      <c r="AF63" s="64" t="n"/>
      <c r="AG63" s="59" t="n"/>
      <c r="AH63" s="155" t="n"/>
      <c r="AI63" s="59" t="n"/>
      <c r="AJ63" s="155" t="inlineStr">
        <is>
          <t>Nuevo – Carga Hoja3 01/10/2026</t>
        </is>
      </c>
      <c r="AK63" s="155" t="inlineStr">
        <is>
          <t>Alta 01/10/2026 desde Hoja3 (fila 697); Mismo SKU que la fila 2456 con otro código/ID; revisar cuál es el vigente | 01/10/2026: complementado desde Odoo Universal Unique Brands (match por código de barras): WB Talla de EE. UU.</t>
        </is>
      </c>
      <c r="AL63" s="155" t="n"/>
      <c r="AM63" s="155" t="n"/>
      <c r="AN63" s="155" t="inlineStr">
        <is>
          <t>Hoja3: fila 697 | Odoo: producto 30958 / plantilla 39660</t>
        </is>
      </c>
      <c r="AO63" s="58" t="n"/>
      <c r="AP63" s="58" t="n"/>
      <c r="AQ63" s="155" t="inlineStr">
        <is>
          <t>Odoo Universal Unique Brands</t>
        </is>
      </c>
      <c r="AR63" s="59" t="n"/>
      <c r="AS63" s="59" t="n"/>
      <c r="AT63" s="59" t="n">
        <v>10</v>
      </c>
      <c r="AU63" s="155" t="inlineStr">
        <is>
          <t>Odoo Universal Unique Brands › Bodega 25 › Bodega 25/General: 10</t>
        </is>
      </c>
    </row>
    <row r="64">
      <c r="A64" s="51" t="n">
        <v>36</v>
      </c>
      <c r="B64" s="156" t="inlineStr">
        <is>
          <t>Productos — registro conservado</t>
        </is>
      </c>
      <c r="C64" s="125" t="inlineStr">
        <is>
          <t>Homologación G1522: mismo producto (mismo WB SKU)</t>
        </is>
      </c>
      <c r="D64" s="60" t="inlineStr">
        <is>
          <t>7506674600841</t>
        </is>
      </c>
      <c r="E64" s="59" t="inlineStr">
        <is>
          <t>117894</t>
        </is>
      </c>
      <c r="F64" s="155" t="inlineStr">
        <is>
          <t>Wrangler</t>
        </is>
      </c>
      <c r="G64" s="155" t="inlineStr">
        <is>
          <t>C49730-27</t>
        </is>
      </c>
      <c r="H64" s="155" t="inlineStr">
        <is>
          <t>C49730-27-36</t>
        </is>
      </c>
      <c r="I64" s="155" t="inlineStr">
        <is>
          <t>36</t>
        </is>
      </c>
      <c r="J64" s="155" t="inlineStr">
        <is>
          <t>36</t>
        </is>
      </c>
      <c r="K64" s="155" t="inlineStr">
        <is>
          <t>Wrangler</t>
        </is>
      </c>
      <c r="L64" s="155" t="inlineStr">
        <is>
          <t>Cinturón Wrangler Una Vista Casual para Hombre, Color Cafe</t>
        </is>
      </c>
      <c r="M64" s="155" t="inlineStr">
        <is>
          <t>Accesorios</t>
        </is>
      </c>
      <c r="N64" s="155" t="inlineStr">
        <is>
          <t>Cinturones</t>
        </is>
      </c>
      <c r="O64" s="155" t="inlineStr">
        <is>
          <t>Hombre</t>
        </is>
      </c>
      <c r="P64" s="155" t="inlineStr">
        <is>
          <t>Wrangler</t>
        </is>
      </c>
      <c r="Q64" s="155" t="inlineStr">
        <is>
          <t>SS26</t>
        </is>
      </c>
      <c r="R64" s="155" t="inlineStr">
        <is>
          <t>Seasonal</t>
        </is>
      </c>
      <c r="S64" s="155" t="inlineStr">
        <is>
          <t>Cafe</t>
        </is>
      </c>
      <c r="T64" s="155" t="n"/>
      <c r="U64" s="155" t="n"/>
      <c r="V64" s="155" t="inlineStr">
        <is>
          <t>100% piel de vacuno</t>
        </is>
      </c>
      <c r="W64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64" s="155" t="inlineStr">
        <is>
          <t>México</t>
        </is>
      </c>
      <c r="Y64" s="155" t="inlineStr">
        <is>
          <t>PZS</t>
        </is>
      </c>
      <c r="Z64" s="59" t="inlineStr">
        <is>
          <t>53102501</t>
        </is>
      </c>
      <c r="AA64" s="126" t="n"/>
      <c r="AB64" s="61" t="n">
        <v>344.48</v>
      </c>
      <c r="AC64" s="61" t="n">
        <v>949</v>
      </c>
      <c r="AD64" s="62" t="inlineStr">
        <is>
          <t>Con Incidencias</t>
        </is>
      </c>
      <c r="AE64" s="64" t="inlineStr">
        <is>
          <t>SKU duplicado</t>
        </is>
      </c>
      <c r="AF64" s="64" t="n"/>
      <c r="AG64" s="59" t="n">
        <v>2</v>
      </c>
      <c r="AH64" s="155" t="inlineStr">
        <is>
          <t>WB OUTLET LERMA (2)</t>
        </is>
      </c>
      <c r="AI64" s="59" t="n">
        <v>2</v>
      </c>
      <c r="AJ64" s="155" t="inlineStr">
        <is>
          <t>Catálogo existente</t>
        </is>
      </c>
      <c r="AK64" s="155" t="inlineStr">
        <is>
          <t>Coincidencia por código de barras (ID NetSuite 117894) | ID alternativo de Hoja a Revisar 117894 (UPC coincidente); se conserva ID principal; Auditoría NetSuite 30/09/2026: llenado desde NetSuite [Z]; Vinculado por código de barras al ID NetSuite 117894 (antes en Identificador interno: 'C49730-27-36'); 01/10/2026: mismo SKU registrado también en fila 67717 con código 7506204961084 (ID 30959, desde Hoja3); revisar cuál es el vigente | 01/10/2026: complementado desde Shopify Western Brothers (match por código de barras): WB Fit, WB Silueta</t>
        </is>
      </c>
      <c r="AL64" s="155" t="inlineStr">
        <is>
          <t>No</t>
        </is>
      </c>
      <c r="AM64" s="155" t="n"/>
      <c r="AN64" s="155" t="inlineStr">
        <is>
          <t>| Hoja a Revisar: fila 196060 (ID 117894, misma clave UPC); G1522_Extraccion_Articulos_NetSuite_2026-09-30.xlsx: fila 64135 [Z] | Shopify WB: producto 10310436225209 / variante 50512590143673</t>
        </is>
      </c>
      <c r="AO64" s="58" t="inlineStr">
        <is>
          <t>344,48</t>
        </is>
      </c>
      <c r="AP64" s="58" t="n"/>
      <c r="AQ64" s="155" t="inlineStr">
        <is>
          <t>Shopify Western Brothers</t>
        </is>
      </c>
      <c r="AR64" s="59" t="n"/>
      <c r="AS64" s="59" t="n">
        <v>2</v>
      </c>
      <c r="AT64" s="59" t="n"/>
      <c r="AU64" s="155" t="inlineStr">
        <is>
          <t>Shopify Western Brothers › Western Brothers Outlet Lerma: 2</t>
        </is>
      </c>
    </row>
    <row r="65">
      <c r="A65" s="51" t="n">
        <v>36</v>
      </c>
      <c r="B65" s="156" t="inlineStr">
        <is>
          <t>Productos — registro integrado en el anterior</t>
        </is>
      </c>
      <c r="C65" s="125" t="inlineStr">
        <is>
          <t>Homologación G1522: mismo producto (mismo WB SKU)</t>
        </is>
      </c>
      <c r="D65" s="60" t="inlineStr">
        <is>
          <t>7506204961084</t>
        </is>
      </c>
      <c r="E65" s="59" t="inlineStr">
        <is>
          <t>30959</t>
        </is>
      </c>
      <c r="F65" s="155" t="inlineStr">
        <is>
          <t>Wrangler</t>
        </is>
      </c>
      <c r="G65" s="155" t="inlineStr">
        <is>
          <t>C49730-27</t>
        </is>
      </c>
      <c r="H65" s="155" t="inlineStr">
        <is>
          <t>C49730-27-36</t>
        </is>
      </c>
      <c r="I65" s="155" t="inlineStr">
        <is>
          <t>36</t>
        </is>
      </c>
      <c r="J65" s="155" t="inlineStr">
        <is>
          <t>36</t>
        </is>
      </c>
      <c r="K65" s="155" t="inlineStr">
        <is>
          <t>Wrangler</t>
        </is>
      </c>
      <c r="L65" s="155" t="inlineStr">
        <is>
          <t>Cinturon de hombre C49730-27 Café</t>
        </is>
      </c>
      <c r="M65" s="155" t="inlineStr">
        <is>
          <t>Accesorios</t>
        </is>
      </c>
      <c r="N65" s="155" t="inlineStr">
        <is>
          <t>Cinturones</t>
        </is>
      </c>
      <c r="O65" s="155" t="inlineStr">
        <is>
          <t>Hombre</t>
        </is>
      </c>
      <c r="P65" s="155" t="inlineStr">
        <is>
          <t>Wrangler</t>
        </is>
      </c>
      <c r="Q65" s="155" t="inlineStr">
        <is>
          <t>FW26</t>
        </is>
      </c>
      <c r="R65" s="155" t="n"/>
      <c r="S65" s="155" t="inlineStr">
        <is>
          <t>Cafe</t>
        </is>
      </c>
      <c r="T65" s="155" t="n"/>
      <c r="U65" s="155" t="n"/>
      <c r="V65" s="155" t="inlineStr">
        <is>
          <t>100% PIEL VACUNO</t>
        </is>
      </c>
      <c r="W65" s="155" t="inlineStr">
        <is>
          <t>Cinturón para Caballero de Piel</t>
        </is>
      </c>
      <c r="X65" s="155" t="inlineStr">
        <is>
          <t>México</t>
        </is>
      </c>
      <c r="Y65" s="155" t="inlineStr">
        <is>
          <t>PZS</t>
        </is>
      </c>
      <c r="Z65" s="59" t="inlineStr">
        <is>
          <t>53102501</t>
        </is>
      </c>
      <c r="AA65" s="126" t="n"/>
      <c r="AB65" s="61" t="n">
        <v>344.48</v>
      </c>
      <c r="AC65" s="61" t="n">
        <v>430.603448</v>
      </c>
      <c r="AD65" s="62" t="inlineStr">
        <is>
          <t>Con Incidencias</t>
        </is>
      </c>
      <c r="AE65" s="64" t="inlineStr">
        <is>
          <t>SKU duplicado; [Aviso] Ciclo de vida no capturado ()</t>
        </is>
      </c>
      <c r="AF65" s="64" t="n"/>
      <c r="AG65" s="59" t="n"/>
      <c r="AH65" s="155" t="n"/>
      <c r="AI65" s="59" t="n"/>
      <c r="AJ65" s="155" t="inlineStr">
        <is>
          <t>Nuevo – Carga Hoja3 01/10/2026</t>
        </is>
      </c>
      <c r="AK65" s="155" t="inlineStr">
        <is>
          <t>Alta 01/10/2026 desde Hoja3 (fila 698); Mismo SKU que la fila 2457 con otro código/ID; revisar cuál es el vigente | 01/10/2026: complementado desde Odoo Universal Unique Brands (match por código de barras): WB Talla de EE. UU.</t>
        </is>
      </c>
      <c r="AL65" s="155" t="n"/>
      <c r="AM65" s="155" t="n"/>
      <c r="AN65" s="155" t="inlineStr">
        <is>
          <t>Hoja3: fila 698 | Odoo: producto 30959 / plantilla 39660</t>
        </is>
      </c>
      <c r="AO65" s="58" t="n"/>
      <c r="AP65" s="58" t="n"/>
      <c r="AQ65" s="155" t="inlineStr">
        <is>
          <t>Odoo Universal Unique Brands</t>
        </is>
      </c>
      <c r="AR65" s="59" t="n"/>
      <c r="AS65" s="59" t="n"/>
      <c r="AT65" s="59" t="n">
        <v>10</v>
      </c>
      <c r="AU65" s="155" t="inlineStr">
        <is>
          <t>Odoo Universal Unique Brands › Bodega 25 › Bodega 25/General: 10</t>
        </is>
      </c>
    </row>
    <row r="66">
      <c r="A66" s="51" t="n">
        <v>37</v>
      </c>
      <c r="B66" s="156" t="inlineStr">
        <is>
          <t>Productos — registro conservado</t>
        </is>
      </c>
      <c r="C66" s="125" t="inlineStr">
        <is>
          <t>Homologación G1522: mismo producto (mismo WB SKU)</t>
        </is>
      </c>
      <c r="D66" s="60" t="inlineStr">
        <is>
          <t>7506674600858</t>
        </is>
      </c>
      <c r="E66" s="59" t="inlineStr">
        <is>
          <t>117895</t>
        </is>
      </c>
      <c r="F66" s="155" t="inlineStr">
        <is>
          <t>Wrangler</t>
        </is>
      </c>
      <c r="G66" s="155" t="inlineStr">
        <is>
          <t>C49730-27</t>
        </is>
      </c>
      <c r="H66" s="155" t="inlineStr">
        <is>
          <t>C49730-27-38</t>
        </is>
      </c>
      <c r="I66" s="155" t="inlineStr">
        <is>
          <t>38</t>
        </is>
      </c>
      <c r="J66" s="155" t="inlineStr">
        <is>
          <t>38</t>
        </is>
      </c>
      <c r="K66" s="155" t="inlineStr">
        <is>
          <t>Wrangler</t>
        </is>
      </c>
      <c r="L66" s="155" t="inlineStr">
        <is>
          <t>Cinturón Wrangler Una Vista Casual para Hombre, Color Cafe</t>
        </is>
      </c>
      <c r="M66" s="155" t="inlineStr">
        <is>
          <t>Accesorios</t>
        </is>
      </c>
      <c r="N66" s="155" t="inlineStr">
        <is>
          <t>Cinturones</t>
        </is>
      </c>
      <c r="O66" s="155" t="inlineStr">
        <is>
          <t>Hombre</t>
        </is>
      </c>
      <c r="P66" s="155" t="inlineStr">
        <is>
          <t>Wrangler</t>
        </is>
      </c>
      <c r="Q66" s="155" t="inlineStr">
        <is>
          <t>SS26</t>
        </is>
      </c>
      <c r="R66" s="155" t="inlineStr">
        <is>
          <t>Seasonal</t>
        </is>
      </c>
      <c r="S66" s="155" t="inlineStr">
        <is>
          <t>Cafe</t>
        </is>
      </c>
      <c r="T66" s="155" t="n"/>
      <c r="U66" s="155" t="n"/>
      <c r="V66" s="155" t="inlineStr">
        <is>
          <t>100% piel de vacuno</t>
        </is>
      </c>
      <c r="W66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66" s="155" t="inlineStr">
        <is>
          <t>México</t>
        </is>
      </c>
      <c r="Y66" s="155" t="inlineStr">
        <is>
          <t>PZS</t>
        </is>
      </c>
      <c r="Z66" s="59" t="inlineStr">
        <is>
          <t>53102501</t>
        </is>
      </c>
      <c r="AA66" s="126" t="n"/>
      <c r="AB66" s="61" t="n">
        <v>344.48</v>
      </c>
      <c r="AC66" s="61" t="n">
        <v>949</v>
      </c>
      <c r="AD66" s="62" t="inlineStr">
        <is>
          <t>Con Incidencias</t>
        </is>
      </c>
      <c r="AE66" s="64" t="inlineStr">
        <is>
          <t>SKU duplicado</t>
        </is>
      </c>
      <c r="AF66" s="64" t="n"/>
      <c r="AG66" s="59" t="n">
        <v>3</v>
      </c>
      <c r="AH66" s="155" t="inlineStr">
        <is>
          <t>WB OUTLET LERMA (3)</t>
        </is>
      </c>
      <c r="AI66" s="59" t="n">
        <v>3</v>
      </c>
      <c r="AJ66" s="155" t="inlineStr">
        <is>
          <t>Catálogo existente</t>
        </is>
      </c>
      <c r="AK66" s="155" t="inlineStr">
        <is>
          <t>Coincidencia por código de barras (ID NetSuite 117895) | ID alternativo de Hoja a Revisar 117895 (UPC coincidente); se conserva ID principal; Auditoría NetSuite 30/09/2026: llenado desde NetSuite [Z]; Vinculado por código de barras al ID NetSuite 117895 (antes en Identificador interno: 'C49730-27-38'); 01/10/2026: mismo SKU registrado también en fila 67718 con código 7506204961091 (ID 30960, desde Hoja3); revisar cuál es el vigente | 01/10/2026: complementado desde Shopify Western Brothers (match por código de barras): WB Fit, WB Silueta</t>
        </is>
      </c>
      <c r="AL66" s="155" t="inlineStr">
        <is>
          <t>No</t>
        </is>
      </c>
      <c r="AM66" s="155" t="n"/>
      <c r="AN66" s="155" t="inlineStr">
        <is>
          <t>| Hoja a Revisar: fila 196061 (ID 117895, misma clave UPC); G1522_Extraccion_Articulos_NetSuite_2026-09-30.xlsx: fila 64136 [Z] | Shopify WB: producto 10310436225209 / variante 50512590176441</t>
        </is>
      </c>
      <c r="AO66" s="58" t="inlineStr">
        <is>
          <t>344,48</t>
        </is>
      </c>
      <c r="AP66" s="58" t="n"/>
      <c r="AQ66" s="155" t="inlineStr">
        <is>
          <t>Shopify Western Brothers</t>
        </is>
      </c>
      <c r="AR66" s="59" t="n"/>
      <c r="AS66" s="59" t="n">
        <v>3</v>
      </c>
      <c r="AT66" s="59" t="n"/>
      <c r="AU66" s="155" t="inlineStr">
        <is>
          <t>Shopify Western Brothers › Western Brothers Outlet Lerma: 3</t>
        </is>
      </c>
    </row>
    <row r="67">
      <c r="A67" s="51" t="n">
        <v>37</v>
      </c>
      <c r="B67" s="156" t="inlineStr">
        <is>
          <t>Productos — registro integrado en el anterior</t>
        </is>
      </c>
      <c r="C67" s="125" t="inlineStr">
        <is>
          <t>Homologación G1522: mismo producto (mismo WB SKU)</t>
        </is>
      </c>
      <c r="D67" s="60" t="inlineStr">
        <is>
          <t>7506204961091</t>
        </is>
      </c>
      <c r="E67" s="59" t="inlineStr">
        <is>
          <t>30960</t>
        </is>
      </c>
      <c r="F67" s="155" t="inlineStr">
        <is>
          <t>Wrangler</t>
        </is>
      </c>
      <c r="G67" s="155" t="inlineStr">
        <is>
          <t>C49730-27</t>
        </is>
      </c>
      <c r="H67" s="155" t="inlineStr">
        <is>
          <t>C49730-27-38</t>
        </is>
      </c>
      <c r="I67" s="155" t="inlineStr">
        <is>
          <t>38</t>
        </is>
      </c>
      <c r="J67" s="155" t="inlineStr">
        <is>
          <t>38</t>
        </is>
      </c>
      <c r="K67" s="155" t="inlineStr">
        <is>
          <t>Wrangler</t>
        </is>
      </c>
      <c r="L67" s="155" t="inlineStr">
        <is>
          <t>Cinturon de hombre C49730-27 Café</t>
        </is>
      </c>
      <c r="M67" s="155" t="inlineStr">
        <is>
          <t>Accesorios</t>
        </is>
      </c>
      <c r="N67" s="155" t="inlineStr">
        <is>
          <t>Cinturones</t>
        </is>
      </c>
      <c r="O67" s="155" t="inlineStr">
        <is>
          <t>Hombre</t>
        </is>
      </c>
      <c r="P67" s="155" t="inlineStr">
        <is>
          <t>Wrangler</t>
        </is>
      </c>
      <c r="Q67" s="155" t="inlineStr">
        <is>
          <t>FW26</t>
        </is>
      </c>
      <c r="R67" s="155" t="n"/>
      <c r="S67" s="155" t="inlineStr">
        <is>
          <t>Cafe</t>
        </is>
      </c>
      <c r="T67" s="155" t="n"/>
      <c r="U67" s="155" t="n"/>
      <c r="V67" s="155" t="inlineStr">
        <is>
          <t>100% PIEL VACUNO</t>
        </is>
      </c>
      <c r="W67" s="155" t="inlineStr">
        <is>
          <t>Cinturón para Caballero de Piel</t>
        </is>
      </c>
      <c r="X67" s="155" t="inlineStr">
        <is>
          <t>México</t>
        </is>
      </c>
      <c r="Y67" s="155" t="inlineStr">
        <is>
          <t>PZS</t>
        </is>
      </c>
      <c r="Z67" s="59" t="inlineStr">
        <is>
          <t>53102501</t>
        </is>
      </c>
      <c r="AA67" s="126" t="n"/>
      <c r="AB67" s="61" t="n">
        <v>344.48</v>
      </c>
      <c r="AC67" s="61" t="n">
        <v>430.603448</v>
      </c>
      <c r="AD67" s="62" t="inlineStr">
        <is>
          <t>Con Incidencias</t>
        </is>
      </c>
      <c r="AE67" s="64" t="inlineStr">
        <is>
          <t>SKU duplicado; [Aviso] Ciclo de vida no capturado ()</t>
        </is>
      </c>
      <c r="AF67" s="64" t="n"/>
      <c r="AG67" s="59" t="n"/>
      <c r="AH67" s="155" t="n"/>
      <c r="AI67" s="59" t="n"/>
      <c r="AJ67" s="155" t="inlineStr">
        <is>
          <t>Nuevo – Carga Hoja3 01/10/2026</t>
        </is>
      </c>
      <c r="AK67" s="155" t="inlineStr">
        <is>
          <t>Alta 01/10/2026 desde Hoja3 (fila 699); Mismo SKU que la fila 2458 con otro código/ID; revisar cuál es el vigente | 01/10/2026: complementado desde Odoo Universal Unique Brands (match por código de barras): WB Talla de EE. UU.</t>
        </is>
      </c>
      <c r="AL67" s="155" t="n"/>
      <c r="AM67" s="155" t="n"/>
      <c r="AN67" s="155" t="inlineStr">
        <is>
          <t>Hoja3: fila 699 | Odoo: producto 30960 / plantilla 39660</t>
        </is>
      </c>
      <c r="AO67" s="58" t="n"/>
      <c r="AP67" s="58" t="n"/>
      <c r="AQ67" s="155" t="inlineStr">
        <is>
          <t>Odoo Universal Unique Brands</t>
        </is>
      </c>
      <c r="AR67" s="59" t="n"/>
      <c r="AS67" s="59" t="n"/>
      <c r="AT67" s="59" t="n">
        <v>15</v>
      </c>
      <c r="AU67" s="155" t="inlineStr">
        <is>
          <t>Odoo Universal Unique Brands › Bodega 25 › Bodega 25/General: 15</t>
        </is>
      </c>
    </row>
    <row r="68">
      <c r="A68" s="51" t="n">
        <v>38</v>
      </c>
      <c r="B68" s="156" t="inlineStr">
        <is>
          <t>Productos — registro conservado</t>
        </is>
      </c>
      <c r="C68" s="125" t="inlineStr">
        <is>
          <t>Homologación G1522: mismo producto (mismo WB SKU)</t>
        </is>
      </c>
      <c r="D68" s="60" t="inlineStr">
        <is>
          <t>7506674600865</t>
        </is>
      </c>
      <c r="E68" s="59" t="inlineStr">
        <is>
          <t>117896</t>
        </is>
      </c>
      <c r="F68" s="155" t="inlineStr">
        <is>
          <t>Wrangler</t>
        </is>
      </c>
      <c r="G68" s="155" t="inlineStr">
        <is>
          <t>C49730-27</t>
        </is>
      </c>
      <c r="H68" s="155" t="inlineStr">
        <is>
          <t>C49730-27-40</t>
        </is>
      </c>
      <c r="I68" s="155" t="inlineStr">
        <is>
          <t>40</t>
        </is>
      </c>
      <c r="J68" s="155" t="inlineStr">
        <is>
          <t>40</t>
        </is>
      </c>
      <c r="K68" s="155" t="inlineStr">
        <is>
          <t>Wrangler</t>
        </is>
      </c>
      <c r="L68" s="155" t="inlineStr">
        <is>
          <t>Cinturón Wrangler Una Vista Casual para Hombre, Color Cafe</t>
        </is>
      </c>
      <c r="M68" s="155" t="inlineStr">
        <is>
          <t>Accesorios</t>
        </is>
      </c>
      <c r="N68" s="155" t="inlineStr">
        <is>
          <t>Cinturones</t>
        </is>
      </c>
      <c r="O68" s="155" t="inlineStr">
        <is>
          <t>Hombre</t>
        </is>
      </c>
      <c r="P68" s="155" t="inlineStr">
        <is>
          <t>Wrangler</t>
        </is>
      </c>
      <c r="Q68" s="155" t="inlineStr">
        <is>
          <t>SS26</t>
        </is>
      </c>
      <c r="R68" s="155" t="inlineStr">
        <is>
          <t>Seasonal</t>
        </is>
      </c>
      <c r="S68" s="155" t="inlineStr">
        <is>
          <t>Cafe</t>
        </is>
      </c>
      <c r="T68" s="155" t="n"/>
      <c r="U68" s="155" t="n"/>
      <c r="V68" s="155" t="inlineStr">
        <is>
          <t>100% piel de vacuno</t>
        </is>
      </c>
      <c r="W68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68" s="155" t="inlineStr">
        <is>
          <t>México</t>
        </is>
      </c>
      <c r="Y68" s="155" t="inlineStr">
        <is>
          <t>PZS</t>
        </is>
      </c>
      <c r="Z68" s="59" t="inlineStr">
        <is>
          <t>53102501</t>
        </is>
      </c>
      <c r="AA68" s="126" t="n"/>
      <c r="AB68" s="61" t="n">
        <v>344.48</v>
      </c>
      <c r="AC68" s="61" t="n">
        <v>949</v>
      </c>
      <c r="AD68" s="62" t="inlineStr">
        <is>
          <t>Con Incidencias</t>
        </is>
      </c>
      <c r="AE68" s="64" t="inlineStr">
        <is>
          <t>SKU duplicado</t>
        </is>
      </c>
      <c r="AF68" s="64" t="n"/>
      <c r="AG68" s="59" t="n">
        <v>2</v>
      </c>
      <c r="AH68" s="155" t="inlineStr">
        <is>
          <t>WB OUTLET LERMA (2)</t>
        </is>
      </c>
      <c r="AI68" s="59" t="n">
        <v>2</v>
      </c>
      <c r="AJ68" s="155" t="inlineStr">
        <is>
          <t>Catálogo existente</t>
        </is>
      </c>
      <c r="AK68" s="155" t="inlineStr">
        <is>
          <t>Coincidencia por código de barras (ID NetSuite 117896) | ID alternativo de Hoja a Revisar 117896 (UPC coincidente); se conserva ID principal; Auditoría NetSuite 30/09/2026: llenado desde NetSuite [Z]; Vinculado por código de barras al ID NetSuite 117896 (antes en Identificador interno: 'C49730-27-40'); 01/10/2026: mismo SKU registrado también en fila 67719 con código 7503063066677 (ID 30961, desde Hoja3); revisar cuál es el vigente | 01/10/2026: complementado desde Shopify Western Brothers (match por código de barras): WB Fit, WB Silueta</t>
        </is>
      </c>
      <c r="AL68" s="155" t="inlineStr">
        <is>
          <t>No</t>
        </is>
      </c>
      <c r="AM68" s="155" t="n"/>
      <c r="AN68" s="155" t="inlineStr">
        <is>
          <t>| Hoja a Revisar: fila 196062 (ID 117896, misma clave UPC); G1522_Extraccion_Articulos_NetSuite_2026-09-30.xlsx: fila 64137 [Z] | Shopify WB: producto 10310436225209 / variante 50512590209209</t>
        </is>
      </c>
      <c r="AO68" s="58" t="inlineStr">
        <is>
          <t>344,48</t>
        </is>
      </c>
      <c r="AP68" s="58" t="n"/>
      <c r="AQ68" s="155" t="inlineStr">
        <is>
          <t>Shopify Western Brothers</t>
        </is>
      </c>
      <c r="AR68" s="59" t="n"/>
      <c r="AS68" s="59" t="n">
        <v>2</v>
      </c>
      <c r="AT68" s="59" t="n"/>
      <c r="AU68" s="155" t="inlineStr">
        <is>
          <t>Shopify Western Brothers › Western Brothers Outlet Lerma: 2</t>
        </is>
      </c>
    </row>
    <row r="69">
      <c r="A69" s="51" t="n">
        <v>38</v>
      </c>
      <c r="B69" s="156" t="inlineStr">
        <is>
          <t>Productos — registro integrado en el anterior</t>
        </is>
      </c>
      <c r="C69" s="125" t="inlineStr">
        <is>
          <t>Homologación G1522: mismo producto (mismo WB SKU)</t>
        </is>
      </c>
      <c r="D69" s="60" t="inlineStr">
        <is>
          <t>7503063066677</t>
        </is>
      </c>
      <c r="E69" s="59" t="inlineStr">
        <is>
          <t>30961</t>
        </is>
      </c>
      <c r="F69" s="155" t="inlineStr">
        <is>
          <t>Wrangler</t>
        </is>
      </c>
      <c r="G69" s="155" t="inlineStr">
        <is>
          <t>C49730-27</t>
        </is>
      </c>
      <c r="H69" s="155" t="inlineStr">
        <is>
          <t>C49730-27-40</t>
        </is>
      </c>
      <c r="I69" s="155" t="inlineStr">
        <is>
          <t>40</t>
        </is>
      </c>
      <c r="J69" s="155" t="inlineStr">
        <is>
          <t>40</t>
        </is>
      </c>
      <c r="K69" s="155" t="inlineStr">
        <is>
          <t>Wrangler</t>
        </is>
      </c>
      <c r="L69" s="155" t="inlineStr">
        <is>
          <t>Cinturon de hombre C49730-27 Café</t>
        </is>
      </c>
      <c r="M69" s="155" t="inlineStr">
        <is>
          <t>Accesorios</t>
        </is>
      </c>
      <c r="N69" s="155" t="inlineStr">
        <is>
          <t>Cinturones</t>
        </is>
      </c>
      <c r="O69" s="155" t="inlineStr">
        <is>
          <t>Hombre</t>
        </is>
      </c>
      <c r="P69" s="155" t="inlineStr">
        <is>
          <t>Wrangler</t>
        </is>
      </c>
      <c r="Q69" s="155" t="inlineStr">
        <is>
          <t>FW26</t>
        </is>
      </c>
      <c r="R69" s="155" t="n"/>
      <c r="S69" s="155" t="inlineStr">
        <is>
          <t>Cafe</t>
        </is>
      </c>
      <c r="T69" s="155" t="n"/>
      <c r="U69" s="155" t="n"/>
      <c r="V69" s="155" t="inlineStr">
        <is>
          <t>100% PIEL VACUNO</t>
        </is>
      </c>
      <c r="W69" s="155" t="inlineStr">
        <is>
          <t>Cinturón para Caballero de Piel</t>
        </is>
      </c>
      <c r="X69" s="155" t="inlineStr">
        <is>
          <t>México</t>
        </is>
      </c>
      <c r="Y69" s="155" t="inlineStr">
        <is>
          <t>PZS</t>
        </is>
      </c>
      <c r="Z69" s="59" t="inlineStr">
        <is>
          <t>53102501</t>
        </is>
      </c>
      <c r="AA69" s="126" t="n"/>
      <c r="AB69" s="61" t="n">
        <v>344.48</v>
      </c>
      <c r="AC69" s="61" t="n">
        <v>430.603448</v>
      </c>
      <c r="AD69" s="62" t="inlineStr">
        <is>
          <t>Con Incidencias</t>
        </is>
      </c>
      <c r="AE69" s="64" t="inlineStr">
        <is>
          <t>SKU duplicado; [Aviso] Ciclo de vida no capturado ()</t>
        </is>
      </c>
      <c r="AF69" s="64" t="n"/>
      <c r="AG69" s="59" t="n"/>
      <c r="AH69" s="155" t="n"/>
      <c r="AI69" s="59" t="n"/>
      <c r="AJ69" s="155" t="inlineStr">
        <is>
          <t>Nuevo – Carga Hoja3 01/10/2026</t>
        </is>
      </c>
      <c r="AK69" s="155" t="inlineStr">
        <is>
          <t>Alta 01/10/2026 desde Hoja3 (fila 700); Mismo SKU que la fila 2459 con otro código/ID; revisar cuál es el vigente | 01/10/2026: complementado desde Odoo Universal Unique Brands (match por código de barras): WB Talla de EE. UU.</t>
        </is>
      </c>
      <c r="AL69" s="155" t="n"/>
      <c r="AM69" s="155" t="n"/>
      <c r="AN69" s="155" t="inlineStr">
        <is>
          <t>Hoja3: fila 700 | Odoo: producto 30961 / plantilla 39660</t>
        </is>
      </c>
      <c r="AO69" s="58" t="n"/>
      <c r="AP69" s="58" t="n"/>
      <c r="AQ69" s="155" t="inlineStr">
        <is>
          <t>Odoo Universal Unique Brands</t>
        </is>
      </c>
      <c r="AR69" s="59" t="n"/>
      <c r="AS69" s="59" t="n"/>
      <c r="AT69" s="59" t="n">
        <v>22</v>
      </c>
      <c r="AU69" s="155" t="inlineStr">
        <is>
          <t>Odoo Universal Unique Brands › Bodega 25 › Bodega 25/General: 22</t>
        </is>
      </c>
    </row>
    <row r="70">
      <c r="A70" s="51" t="n">
        <v>39</v>
      </c>
      <c r="B70" s="156" t="inlineStr">
        <is>
          <t>Productos — registro conservado</t>
        </is>
      </c>
      <c r="C70" s="125" t="inlineStr">
        <is>
          <t>Homologación G1522: mismo producto (mismo WB SKU)</t>
        </is>
      </c>
      <c r="D70" s="60" t="inlineStr">
        <is>
          <t>7506674600872</t>
        </is>
      </c>
      <c r="E70" s="59" t="inlineStr">
        <is>
          <t>117897</t>
        </is>
      </c>
      <c r="F70" s="155" t="inlineStr">
        <is>
          <t>Wrangler</t>
        </is>
      </c>
      <c r="G70" s="155" t="inlineStr">
        <is>
          <t>C49730-27</t>
        </is>
      </c>
      <c r="H70" s="155" t="inlineStr">
        <is>
          <t>C49730-27-42</t>
        </is>
      </c>
      <c r="I70" s="155" t="inlineStr">
        <is>
          <t>42</t>
        </is>
      </c>
      <c r="J70" s="155" t="inlineStr">
        <is>
          <t>42</t>
        </is>
      </c>
      <c r="K70" s="155" t="inlineStr">
        <is>
          <t>Wrangler</t>
        </is>
      </c>
      <c r="L70" s="155" t="inlineStr">
        <is>
          <t>Cinturón Wrangler Una Vista Casual para Hombre, Color Cafe</t>
        </is>
      </c>
      <c r="M70" s="155" t="inlineStr">
        <is>
          <t>Accesorios</t>
        </is>
      </c>
      <c r="N70" s="155" t="inlineStr">
        <is>
          <t>Cinturones</t>
        </is>
      </c>
      <c r="O70" s="155" t="inlineStr">
        <is>
          <t>Hombre</t>
        </is>
      </c>
      <c r="P70" s="155" t="inlineStr">
        <is>
          <t>Wrangler</t>
        </is>
      </c>
      <c r="Q70" s="155" t="inlineStr">
        <is>
          <t>SS26</t>
        </is>
      </c>
      <c r="R70" s="155" t="inlineStr">
        <is>
          <t>Seasonal</t>
        </is>
      </c>
      <c r="S70" s="155" t="inlineStr">
        <is>
          <t>Cafe</t>
        </is>
      </c>
      <c r="T70" s="155" t="n"/>
      <c r="U70" s="155" t="n"/>
      <c r="V70" s="155" t="inlineStr">
        <is>
          <t>100% piel de vacuno</t>
        </is>
      </c>
      <c r="W70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70" s="155" t="inlineStr">
        <is>
          <t>México</t>
        </is>
      </c>
      <c r="Y70" s="155" t="inlineStr">
        <is>
          <t>PZS</t>
        </is>
      </c>
      <c r="Z70" s="59" t="inlineStr">
        <is>
          <t>53102501</t>
        </is>
      </c>
      <c r="AA70" s="126" t="n"/>
      <c r="AB70" s="61" t="n">
        <v>344.48</v>
      </c>
      <c r="AC70" s="61" t="n">
        <v>949</v>
      </c>
      <c r="AD70" s="62" t="inlineStr">
        <is>
          <t>Con Incidencias</t>
        </is>
      </c>
      <c r="AE70" s="64" t="inlineStr">
        <is>
          <t>SKU duplicado</t>
        </is>
      </c>
      <c r="AF70" s="64" t="n"/>
      <c r="AG70" s="59" t="n">
        <v>2</v>
      </c>
      <c r="AH70" s="155" t="inlineStr">
        <is>
          <t>WB OUTLET LERMA (2)</t>
        </is>
      </c>
      <c r="AI70" s="59" t="n">
        <v>2</v>
      </c>
      <c r="AJ70" s="155" t="inlineStr">
        <is>
          <t>Catálogo existente</t>
        </is>
      </c>
      <c r="AK70" s="155" t="inlineStr">
        <is>
          <t>Coincidencia por código de barras (ID NetSuite 117897) | ID alternativo de Hoja a Revisar 117897 (UPC coincidente); se conserva ID principal; Auditoría NetSuite 30/09/2026: llenado desde NetSuite [Z]; Vinculado por código de barras al ID NetSuite 117897 (antes en Identificador interno: 'C49730-27-42'); 01/10/2026: mismo SKU registrado también en fila 67720 con código 7503063066684 (ID 30962, desde Hoja3); revisar cuál es el vigente | 01/10/2026: complementado desde Shopify Western Brothers (match por código de barras): WB Fit, WB Silueta</t>
        </is>
      </c>
      <c r="AL70" s="155" t="inlineStr">
        <is>
          <t>No</t>
        </is>
      </c>
      <c r="AM70" s="155" t="n"/>
      <c r="AN70" s="155" t="inlineStr">
        <is>
          <t>| Hoja a Revisar: fila 196063 (ID 117897, misma clave UPC); G1522_Extraccion_Articulos_NetSuite_2026-09-30.xlsx: fila 64138 [Z] | Shopify WB: producto 10310436225209 / variante 50512590241977</t>
        </is>
      </c>
      <c r="AO70" s="58" t="inlineStr">
        <is>
          <t>344,48</t>
        </is>
      </c>
      <c r="AP70" s="58" t="n"/>
      <c r="AQ70" s="155" t="inlineStr">
        <is>
          <t>Shopify Western Brothers</t>
        </is>
      </c>
      <c r="AR70" s="59" t="n"/>
      <c r="AS70" s="59" t="n">
        <v>2</v>
      </c>
      <c r="AT70" s="59" t="n"/>
      <c r="AU70" s="155" t="inlineStr">
        <is>
          <t>Shopify Western Brothers › Western Brothers Outlet Lerma: 2</t>
        </is>
      </c>
    </row>
    <row r="71">
      <c r="A71" s="51" t="n">
        <v>39</v>
      </c>
      <c r="B71" s="156" t="inlineStr">
        <is>
          <t>Productos — registro integrado en el anterior</t>
        </is>
      </c>
      <c r="C71" s="125" t="inlineStr">
        <is>
          <t>Homologación G1522: mismo producto (mismo WB SKU)</t>
        </is>
      </c>
      <c r="D71" s="60" t="inlineStr">
        <is>
          <t>7503063066684</t>
        </is>
      </c>
      <c r="E71" s="59" t="inlineStr">
        <is>
          <t>30962</t>
        </is>
      </c>
      <c r="F71" s="155" t="inlineStr">
        <is>
          <t>Wrangler</t>
        </is>
      </c>
      <c r="G71" s="155" t="inlineStr">
        <is>
          <t>C49730-27</t>
        </is>
      </c>
      <c r="H71" s="155" t="inlineStr">
        <is>
          <t>C49730-27-42</t>
        </is>
      </c>
      <c r="I71" s="155" t="inlineStr">
        <is>
          <t>42</t>
        </is>
      </c>
      <c r="J71" s="155" t="inlineStr">
        <is>
          <t>42</t>
        </is>
      </c>
      <c r="K71" s="155" t="inlineStr">
        <is>
          <t>Wrangler</t>
        </is>
      </c>
      <c r="L71" s="155" t="inlineStr">
        <is>
          <t>Cinturon de hombre C49730-27 Café</t>
        </is>
      </c>
      <c r="M71" s="155" t="inlineStr">
        <is>
          <t>Accesorios</t>
        </is>
      </c>
      <c r="N71" s="155" t="inlineStr">
        <is>
          <t>Cinturones</t>
        </is>
      </c>
      <c r="O71" s="155" t="inlineStr">
        <is>
          <t>Hombre</t>
        </is>
      </c>
      <c r="P71" s="155" t="inlineStr">
        <is>
          <t>Wrangler</t>
        </is>
      </c>
      <c r="Q71" s="155" t="inlineStr">
        <is>
          <t>FW26</t>
        </is>
      </c>
      <c r="R71" s="155" t="n"/>
      <c r="S71" s="155" t="inlineStr">
        <is>
          <t>Cafe</t>
        </is>
      </c>
      <c r="T71" s="155" t="n"/>
      <c r="U71" s="155" t="n"/>
      <c r="V71" s="155" t="inlineStr">
        <is>
          <t>100% PIEL VACUNO</t>
        </is>
      </c>
      <c r="W71" s="155" t="inlineStr">
        <is>
          <t>Cinturón para Caballero de Piel</t>
        </is>
      </c>
      <c r="X71" s="155" t="inlineStr">
        <is>
          <t>México</t>
        </is>
      </c>
      <c r="Y71" s="155" t="inlineStr">
        <is>
          <t>PZS</t>
        </is>
      </c>
      <c r="Z71" s="59" t="inlineStr">
        <is>
          <t>53102501</t>
        </is>
      </c>
      <c r="AA71" s="126" t="n"/>
      <c r="AB71" s="61" t="n">
        <v>344.48</v>
      </c>
      <c r="AC71" s="61" t="n">
        <v>430.603448</v>
      </c>
      <c r="AD71" s="62" t="inlineStr">
        <is>
          <t>Con Incidencias</t>
        </is>
      </c>
      <c r="AE71" s="64" t="inlineStr">
        <is>
          <t>SKU duplicado; [Aviso] Ciclo de vida no capturado ()</t>
        </is>
      </c>
      <c r="AF71" s="64" t="n"/>
      <c r="AG71" s="59" t="n"/>
      <c r="AH71" s="155" t="n"/>
      <c r="AI71" s="59" t="n"/>
      <c r="AJ71" s="155" t="inlineStr">
        <is>
          <t>Nuevo – Carga Hoja3 01/10/2026</t>
        </is>
      </c>
      <c r="AK71" s="155" t="inlineStr">
        <is>
          <t>Alta 01/10/2026 desde Hoja3 (fila 701); Mismo SKU que la fila 2460 con otro código/ID; revisar cuál es el vigente | 01/10/2026: complementado desde Odoo Universal Unique Brands (match por código de barras): WB Talla de EE. UU.</t>
        </is>
      </c>
      <c r="AL71" s="155" t="n"/>
      <c r="AM71" s="155" t="n"/>
      <c r="AN71" s="155" t="inlineStr">
        <is>
          <t>Hoja3: fila 701 | Odoo: producto 30962 / plantilla 39660</t>
        </is>
      </c>
      <c r="AO71" s="58" t="n"/>
      <c r="AP71" s="58" t="n"/>
      <c r="AQ71" s="155" t="inlineStr">
        <is>
          <t>Odoo Universal Unique Brands</t>
        </is>
      </c>
      <c r="AR71" s="59" t="n"/>
      <c r="AS71" s="59" t="n"/>
      <c r="AT71" s="59" t="n">
        <v>22</v>
      </c>
      <c r="AU71" s="155" t="inlineStr">
        <is>
          <t>Odoo Universal Unique Brands › Bodega 25 › Bodega 25/General: 22</t>
        </is>
      </c>
    </row>
    <row r="72">
      <c r="A72" s="51" t="n">
        <v>40</v>
      </c>
      <c r="B72" s="156" t="inlineStr">
        <is>
          <t>Productos — registro conservado</t>
        </is>
      </c>
      <c r="C72" s="125" t="inlineStr">
        <is>
          <t>Homologación G1522: mismo producto (mismo WB SKU)</t>
        </is>
      </c>
      <c r="D72" s="60" t="inlineStr">
        <is>
          <t>7506674600889</t>
        </is>
      </c>
      <c r="E72" s="59" t="inlineStr">
        <is>
          <t>117898</t>
        </is>
      </c>
      <c r="F72" s="155" t="inlineStr">
        <is>
          <t>Wrangler</t>
        </is>
      </c>
      <c r="G72" s="155" t="inlineStr">
        <is>
          <t>C49730-27</t>
        </is>
      </c>
      <c r="H72" s="155" t="inlineStr">
        <is>
          <t>C49730-27-44</t>
        </is>
      </c>
      <c r="I72" s="155" t="inlineStr">
        <is>
          <t>44</t>
        </is>
      </c>
      <c r="J72" s="155" t="inlineStr">
        <is>
          <t>44</t>
        </is>
      </c>
      <c r="K72" s="155" t="inlineStr">
        <is>
          <t>Wrangler</t>
        </is>
      </c>
      <c r="L72" s="155" t="inlineStr">
        <is>
          <t>Cinturón Wrangler Una Vista Casual para Hombre, Color Cafe</t>
        </is>
      </c>
      <c r="M72" s="155" t="inlineStr">
        <is>
          <t>Accesorios</t>
        </is>
      </c>
      <c r="N72" s="155" t="inlineStr">
        <is>
          <t>Cinturones</t>
        </is>
      </c>
      <c r="O72" s="155" t="inlineStr">
        <is>
          <t>Hombre</t>
        </is>
      </c>
      <c r="P72" s="155" t="inlineStr">
        <is>
          <t>Wrangler</t>
        </is>
      </c>
      <c r="Q72" s="155" t="inlineStr">
        <is>
          <t>SS26</t>
        </is>
      </c>
      <c r="R72" s="155" t="inlineStr">
        <is>
          <t>Seasonal</t>
        </is>
      </c>
      <c r="S72" s="155" t="inlineStr">
        <is>
          <t>Cafe</t>
        </is>
      </c>
      <c r="T72" s="155" t="n"/>
      <c r="U72" s="155" t="n"/>
      <c r="V72" s="155" t="inlineStr">
        <is>
          <t>100% piel de vacuno</t>
        </is>
      </c>
      <c r="W72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72" s="155" t="inlineStr">
        <is>
          <t>México</t>
        </is>
      </c>
      <c r="Y72" s="155" t="inlineStr">
        <is>
          <t>PZS</t>
        </is>
      </c>
      <c r="Z72" s="59" t="inlineStr">
        <is>
          <t>53102501</t>
        </is>
      </c>
      <c r="AA72" s="126" t="n"/>
      <c r="AB72" s="61" t="n">
        <v>344.48</v>
      </c>
      <c r="AC72" s="61" t="n">
        <v>949</v>
      </c>
      <c r="AD72" s="62" t="inlineStr">
        <is>
          <t>Con Incidencias</t>
        </is>
      </c>
      <c r="AE72" s="64" t="inlineStr">
        <is>
          <t>SKU duplicado</t>
        </is>
      </c>
      <c r="AF72" s="64" t="n"/>
      <c r="AG72" s="59" t="n">
        <v>1</v>
      </c>
      <c r="AH72" s="155" t="inlineStr">
        <is>
          <t>WB OUTLET LERMA (1)</t>
        </is>
      </c>
      <c r="AI72" s="59" t="n">
        <v>1</v>
      </c>
      <c r="AJ72" s="155" t="inlineStr">
        <is>
          <t>Catálogo existente</t>
        </is>
      </c>
      <c r="AK72" s="155" t="inlineStr">
        <is>
          <t>Coincidencia por código de barras (ID NetSuite 117898) | ID alternativo de Hoja a Revisar 117898 (UPC coincidente); se conserva ID principal; Auditoría NetSuite 30/09/2026: llenado desde NetSuite [Z]; Vinculado por código de barras al ID NetSuite 117898 (antes en Identificador interno: 'C49730-27-44'); 01/10/2026: mismo SKU registrado también en fila 67721 con código 7503063066691 (ID 30963, desde Hoja3); revisar cuál es el vigente | 01/10/2026: complementado desde Shopify Western Brothers (match por código de barras): WB Fit, WB Silueta</t>
        </is>
      </c>
      <c r="AL72" s="155" t="inlineStr">
        <is>
          <t>No</t>
        </is>
      </c>
      <c r="AM72" s="155" t="n"/>
      <c r="AN72" s="155" t="inlineStr">
        <is>
          <t>| Hoja a Revisar: fila 196064 (ID 117898, misma clave UPC); G1522_Extraccion_Articulos_NetSuite_2026-09-30.xlsx: fila 64139 [Z] | Shopify WB: producto 10310436225209 / variante 50512590274745</t>
        </is>
      </c>
      <c r="AO72" s="58" t="inlineStr">
        <is>
          <t>344,48</t>
        </is>
      </c>
      <c r="AP72" s="58" t="n"/>
      <c r="AQ72" s="155" t="inlineStr">
        <is>
          <t>Shopify Western Brothers</t>
        </is>
      </c>
      <c r="AR72" s="59" t="n"/>
      <c r="AS72" s="59" t="n">
        <v>1</v>
      </c>
      <c r="AT72" s="59" t="n"/>
      <c r="AU72" s="155" t="inlineStr">
        <is>
          <t>Shopify Western Brothers › Western Brothers Outlet Lerma: 1</t>
        </is>
      </c>
    </row>
    <row r="73">
      <c r="A73" s="51" t="n">
        <v>40</v>
      </c>
      <c r="B73" s="156" t="inlineStr">
        <is>
          <t>Productos — registro integrado en el anterior</t>
        </is>
      </c>
      <c r="C73" s="125" t="inlineStr">
        <is>
          <t>Homologación G1522: mismo producto (mismo WB SKU)</t>
        </is>
      </c>
      <c r="D73" s="60" t="inlineStr">
        <is>
          <t>7503063066691</t>
        </is>
      </c>
      <c r="E73" s="59" t="inlineStr">
        <is>
          <t>30963</t>
        </is>
      </c>
      <c r="F73" s="155" t="inlineStr">
        <is>
          <t>Wrangler</t>
        </is>
      </c>
      <c r="G73" s="155" t="inlineStr">
        <is>
          <t>C49730-27</t>
        </is>
      </c>
      <c r="H73" s="155" t="inlineStr">
        <is>
          <t>C49730-27-44</t>
        </is>
      </c>
      <c r="I73" s="155" t="inlineStr">
        <is>
          <t>44</t>
        </is>
      </c>
      <c r="J73" s="155" t="inlineStr">
        <is>
          <t>44</t>
        </is>
      </c>
      <c r="K73" s="155" t="inlineStr">
        <is>
          <t>Wrangler</t>
        </is>
      </c>
      <c r="L73" s="155" t="inlineStr">
        <is>
          <t>Cinturon de hombre C49730-27 Café</t>
        </is>
      </c>
      <c r="M73" s="155" t="inlineStr">
        <is>
          <t>Accesorios</t>
        </is>
      </c>
      <c r="N73" s="155" t="inlineStr">
        <is>
          <t>Cinturones</t>
        </is>
      </c>
      <c r="O73" s="155" t="inlineStr">
        <is>
          <t>Hombre</t>
        </is>
      </c>
      <c r="P73" s="155" t="inlineStr">
        <is>
          <t>Wrangler</t>
        </is>
      </c>
      <c r="Q73" s="155" t="inlineStr">
        <is>
          <t>FW26</t>
        </is>
      </c>
      <c r="R73" s="155" t="n"/>
      <c r="S73" s="155" t="inlineStr">
        <is>
          <t>Cafe</t>
        </is>
      </c>
      <c r="T73" s="155" t="n"/>
      <c r="U73" s="155" t="n"/>
      <c r="V73" s="155" t="inlineStr">
        <is>
          <t>100% PIEL VACUNO</t>
        </is>
      </c>
      <c r="W73" s="155" t="inlineStr">
        <is>
          <t>Cinturón para Caballero de Piel</t>
        </is>
      </c>
      <c r="X73" s="155" t="inlineStr">
        <is>
          <t>México</t>
        </is>
      </c>
      <c r="Y73" s="155" t="inlineStr">
        <is>
          <t>PZS</t>
        </is>
      </c>
      <c r="Z73" s="59" t="inlineStr">
        <is>
          <t>53102501</t>
        </is>
      </c>
      <c r="AA73" s="126" t="n"/>
      <c r="AB73" s="61" t="n">
        <v>344.48</v>
      </c>
      <c r="AC73" s="61" t="n">
        <v>430.603448</v>
      </c>
      <c r="AD73" s="62" t="inlineStr">
        <is>
          <t>Con Incidencias</t>
        </is>
      </c>
      <c r="AE73" s="64" t="inlineStr">
        <is>
          <t>SKU duplicado; [Aviso] Ciclo de vida no capturado ()</t>
        </is>
      </c>
      <c r="AF73" s="64" t="n"/>
      <c r="AG73" s="59" t="n"/>
      <c r="AH73" s="155" t="n"/>
      <c r="AI73" s="59" t="n"/>
      <c r="AJ73" s="155" t="inlineStr">
        <is>
          <t>Nuevo – Carga Hoja3 01/10/2026</t>
        </is>
      </c>
      <c r="AK73" s="155" t="inlineStr">
        <is>
          <t>Alta 01/10/2026 desde Hoja3 (fila 702); Mismo SKU que la fila 2461 con otro código/ID; revisar cuál es el vigente | 01/10/2026: complementado desde Odoo Universal Unique Brands (match por código de barras): WB Talla de EE. UU.</t>
        </is>
      </c>
      <c r="AL73" s="155" t="n"/>
      <c r="AM73" s="155" t="n"/>
      <c r="AN73" s="155" t="inlineStr">
        <is>
          <t>Hoja3: fila 702 | Odoo: producto 30963 / plantilla 39660</t>
        </is>
      </c>
      <c r="AO73" s="58" t="n"/>
      <c r="AP73" s="58" t="n"/>
      <c r="AQ73" s="155" t="inlineStr">
        <is>
          <t>Odoo Universal Unique Brands</t>
        </is>
      </c>
      <c r="AR73" s="59" t="n"/>
      <c r="AS73" s="59" t="n"/>
      <c r="AT73" s="59" t="n">
        <v>17</v>
      </c>
      <c r="AU73" s="155" t="inlineStr">
        <is>
          <t>Odoo Universal Unique Brands › Bodega 25 › Bodega 25/General: 17</t>
        </is>
      </c>
    </row>
    <row r="74">
      <c r="A74" s="51" t="n">
        <v>41</v>
      </c>
      <c r="B74" s="156" t="inlineStr">
        <is>
          <t>Productos — registro conservado</t>
        </is>
      </c>
      <c r="C74" s="125" t="inlineStr">
        <is>
          <t>Homologación G1522: mismo producto (mismo WB SKU)</t>
        </is>
      </c>
      <c r="D74" s="60" t="inlineStr">
        <is>
          <t>7506674600759</t>
        </is>
      </c>
      <c r="E74" s="59" t="inlineStr">
        <is>
          <t>117885</t>
        </is>
      </c>
      <c r="F74" s="155" t="inlineStr">
        <is>
          <t>Wrangler</t>
        </is>
      </c>
      <c r="G74" s="155" t="inlineStr">
        <is>
          <t>C49729-27</t>
        </is>
      </c>
      <c r="H74" s="155" t="inlineStr">
        <is>
          <t>C49729-27-32</t>
        </is>
      </c>
      <c r="I74" s="155" t="inlineStr">
        <is>
          <t>32</t>
        </is>
      </c>
      <c r="J74" s="155" t="inlineStr">
        <is>
          <t>32</t>
        </is>
      </c>
      <c r="K74" s="155" t="inlineStr">
        <is>
          <t>Wrangler</t>
        </is>
      </c>
      <c r="L74" s="155" t="inlineStr">
        <is>
          <t>Cinturón Wrangler Una Vista Casual para Hombre, Color Cafe</t>
        </is>
      </c>
      <c r="M74" s="155" t="inlineStr">
        <is>
          <t>Accesorios</t>
        </is>
      </c>
      <c r="N74" s="155" t="inlineStr">
        <is>
          <t>Cinturones</t>
        </is>
      </c>
      <c r="O74" s="155" t="inlineStr">
        <is>
          <t>Hombre</t>
        </is>
      </c>
      <c r="P74" s="155" t="inlineStr">
        <is>
          <t>Wrangler</t>
        </is>
      </c>
      <c r="Q74" s="155" t="inlineStr">
        <is>
          <t>SS26</t>
        </is>
      </c>
      <c r="R74" s="155" t="inlineStr">
        <is>
          <t>Seasonal</t>
        </is>
      </c>
      <c r="S74" s="155" t="inlineStr">
        <is>
          <t>Cafe</t>
        </is>
      </c>
      <c r="T74" s="155" t="n"/>
      <c r="U74" s="155" t="n"/>
      <c r="V74" s="155" t="inlineStr">
        <is>
          <t>100% piel de vacuno</t>
        </is>
      </c>
      <c r="W74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74" s="155" t="inlineStr">
        <is>
          <t>México</t>
        </is>
      </c>
      <c r="Y74" s="155" t="inlineStr">
        <is>
          <t>PZS</t>
        </is>
      </c>
      <c r="Z74" s="59" t="inlineStr">
        <is>
          <t>53102501</t>
        </is>
      </c>
      <c r="AA74" s="126" t="n"/>
      <c r="AB74" s="61" t="n">
        <v>344.48</v>
      </c>
      <c r="AC74" s="61" t="n">
        <v>949</v>
      </c>
      <c r="AD74" s="62" t="inlineStr">
        <is>
          <t>Con Incidencias</t>
        </is>
      </c>
      <c r="AE74" s="64" t="inlineStr">
        <is>
          <t>SKU duplicado</t>
        </is>
      </c>
      <c r="AF74" s="64" t="n"/>
      <c r="AG74" s="59" t="n">
        <v>1</v>
      </c>
      <c r="AH74" s="155" t="inlineStr">
        <is>
          <t>WB OUTLET LERMA (1)</t>
        </is>
      </c>
      <c r="AI74" s="59" t="n">
        <v>1</v>
      </c>
      <c r="AJ74" s="155" t="inlineStr">
        <is>
          <t>Catálogo existente</t>
        </is>
      </c>
      <c r="AK74" s="155" t="inlineStr">
        <is>
          <t>Coincidencia por código de barras (ID NetSuite 117885) | ID alternativo de Hoja a Revisar 117885 (UPC coincidente); se conserva ID principal; Auditoría NetSuite 30/09/2026: llenado desde NetSuite [Z]; Vinculado por código de barras al ID NetSuite 117885 (antes en Identificador interno: 'C49729-27-32'); 01/10/2026: mismo SKU registrado también en fila 67708 con código 7506674602944 (ID 30949, desde Hoja3); revisar cuál es el vigente | 01/10/2026: complementado desde Shopify Western Brothers (match por código de barras): WB Fit, WB Silueta</t>
        </is>
      </c>
      <c r="AL74" s="155" t="inlineStr">
        <is>
          <t>No</t>
        </is>
      </c>
      <c r="AM74" s="155" t="n"/>
      <c r="AN74" s="155" t="inlineStr">
        <is>
          <t>| Hoja a Revisar: fila 196050 (ID 117885, misma clave UPC); G1522_Extraccion_Articulos_NetSuite_2026-09-30.xlsx: fila 64126 [Z] | Shopify WB: producto 10310436192441 / variante 50512589848761</t>
        </is>
      </c>
      <c r="AO74" s="58" t="inlineStr">
        <is>
          <t>344,48</t>
        </is>
      </c>
      <c r="AP74" s="58" t="n"/>
      <c r="AQ74" s="155" t="inlineStr">
        <is>
          <t>Shopify Western Brothers</t>
        </is>
      </c>
      <c r="AR74" s="59" t="n"/>
      <c r="AS74" s="59" t="n">
        <v>1</v>
      </c>
      <c r="AT74" s="59" t="n"/>
      <c r="AU74" s="155" t="inlineStr">
        <is>
          <t>Shopify Western Brothers › Western Brothers Outlet Lerma: 1</t>
        </is>
      </c>
    </row>
    <row r="75">
      <c r="A75" s="51" t="n">
        <v>41</v>
      </c>
      <c r="B75" s="156" t="inlineStr">
        <is>
          <t>Productos — registro integrado en el anterior</t>
        </is>
      </c>
      <c r="C75" s="125" t="inlineStr">
        <is>
          <t>Homologación G1522: mismo producto (mismo WB SKU)</t>
        </is>
      </c>
      <c r="D75" s="60" t="inlineStr">
        <is>
          <t>7506674602944</t>
        </is>
      </c>
      <c r="E75" s="59" t="inlineStr">
        <is>
          <t>30949</t>
        </is>
      </c>
      <c r="F75" s="155" t="inlineStr">
        <is>
          <t>Wrangler</t>
        </is>
      </c>
      <c r="G75" s="155" t="inlineStr">
        <is>
          <t>C49729-27</t>
        </is>
      </c>
      <c r="H75" s="155" t="inlineStr">
        <is>
          <t>C49729-27-32</t>
        </is>
      </c>
      <c r="I75" s="155" t="inlineStr">
        <is>
          <t>32</t>
        </is>
      </c>
      <c r="J75" s="155" t="inlineStr">
        <is>
          <t>32</t>
        </is>
      </c>
      <c r="K75" s="155" t="inlineStr">
        <is>
          <t>Wrangler</t>
        </is>
      </c>
      <c r="L75" s="155" t="inlineStr">
        <is>
          <t>Cinturon de hombre C49729-27 Café</t>
        </is>
      </c>
      <c r="M75" s="155" t="inlineStr">
        <is>
          <t>Accesorios</t>
        </is>
      </c>
      <c r="N75" s="155" t="inlineStr">
        <is>
          <t>Cinturones</t>
        </is>
      </c>
      <c r="O75" s="155" t="inlineStr">
        <is>
          <t>Hombre</t>
        </is>
      </c>
      <c r="P75" s="155" t="inlineStr">
        <is>
          <t>Wrangler</t>
        </is>
      </c>
      <c r="Q75" s="155" t="inlineStr">
        <is>
          <t>FW26</t>
        </is>
      </c>
      <c r="R75" s="155" t="n"/>
      <c r="S75" s="155" t="inlineStr">
        <is>
          <t>Cafe</t>
        </is>
      </c>
      <c r="T75" s="155" t="n"/>
      <c r="U75" s="155" t="n"/>
      <c r="V75" s="155" t="inlineStr">
        <is>
          <t>100% CUERO VACUNO</t>
        </is>
      </c>
      <c r="W75" s="155" t="inlineStr">
        <is>
          <t>Cinturón para Caballero de Piel</t>
        </is>
      </c>
      <c r="X75" s="155" t="inlineStr">
        <is>
          <t>México</t>
        </is>
      </c>
      <c r="Y75" s="155" t="inlineStr">
        <is>
          <t>PZS</t>
        </is>
      </c>
      <c r="Z75" s="59" t="inlineStr">
        <is>
          <t>53102501</t>
        </is>
      </c>
      <c r="AA75" s="126" t="n"/>
      <c r="AB75" s="61" t="n">
        <v>344.48</v>
      </c>
      <c r="AC75" s="61" t="n">
        <v>430.603448</v>
      </c>
      <c r="AD75" s="62" t="inlineStr">
        <is>
          <t>Con Incidencias</t>
        </is>
      </c>
      <c r="AE75" s="64" t="inlineStr">
        <is>
          <t>SKU duplicado; [Aviso] Ciclo de vida no capturado ()</t>
        </is>
      </c>
      <c r="AF75" s="64" t="n"/>
      <c r="AG75" s="59" t="n"/>
      <c r="AH75" s="155" t="n"/>
      <c r="AI75" s="59" t="n"/>
      <c r="AJ75" s="155" t="inlineStr">
        <is>
          <t>Nuevo – Carga Hoja3 01/10/2026</t>
        </is>
      </c>
      <c r="AK75" s="155" t="inlineStr">
        <is>
          <t>Alta 01/10/2026 desde Hoja3 (fila 689); Mismo SKU que la fila 2462 con otro código/ID; revisar cuál es el vigente | 01/10/2026: complementado desde Odoo Universal Unique Brands (match por código de barras): WB Talla de EE. UU.</t>
        </is>
      </c>
      <c r="AL75" s="155" t="n"/>
      <c r="AM75" s="155" t="n"/>
      <c r="AN75" s="155" t="inlineStr">
        <is>
          <t>Hoja3: fila 689 | Odoo: producto 30949 / plantilla 39659</t>
        </is>
      </c>
      <c r="AO75" s="58" t="n"/>
      <c r="AP75" s="58" t="n"/>
      <c r="AQ75" s="155" t="inlineStr">
        <is>
          <t>Odoo Universal Unique Brands</t>
        </is>
      </c>
      <c r="AR75" s="59" t="n"/>
      <c r="AS75" s="59" t="n"/>
      <c r="AT75" s="59" t="n">
        <v>3</v>
      </c>
      <c r="AU75" s="155" t="inlineStr">
        <is>
          <t>Odoo Universal Unique Brands › Bodega 25 › Bodega 25/General: 3</t>
        </is>
      </c>
    </row>
    <row r="76">
      <c r="A76" s="51" t="n">
        <v>42</v>
      </c>
      <c r="B76" s="156" t="inlineStr">
        <is>
          <t>Productos — registro conservado</t>
        </is>
      </c>
      <c r="C76" s="125" t="inlineStr">
        <is>
          <t>Homologación G1522: mismo producto (mismo WB SKU)</t>
        </is>
      </c>
      <c r="D76" s="60" t="inlineStr">
        <is>
          <t>7506674600766</t>
        </is>
      </c>
      <c r="E76" s="59" t="inlineStr">
        <is>
          <t>117886</t>
        </is>
      </c>
      <c r="F76" s="155" t="inlineStr">
        <is>
          <t>Wrangler</t>
        </is>
      </c>
      <c r="G76" s="155" t="inlineStr">
        <is>
          <t>C49729-27</t>
        </is>
      </c>
      <c r="H76" s="155" t="inlineStr">
        <is>
          <t>C49729-27-34</t>
        </is>
      </c>
      <c r="I76" s="155" t="inlineStr">
        <is>
          <t>34</t>
        </is>
      </c>
      <c r="J76" s="155" t="inlineStr">
        <is>
          <t>34</t>
        </is>
      </c>
      <c r="K76" s="155" t="inlineStr">
        <is>
          <t>Wrangler</t>
        </is>
      </c>
      <c r="L76" s="155" t="inlineStr">
        <is>
          <t>Cinturón Wrangler Una Vista Casual para Hombre, Color Cafe</t>
        </is>
      </c>
      <c r="M76" s="155" t="inlineStr">
        <is>
          <t>Accesorios</t>
        </is>
      </c>
      <c r="N76" s="155" t="inlineStr">
        <is>
          <t>Cinturones</t>
        </is>
      </c>
      <c r="O76" s="155" t="inlineStr">
        <is>
          <t>Hombre</t>
        </is>
      </c>
      <c r="P76" s="155" t="inlineStr">
        <is>
          <t>Wrangler</t>
        </is>
      </c>
      <c r="Q76" s="155" t="inlineStr">
        <is>
          <t>SS26</t>
        </is>
      </c>
      <c r="R76" s="155" t="inlineStr">
        <is>
          <t>Seasonal</t>
        </is>
      </c>
      <c r="S76" s="155" t="inlineStr">
        <is>
          <t>Cafe</t>
        </is>
      </c>
      <c r="T76" s="155" t="n"/>
      <c r="U76" s="155" t="n"/>
      <c r="V76" s="155" t="inlineStr">
        <is>
          <t>100% piel de vacuno</t>
        </is>
      </c>
      <c r="W76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76" s="155" t="inlineStr">
        <is>
          <t>México</t>
        </is>
      </c>
      <c r="Y76" s="155" t="inlineStr">
        <is>
          <t>PZS</t>
        </is>
      </c>
      <c r="Z76" s="59" t="inlineStr">
        <is>
          <t>53102501</t>
        </is>
      </c>
      <c r="AA76" s="126" t="n"/>
      <c r="AB76" s="61" t="n">
        <v>344.48</v>
      </c>
      <c r="AC76" s="61" t="n">
        <v>949</v>
      </c>
      <c r="AD76" s="62" t="inlineStr">
        <is>
          <t>Con Incidencias</t>
        </is>
      </c>
      <c r="AE76" s="64" t="inlineStr">
        <is>
          <t>SKU duplicado</t>
        </is>
      </c>
      <c r="AF76" s="64" t="n"/>
      <c r="AG76" s="59" t="n">
        <v>2</v>
      </c>
      <c r="AH76" s="155" t="inlineStr">
        <is>
          <t>WB OUTLET LERMA (2)</t>
        </is>
      </c>
      <c r="AI76" s="59" t="n">
        <v>2</v>
      </c>
      <c r="AJ76" s="155" t="inlineStr">
        <is>
          <t>Catálogo existente</t>
        </is>
      </c>
      <c r="AK76" s="155" t="inlineStr">
        <is>
          <t>Coincidencia por código de barras (ID NetSuite 117886) | ID alternativo de Hoja a Revisar 117886 (UPC coincidente); se conserva ID principal; Auditoría NetSuite 30/09/2026: llenado desde NetSuite [Z]; Vinculado por código de barras al ID NetSuite 117886 (antes en Identificador interno: 'C49729-27-34'); 01/10/2026: mismo SKU registrado también en fila 67709 con código 7506674602951 (ID 30950, desde Hoja3); revisar cuál es el vigente | 01/10/2026: complementado desde Shopify Western Brothers (match por código de barras): WB Fit, WB Silueta</t>
        </is>
      </c>
      <c r="AL76" s="155" t="inlineStr">
        <is>
          <t>No</t>
        </is>
      </c>
      <c r="AM76" s="155" t="n"/>
      <c r="AN76" s="155" t="inlineStr">
        <is>
          <t>| Hoja a Revisar: fila 196051 (ID 117886, misma clave UPC); G1522_Extraccion_Articulos_NetSuite_2026-09-30.xlsx: fila 64127 [Z] | Shopify WB: producto 10310436192441 / variante 50512589881529</t>
        </is>
      </c>
      <c r="AO76" s="58" t="inlineStr">
        <is>
          <t>344,48</t>
        </is>
      </c>
      <c r="AP76" s="58" t="n"/>
      <c r="AQ76" s="155" t="inlineStr">
        <is>
          <t>Shopify Western Brothers</t>
        </is>
      </c>
      <c r="AR76" s="59" t="n"/>
      <c r="AS76" s="59" t="n">
        <v>2</v>
      </c>
      <c r="AT76" s="59" t="n"/>
      <c r="AU76" s="155" t="inlineStr">
        <is>
          <t>Shopify Western Brothers › Western Brothers Outlet Lerma: 2</t>
        </is>
      </c>
    </row>
    <row r="77">
      <c r="A77" s="51" t="n">
        <v>42</v>
      </c>
      <c r="B77" s="156" t="inlineStr">
        <is>
          <t>Productos — registro integrado en el anterior</t>
        </is>
      </c>
      <c r="C77" s="125" t="inlineStr">
        <is>
          <t>Homologación G1522: mismo producto (mismo WB SKU)</t>
        </is>
      </c>
      <c r="D77" s="60" t="inlineStr">
        <is>
          <t>7506674602951</t>
        </is>
      </c>
      <c r="E77" s="59" t="inlineStr">
        <is>
          <t>30950</t>
        </is>
      </c>
      <c r="F77" s="155" t="inlineStr">
        <is>
          <t>Wrangler</t>
        </is>
      </c>
      <c r="G77" s="155" t="inlineStr">
        <is>
          <t>C49729-27</t>
        </is>
      </c>
      <c r="H77" s="155" t="inlineStr">
        <is>
          <t>C49729-27-34</t>
        </is>
      </c>
      <c r="I77" s="155" t="inlineStr">
        <is>
          <t>34</t>
        </is>
      </c>
      <c r="J77" s="155" t="inlineStr">
        <is>
          <t>34</t>
        </is>
      </c>
      <c r="K77" s="155" t="inlineStr">
        <is>
          <t>Wrangler</t>
        </is>
      </c>
      <c r="L77" s="155" t="inlineStr">
        <is>
          <t>Cinturon de hombre C49729-27 Café</t>
        </is>
      </c>
      <c r="M77" s="155" t="inlineStr">
        <is>
          <t>Accesorios</t>
        </is>
      </c>
      <c r="N77" s="155" t="inlineStr">
        <is>
          <t>Cinturones</t>
        </is>
      </c>
      <c r="O77" s="155" t="inlineStr">
        <is>
          <t>Hombre</t>
        </is>
      </c>
      <c r="P77" s="155" t="inlineStr">
        <is>
          <t>Wrangler</t>
        </is>
      </c>
      <c r="Q77" s="155" t="inlineStr">
        <is>
          <t>FW26</t>
        </is>
      </c>
      <c r="R77" s="155" t="n"/>
      <c r="S77" s="155" t="inlineStr">
        <is>
          <t>Cafe</t>
        </is>
      </c>
      <c r="T77" s="155" t="n"/>
      <c r="U77" s="155" t="n"/>
      <c r="V77" s="155" t="inlineStr">
        <is>
          <t>100% CUERO VACUNO</t>
        </is>
      </c>
      <c r="W77" s="155" t="inlineStr">
        <is>
          <t>Cinturón para Caballero de Piel</t>
        </is>
      </c>
      <c r="X77" s="155" t="inlineStr">
        <is>
          <t>México</t>
        </is>
      </c>
      <c r="Y77" s="155" t="inlineStr">
        <is>
          <t>PZS</t>
        </is>
      </c>
      <c r="Z77" s="59" t="inlineStr">
        <is>
          <t>53102501</t>
        </is>
      </c>
      <c r="AA77" s="126" t="n"/>
      <c r="AB77" s="61" t="n">
        <v>344.48</v>
      </c>
      <c r="AC77" s="61" t="n">
        <v>430.603448</v>
      </c>
      <c r="AD77" s="62" t="inlineStr">
        <is>
          <t>Con Incidencias</t>
        </is>
      </c>
      <c r="AE77" s="64" t="inlineStr">
        <is>
          <t>SKU duplicado; [Aviso] Ciclo de vida no capturado ()</t>
        </is>
      </c>
      <c r="AF77" s="64" t="n"/>
      <c r="AG77" s="59" t="n"/>
      <c r="AH77" s="155" t="n"/>
      <c r="AI77" s="59" t="n"/>
      <c r="AJ77" s="155" t="inlineStr">
        <is>
          <t>Nuevo – Carga Hoja3 01/10/2026</t>
        </is>
      </c>
      <c r="AK77" s="155" t="inlineStr">
        <is>
          <t>Alta 01/10/2026 desde Hoja3 (fila 690); Mismo SKU que la fila 2463 con otro código/ID; revisar cuál es el vigente | 01/10/2026: complementado desde Odoo Universal Unique Brands (match por código de barras): WB Talla de EE. UU.</t>
        </is>
      </c>
      <c r="AL77" s="155" t="n"/>
      <c r="AM77" s="155" t="n"/>
      <c r="AN77" s="155" t="inlineStr">
        <is>
          <t>Hoja3: fila 690 | Odoo: producto 30950 / plantilla 39659</t>
        </is>
      </c>
      <c r="AO77" s="58" t="n"/>
      <c r="AP77" s="58" t="n"/>
      <c r="AQ77" s="155" t="inlineStr">
        <is>
          <t>Odoo Universal Unique Brands</t>
        </is>
      </c>
      <c r="AR77" s="59" t="n"/>
      <c r="AS77" s="59" t="n"/>
      <c r="AT77" s="59" t="n">
        <v>10</v>
      </c>
      <c r="AU77" s="155" t="inlineStr">
        <is>
          <t>Odoo Universal Unique Brands › Bodega 25 › Bodega 25/General: 10</t>
        </is>
      </c>
    </row>
    <row r="78">
      <c r="A78" s="51" t="n">
        <v>43</v>
      </c>
      <c r="B78" s="156" t="inlineStr">
        <is>
          <t>Productos — registro conservado</t>
        </is>
      </c>
      <c r="C78" s="125" t="inlineStr">
        <is>
          <t>Homologación G1522: mismo producto (mismo WB SKU)</t>
        </is>
      </c>
      <c r="D78" s="60" t="inlineStr">
        <is>
          <t>7506674600773</t>
        </is>
      </c>
      <c r="E78" s="59" t="inlineStr">
        <is>
          <t>117887</t>
        </is>
      </c>
      <c r="F78" s="155" t="inlineStr">
        <is>
          <t>Wrangler</t>
        </is>
      </c>
      <c r="G78" s="155" t="inlineStr">
        <is>
          <t>C49729-27</t>
        </is>
      </c>
      <c r="H78" s="155" t="inlineStr">
        <is>
          <t>C49729-27-36</t>
        </is>
      </c>
      <c r="I78" s="155" t="inlineStr">
        <is>
          <t>36</t>
        </is>
      </c>
      <c r="J78" s="155" t="inlineStr">
        <is>
          <t>36</t>
        </is>
      </c>
      <c r="K78" s="155" t="inlineStr">
        <is>
          <t>Wrangler</t>
        </is>
      </c>
      <c r="L78" s="155" t="inlineStr">
        <is>
          <t>Cinturón Wrangler Una Vista Casual para Hombre, Color Cafe</t>
        </is>
      </c>
      <c r="M78" s="155" t="inlineStr">
        <is>
          <t>Accesorios</t>
        </is>
      </c>
      <c r="N78" s="155" t="inlineStr">
        <is>
          <t>Cinturones</t>
        </is>
      </c>
      <c r="O78" s="155" t="inlineStr">
        <is>
          <t>Hombre</t>
        </is>
      </c>
      <c r="P78" s="155" t="inlineStr">
        <is>
          <t>Wrangler</t>
        </is>
      </c>
      <c r="Q78" s="155" t="inlineStr">
        <is>
          <t>SS26</t>
        </is>
      </c>
      <c r="R78" s="155" t="inlineStr">
        <is>
          <t>Seasonal</t>
        </is>
      </c>
      <c r="S78" s="155" t="inlineStr">
        <is>
          <t>Cafe</t>
        </is>
      </c>
      <c r="T78" s="155" t="n"/>
      <c r="U78" s="155" t="n"/>
      <c r="V78" s="155" t="inlineStr">
        <is>
          <t>100% piel de vacuno</t>
        </is>
      </c>
      <c r="W78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78" s="155" t="inlineStr">
        <is>
          <t>México</t>
        </is>
      </c>
      <c r="Y78" s="155" t="inlineStr">
        <is>
          <t>PZS</t>
        </is>
      </c>
      <c r="Z78" s="59" t="inlineStr">
        <is>
          <t>53102501</t>
        </is>
      </c>
      <c r="AA78" s="126" t="n"/>
      <c r="AB78" s="61" t="n">
        <v>344.48</v>
      </c>
      <c r="AC78" s="61" t="n">
        <v>949</v>
      </c>
      <c r="AD78" s="62" t="inlineStr">
        <is>
          <t>Con Incidencias</t>
        </is>
      </c>
      <c r="AE78" s="64" t="inlineStr">
        <is>
          <t>SKU duplicado</t>
        </is>
      </c>
      <c r="AF78" s="64" t="n"/>
      <c r="AG78" s="59" t="n">
        <v>2</v>
      </c>
      <c r="AH78" s="155" t="inlineStr">
        <is>
          <t>WB OUTLET LERMA (2)</t>
        </is>
      </c>
      <c r="AI78" s="59" t="n">
        <v>2</v>
      </c>
      <c r="AJ78" s="155" t="inlineStr">
        <is>
          <t>Catálogo existente</t>
        </is>
      </c>
      <c r="AK78" s="155" t="inlineStr">
        <is>
          <t>Coincidencia por código de barras (ID NetSuite 117887) | ID alternativo de Hoja a Revisar 117887 (UPC coincidente); se conserva ID principal; Auditoría NetSuite 30/09/2026: llenado desde NetSuite [Z]; Vinculado por código de barras al ID NetSuite 117887 (antes en Identificador interno: 'C49729-27-36'); 01/10/2026: mismo SKU registrado también en fila 67710 con código 7506674602968 (ID 30951, desde Hoja3); revisar cuál es el vigente | 01/10/2026: complementado desde Shopify Western Brothers (match por código de barras): WB Fit, WB Silueta</t>
        </is>
      </c>
      <c r="AL78" s="155" t="inlineStr">
        <is>
          <t>No</t>
        </is>
      </c>
      <c r="AM78" s="155" t="n"/>
      <c r="AN78" s="155" t="inlineStr">
        <is>
          <t>| Hoja a Revisar: fila 196052 (ID 117887, misma clave UPC); G1522_Extraccion_Articulos_NetSuite_2026-09-30.xlsx: fila 64128 [Z] | Shopify WB: producto 10310436192441 / variante 50512589914297</t>
        </is>
      </c>
      <c r="AO78" s="58" t="inlineStr">
        <is>
          <t>344,48</t>
        </is>
      </c>
      <c r="AP78" s="58" t="n"/>
      <c r="AQ78" s="155" t="inlineStr">
        <is>
          <t>Shopify Western Brothers</t>
        </is>
      </c>
      <c r="AR78" s="59" t="n"/>
      <c r="AS78" s="59" t="n">
        <v>2</v>
      </c>
      <c r="AT78" s="59" t="n"/>
      <c r="AU78" s="155" t="inlineStr">
        <is>
          <t>Shopify Western Brothers › Western Brothers Outlet Lerma: 2</t>
        </is>
      </c>
    </row>
    <row r="79">
      <c r="A79" s="51" t="n">
        <v>43</v>
      </c>
      <c r="B79" s="156" t="inlineStr">
        <is>
          <t>Productos — registro integrado en el anterior</t>
        </is>
      </c>
      <c r="C79" s="125" t="inlineStr">
        <is>
          <t>Homologación G1522: mismo producto (mismo WB SKU)</t>
        </is>
      </c>
      <c r="D79" s="60" t="inlineStr">
        <is>
          <t>7506674602968</t>
        </is>
      </c>
      <c r="E79" s="59" t="inlineStr">
        <is>
          <t>30951</t>
        </is>
      </c>
      <c r="F79" s="155" t="inlineStr">
        <is>
          <t>Wrangler</t>
        </is>
      </c>
      <c r="G79" s="155" t="inlineStr">
        <is>
          <t>C49729-27</t>
        </is>
      </c>
      <c r="H79" s="155" t="inlineStr">
        <is>
          <t>C49729-27-36</t>
        </is>
      </c>
      <c r="I79" s="155" t="inlineStr">
        <is>
          <t>36</t>
        </is>
      </c>
      <c r="J79" s="155" t="inlineStr">
        <is>
          <t>36</t>
        </is>
      </c>
      <c r="K79" s="155" t="inlineStr">
        <is>
          <t>Wrangler</t>
        </is>
      </c>
      <c r="L79" s="155" t="inlineStr">
        <is>
          <t>Cinturon de hombre C49729-27 Café</t>
        </is>
      </c>
      <c r="M79" s="155" t="inlineStr">
        <is>
          <t>Accesorios</t>
        </is>
      </c>
      <c r="N79" s="155" t="inlineStr">
        <is>
          <t>Cinturones</t>
        </is>
      </c>
      <c r="O79" s="155" t="inlineStr">
        <is>
          <t>Hombre</t>
        </is>
      </c>
      <c r="P79" s="155" t="inlineStr">
        <is>
          <t>Wrangler</t>
        </is>
      </c>
      <c r="Q79" s="155" t="inlineStr">
        <is>
          <t>FW26</t>
        </is>
      </c>
      <c r="R79" s="155" t="n"/>
      <c r="S79" s="155" t="inlineStr">
        <is>
          <t>Cafe</t>
        </is>
      </c>
      <c r="T79" s="155" t="n"/>
      <c r="U79" s="155" t="n"/>
      <c r="V79" s="155" t="inlineStr">
        <is>
          <t>100% CUERO VACUNO</t>
        </is>
      </c>
      <c r="W79" s="155" t="inlineStr">
        <is>
          <t>Cinturón para Caballero de Piel</t>
        </is>
      </c>
      <c r="X79" s="155" t="inlineStr">
        <is>
          <t>México</t>
        </is>
      </c>
      <c r="Y79" s="155" t="inlineStr">
        <is>
          <t>PZS</t>
        </is>
      </c>
      <c r="Z79" s="59" t="inlineStr">
        <is>
          <t>53102501</t>
        </is>
      </c>
      <c r="AA79" s="126" t="n"/>
      <c r="AB79" s="61" t="n">
        <v>344.48</v>
      </c>
      <c r="AC79" s="61" t="n">
        <v>430.603448</v>
      </c>
      <c r="AD79" s="62" t="inlineStr">
        <is>
          <t>Con Incidencias</t>
        </is>
      </c>
      <c r="AE79" s="64" t="inlineStr">
        <is>
          <t>SKU duplicado; [Aviso] Ciclo de vida no capturado ()</t>
        </is>
      </c>
      <c r="AF79" s="64" t="n"/>
      <c r="AG79" s="59" t="n"/>
      <c r="AH79" s="155" t="n"/>
      <c r="AI79" s="59" t="n"/>
      <c r="AJ79" s="155" t="inlineStr">
        <is>
          <t>Nuevo – Carga Hoja3 01/10/2026</t>
        </is>
      </c>
      <c r="AK79" s="155" t="inlineStr">
        <is>
          <t>Alta 01/10/2026 desde Hoja3 (fila 691); Mismo SKU que la fila 2464 con otro código/ID; revisar cuál es el vigente | 01/10/2026: complementado desde Odoo Universal Unique Brands (match por código de barras): WB Talla de EE. UU.</t>
        </is>
      </c>
      <c r="AL79" s="155" t="n"/>
      <c r="AM79" s="155" t="n"/>
      <c r="AN79" s="155" t="inlineStr">
        <is>
          <t>Hoja3: fila 691 | Odoo: producto 30951 / plantilla 39659</t>
        </is>
      </c>
      <c r="AO79" s="58" t="n"/>
      <c r="AP79" s="58" t="n"/>
      <c r="AQ79" s="155" t="inlineStr">
        <is>
          <t>Odoo Universal Unique Brands</t>
        </is>
      </c>
      <c r="AR79" s="59" t="n"/>
      <c r="AS79" s="59" t="n"/>
      <c r="AT79" s="59" t="n">
        <v>9</v>
      </c>
      <c r="AU79" s="155" t="inlineStr">
        <is>
          <t>Odoo Universal Unique Brands › Bodega 25 › Bodega 25/General: 9</t>
        </is>
      </c>
    </row>
    <row r="80">
      <c r="A80" s="51" t="n">
        <v>44</v>
      </c>
      <c r="B80" s="156" t="inlineStr">
        <is>
          <t>Productos — registro conservado</t>
        </is>
      </c>
      <c r="C80" s="125" t="inlineStr">
        <is>
          <t>Homologación G1522: mismo producto (mismo WB SKU)</t>
        </is>
      </c>
      <c r="D80" s="60" t="inlineStr">
        <is>
          <t>7506674600780</t>
        </is>
      </c>
      <c r="E80" s="59" t="inlineStr">
        <is>
          <t>117888</t>
        </is>
      </c>
      <c r="F80" s="155" t="inlineStr">
        <is>
          <t>Wrangler</t>
        </is>
      </c>
      <c r="G80" s="155" t="inlineStr">
        <is>
          <t>C49729-27</t>
        </is>
      </c>
      <c r="H80" s="155" t="inlineStr">
        <is>
          <t>C49729-27-38</t>
        </is>
      </c>
      <c r="I80" s="155" t="inlineStr">
        <is>
          <t>38</t>
        </is>
      </c>
      <c r="J80" s="155" t="inlineStr">
        <is>
          <t>38</t>
        </is>
      </c>
      <c r="K80" s="155" t="inlineStr">
        <is>
          <t>Wrangler</t>
        </is>
      </c>
      <c r="L80" s="155" t="inlineStr">
        <is>
          <t>Cinturón Wrangler Una Vista Casual para Hombre, Color Cafe</t>
        </is>
      </c>
      <c r="M80" s="155" t="inlineStr">
        <is>
          <t>Accesorios</t>
        </is>
      </c>
      <c r="N80" s="155" t="inlineStr">
        <is>
          <t>Cinturones</t>
        </is>
      </c>
      <c r="O80" s="155" t="inlineStr">
        <is>
          <t>Hombre</t>
        </is>
      </c>
      <c r="P80" s="155" t="inlineStr">
        <is>
          <t>Wrangler</t>
        </is>
      </c>
      <c r="Q80" s="155" t="inlineStr">
        <is>
          <t>SS26</t>
        </is>
      </c>
      <c r="R80" s="155" t="inlineStr">
        <is>
          <t>Seasonal</t>
        </is>
      </c>
      <c r="S80" s="155" t="inlineStr">
        <is>
          <t>Cafe</t>
        </is>
      </c>
      <c r="T80" s="155" t="n"/>
      <c r="U80" s="155" t="n"/>
      <c r="V80" s="155" t="inlineStr">
        <is>
          <t>100% piel de vacuno</t>
        </is>
      </c>
      <c r="W80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80" s="155" t="inlineStr">
        <is>
          <t>México</t>
        </is>
      </c>
      <c r="Y80" s="155" t="inlineStr">
        <is>
          <t>PZS</t>
        </is>
      </c>
      <c r="Z80" s="59" t="inlineStr">
        <is>
          <t>53102501</t>
        </is>
      </c>
      <c r="AA80" s="126" t="n"/>
      <c r="AB80" s="61" t="n">
        <v>344.48</v>
      </c>
      <c r="AC80" s="61" t="n">
        <v>949</v>
      </c>
      <c r="AD80" s="62" t="inlineStr">
        <is>
          <t>Con Incidencias</t>
        </is>
      </c>
      <c r="AE80" s="64" t="inlineStr">
        <is>
          <t>SKU duplicado</t>
        </is>
      </c>
      <c r="AF80" s="64" t="n"/>
      <c r="AG80" s="59" t="n">
        <v>3</v>
      </c>
      <c r="AH80" s="155" t="inlineStr">
        <is>
          <t>WB OUTLET LERMA (3)</t>
        </is>
      </c>
      <c r="AI80" s="59" t="n">
        <v>3</v>
      </c>
      <c r="AJ80" s="155" t="inlineStr">
        <is>
          <t>Catálogo existente</t>
        </is>
      </c>
      <c r="AK80" s="155" t="inlineStr">
        <is>
          <t>Coincidencia por código de barras (ID NetSuite 117888) | ID alternativo de Hoja a Revisar 117888 (UPC coincidente); se conserva ID principal; Auditoría NetSuite 30/09/2026: llenado desde NetSuite [Z]; Vinculado por código de barras al ID NetSuite 117888 (antes en Identificador interno: 'C49729-27-38'); 01/10/2026: mismo SKU registrado también en fila 67711 con código 7506674602975 (ID 30952, desde Hoja3); revisar cuál es el vigente | 01/10/2026: complementado desde Shopify Western Brothers (match por código de barras): WB Fit, WB Silueta</t>
        </is>
      </c>
      <c r="AL80" s="155" t="inlineStr">
        <is>
          <t>No</t>
        </is>
      </c>
      <c r="AM80" s="155" t="n"/>
      <c r="AN80" s="155" t="inlineStr">
        <is>
          <t>| Hoja a Revisar: fila 196053 (ID 117888, misma clave UPC); G1522_Extraccion_Articulos_NetSuite_2026-09-30.xlsx: fila 64129 [Z] | Shopify WB: producto 10310436192441 / variante 50512589947065</t>
        </is>
      </c>
      <c r="AO80" s="58" t="inlineStr">
        <is>
          <t>344,48</t>
        </is>
      </c>
      <c r="AP80" s="58" t="n"/>
      <c r="AQ80" s="155" t="inlineStr">
        <is>
          <t>Shopify Western Brothers</t>
        </is>
      </c>
      <c r="AR80" s="59" t="n"/>
      <c r="AS80" s="59" t="n">
        <v>3</v>
      </c>
      <c r="AT80" s="59" t="n"/>
      <c r="AU80" s="155" t="inlineStr">
        <is>
          <t>Shopify Western Brothers › Western Brothers Outlet Lerma: 3</t>
        </is>
      </c>
    </row>
    <row r="81">
      <c r="A81" s="51" t="n">
        <v>44</v>
      </c>
      <c r="B81" s="156" t="inlineStr">
        <is>
          <t>Productos — registro integrado en el anterior</t>
        </is>
      </c>
      <c r="C81" s="125" t="inlineStr">
        <is>
          <t>Homologación G1522: mismo producto (mismo WB SKU)</t>
        </is>
      </c>
      <c r="D81" s="60" t="inlineStr">
        <is>
          <t>7506674602975</t>
        </is>
      </c>
      <c r="E81" s="59" t="inlineStr">
        <is>
          <t>30952</t>
        </is>
      </c>
      <c r="F81" s="155" t="inlineStr">
        <is>
          <t>Wrangler</t>
        </is>
      </c>
      <c r="G81" s="155" t="inlineStr">
        <is>
          <t>C49729-27</t>
        </is>
      </c>
      <c r="H81" s="155" t="inlineStr">
        <is>
          <t>C49729-27-38</t>
        </is>
      </c>
      <c r="I81" s="155" t="inlineStr">
        <is>
          <t>38</t>
        </is>
      </c>
      <c r="J81" s="155" t="inlineStr">
        <is>
          <t>38</t>
        </is>
      </c>
      <c r="K81" s="155" t="inlineStr">
        <is>
          <t>Wrangler</t>
        </is>
      </c>
      <c r="L81" s="155" t="inlineStr">
        <is>
          <t>Cinturon de hombre C49729-27 Café</t>
        </is>
      </c>
      <c r="M81" s="155" t="inlineStr">
        <is>
          <t>Accesorios</t>
        </is>
      </c>
      <c r="N81" s="155" t="inlineStr">
        <is>
          <t>Cinturones</t>
        </is>
      </c>
      <c r="O81" s="155" t="inlineStr">
        <is>
          <t>Hombre</t>
        </is>
      </c>
      <c r="P81" s="155" t="inlineStr">
        <is>
          <t>Wrangler</t>
        </is>
      </c>
      <c r="Q81" s="155" t="inlineStr">
        <is>
          <t>FW26</t>
        </is>
      </c>
      <c r="R81" s="155" t="n"/>
      <c r="S81" s="155" t="inlineStr">
        <is>
          <t>Cafe</t>
        </is>
      </c>
      <c r="T81" s="155" t="n"/>
      <c r="U81" s="155" t="n"/>
      <c r="V81" s="155" t="inlineStr">
        <is>
          <t>100% CUERO VACUNO</t>
        </is>
      </c>
      <c r="W81" s="155" t="inlineStr">
        <is>
          <t>Cinturón para Caballero de Piel</t>
        </is>
      </c>
      <c r="X81" s="155" t="inlineStr">
        <is>
          <t>México</t>
        </is>
      </c>
      <c r="Y81" s="155" t="inlineStr">
        <is>
          <t>PZS</t>
        </is>
      </c>
      <c r="Z81" s="59" t="inlineStr">
        <is>
          <t>53102501</t>
        </is>
      </c>
      <c r="AA81" s="126" t="n"/>
      <c r="AB81" s="61" t="n">
        <v>344.48</v>
      </c>
      <c r="AC81" s="61" t="n">
        <v>430.603448</v>
      </c>
      <c r="AD81" s="62" t="inlineStr">
        <is>
          <t>Con Incidencias</t>
        </is>
      </c>
      <c r="AE81" s="64" t="inlineStr">
        <is>
          <t>SKU duplicado; [Aviso] Ciclo de vida no capturado ()</t>
        </is>
      </c>
      <c r="AF81" s="64" t="n"/>
      <c r="AG81" s="59" t="n"/>
      <c r="AH81" s="155" t="n"/>
      <c r="AI81" s="59" t="n"/>
      <c r="AJ81" s="155" t="inlineStr">
        <is>
          <t>Nuevo – Carga Hoja3 01/10/2026</t>
        </is>
      </c>
      <c r="AK81" s="155" t="inlineStr">
        <is>
          <t>Alta 01/10/2026 desde Hoja3 (fila 692); Mismo SKU que la fila 2465 con otro código/ID; revisar cuál es el vigente | 01/10/2026: complementado desde Odoo Universal Unique Brands (match por código de barras): WB Talla de EE. UU.</t>
        </is>
      </c>
      <c r="AL81" s="155" t="n"/>
      <c r="AM81" s="155" t="n"/>
      <c r="AN81" s="155" t="inlineStr">
        <is>
          <t>Hoja3: fila 692 | Odoo: producto 30952 / plantilla 39659</t>
        </is>
      </c>
      <c r="AO81" s="58" t="n"/>
      <c r="AP81" s="58" t="n"/>
      <c r="AQ81" s="155" t="inlineStr">
        <is>
          <t>Odoo Universal Unique Brands</t>
        </is>
      </c>
      <c r="AR81" s="59" t="n"/>
      <c r="AS81" s="59" t="n"/>
      <c r="AT81" s="59" t="n">
        <v>14</v>
      </c>
      <c r="AU81" s="155" t="inlineStr">
        <is>
          <t>Odoo Universal Unique Brands › Bodega 25 › Bodega 25/General: 14</t>
        </is>
      </c>
    </row>
    <row r="82">
      <c r="A82" s="51" t="n">
        <v>45</v>
      </c>
      <c r="B82" s="156" t="inlineStr">
        <is>
          <t>Productos — registro conservado</t>
        </is>
      </c>
      <c r="C82" s="125" t="inlineStr">
        <is>
          <t>Homologación G1522: mismo producto (mismo WB SKU)</t>
        </is>
      </c>
      <c r="D82" s="60" t="inlineStr">
        <is>
          <t>7506674600797</t>
        </is>
      </c>
      <c r="E82" s="59" t="inlineStr">
        <is>
          <t>117889</t>
        </is>
      </c>
      <c r="F82" s="155" t="inlineStr">
        <is>
          <t>Wrangler</t>
        </is>
      </c>
      <c r="G82" s="155" t="inlineStr">
        <is>
          <t>C49729-27</t>
        </is>
      </c>
      <c r="H82" s="155" t="inlineStr">
        <is>
          <t>C49729-27-40</t>
        </is>
      </c>
      <c r="I82" s="155" t="inlineStr">
        <is>
          <t>40</t>
        </is>
      </c>
      <c r="J82" s="155" t="inlineStr">
        <is>
          <t>40</t>
        </is>
      </c>
      <c r="K82" s="155" t="inlineStr">
        <is>
          <t>Wrangler</t>
        </is>
      </c>
      <c r="L82" s="155" t="inlineStr">
        <is>
          <t>Cinturón Wrangler Una Vista Casual para Hombre, Color Cafe</t>
        </is>
      </c>
      <c r="M82" s="155" t="inlineStr">
        <is>
          <t>Accesorios</t>
        </is>
      </c>
      <c r="N82" s="155" t="inlineStr">
        <is>
          <t>Cinturones</t>
        </is>
      </c>
      <c r="O82" s="155" t="inlineStr">
        <is>
          <t>Hombre</t>
        </is>
      </c>
      <c r="P82" s="155" t="inlineStr">
        <is>
          <t>Wrangler</t>
        </is>
      </c>
      <c r="Q82" s="155" t="inlineStr">
        <is>
          <t>SS26</t>
        </is>
      </c>
      <c r="R82" s="155" t="inlineStr">
        <is>
          <t>Seasonal</t>
        </is>
      </c>
      <c r="S82" s="155" t="inlineStr">
        <is>
          <t>Cafe</t>
        </is>
      </c>
      <c r="T82" s="155" t="n"/>
      <c r="U82" s="155" t="n"/>
      <c r="V82" s="155" t="inlineStr">
        <is>
          <t>100% piel de vacuno</t>
        </is>
      </c>
      <c r="W82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82" s="155" t="inlineStr">
        <is>
          <t>México</t>
        </is>
      </c>
      <c r="Y82" s="155" t="inlineStr">
        <is>
          <t>PZS</t>
        </is>
      </c>
      <c r="Z82" s="59" t="inlineStr">
        <is>
          <t>53102501</t>
        </is>
      </c>
      <c r="AA82" s="126" t="n"/>
      <c r="AB82" s="61" t="n">
        <v>344.48</v>
      </c>
      <c r="AC82" s="61" t="n">
        <v>949</v>
      </c>
      <c r="AD82" s="62" t="inlineStr">
        <is>
          <t>Con Incidencias</t>
        </is>
      </c>
      <c r="AE82" s="64" t="inlineStr">
        <is>
          <t>SKU duplicado</t>
        </is>
      </c>
      <c r="AF82" s="64" t="n"/>
      <c r="AG82" s="59" t="n">
        <v>1</v>
      </c>
      <c r="AH82" s="155" t="inlineStr">
        <is>
          <t>WB OUTLET LERMA (1)</t>
        </is>
      </c>
      <c r="AI82" s="59" t="n">
        <v>1</v>
      </c>
      <c r="AJ82" s="155" t="inlineStr">
        <is>
          <t>Catálogo existente</t>
        </is>
      </c>
      <c r="AK82" s="155" t="inlineStr">
        <is>
          <t>Coincidencia por código de barras (ID NetSuite 117889) | ID alternativo de Hoja a Revisar 117889 (UPC coincidente); se conserva ID principal; Auditoría NetSuite 30/09/2026: llenado desde NetSuite [Z]; Vinculado por código de barras al ID NetSuite 117889 (antes en Identificador interno: 'C49729-27-40'); 01/10/2026: mismo SKU registrado también en fila 67712 con código 7506674602982 (ID 30953, desde Hoja3); revisar cuál es el vigente | 01/10/2026: complementado desde Shopify Western Brothers (match por código de barras): WB Fit, WB Silueta</t>
        </is>
      </c>
      <c r="AL82" s="155" t="inlineStr">
        <is>
          <t>No</t>
        </is>
      </c>
      <c r="AM82" s="155" t="n"/>
      <c r="AN82" s="155" t="inlineStr">
        <is>
          <t>| Hoja a Revisar: fila 196054 (ID 117889, misma clave UPC); G1522_Extraccion_Articulos_NetSuite_2026-09-30.xlsx: fila 64130 [Z] | Shopify WB: producto 10310436192441 / variante 50512589979833</t>
        </is>
      </c>
      <c r="AO82" s="58" t="inlineStr">
        <is>
          <t>344,48</t>
        </is>
      </c>
      <c r="AP82" s="58" t="n"/>
      <c r="AQ82" s="155" t="inlineStr">
        <is>
          <t>Shopify Western Brothers</t>
        </is>
      </c>
      <c r="AR82" s="59" t="n"/>
      <c r="AS82" s="59" t="n">
        <v>1</v>
      </c>
      <c r="AT82" s="59" t="n"/>
      <c r="AU82" s="155" t="inlineStr">
        <is>
          <t>Shopify Western Brothers › Western Brothers Outlet Lerma: 1</t>
        </is>
      </c>
    </row>
    <row r="83">
      <c r="A83" s="51" t="n">
        <v>45</v>
      </c>
      <c r="B83" s="156" t="inlineStr">
        <is>
          <t>Productos — registro integrado en el anterior</t>
        </is>
      </c>
      <c r="C83" s="125" t="inlineStr">
        <is>
          <t>Homologación G1522: mismo producto (mismo WB SKU)</t>
        </is>
      </c>
      <c r="D83" s="60" t="inlineStr">
        <is>
          <t>7506674602982</t>
        </is>
      </c>
      <c r="E83" s="59" t="inlineStr">
        <is>
          <t>30953</t>
        </is>
      </c>
      <c r="F83" s="155" t="inlineStr">
        <is>
          <t>Wrangler</t>
        </is>
      </c>
      <c r="G83" s="155" t="inlineStr">
        <is>
          <t>C49729-27</t>
        </is>
      </c>
      <c r="H83" s="155" t="inlineStr">
        <is>
          <t>C49729-27-40</t>
        </is>
      </c>
      <c r="I83" s="155" t="inlineStr">
        <is>
          <t>40</t>
        </is>
      </c>
      <c r="J83" s="155" t="inlineStr">
        <is>
          <t>40</t>
        </is>
      </c>
      <c r="K83" s="155" t="inlineStr">
        <is>
          <t>Wrangler</t>
        </is>
      </c>
      <c r="L83" s="155" t="inlineStr">
        <is>
          <t>Cinturon de hombre C49729-27 Café</t>
        </is>
      </c>
      <c r="M83" s="155" t="inlineStr">
        <is>
          <t>Accesorios</t>
        </is>
      </c>
      <c r="N83" s="155" t="inlineStr">
        <is>
          <t>Cinturones</t>
        </is>
      </c>
      <c r="O83" s="155" t="inlineStr">
        <is>
          <t>Hombre</t>
        </is>
      </c>
      <c r="P83" s="155" t="inlineStr">
        <is>
          <t>Wrangler</t>
        </is>
      </c>
      <c r="Q83" s="155" t="inlineStr">
        <is>
          <t>FW26</t>
        </is>
      </c>
      <c r="R83" s="155" t="n"/>
      <c r="S83" s="155" t="inlineStr">
        <is>
          <t>Cafe</t>
        </is>
      </c>
      <c r="T83" s="155" t="n"/>
      <c r="U83" s="155" t="n"/>
      <c r="V83" s="155" t="inlineStr">
        <is>
          <t>100% CUERO VACUNO</t>
        </is>
      </c>
      <c r="W83" s="155" t="inlineStr">
        <is>
          <t>Cinturón para Caballero de Piel</t>
        </is>
      </c>
      <c r="X83" s="155" t="inlineStr">
        <is>
          <t>México</t>
        </is>
      </c>
      <c r="Y83" s="155" t="inlineStr">
        <is>
          <t>PZS</t>
        </is>
      </c>
      <c r="Z83" s="59" t="inlineStr">
        <is>
          <t>53102501</t>
        </is>
      </c>
      <c r="AA83" s="126" t="n"/>
      <c r="AB83" s="61" t="n">
        <v>344.48</v>
      </c>
      <c r="AC83" s="61" t="n">
        <v>430.603448</v>
      </c>
      <c r="AD83" s="62" t="inlineStr">
        <is>
          <t>Con Incidencias</t>
        </is>
      </c>
      <c r="AE83" s="64" t="inlineStr">
        <is>
          <t>SKU duplicado; [Aviso] Ciclo de vida no capturado ()</t>
        </is>
      </c>
      <c r="AF83" s="64" t="n"/>
      <c r="AG83" s="59" t="n"/>
      <c r="AH83" s="155" t="n"/>
      <c r="AI83" s="59" t="n"/>
      <c r="AJ83" s="155" t="inlineStr">
        <is>
          <t>Nuevo – Carga Hoja3 01/10/2026</t>
        </is>
      </c>
      <c r="AK83" s="155" t="inlineStr">
        <is>
          <t>Alta 01/10/2026 desde Hoja3 (fila 693); Mismo SKU que la fila 2466 con otro código/ID; revisar cuál es el vigente | 01/10/2026: complementado desde Odoo Universal Unique Brands (match por código de barras): WB Talla de EE. UU.</t>
        </is>
      </c>
      <c r="AL83" s="155" t="n"/>
      <c r="AM83" s="155" t="n"/>
      <c r="AN83" s="155" t="inlineStr">
        <is>
          <t>Hoja3: fila 693 | Odoo: producto 30953 / plantilla 39659</t>
        </is>
      </c>
      <c r="AO83" s="58" t="n"/>
      <c r="AP83" s="58" t="n"/>
      <c r="AQ83" s="155" t="inlineStr">
        <is>
          <t>Odoo Universal Unique Brands</t>
        </is>
      </c>
      <c r="AR83" s="59" t="n"/>
      <c r="AS83" s="59" t="n"/>
      <c r="AT83" s="59" t="n">
        <v>22</v>
      </c>
      <c r="AU83" s="155" t="inlineStr">
        <is>
          <t>Odoo Universal Unique Brands › Bodega 25 › Bodega 25/General: 22</t>
        </is>
      </c>
    </row>
    <row r="84">
      <c r="A84" s="51" t="n">
        <v>46</v>
      </c>
      <c r="B84" s="156" t="inlineStr">
        <is>
          <t>Productos — registro conservado</t>
        </is>
      </c>
      <c r="C84" s="125" t="inlineStr">
        <is>
          <t>Homologación G1522: mismo producto (mismo WB SKU)</t>
        </is>
      </c>
      <c r="D84" s="60" t="inlineStr">
        <is>
          <t>7506674600803</t>
        </is>
      </c>
      <c r="E84" s="59" t="inlineStr">
        <is>
          <t>117890</t>
        </is>
      </c>
      <c r="F84" s="155" t="inlineStr">
        <is>
          <t>Wrangler</t>
        </is>
      </c>
      <c r="G84" s="155" t="inlineStr">
        <is>
          <t>C49729-27</t>
        </is>
      </c>
      <c r="H84" s="155" t="inlineStr">
        <is>
          <t>C49729-27-42</t>
        </is>
      </c>
      <c r="I84" s="155" t="inlineStr">
        <is>
          <t>42</t>
        </is>
      </c>
      <c r="J84" s="155" t="inlineStr">
        <is>
          <t>42</t>
        </is>
      </c>
      <c r="K84" s="155" t="inlineStr">
        <is>
          <t>Wrangler</t>
        </is>
      </c>
      <c r="L84" s="155" t="inlineStr">
        <is>
          <t>Cinturón Wrangler Una Vista Casual para Hombre, Color Cafe</t>
        </is>
      </c>
      <c r="M84" s="155" t="inlineStr">
        <is>
          <t>Accesorios</t>
        </is>
      </c>
      <c r="N84" s="155" t="inlineStr">
        <is>
          <t>Cinturones</t>
        </is>
      </c>
      <c r="O84" s="155" t="inlineStr">
        <is>
          <t>Hombre</t>
        </is>
      </c>
      <c r="P84" s="155" t="inlineStr">
        <is>
          <t>Wrangler</t>
        </is>
      </c>
      <c r="Q84" s="155" t="inlineStr">
        <is>
          <t>SS26</t>
        </is>
      </c>
      <c r="R84" s="155" t="inlineStr">
        <is>
          <t>Seasonal</t>
        </is>
      </c>
      <c r="S84" s="155" t="inlineStr">
        <is>
          <t>Cafe</t>
        </is>
      </c>
      <c r="T84" s="155" t="n"/>
      <c r="U84" s="155" t="n"/>
      <c r="V84" s="155" t="inlineStr">
        <is>
          <t>100% piel de vacuno</t>
        </is>
      </c>
      <c r="W84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84" s="155" t="inlineStr">
        <is>
          <t>México</t>
        </is>
      </c>
      <c r="Y84" s="155" t="inlineStr">
        <is>
          <t>PZS</t>
        </is>
      </c>
      <c r="Z84" s="59" t="inlineStr">
        <is>
          <t>53102501</t>
        </is>
      </c>
      <c r="AA84" s="126" t="n"/>
      <c r="AB84" s="61" t="n">
        <v>344.48</v>
      </c>
      <c r="AC84" s="61" t="n">
        <v>949</v>
      </c>
      <c r="AD84" s="62" t="inlineStr">
        <is>
          <t>Con Incidencias</t>
        </is>
      </c>
      <c r="AE84" s="64" t="inlineStr">
        <is>
          <t>SKU duplicado</t>
        </is>
      </c>
      <c r="AF84" s="64" t="n"/>
      <c r="AG84" s="59" t="n">
        <v>2</v>
      </c>
      <c r="AH84" s="155" t="inlineStr">
        <is>
          <t>WB OUTLET LERMA (2)</t>
        </is>
      </c>
      <c r="AI84" s="59" t="n">
        <v>2</v>
      </c>
      <c r="AJ84" s="155" t="inlineStr">
        <is>
          <t>Catálogo existente</t>
        </is>
      </c>
      <c r="AK84" s="155" t="inlineStr">
        <is>
          <t>Coincidencia por código de barras (ID NetSuite 117890) | ID alternativo de Hoja a Revisar 117890 (UPC coincidente); se conserva ID principal; Auditoría NetSuite 30/09/2026: llenado desde NetSuite [Z]; Vinculado por código de barras al ID NetSuite 117890 (antes en Identificador interno: 'C49729-27-42'); 01/10/2026: mismo SKU registrado también en fila 67713 con código 7506674602999 (ID 30954, desde Hoja3); revisar cuál es el vigente | 01/10/2026: complementado desde Shopify Western Brothers (match por código de barras): WB Fit, WB Silueta</t>
        </is>
      </c>
      <c r="AL84" s="155" t="inlineStr">
        <is>
          <t>No</t>
        </is>
      </c>
      <c r="AM84" s="155" t="n"/>
      <c r="AN84" s="155" t="inlineStr">
        <is>
          <t>| Hoja a Revisar: fila 196055 (ID 117890, misma clave UPC); G1522_Extraccion_Articulos_NetSuite_2026-09-30.xlsx: fila 64131 [Z] | Shopify WB: producto 10310436192441 / variante 50512590012601</t>
        </is>
      </c>
      <c r="AO84" s="58" t="inlineStr">
        <is>
          <t>344,48</t>
        </is>
      </c>
      <c r="AP84" s="58" t="n"/>
      <c r="AQ84" s="155" t="inlineStr">
        <is>
          <t>Shopify Western Brothers</t>
        </is>
      </c>
      <c r="AR84" s="59" t="n"/>
      <c r="AS84" s="59" t="n">
        <v>2</v>
      </c>
      <c r="AT84" s="59" t="n"/>
      <c r="AU84" s="155" t="inlineStr">
        <is>
          <t>Shopify Western Brothers › Western Brothers Outlet Lerma: 2</t>
        </is>
      </c>
    </row>
    <row r="85">
      <c r="A85" s="51" t="n">
        <v>46</v>
      </c>
      <c r="B85" s="156" t="inlineStr">
        <is>
          <t>Productos — registro integrado en el anterior</t>
        </is>
      </c>
      <c r="C85" s="125" t="inlineStr">
        <is>
          <t>Homologación G1522: mismo producto (mismo WB SKU)</t>
        </is>
      </c>
      <c r="D85" s="60" t="inlineStr">
        <is>
          <t>7506674602999</t>
        </is>
      </c>
      <c r="E85" s="59" t="inlineStr">
        <is>
          <t>30954</t>
        </is>
      </c>
      <c r="F85" s="155" t="inlineStr">
        <is>
          <t>Wrangler</t>
        </is>
      </c>
      <c r="G85" s="155" t="inlineStr">
        <is>
          <t>C49729-27</t>
        </is>
      </c>
      <c r="H85" s="155" t="inlineStr">
        <is>
          <t>C49729-27-42</t>
        </is>
      </c>
      <c r="I85" s="155" t="inlineStr">
        <is>
          <t>42</t>
        </is>
      </c>
      <c r="J85" s="155" t="inlineStr">
        <is>
          <t>42</t>
        </is>
      </c>
      <c r="K85" s="155" t="inlineStr">
        <is>
          <t>Wrangler</t>
        </is>
      </c>
      <c r="L85" s="155" t="inlineStr">
        <is>
          <t>Cinturon de hombre C49729-27 Café</t>
        </is>
      </c>
      <c r="M85" s="155" t="inlineStr">
        <is>
          <t>Accesorios</t>
        </is>
      </c>
      <c r="N85" s="155" t="inlineStr">
        <is>
          <t>Cinturones</t>
        </is>
      </c>
      <c r="O85" s="155" t="inlineStr">
        <is>
          <t>Hombre</t>
        </is>
      </c>
      <c r="P85" s="155" t="inlineStr">
        <is>
          <t>Wrangler</t>
        </is>
      </c>
      <c r="Q85" s="155" t="inlineStr">
        <is>
          <t>FW26</t>
        </is>
      </c>
      <c r="R85" s="155" t="n"/>
      <c r="S85" s="155" t="inlineStr">
        <is>
          <t>Cafe</t>
        </is>
      </c>
      <c r="T85" s="155" t="n"/>
      <c r="U85" s="155" t="n"/>
      <c r="V85" s="155" t="inlineStr">
        <is>
          <t>100% CUERO VACUNO</t>
        </is>
      </c>
      <c r="W85" s="155" t="inlineStr">
        <is>
          <t>Cinturón para Caballero de Piel</t>
        </is>
      </c>
      <c r="X85" s="155" t="inlineStr">
        <is>
          <t>México</t>
        </is>
      </c>
      <c r="Y85" s="155" t="inlineStr">
        <is>
          <t>PZS</t>
        </is>
      </c>
      <c r="Z85" s="59" t="inlineStr">
        <is>
          <t>53102501</t>
        </is>
      </c>
      <c r="AA85" s="126" t="n"/>
      <c r="AB85" s="61" t="n">
        <v>344.48</v>
      </c>
      <c r="AC85" s="61" t="n">
        <v>430.603448</v>
      </c>
      <c r="AD85" s="62" t="inlineStr">
        <is>
          <t>Con Incidencias</t>
        </is>
      </c>
      <c r="AE85" s="64" t="inlineStr">
        <is>
          <t>SKU duplicado; [Aviso] Ciclo de vida no capturado ()</t>
        </is>
      </c>
      <c r="AF85" s="64" t="n"/>
      <c r="AG85" s="59" t="n"/>
      <c r="AH85" s="155" t="n"/>
      <c r="AI85" s="59" t="n"/>
      <c r="AJ85" s="155" t="inlineStr">
        <is>
          <t>Nuevo – Carga Hoja3 01/10/2026</t>
        </is>
      </c>
      <c r="AK85" s="155" t="inlineStr">
        <is>
          <t>Alta 01/10/2026 desde Hoja3 (fila 694); Mismo SKU que la fila 2467 con otro código/ID; revisar cuál es el vigente | 01/10/2026: complementado desde Odoo Universal Unique Brands (match por código de barras): WB Talla de EE. UU.</t>
        </is>
      </c>
      <c r="AL85" s="155" t="n"/>
      <c r="AM85" s="155" t="n"/>
      <c r="AN85" s="155" t="inlineStr">
        <is>
          <t>Hoja3: fila 694 | Odoo: producto 30954 / plantilla 39659</t>
        </is>
      </c>
      <c r="AO85" s="58" t="n"/>
      <c r="AP85" s="58" t="n"/>
      <c r="AQ85" s="155" t="inlineStr">
        <is>
          <t>Odoo Universal Unique Brands</t>
        </is>
      </c>
      <c r="AR85" s="59" t="n"/>
      <c r="AS85" s="59" t="n"/>
      <c r="AT85" s="59" t="n">
        <v>22</v>
      </c>
      <c r="AU85" s="155" t="inlineStr">
        <is>
          <t>Odoo Universal Unique Brands › Bodega 25 › Bodega 25/General: 22</t>
        </is>
      </c>
    </row>
    <row r="86">
      <c r="A86" s="51" t="n">
        <v>47</v>
      </c>
      <c r="B86" s="156" t="inlineStr">
        <is>
          <t>Productos — registro conservado</t>
        </is>
      </c>
      <c r="C86" s="125" t="inlineStr">
        <is>
          <t>Homologación G1522: mismo producto (mismo WB SKU)</t>
        </is>
      </c>
      <c r="D86" s="60" t="inlineStr">
        <is>
          <t>7506674600810</t>
        </is>
      </c>
      <c r="E86" s="59" t="inlineStr">
        <is>
          <t>117891</t>
        </is>
      </c>
      <c r="F86" s="155" t="inlineStr">
        <is>
          <t>Wrangler</t>
        </is>
      </c>
      <c r="G86" s="155" t="inlineStr">
        <is>
          <t>C49729-27</t>
        </is>
      </c>
      <c r="H86" s="155" t="inlineStr">
        <is>
          <t>C49729-27-44</t>
        </is>
      </c>
      <c r="I86" s="155" t="inlineStr">
        <is>
          <t>44</t>
        </is>
      </c>
      <c r="J86" s="155" t="inlineStr">
        <is>
          <t>44</t>
        </is>
      </c>
      <c r="K86" s="155" t="inlineStr">
        <is>
          <t>Wrangler</t>
        </is>
      </c>
      <c r="L86" s="155" t="inlineStr">
        <is>
          <t>Cinturón Wrangler Una Vista Casual para Hombre, Color Cafe</t>
        </is>
      </c>
      <c r="M86" s="155" t="inlineStr">
        <is>
          <t>Accesorios</t>
        </is>
      </c>
      <c r="N86" s="155" t="inlineStr">
        <is>
          <t>Cinturones</t>
        </is>
      </c>
      <c r="O86" s="155" t="inlineStr">
        <is>
          <t>Hombre</t>
        </is>
      </c>
      <c r="P86" s="155" t="inlineStr">
        <is>
          <t>Wrangler</t>
        </is>
      </c>
      <c r="Q86" s="155" t="inlineStr">
        <is>
          <t>SS26</t>
        </is>
      </c>
      <c r="R86" s="155" t="inlineStr">
        <is>
          <t>Seasonal</t>
        </is>
      </c>
      <c r="S86" s="155" t="inlineStr">
        <is>
          <t>Cafe</t>
        </is>
      </c>
      <c r="T86" s="155" t="n"/>
      <c r="U86" s="155" t="n"/>
      <c r="V86" s="155" t="inlineStr">
        <is>
          <t>100% piel de vacuno</t>
        </is>
      </c>
      <c r="W86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86" s="155" t="inlineStr">
        <is>
          <t>México</t>
        </is>
      </c>
      <c r="Y86" s="155" t="inlineStr">
        <is>
          <t>PZS</t>
        </is>
      </c>
      <c r="Z86" s="59" t="inlineStr">
        <is>
          <t>53102501</t>
        </is>
      </c>
      <c r="AA86" s="126" t="n"/>
      <c r="AB86" s="61" t="n">
        <v>344.48</v>
      </c>
      <c r="AC86" s="61" t="n">
        <v>949</v>
      </c>
      <c r="AD86" s="62" t="inlineStr">
        <is>
          <t>Con Incidencias</t>
        </is>
      </c>
      <c r="AE86" s="64" t="inlineStr">
        <is>
          <t>SKU duplicado</t>
        </is>
      </c>
      <c r="AF86" s="64" t="n"/>
      <c r="AG86" s="59" t="n">
        <v>1</v>
      </c>
      <c r="AH86" s="155" t="inlineStr">
        <is>
          <t>WB OUTLET LERMA (1)</t>
        </is>
      </c>
      <c r="AI86" s="59" t="n">
        <v>1</v>
      </c>
      <c r="AJ86" s="155" t="inlineStr">
        <is>
          <t>Catálogo existente</t>
        </is>
      </c>
      <c r="AK86" s="155" t="inlineStr">
        <is>
          <t>Coincidencia por código de barras (ID NetSuite 117891) | ID alternativo de Hoja a Revisar 117891 (UPC coincidente); se conserva ID principal; Auditoría NetSuite 30/09/2026: llenado desde NetSuite [Z]; Vinculado por código de barras al ID NetSuite 117891 (antes en Identificador interno: 'C49729-27-44'); 01/10/2026: mismo SKU registrado también en fila 67714 con código 7506674603002 (ID 30955, desde Hoja3); revisar cuál es el vigente | 01/10/2026: complementado desde Shopify Western Brothers (match por código de barras): WB Fit, WB Silueta</t>
        </is>
      </c>
      <c r="AL86" s="155" t="inlineStr">
        <is>
          <t>No</t>
        </is>
      </c>
      <c r="AM86" s="155" t="n"/>
      <c r="AN86" s="155" t="inlineStr">
        <is>
          <t>| Hoja a Revisar: fila 196056 (ID 117891, misma clave UPC); G1522_Extraccion_Articulos_NetSuite_2026-09-30.xlsx: fila 64132 [Z] | Shopify WB: producto 10310436192441 / variante 50512590045369</t>
        </is>
      </c>
      <c r="AO86" s="58" t="inlineStr">
        <is>
          <t>344,48</t>
        </is>
      </c>
      <c r="AP86" s="58" t="n"/>
      <c r="AQ86" s="155" t="inlineStr">
        <is>
          <t>Shopify Western Brothers</t>
        </is>
      </c>
      <c r="AR86" s="59" t="n"/>
      <c r="AS86" s="59" t="n">
        <v>1</v>
      </c>
      <c r="AT86" s="59" t="n"/>
      <c r="AU86" s="155" t="inlineStr">
        <is>
          <t>Shopify Western Brothers › Western Brothers Outlet Lerma: 1</t>
        </is>
      </c>
    </row>
    <row r="87">
      <c r="A87" s="51" t="n">
        <v>47</v>
      </c>
      <c r="B87" s="156" t="inlineStr">
        <is>
          <t>Productos — registro integrado en el anterior</t>
        </is>
      </c>
      <c r="C87" s="125" t="inlineStr">
        <is>
          <t>Homologación G1522: mismo producto (mismo WB SKU)</t>
        </is>
      </c>
      <c r="D87" s="60" t="inlineStr">
        <is>
          <t>7506674603002</t>
        </is>
      </c>
      <c r="E87" s="59" t="inlineStr">
        <is>
          <t>30955</t>
        </is>
      </c>
      <c r="F87" s="155" t="inlineStr">
        <is>
          <t>Wrangler</t>
        </is>
      </c>
      <c r="G87" s="155" t="inlineStr">
        <is>
          <t>C49729-27</t>
        </is>
      </c>
      <c r="H87" s="155" t="inlineStr">
        <is>
          <t>C49729-27-44</t>
        </is>
      </c>
      <c r="I87" s="155" t="inlineStr">
        <is>
          <t>44</t>
        </is>
      </c>
      <c r="J87" s="155" t="inlineStr">
        <is>
          <t>44</t>
        </is>
      </c>
      <c r="K87" s="155" t="inlineStr">
        <is>
          <t>Wrangler</t>
        </is>
      </c>
      <c r="L87" s="155" t="inlineStr">
        <is>
          <t>Cinturon de hombre C49729-27 Café</t>
        </is>
      </c>
      <c r="M87" s="155" t="inlineStr">
        <is>
          <t>Accesorios</t>
        </is>
      </c>
      <c r="N87" s="155" t="inlineStr">
        <is>
          <t>Cinturones</t>
        </is>
      </c>
      <c r="O87" s="155" t="inlineStr">
        <is>
          <t>Hombre</t>
        </is>
      </c>
      <c r="P87" s="155" t="inlineStr">
        <is>
          <t>Wrangler</t>
        </is>
      </c>
      <c r="Q87" s="155" t="inlineStr">
        <is>
          <t>FW26</t>
        </is>
      </c>
      <c r="R87" s="155" t="n"/>
      <c r="S87" s="155" t="inlineStr">
        <is>
          <t>Cafe</t>
        </is>
      </c>
      <c r="T87" s="155" t="n"/>
      <c r="U87" s="155" t="n"/>
      <c r="V87" s="155" t="inlineStr">
        <is>
          <t>100% CUERO VACUNO</t>
        </is>
      </c>
      <c r="W87" s="155" t="inlineStr">
        <is>
          <t>Cinturón para Caballero de Piel</t>
        </is>
      </c>
      <c r="X87" s="155" t="inlineStr">
        <is>
          <t>México</t>
        </is>
      </c>
      <c r="Y87" s="155" t="inlineStr">
        <is>
          <t>PZS</t>
        </is>
      </c>
      <c r="Z87" s="59" t="inlineStr">
        <is>
          <t>53102501</t>
        </is>
      </c>
      <c r="AA87" s="126" t="n"/>
      <c r="AB87" s="61" t="n">
        <v>344.48</v>
      </c>
      <c r="AC87" s="61" t="n">
        <v>430.603448</v>
      </c>
      <c r="AD87" s="62" t="inlineStr">
        <is>
          <t>Con Incidencias</t>
        </is>
      </c>
      <c r="AE87" s="64" t="inlineStr">
        <is>
          <t>SKU duplicado; [Aviso] Ciclo de vida no capturado ()</t>
        </is>
      </c>
      <c r="AF87" s="64" t="n"/>
      <c r="AG87" s="59" t="n"/>
      <c r="AH87" s="155" t="n"/>
      <c r="AI87" s="59" t="n"/>
      <c r="AJ87" s="155" t="inlineStr">
        <is>
          <t>Nuevo – Carga Hoja3 01/10/2026</t>
        </is>
      </c>
      <c r="AK87" s="155" t="inlineStr">
        <is>
          <t>Alta 01/10/2026 desde Hoja3 (fila 695); Mismo SKU que la fila 2468 con otro código/ID; revisar cuál es el vigente | 01/10/2026: complementado desde Odoo Universal Unique Brands (match por código de barras): WB Talla de EE. UU.</t>
        </is>
      </c>
      <c r="AL87" s="155" t="n"/>
      <c r="AM87" s="155" t="n"/>
      <c r="AN87" s="155" t="inlineStr">
        <is>
          <t>Hoja3: fila 695 | Odoo: producto 30955 / plantilla 39659</t>
        </is>
      </c>
      <c r="AO87" s="58" t="n"/>
      <c r="AP87" s="58" t="n"/>
      <c r="AQ87" s="155" t="inlineStr">
        <is>
          <t>Odoo Universal Unique Brands</t>
        </is>
      </c>
      <c r="AR87" s="59" t="n"/>
      <c r="AS87" s="59" t="n"/>
      <c r="AT87" s="59" t="n">
        <v>17</v>
      </c>
      <c r="AU87" s="155" t="inlineStr">
        <is>
          <t>Odoo Universal Unique Brands › Bodega 25 › Bodega 25/General: 17</t>
        </is>
      </c>
    </row>
    <row r="88">
      <c r="A88" s="51" t="n">
        <v>48</v>
      </c>
      <c r="B88" s="156" t="inlineStr">
        <is>
          <t>Productos — registro conservado</t>
        </is>
      </c>
      <c r="C88" s="125" t="inlineStr">
        <is>
          <t>Homologación G1522: mismo producto (mismo WB SKU)</t>
        </is>
      </c>
      <c r="D88" s="60" t="inlineStr">
        <is>
          <t>7506674602876</t>
        </is>
      </c>
      <c r="E88" s="59" t="inlineStr">
        <is>
          <t>30941</t>
        </is>
      </c>
      <c r="F88" s="155" t="inlineStr">
        <is>
          <t>Wrangler</t>
        </is>
      </c>
      <c r="G88" s="155" t="inlineStr">
        <is>
          <t>C49728-27</t>
        </is>
      </c>
      <c r="H88" s="155" t="inlineStr">
        <is>
          <t>C49728-27-32</t>
        </is>
      </c>
      <c r="I88" s="155" t="inlineStr">
        <is>
          <t>32</t>
        </is>
      </c>
      <c r="J88" s="155" t="inlineStr">
        <is>
          <t>32</t>
        </is>
      </c>
      <c r="K88" s="155" t="inlineStr">
        <is>
          <t>Wrangler</t>
        </is>
      </c>
      <c r="L88" s="155" t="inlineStr">
        <is>
          <t>Cinturon de hombre C49728-27 Café</t>
        </is>
      </c>
      <c r="M88" s="155" t="inlineStr">
        <is>
          <t>Accesorios</t>
        </is>
      </c>
      <c r="N88" s="155" t="inlineStr">
        <is>
          <t>Cinturones</t>
        </is>
      </c>
      <c r="O88" s="155" t="inlineStr">
        <is>
          <t>Hombre</t>
        </is>
      </c>
      <c r="P88" s="155" t="inlineStr">
        <is>
          <t>Wrangler</t>
        </is>
      </c>
      <c r="Q88" s="155" t="inlineStr">
        <is>
          <t>FW26</t>
        </is>
      </c>
      <c r="R88" s="155" t="inlineStr">
        <is>
          <t>Seasonal</t>
        </is>
      </c>
      <c r="S88" s="155" t="inlineStr">
        <is>
          <t>Cafe</t>
        </is>
      </c>
      <c r="T88" s="155" t="n"/>
      <c r="U88" s="155" t="n"/>
      <c r="V88" s="155" t="inlineStr">
        <is>
          <t>100% PIEL VACUNO</t>
        </is>
      </c>
      <c r="W88" s="155" t="inlineStr">
        <is>
          <t>Cinturón para Caballero de Piel</t>
        </is>
      </c>
      <c r="X88" s="155" t="inlineStr">
        <is>
          <t>México</t>
        </is>
      </c>
      <c r="Y88" s="155" t="inlineStr">
        <is>
          <t>PZS</t>
        </is>
      </c>
      <c r="Z88" s="59" t="inlineStr">
        <is>
          <t>53102501</t>
        </is>
      </c>
      <c r="AA88" s="126" t="n"/>
      <c r="AB88" s="61" t="n">
        <v>292.76</v>
      </c>
      <c r="AC88" s="61" t="n">
        <v>430.603448</v>
      </c>
      <c r="AD88" s="62" t="inlineStr">
        <is>
          <t>Con Incidencias</t>
        </is>
      </c>
      <c r="AE88" s="64" t="inlineStr">
        <is>
          <t>SKU duplicado; [Aviso] Ciclo de vida no capturado ()</t>
        </is>
      </c>
      <c r="AF88" s="64" t="n"/>
      <c r="AG88" s="59" t="n"/>
      <c r="AH88" s="155" t="n"/>
      <c r="AI88" s="59" t="n"/>
      <c r="AJ88" s="155" t="inlineStr">
        <is>
          <t>Nuevo – Carga Hoja3 01/10/2026</t>
        </is>
      </c>
      <c r="AK88" s="155" t="inlineStr">
        <is>
          <t>Alta 01/10/2026 desde Hoja3 (fila 682); Mismo SKU que la fila 2469 con otro código/ID; revisar cuál es el vigente | 01/10/2026: complementado desde Odoo Universal Unique Brands (match por código de barras): WB Talla de EE. UU.</t>
        </is>
      </c>
      <c r="AL88" s="155" t="n"/>
      <c r="AM88" s="155" t="n"/>
      <c r="AN88" s="155" t="inlineStr">
        <is>
          <t>Hoja3: fila 682 | Odoo: producto 30941 / plantilla 39658</t>
        </is>
      </c>
      <c r="AO88" s="58" t="n"/>
      <c r="AP88" s="58" t="n"/>
      <c r="AQ88" s="155" t="inlineStr">
        <is>
          <t>Odoo Universal Unique Brands</t>
        </is>
      </c>
      <c r="AR88" s="59" t="n"/>
      <c r="AS88" s="59" t="n"/>
      <c r="AT88" s="59" t="n">
        <v>5</v>
      </c>
      <c r="AU88" s="155" t="inlineStr">
        <is>
          <t>Odoo Universal Unique Brands › Bodega 25 › Bodega 25/General: 5</t>
        </is>
      </c>
    </row>
    <row r="89">
      <c r="A89" s="51" t="n">
        <v>48</v>
      </c>
      <c r="B89" s="156" t="inlineStr">
        <is>
          <t>Productos — registro integrado en el anterior</t>
        </is>
      </c>
      <c r="C89" s="125" t="inlineStr">
        <is>
          <t>Homologación G1522: mismo producto (mismo WB SKU)</t>
        </is>
      </c>
      <c r="D89" s="60" t="inlineStr">
        <is>
          <t>7506674600680</t>
        </is>
      </c>
      <c r="E89" s="59" t="inlineStr">
        <is>
          <t>117878</t>
        </is>
      </c>
      <c r="F89" s="155" t="inlineStr">
        <is>
          <t>Wrangler</t>
        </is>
      </c>
      <c r="G89" s="155" t="inlineStr">
        <is>
          <t>C49728-27</t>
        </is>
      </c>
      <c r="H89" s="155" t="inlineStr">
        <is>
          <t>C49728-27-32</t>
        </is>
      </c>
      <c r="I89" s="155" t="inlineStr">
        <is>
          <t>32</t>
        </is>
      </c>
      <c r="J89" s="155" t="inlineStr">
        <is>
          <t>32</t>
        </is>
      </c>
      <c r="K89" s="155" t="inlineStr">
        <is>
          <t>Wrangler</t>
        </is>
      </c>
      <c r="L89" s="155" t="inlineStr">
        <is>
          <t>Cinturón Wrangler Una Vista Casual para Hombre, Color Cafe</t>
        </is>
      </c>
      <c r="M89" s="155" t="inlineStr">
        <is>
          <t>Accesorios</t>
        </is>
      </c>
      <c r="N89" s="155" t="inlineStr">
        <is>
          <t>Cinturones</t>
        </is>
      </c>
      <c r="O89" s="155" t="inlineStr">
        <is>
          <t>Hombre</t>
        </is>
      </c>
      <c r="P89" s="155" t="inlineStr">
        <is>
          <t>Wrangler</t>
        </is>
      </c>
      <c r="Q89" s="155" t="inlineStr">
        <is>
          <t>SS26</t>
        </is>
      </c>
      <c r="R89" s="155" t="inlineStr">
        <is>
          <t>Seasonal</t>
        </is>
      </c>
      <c r="S89" s="155" t="inlineStr">
        <is>
          <t>Cafe</t>
        </is>
      </c>
      <c r="T89" s="155" t="n"/>
      <c r="U89" s="155" t="n"/>
      <c r="V89" s="155" t="inlineStr">
        <is>
          <t>100% piel de vacuno</t>
        </is>
      </c>
      <c r="W89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89" s="155" t="inlineStr">
        <is>
          <t>México</t>
        </is>
      </c>
      <c r="Y89" s="155" t="inlineStr">
        <is>
          <t>PZS</t>
        </is>
      </c>
      <c r="Z89" s="59" t="inlineStr">
        <is>
          <t>53102501</t>
        </is>
      </c>
      <c r="AA89" s="126" t="n"/>
      <c r="AB89" s="61" t="n">
        <v>292.76</v>
      </c>
      <c r="AC89" s="61" t="n">
        <v>949</v>
      </c>
      <c r="AD89" s="62" t="inlineStr">
        <is>
          <t>Con Incidencias</t>
        </is>
      </c>
      <c r="AE89" s="64" t="inlineStr">
        <is>
          <t>SKU duplicado</t>
        </is>
      </c>
      <c r="AF89" s="64" t="n"/>
      <c r="AG89" s="59" t="n">
        <v>1</v>
      </c>
      <c r="AH89" s="155" t="inlineStr">
        <is>
          <t>WB OUTLET LERMA (1)</t>
        </is>
      </c>
      <c r="AI89" s="59" t="n">
        <v>1</v>
      </c>
      <c r="AJ89" s="155" t="inlineStr">
        <is>
          <t>Catálogo existente</t>
        </is>
      </c>
      <c r="AK89" s="155" t="inlineStr">
        <is>
          <t>Coincidencia por código de barras (ID NetSuite 117878) | ID alternativo de Hoja a Revisar 117878 (UPC coincidente); se conserva ID principal; Auditoría NetSuite 30/09/2026: llenado desde NetSuite [Z]; Vinculado por código de barras al ID NetSuite 117878 (antes en Identificador interno: 'C49728-27-32'); 01/10/2026: mismo SKU registrado también en fila 67701 con código 7506674602876 (ID 30941, desde Hoja3); revisar cuál es el vigente | 01/10/2026: complementado desde Shopify Western Brothers (match por código de barras): WB Fit, WB Silueta</t>
        </is>
      </c>
      <c r="AL89" s="155" t="inlineStr">
        <is>
          <t>No</t>
        </is>
      </c>
      <c r="AM89" s="155" t="n"/>
      <c r="AN89" s="155" t="inlineStr">
        <is>
          <t>| Hoja a Revisar: fila 196042 (ID 117878, misma clave UPC); G1522_Extraccion_Articulos_NetSuite_2026-09-30.xlsx: fila 64119 [Z] | Shopify WB: producto 10310436946105 / variante 50512592470201</t>
        </is>
      </c>
      <c r="AO89" s="58" t="inlineStr">
        <is>
          <t>292,76</t>
        </is>
      </c>
      <c r="AP89" s="58" t="n"/>
      <c r="AQ89" s="155" t="inlineStr">
        <is>
          <t>Shopify Western Brothers</t>
        </is>
      </c>
      <c r="AR89" s="59" t="n"/>
      <c r="AS89" s="59" t="n">
        <v>1</v>
      </c>
      <c r="AT89" s="59" t="n"/>
      <c r="AU89" s="155" t="inlineStr">
        <is>
          <t>Shopify Western Brothers › Western Brothers Outlet Lerma: 1</t>
        </is>
      </c>
    </row>
    <row r="90">
      <c r="A90" s="51" t="n">
        <v>49</v>
      </c>
      <c r="B90" s="156" t="inlineStr">
        <is>
          <t>Productos — registro conservado</t>
        </is>
      </c>
      <c r="C90" s="125" t="inlineStr">
        <is>
          <t>Homologación G1522: mismo producto (mismo WB SKU)</t>
        </is>
      </c>
      <c r="D90" s="60" t="inlineStr">
        <is>
          <t>7506674602883</t>
        </is>
      </c>
      <c r="E90" s="59" t="inlineStr">
        <is>
          <t>30942</t>
        </is>
      </c>
      <c r="F90" s="155" t="inlineStr">
        <is>
          <t>Wrangler</t>
        </is>
      </c>
      <c r="G90" s="155" t="inlineStr">
        <is>
          <t>C49728-27</t>
        </is>
      </c>
      <c r="H90" s="155" t="inlineStr">
        <is>
          <t>C49728-27-34</t>
        </is>
      </c>
      <c r="I90" s="155" t="inlineStr">
        <is>
          <t>34</t>
        </is>
      </c>
      <c r="J90" s="155" t="inlineStr">
        <is>
          <t>34</t>
        </is>
      </c>
      <c r="K90" s="155" t="inlineStr">
        <is>
          <t>Wrangler</t>
        </is>
      </c>
      <c r="L90" s="155" t="inlineStr">
        <is>
          <t>Cinturon de hombre C49728-27 Café</t>
        </is>
      </c>
      <c r="M90" s="155" t="inlineStr">
        <is>
          <t>Accesorios</t>
        </is>
      </c>
      <c r="N90" s="155" t="inlineStr">
        <is>
          <t>Cinturones</t>
        </is>
      </c>
      <c r="O90" s="155" t="inlineStr">
        <is>
          <t>Hombre</t>
        </is>
      </c>
      <c r="P90" s="155" t="inlineStr">
        <is>
          <t>Wrangler</t>
        </is>
      </c>
      <c r="Q90" s="155" t="inlineStr">
        <is>
          <t>FW26</t>
        </is>
      </c>
      <c r="R90" s="155" t="inlineStr">
        <is>
          <t>Seasonal</t>
        </is>
      </c>
      <c r="S90" s="155" t="inlineStr">
        <is>
          <t>Cafe</t>
        </is>
      </c>
      <c r="T90" s="155" t="n"/>
      <c r="U90" s="155" t="n"/>
      <c r="V90" s="155" t="inlineStr">
        <is>
          <t>100% PIEL VACUNO</t>
        </is>
      </c>
      <c r="W90" s="155" t="inlineStr">
        <is>
          <t>Cinturón para Caballero de Piel</t>
        </is>
      </c>
      <c r="X90" s="155" t="inlineStr">
        <is>
          <t>México</t>
        </is>
      </c>
      <c r="Y90" s="155" t="inlineStr">
        <is>
          <t>PZS</t>
        </is>
      </c>
      <c r="Z90" s="59" t="inlineStr">
        <is>
          <t>53102501</t>
        </is>
      </c>
      <c r="AA90" s="126" t="n"/>
      <c r="AB90" s="61" t="n">
        <v>292.76</v>
      </c>
      <c r="AC90" s="61" t="n">
        <v>430.603448</v>
      </c>
      <c r="AD90" s="62" t="inlineStr">
        <is>
          <t>Con Incidencias</t>
        </is>
      </c>
      <c r="AE90" s="64" t="inlineStr">
        <is>
          <t>SKU duplicado; [Aviso] Ciclo de vida no capturado ()</t>
        </is>
      </c>
      <c r="AF90" s="64" t="n"/>
      <c r="AG90" s="59" t="n"/>
      <c r="AH90" s="155" t="n"/>
      <c r="AI90" s="59" t="n"/>
      <c r="AJ90" s="155" t="inlineStr">
        <is>
          <t>Nuevo – Carga Hoja3 01/10/2026</t>
        </is>
      </c>
      <c r="AK90" s="155" t="inlineStr">
        <is>
          <t>Alta 01/10/2026 desde Hoja3 (fila 683); Mismo SKU que la fila 2470 con otro código/ID; revisar cuál es el vigente | 01/10/2026: complementado desde Odoo Universal Unique Brands (match por código de barras): WB Talla de EE. UU.</t>
        </is>
      </c>
      <c r="AL90" s="155" t="n"/>
      <c r="AM90" s="155" t="n"/>
      <c r="AN90" s="155" t="inlineStr">
        <is>
          <t>Hoja3: fila 683 | Odoo: producto 30942 / plantilla 39658</t>
        </is>
      </c>
      <c r="AO90" s="58" t="n"/>
      <c r="AP90" s="58" t="n"/>
      <c r="AQ90" s="155" t="inlineStr">
        <is>
          <t>Odoo Universal Unique Brands</t>
        </is>
      </c>
      <c r="AR90" s="59" t="n"/>
      <c r="AS90" s="59" t="n"/>
      <c r="AT90" s="59" t="n">
        <v>10</v>
      </c>
      <c r="AU90" s="155" t="inlineStr">
        <is>
          <t>Odoo Universal Unique Brands › Bodega 25 › Bodega 25/General: 10</t>
        </is>
      </c>
    </row>
    <row r="91">
      <c r="A91" s="51" t="n">
        <v>49</v>
      </c>
      <c r="B91" s="156" t="inlineStr">
        <is>
          <t>Productos — registro integrado en el anterior</t>
        </is>
      </c>
      <c r="C91" s="125" t="inlineStr">
        <is>
          <t>Homologación G1522: mismo producto (mismo WB SKU)</t>
        </is>
      </c>
      <c r="D91" s="60" t="inlineStr">
        <is>
          <t>7506674600697</t>
        </is>
      </c>
      <c r="E91" s="59" t="inlineStr">
        <is>
          <t>117879</t>
        </is>
      </c>
      <c r="F91" s="155" t="inlineStr">
        <is>
          <t>Wrangler</t>
        </is>
      </c>
      <c r="G91" s="155" t="inlineStr">
        <is>
          <t>C49728-27</t>
        </is>
      </c>
      <c r="H91" s="155" t="inlineStr">
        <is>
          <t>C49728-27-34</t>
        </is>
      </c>
      <c r="I91" s="155" t="inlineStr">
        <is>
          <t>34</t>
        </is>
      </c>
      <c r="J91" s="155" t="inlineStr">
        <is>
          <t>34</t>
        </is>
      </c>
      <c r="K91" s="155" t="inlineStr">
        <is>
          <t>Wrangler</t>
        </is>
      </c>
      <c r="L91" s="155" t="inlineStr">
        <is>
          <t>Cinturón Wrangler Una Vista Casual para Hombre, Color Cafe</t>
        </is>
      </c>
      <c r="M91" s="155" t="inlineStr">
        <is>
          <t>Accesorios</t>
        </is>
      </c>
      <c r="N91" s="155" t="inlineStr">
        <is>
          <t>Cinturones</t>
        </is>
      </c>
      <c r="O91" s="155" t="inlineStr">
        <is>
          <t>Hombre</t>
        </is>
      </c>
      <c r="P91" s="155" t="inlineStr">
        <is>
          <t>Wrangler</t>
        </is>
      </c>
      <c r="Q91" s="155" t="inlineStr">
        <is>
          <t>SS26</t>
        </is>
      </c>
      <c r="R91" s="155" t="inlineStr">
        <is>
          <t>Seasonal</t>
        </is>
      </c>
      <c r="S91" s="155" t="inlineStr">
        <is>
          <t>Cafe</t>
        </is>
      </c>
      <c r="T91" s="155" t="n"/>
      <c r="U91" s="155" t="n"/>
      <c r="V91" s="155" t="inlineStr">
        <is>
          <t>100% piel de vacuno</t>
        </is>
      </c>
      <c r="W91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91" s="155" t="inlineStr">
        <is>
          <t>México</t>
        </is>
      </c>
      <c r="Y91" s="155" t="inlineStr">
        <is>
          <t>PZS</t>
        </is>
      </c>
      <c r="Z91" s="59" t="inlineStr">
        <is>
          <t>53102501</t>
        </is>
      </c>
      <c r="AA91" s="126" t="n"/>
      <c r="AB91" s="61" t="n">
        <v>292.76</v>
      </c>
      <c r="AC91" s="61" t="n">
        <v>949</v>
      </c>
      <c r="AD91" s="62" t="inlineStr">
        <is>
          <t>Con Incidencias</t>
        </is>
      </c>
      <c r="AE91" s="64" t="inlineStr">
        <is>
          <t>SKU duplicado</t>
        </is>
      </c>
      <c r="AF91" s="64" t="n"/>
      <c r="AG91" s="59" t="n">
        <v>2</v>
      </c>
      <c r="AH91" s="155" t="inlineStr">
        <is>
          <t>WB OUTLET LERMA (2)</t>
        </is>
      </c>
      <c r="AI91" s="59" t="n">
        <v>2</v>
      </c>
      <c r="AJ91" s="155" t="inlineStr">
        <is>
          <t>Catálogo existente</t>
        </is>
      </c>
      <c r="AK91" s="155" t="inlineStr">
        <is>
          <t>Coincidencia por código de barras (ID NetSuite 117879) | ID alternativo de Hoja a Revisar 117879 (UPC coincidente); se conserva ID principal; Auditoría NetSuite 30/09/2026: llenado desde NetSuite [Z]; Vinculado por código de barras al ID NetSuite 117879 (antes en Identificador interno: 'C49728-27-34'); 01/10/2026: mismo SKU registrado también en fila 67702 con código 7506674602883 (ID 30942, desde Hoja3); revisar cuál es el vigente | 01/10/2026: complementado desde Shopify Western Brothers (match por código de barras): WB Fit, WB Silueta</t>
        </is>
      </c>
      <c r="AL91" s="155" t="inlineStr">
        <is>
          <t>No</t>
        </is>
      </c>
      <c r="AM91" s="155" t="n"/>
      <c r="AN91" s="155" t="inlineStr">
        <is>
          <t>| Hoja a Revisar: fila 196043 (ID 117879, misma clave UPC); G1522_Extraccion_Articulos_NetSuite_2026-09-30.xlsx: fila 64120 [Z] | Shopify WB: producto 10310436946105 / variante 50512592502969</t>
        </is>
      </c>
      <c r="AO91" s="58" t="inlineStr">
        <is>
          <t>292,76</t>
        </is>
      </c>
      <c r="AP91" s="58" t="n"/>
      <c r="AQ91" s="155" t="inlineStr">
        <is>
          <t>Shopify Western Brothers</t>
        </is>
      </c>
      <c r="AR91" s="59" t="n"/>
      <c r="AS91" s="59" t="n">
        <v>2</v>
      </c>
      <c r="AT91" s="59" t="n"/>
      <c r="AU91" s="155" t="inlineStr">
        <is>
          <t>Shopify Western Brothers › Western Brothers Outlet Lerma: 2</t>
        </is>
      </c>
    </row>
    <row r="92">
      <c r="A92" s="51" t="n">
        <v>50</v>
      </c>
      <c r="B92" s="156" t="inlineStr">
        <is>
          <t>Productos — registro conservado</t>
        </is>
      </c>
      <c r="C92" s="125" t="inlineStr">
        <is>
          <t>Homologación G1522: mismo producto (mismo WB SKU)</t>
        </is>
      </c>
      <c r="D92" s="60" t="inlineStr">
        <is>
          <t>7506674602890</t>
        </is>
      </c>
      <c r="E92" s="59" t="inlineStr">
        <is>
          <t>30943</t>
        </is>
      </c>
      <c r="F92" s="155" t="inlineStr">
        <is>
          <t>Wrangler</t>
        </is>
      </c>
      <c r="G92" s="155" t="inlineStr">
        <is>
          <t>C49728-27</t>
        </is>
      </c>
      <c r="H92" s="155" t="inlineStr">
        <is>
          <t>C49728-27-36</t>
        </is>
      </c>
      <c r="I92" s="155" t="inlineStr">
        <is>
          <t>36</t>
        </is>
      </c>
      <c r="J92" s="155" t="inlineStr">
        <is>
          <t>36</t>
        </is>
      </c>
      <c r="K92" s="155" t="inlineStr">
        <is>
          <t>Wrangler</t>
        </is>
      </c>
      <c r="L92" s="155" t="inlineStr">
        <is>
          <t>Cinturon de hombre C49728-27 Café</t>
        </is>
      </c>
      <c r="M92" s="155" t="inlineStr">
        <is>
          <t>Accesorios</t>
        </is>
      </c>
      <c r="N92" s="155" t="inlineStr">
        <is>
          <t>Cinturones</t>
        </is>
      </c>
      <c r="O92" s="155" t="inlineStr">
        <is>
          <t>Hombre</t>
        </is>
      </c>
      <c r="P92" s="155" t="inlineStr">
        <is>
          <t>Wrangler</t>
        </is>
      </c>
      <c r="Q92" s="155" t="inlineStr">
        <is>
          <t>FW26</t>
        </is>
      </c>
      <c r="R92" s="155" t="inlineStr">
        <is>
          <t>Seasonal</t>
        </is>
      </c>
      <c r="S92" s="155" t="inlineStr">
        <is>
          <t>Cafe</t>
        </is>
      </c>
      <c r="T92" s="155" t="n"/>
      <c r="U92" s="155" t="n"/>
      <c r="V92" s="155" t="inlineStr">
        <is>
          <t>100% PIEL VACUNO</t>
        </is>
      </c>
      <c r="W92" s="155" t="inlineStr">
        <is>
          <t>Cinturón para Caballero de Piel</t>
        </is>
      </c>
      <c r="X92" s="155" t="inlineStr">
        <is>
          <t>México</t>
        </is>
      </c>
      <c r="Y92" s="155" t="inlineStr">
        <is>
          <t>PZS</t>
        </is>
      </c>
      <c r="Z92" s="59" t="inlineStr">
        <is>
          <t>53102501</t>
        </is>
      </c>
      <c r="AA92" s="126" t="n"/>
      <c r="AB92" s="61" t="n">
        <v>292.76</v>
      </c>
      <c r="AC92" s="61" t="n">
        <v>430.603448</v>
      </c>
      <c r="AD92" s="62" t="inlineStr">
        <is>
          <t>Con Incidencias</t>
        </is>
      </c>
      <c r="AE92" s="64" t="inlineStr">
        <is>
          <t>SKU duplicado; [Aviso] Ciclo de vida no capturado ()</t>
        </is>
      </c>
      <c r="AF92" s="64" t="n"/>
      <c r="AG92" s="59" t="n"/>
      <c r="AH92" s="155" t="n"/>
      <c r="AI92" s="59" t="n"/>
      <c r="AJ92" s="155" t="inlineStr">
        <is>
          <t>Nuevo – Carga Hoja3 01/10/2026</t>
        </is>
      </c>
      <c r="AK92" s="155" t="inlineStr">
        <is>
          <t>Alta 01/10/2026 desde Hoja3 (fila 684); Mismo SKU que la fila 2471 con otro código/ID; revisar cuál es el vigente | 01/10/2026: complementado desde Odoo Universal Unique Brands (match por código de barras): WB Talla de EE. UU.</t>
        </is>
      </c>
      <c r="AL92" s="155" t="n"/>
      <c r="AM92" s="155" t="n"/>
      <c r="AN92" s="155" t="inlineStr">
        <is>
          <t>Hoja3: fila 684 | Odoo: producto 30943 / plantilla 39658</t>
        </is>
      </c>
      <c r="AO92" s="58" t="n"/>
      <c r="AP92" s="58" t="n"/>
      <c r="AQ92" s="155" t="inlineStr">
        <is>
          <t>Odoo Universal Unique Brands</t>
        </is>
      </c>
      <c r="AR92" s="59" t="n"/>
      <c r="AS92" s="59" t="n"/>
      <c r="AT92" s="59" t="n">
        <v>10</v>
      </c>
      <c r="AU92" s="155" t="inlineStr">
        <is>
          <t>Odoo Universal Unique Brands › Bodega 25 › Bodega 25/General: 10</t>
        </is>
      </c>
    </row>
    <row r="93">
      <c r="A93" s="51" t="n">
        <v>50</v>
      </c>
      <c r="B93" s="156" t="inlineStr">
        <is>
          <t>Productos — registro integrado en el anterior</t>
        </is>
      </c>
      <c r="C93" s="125" t="inlineStr">
        <is>
          <t>Homologación G1522: mismo producto (mismo WB SKU)</t>
        </is>
      </c>
      <c r="D93" s="60" t="inlineStr">
        <is>
          <t>7506674600703</t>
        </is>
      </c>
      <c r="E93" s="59" t="inlineStr">
        <is>
          <t>117880</t>
        </is>
      </c>
      <c r="F93" s="155" t="inlineStr">
        <is>
          <t>Wrangler</t>
        </is>
      </c>
      <c r="G93" s="155" t="inlineStr">
        <is>
          <t>C49728-27</t>
        </is>
      </c>
      <c r="H93" s="155" t="inlineStr">
        <is>
          <t>C49728-27-36</t>
        </is>
      </c>
      <c r="I93" s="155" t="inlineStr">
        <is>
          <t>36</t>
        </is>
      </c>
      <c r="J93" s="155" t="inlineStr">
        <is>
          <t>36</t>
        </is>
      </c>
      <c r="K93" s="155" t="inlineStr">
        <is>
          <t>Wrangler</t>
        </is>
      </c>
      <c r="L93" s="155" t="inlineStr">
        <is>
          <t>Cinturón Wrangler Una Vista Casual para Hombre, Color Cafe</t>
        </is>
      </c>
      <c r="M93" s="155" t="inlineStr">
        <is>
          <t>Accesorios</t>
        </is>
      </c>
      <c r="N93" s="155" t="inlineStr">
        <is>
          <t>Cinturones</t>
        </is>
      </c>
      <c r="O93" s="155" t="inlineStr">
        <is>
          <t>Hombre</t>
        </is>
      </c>
      <c r="P93" s="155" t="inlineStr">
        <is>
          <t>Wrangler</t>
        </is>
      </c>
      <c r="Q93" s="155" t="inlineStr">
        <is>
          <t>SS26</t>
        </is>
      </c>
      <c r="R93" s="155" t="inlineStr">
        <is>
          <t>Seasonal</t>
        </is>
      </c>
      <c r="S93" s="155" t="inlineStr">
        <is>
          <t>Cafe</t>
        </is>
      </c>
      <c r="T93" s="155" t="n"/>
      <c r="U93" s="155" t="n"/>
      <c r="V93" s="155" t="inlineStr">
        <is>
          <t>100% piel de vacuno</t>
        </is>
      </c>
      <c r="W93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93" s="155" t="inlineStr">
        <is>
          <t>México</t>
        </is>
      </c>
      <c r="Y93" s="155" t="inlineStr">
        <is>
          <t>PZS</t>
        </is>
      </c>
      <c r="Z93" s="59" t="inlineStr">
        <is>
          <t>53102501</t>
        </is>
      </c>
      <c r="AA93" s="126" t="n"/>
      <c r="AB93" s="61" t="n">
        <v>292.76</v>
      </c>
      <c r="AC93" s="61" t="n">
        <v>949</v>
      </c>
      <c r="AD93" s="62" t="inlineStr">
        <is>
          <t>Con Incidencias</t>
        </is>
      </c>
      <c r="AE93" s="64" t="inlineStr">
        <is>
          <t>SKU duplicado</t>
        </is>
      </c>
      <c r="AF93" s="64" t="n"/>
      <c r="AG93" s="59" t="n">
        <v>2</v>
      </c>
      <c r="AH93" s="155" t="inlineStr">
        <is>
          <t>WB OUTLET LERMA (2)</t>
        </is>
      </c>
      <c r="AI93" s="59" t="n">
        <v>2</v>
      </c>
      <c r="AJ93" s="155" t="inlineStr">
        <is>
          <t>Catálogo existente</t>
        </is>
      </c>
      <c r="AK93" s="155" t="inlineStr">
        <is>
          <t>Coincidencia por código de barras (ID NetSuite 117880) | ID alternativo de Hoja a Revisar 117880 (UPC coincidente); se conserva ID principal; Auditoría NetSuite 30/09/2026: llenado desde NetSuite [Z]; Vinculado por código de barras al ID NetSuite 117880 (antes en Identificador interno: 'C49728-27-36'); 01/10/2026: mismo SKU registrado también en fila 67703 con código 7506674602890 (ID 30943, desde Hoja3); revisar cuál es el vigente | 01/10/2026: complementado desde Shopify Western Brothers (match por código de barras): WB Fit, WB Silueta</t>
        </is>
      </c>
      <c r="AL93" s="155" t="inlineStr">
        <is>
          <t>No</t>
        </is>
      </c>
      <c r="AM93" s="155" t="n"/>
      <c r="AN93" s="155" t="inlineStr">
        <is>
          <t>| Hoja a Revisar: fila 196044 (ID 117880, misma clave UPC); G1522_Extraccion_Articulos_NetSuite_2026-09-30.xlsx: fila 64121 [Z] | Shopify WB: producto 10310436946105 / variante 50512592535737</t>
        </is>
      </c>
      <c r="AO93" s="58" t="inlineStr">
        <is>
          <t>292,76</t>
        </is>
      </c>
      <c r="AP93" s="58" t="n"/>
      <c r="AQ93" s="155" t="inlineStr">
        <is>
          <t>Shopify Western Brothers</t>
        </is>
      </c>
      <c r="AR93" s="59" t="n"/>
      <c r="AS93" s="59" t="n">
        <v>2</v>
      </c>
      <c r="AT93" s="59" t="n"/>
      <c r="AU93" s="155" t="inlineStr">
        <is>
          <t>Shopify Western Brothers › Western Brothers Outlet Lerma: 2</t>
        </is>
      </c>
    </row>
    <row r="94">
      <c r="A94" s="51" t="n">
        <v>51</v>
      </c>
      <c r="B94" s="156" t="inlineStr">
        <is>
          <t>Productos — registro conservado</t>
        </is>
      </c>
      <c r="C94" s="125" t="inlineStr">
        <is>
          <t>Homologación G1522: mismo producto (mismo WB SKU)</t>
        </is>
      </c>
      <c r="D94" s="60" t="inlineStr">
        <is>
          <t>7506674602906</t>
        </is>
      </c>
      <c r="E94" s="59" t="inlineStr">
        <is>
          <t>30944</t>
        </is>
      </c>
      <c r="F94" s="155" t="inlineStr">
        <is>
          <t>Wrangler</t>
        </is>
      </c>
      <c r="G94" s="155" t="inlineStr">
        <is>
          <t>C49728-27</t>
        </is>
      </c>
      <c r="H94" s="155" t="inlineStr">
        <is>
          <t>C49728-27-38</t>
        </is>
      </c>
      <c r="I94" s="155" t="inlineStr">
        <is>
          <t>38</t>
        </is>
      </c>
      <c r="J94" s="155" t="inlineStr">
        <is>
          <t>38</t>
        </is>
      </c>
      <c r="K94" s="155" t="inlineStr">
        <is>
          <t>Wrangler</t>
        </is>
      </c>
      <c r="L94" s="155" t="inlineStr">
        <is>
          <t>Cinturon de hombre C49728-27 Café</t>
        </is>
      </c>
      <c r="M94" s="155" t="inlineStr">
        <is>
          <t>Accesorios</t>
        </is>
      </c>
      <c r="N94" s="155" t="inlineStr">
        <is>
          <t>Cinturones</t>
        </is>
      </c>
      <c r="O94" s="155" t="inlineStr">
        <is>
          <t>Hombre</t>
        </is>
      </c>
      <c r="P94" s="155" t="inlineStr">
        <is>
          <t>Wrangler</t>
        </is>
      </c>
      <c r="Q94" s="155" t="inlineStr">
        <is>
          <t>FW26</t>
        </is>
      </c>
      <c r="R94" s="155" t="inlineStr">
        <is>
          <t>Seasonal</t>
        </is>
      </c>
      <c r="S94" s="155" t="inlineStr">
        <is>
          <t>Cafe</t>
        </is>
      </c>
      <c r="T94" s="155" t="n"/>
      <c r="U94" s="155" t="n"/>
      <c r="V94" s="155" t="inlineStr">
        <is>
          <t>100% PIEL VACUNO</t>
        </is>
      </c>
      <c r="W94" s="155" t="inlineStr">
        <is>
          <t>Cinturón para Caballero de Piel</t>
        </is>
      </c>
      <c r="X94" s="155" t="inlineStr">
        <is>
          <t>México</t>
        </is>
      </c>
      <c r="Y94" s="155" t="inlineStr">
        <is>
          <t>PZS</t>
        </is>
      </c>
      <c r="Z94" s="59" t="inlineStr">
        <is>
          <t>53102501</t>
        </is>
      </c>
      <c r="AA94" s="126" t="n"/>
      <c r="AB94" s="61" t="n">
        <v>292.76</v>
      </c>
      <c r="AC94" s="61" t="n">
        <v>430.603448</v>
      </c>
      <c r="AD94" s="62" t="inlineStr">
        <is>
          <t>Con Incidencias</t>
        </is>
      </c>
      <c r="AE94" s="64" t="inlineStr">
        <is>
          <t>SKU duplicado; [Aviso] Ciclo de vida no capturado ()</t>
        </is>
      </c>
      <c r="AF94" s="64" t="n"/>
      <c r="AG94" s="59" t="n"/>
      <c r="AH94" s="155" t="n"/>
      <c r="AI94" s="59" t="n"/>
      <c r="AJ94" s="155" t="inlineStr">
        <is>
          <t>Nuevo – Carga Hoja3 01/10/2026</t>
        </is>
      </c>
      <c r="AK94" s="155" t="inlineStr">
        <is>
          <t>Alta 01/10/2026 desde Hoja3 (fila 685); Mismo SKU que la fila 2472 con otro código/ID; revisar cuál es el vigente | 01/10/2026: complementado desde Odoo Universal Unique Brands (match por código de barras): WB Talla de EE. UU.</t>
        </is>
      </c>
      <c r="AL94" s="155" t="n"/>
      <c r="AM94" s="155" t="n"/>
      <c r="AN94" s="155" t="inlineStr">
        <is>
          <t>Hoja3: fila 685 | Odoo: producto 30944 / plantilla 39658</t>
        </is>
      </c>
      <c r="AO94" s="58" t="n"/>
      <c r="AP94" s="58" t="n"/>
      <c r="AQ94" s="155" t="inlineStr">
        <is>
          <t>Odoo Universal Unique Brands</t>
        </is>
      </c>
      <c r="AR94" s="59" t="n"/>
      <c r="AS94" s="59" t="n"/>
      <c r="AT94" s="59" t="n">
        <v>15</v>
      </c>
      <c r="AU94" s="155" t="inlineStr">
        <is>
          <t>Odoo Universal Unique Brands › Bodega 25 › Bodega 25/General: 15</t>
        </is>
      </c>
    </row>
    <row r="95">
      <c r="A95" s="51" t="n">
        <v>51</v>
      </c>
      <c r="B95" s="156" t="inlineStr">
        <is>
          <t>Productos — registro integrado en el anterior</t>
        </is>
      </c>
      <c r="C95" s="125" t="inlineStr">
        <is>
          <t>Homologación G1522: mismo producto (mismo WB SKU)</t>
        </is>
      </c>
      <c r="D95" s="60" t="inlineStr">
        <is>
          <t>7506674600710</t>
        </is>
      </c>
      <c r="E95" s="59" t="inlineStr">
        <is>
          <t>117881</t>
        </is>
      </c>
      <c r="F95" s="155" t="inlineStr">
        <is>
          <t>Wrangler</t>
        </is>
      </c>
      <c r="G95" s="155" t="inlineStr">
        <is>
          <t>C49728-27</t>
        </is>
      </c>
      <c r="H95" s="155" t="inlineStr">
        <is>
          <t>C49728-27-38</t>
        </is>
      </c>
      <c r="I95" s="155" t="inlineStr">
        <is>
          <t>38</t>
        </is>
      </c>
      <c r="J95" s="155" t="inlineStr">
        <is>
          <t>38</t>
        </is>
      </c>
      <c r="K95" s="155" t="inlineStr">
        <is>
          <t>Wrangler</t>
        </is>
      </c>
      <c r="L95" s="155" t="inlineStr">
        <is>
          <t>Cinturón Wrangler Una Vista Casual para Hombre, Color Cafe</t>
        </is>
      </c>
      <c r="M95" s="155" t="inlineStr">
        <is>
          <t>Accesorios</t>
        </is>
      </c>
      <c r="N95" s="155" t="inlineStr">
        <is>
          <t>Cinturones</t>
        </is>
      </c>
      <c r="O95" s="155" t="inlineStr">
        <is>
          <t>Hombre</t>
        </is>
      </c>
      <c r="P95" s="155" t="inlineStr">
        <is>
          <t>Wrangler</t>
        </is>
      </c>
      <c r="Q95" s="155" t="inlineStr">
        <is>
          <t>SS26</t>
        </is>
      </c>
      <c r="R95" s="155" t="inlineStr">
        <is>
          <t>Seasonal</t>
        </is>
      </c>
      <c r="S95" s="155" t="inlineStr">
        <is>
          <t>Cafe</t>
        </is>
      </c>
      <c r="T95" s="155" t="n"/>
      <c r="U95" s="155" t="n"/>
      <c r="V95" s="155" t="inlineStr">
        <is>
          <t>100% piel de vacuno</t>
        </is>
      </c>
      <c r="W95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95" s="155" t="inlineStr">
        <is>
          <t>México</t>
        </is>
      </c>
      <c r="Y95" s="155" t="inlineStr">
        <is>
          <t>PZS</t>
        </is>
      </c>
      <c r="Z95" s="59" t="inlineStr">
        <is>
          <t>53102501</t>
        </is>
      </c>
      <c r="AA95" s="126" t="n"/>
      <c r="AB95" s="61" t="n">
        <v>292.76</v>
      </c>
      <c r="AC95" s="61" t="n">
        <v>949</v>
      </c>
      <c r="AD95" s="62" t="inlineStr">
        <is>
          <t>Con Incidencias</t>
        </is>
      </c>
      <c r="AE95" s="64" t="inlineStr">
        <is>
          <t>SKU duplicado</t>
        </is>
      </c>
      <c r="AF95" s="64" t="n"/>
      <c r="AG95" s="59" t="n">
        <v>3</v>
      </c>
      <c r="AH95" s="155" t="inlineStr">
        <is>
          <t>WB OUTLET LERMA (3)</t>
        </is>
      </c>
      <c r="AI95" s="59" t="n">
        <v>3</v>
      </c>
      <c r="AJ95" s="155" t="inlineStr">
        <is>
          <t>Catálogo existente</t>
        </is>
      </c>
      <c r="AK95" s="155" t="inlineStr">
        <is>
          <t>Coincidencia por código de barras (ID NetSuite 117881) | ID alternativo de Hoja a Revisar 117881 (UPC coincidente); se conserva ID principal; Auditoría NetSuite 30/09/2026: llenado desde NetSuite [Z]; Vinculado por código de barras al ID NetSuite 117881 (antes en Identificador interno: 'C49728-27-38'); 01/10/2026: mismo SKU registrado también en fila 67704 con código 7506674602906 (ID 30944, desde Hoja3); revisar cuál es el vigente | 01/10/2026: complementado desde Shopify Western Brothers (match por código de barras): WB Fit, WB Silueta</t>
        </is>
      </c>
      <c r="AL95" s="155" t="inlineStr">
        <is>
          <t>No</t>
        </is>
      </c>
      <c r="AM95" s="155" t="n"/>
      <c r="AN95" s="155" t="inlineStr">
        <is>
          <t>| Hoja a Revisar: fila 196045 (ID 117881, misma clave UPC); G1522_Extraccion_Articulos_NetSuite_2026-09-30.xlsx: fila 64122 [Z] | Shopify WB: producto 10310436946105 / variante 50512592568505</t>
        </is>
      </c>
      <c r="AO95" s="58" t="inlineStr">
        <is>
          <t>292,76</t>
        </is>
      </c>
      <c r="AP95" s="58" t="n"/>
      <c r="AQ95" s="155" t="inlineStr">
        <is>
          <t>Shopify Western Brothers</t>
        </is>
      </c>
      <c r="AR95" s="59" t="n"/>
      <c r="AS95" s="59" t="n">
        <v>3</v>
      </c>
      <c r="AT95" s="59" t="n"/>
      <c r="AU95" s="155" t="inlineStr">
        <is>
          <t>Shopify Western Brothers › Western Brothers Outlet Lerma: 3</t>
        </is>
      </c>
    </row>
    <row r="96">
      <c r="A96" s="51" t="n">
        <v>52</v>
      </c>
      <c r="B96" s="156" t="inlineStr">
        <is>
          <t>Productos — registro conservado</t>
        </is>
      </c>
      <c r="C96" s="125" t="inlineStr">
        <is>
          <t>Homologación G1522: mismo producto (mismo WB SKU)</t>
        </is>
      </c>
      <c r="D96" s="60" t="inlineStr">
        <is>
          <t>7506674602913</t>
        </is>
      </c>
      <c r="E96" s="59" t="inlineStr">
        <is>
          <t>30945</t>
        </is>
      </c>
      <c r="F96" s="155" t="inlineStr">
        <is>
          <t>Wrangler</t>
        </is>
      </c>
      <c r="G96" s="155" t="inlineStr">
        <is>
          <t>C49728-27</t>
        </is>
      </c>
      <c r="H96" s="155" t="inlineStr">
        <is>
          <t>C49728-27-40</t>
        </is>
      </c>
      <c r="I96" s="155" t="inlineStr">
        <is>
          <t>40</t>
        </is>
      </c>
      <c r="J96" s="155" t="inlineStr">
        <is>
          <t>40</t>
        </is>
      </c>
      <c r="K96" s="155" t="inlineStr">
        <is>
          <t>Wrangler</t>
        </is>
      </c>
      <c r="L96" s="155" t="inlineStr">
        <is>
          <t>Cinturon de hombre C49728-27 Café</t>
        </is>
      </c>
      <c r="M96" s="155" t="inlineStr">
        <is>
          <t>Accesorios</t>
        </is>
      </c>
      <c r="N96" s="155" t="inlineStr">
        <is>
          <t>Cinturones</t>
        </is>
      </c>
      <c r="O96" s="155" t="inlineStr">
        <is>
          <t>Hombre</t>
        </is>
      </c>
      <c r="P96" s="155" t="inlineStr">
        <is>
          <t>Wrangler</t>
        </is>
      </c>
      <c r="Q96" s="155" t="inlineStr">
        <is>
          <t>FW26</t>
        </is>
      </c>
      <c r="R96" s="155" t="inlineStr">
        <is>
          <t>Seasonal</t>
        </is>
      </c>
      <c r="S96" s="155" t="inlineStr">
        <is>
          <t>Cafe</t>
        </is>
      </c>
      <c r="T96" s="155" t="n"/>
      <c r="U96" s="155" t="n"/>
      <c r="V96" s="155" t="inlineStr">
        <is>
          <t>100% PIEL VACUNO</t>
        </is>
      </c>
      <c r="W96" s="155" t="inlineStr">
        <is>
          <t>Cinturón para Caballero de Piel</t>
        </is>
      </c>
      <c r="X96" s="155" t="inlineStr">
        <is>
          <t>México</t>
        </is>
      </c>
      <c r="Y96" s="155" t="inlineStr">
        <is>
          <t>PZS</t>
        </is>
      </c>
      <c r="Z96" s="59" t="inlineStr">
        <is>
          <t>53102501</t>
        </is>
      </c>
      <c r="AA96" s="126" t="n"/>
      <c r="AB96" s="61" t="n">
        <v>292.76</v>
      </c>
      <c r="AC96" s="61" t="n">
        <v>430.603448</v>
      </c>
      <c r="AD96" s="62" t="inlineStr">
        <is>
          <t>Con Incidencias</t>
        </is>
      </c>
      <c r="AE96" s="64" t="inlineStr">
        <is>
          <t>SKU duplicado; [Aviso] Ciclo de vida no capturado ()</t>
        </is>
      </c>
      <c r="AF96" s="64" t="n"/>
      <c r="AG96" s="59" t="n"/>
      <c r="AH96" s="155" t="n"/>
      <c r="AI96" s="59" t="n"/>
      <c r="AJ96" s="155" t="inlineStr">
        <is>
          <t>Nuevo – Carga Hoja3 01/10/2026</t>
        </is>
      </c>
      <c r="AK96" s="155" t="inlineStr">
        <is>
          <t>Alta 01/10/2026 desde Hoja3 (fila 686); Mismo SKU que la fila 2473 con otro código/ID; revisar cuál es el vigente | 01/10/2026: complementado desde Odoo Universal Unique Brands (match por código de barras): WB Talla de EE. UU.</t>
        </is>
      </c>
      <c r="AL96" s="155" t="n"/>
      <c r="AM96" s="155" t="n"/>
      <c r="AN96" s="155" t="inlineStr">
        <is>
          <t>Hoja3: fila 686 | Odoo: producto 30945 / plantilla 39658</t>
        </is>
      </c>
      <c r="AO96" s="58" t="n"/>
      <c r="AP96" s="58" t="n"/>
      <c r="AQ96" s="155" t="inlineStr">
        <is>
          <t>Odoo Universal Unique Brands</t>
        </is>
      </c>
      <c r="AR96" s="59" t="n"/>
      <c r="AS96" s="59" t="n"/>
      <c r="AT96" s="59" t="n">
        <v>22</v>
      </c>
      <c r="AU96" s="155" t="inlineStr">
        <is>
          <t>Odoo Universal Unique Brands › Bodega 25 › Bodega 25/General: 22</t>
        </is>
      </c>
    </row>
    <row r="97">
      <c r="A97" s="51" t="n">
        <v>52</v>
      </c>
      <c r="B97" s="156" t="inlineStr">
        <is>
          <t>Productos — registro integrado en el anterior</t>
        </is>
      </c>
      <c r="C97" s="125" t="inlineStr">
        <is>
          <t>Homologación G1522: mismo producto (mismo WB SKU)</t>
        </is>
      </c>
      <c r="D97" s="60" t="inlineStr">
        <is>
          <t>7506674600727</t>
        </is>
      </c>
      <c r="E97" s="59" t="inlineStr">
        <is>
          <t>117882</t>
        </is>
      </c>
      <c r="F97" s="155" t="inlineStr">
        <is>
          <t>Wrangler</t>
        </is>
      </c>
      <c r="G97" s="155" t="inlineStr">
        <is>
          <t>C49728-27</t>
        </is>
      </c>
      <c r="H97" s="155" t="inlineStr">
        <is>
          <t>C49728-27-40</t>
        </is>
      </c>
      <c r="I97" s="155" t="inlineStr">
        <is>
          <t>40</t>
        </is>
      </c>
      <c r="J97" s="155" t="inlineStr">
        <is>
          <t>40</t>
        </is>
      </c>
      <c r="K97" s="155" t="inlineStr">
        <is>
          <t>Wrangler</t>
        </is>
      </c>
      <c r="L97" s="155" t="inlineStr">
        <is>
          <t>Cinturón Wrangler Una Vista Casual para Hombre, Color Cafe</t>
        </is>
      </c>
      <c r="M97" s="155" t="inlineStr">
        <is>
          <t>Accesorios</t>
        </is>
      </c>
      <c r="N97" s="155" t="inlineStr">
        <is>
          <t>Cinturones</t>
        </is>
      </c>
      <c r="O97" s="155" t="inlineStr">
        <is>
          <t>Hombre</t>
        </is>
      </c>
      <c r="P97" s="155" t="inlineStr">
        <is>
          <t>Wrangler</t>
        </is>
      </c>
      <c r="Q97" s="155" t="inlineStr">
        <is>
          <t>SS26</t>
        </is>
      </c>
      <c r="R97" s="155" t="inlineStr">
        <is>
          <t>Seasonal</t>
        </is>
      </c>
      <c r="S97" s="155" t="inlineStr">
        <is>
          <t>Cafe</t>
        </is>
      </c>
      <c r="T97" s="155" t="n"/>
      <c r="U97" s="155" t="n"/>
      <c r="V97" s="155" t="inlineStr">
        <is>
          <t>100% piel de vacuno</t>
        </is>
      </c>
      <c r="W97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97" s="155" t="inlineStr">
        <is>
          <t>México</t>
        </is>
      </c>
      <c r="Y97" s="155" t="inlineStr">
        <is>
          <t>PZS</t>
        </is>
      </c>
      <c r="Z97" s="59" t="inlineStr">
        <is>
          <t>53102501</t>
        </is>
      </c>
      <c r="AA97" s="126" t="n"/>
      <c r="AB97" s="61" t="n">
        <v>292.76</v>
      </c>
      <c r="AC97" s="61" t="n">
        <v>949</v>
      </c>
      <c r="AD97" s="62" t="inlineStr">
        <is>
          <t>Con Incidencias</t>
        </is>
      </c>
      <c r="AE97" s="64" t="inlineStr">
        <is>
          <t>SKU duplicado</t>
        </is>
      </c>
      <c r="AF97" s="64" t="n"/>
      <c r="AG97" s="59" t="n">
        <v>2</v>
      </c>
      <c r="AH97" s="155" t="inlineStr">
        <is>
          <t>WB OUTLET LERMA (2)</t>
        </is>
      </c>
      <c r="AI97" s="59" t="n">
        <v>2</v>
      </c>
      <c r="AJ97" s="155" t="inlineStr">
        <is>
          <t>Catálogo existente</t>
        </is>
      </c>
      <c r="AK97" s="155" t="inlineStr">
        <is>
          <t>Coincidencia por código de barras (ID NetSuite 117882) | ID alternativo de Hoja a Revisar 117882 (UPC coincidente); se conserva ID principal; Auditoría NetSuite 30/09/2026: llenado desde NetSuite [Z]; Vinculado por código de barras al ID NetSuite 117882 (antes en Identificador interno: 'C49728-27-40'); 01/10/2026: mismo SKU registrado también en fila 67705 con código 7506674602913 (ID 30945, desde Hoja3); revisar cuál es el vigente | 01/10/2026: complementado desde Shopify Western Brothers (match por código de barras): WB Fit, WB Silueta</t>
        </is>
      </c>
      <c r="AL97" s="155" t="inlineStr">
        <is>
          <t>No</t>
        </is>
      </c>
      <c r="AM97" s="155" t="n"/>
      <c r="AN97" s="155" t="inlineStr">
        <is>
          <t>| Hoja a Revisar: fila 196046 (ID 117882, misma clave UPC); G1522_Extraccion_Articulos_NetSuite_2026-09-30.xlsx: fila 64123 [Z] | Shopify WB: producto 10310436946105 / variante 50512592601273</t>
        </is>
      </c>
      <c r="AO97" s="58" t="inlineStr">
        <is>
          <t>292,76</t>
        </is>
      </c>
      <c r="AP97" s="58" t="n"/>
      <c r="AQ97" s="155" t="inlineStr">
        <is>
          <t>Shopify Western Brothers</t>
        </is>
      </c>
      <c r="AR97" s="59" t="n"/>
      <c r="AS97" s="59" t="n">
        <v>2</v>
      </c>
      <c r="AT97" s="59" t="n"/>
      <c r="AU97" s="155" t="inlineStr">
        <is>
          <t>Shopify Western Brothers › Western Brothers Outlet Lerma: 2</t>
        </is>
      </c>
    </row>
    <row r="98">
      <c r="A98" s="51" t="n">
        <v>53</v>
      </c>
      <c r="B98" s="156" t="inlineStr">
        <is>
          <t>Productos — registro conservado</t>
        </is>
      </c>
      <c r="C98" s="125" t="inlineStr">
        <is>
          <t>Homologación G1522: mismo producto (mismo WB SKU)</t>
        </is>
      </c>
      <c r="D98" s="60" t="inlineStr">
        <is>
          <t>7506674602920</t>
        </is>
      </c>
      <c r="E98" s="59" t="inlineStr">
        <is>
          <t>30946</t>
        </is>
      </c>
      <c r="F98" s="155" t="inlineStr">
        <is>
          <t>Wrangler</t>
        </is>
      </c>
      <c r="G98" s="155" t="inlineStr">
        <is>
          <t>C49728-27</t>
        </is>
      </c>
      <c r="H98" s="155" t="inlineStr">
        <is>
          <t>C49728-27-42</t>
        </is>
      </c>
      <c r="I98" s="155" t="inlineStr">
        <is>
          <t>42</t>
        </is>
      </c>
      <c r="J98" s="155" t="inlineStr">
        <is>
          <t>42</t>
        </is>
      </c>
      <c r="K98" s="155" t="inlineStr">
        <is>
          <t>Wrangler</t>
        </is>
      </c>
      <c r="L98" s="155" t="inlineStr">
        <is>
          <t>Cinturon de hombre C49728-27 Café</t>
        </is>
      </c>
      <c r="M98" s="155" t="inlineStr">
        <is>
          <t>Accesorios</t>
        </is>
      </c>
      <c r="N98" s="155" t="inlineStr">
        <is>
          <t>Cinturones</t>
        </is>
      </c>
      <c r="O98" s="155" t="inlineStr">
        <is>
          <t>Hombre</t>
        </is>
      </c>
      <c r="P98" s="155" t="inlineStr">
        <is>
          <t>Wrangler</t>
        </is>
      </c>
      <c r="Q98" s="155" t="inlineStr">
        <is>
          <t>FW26</t>
        </is>
      </c>
      <c r="R98" s="155" t="inlineStr">
        <is>
          <t>Seasonal</t>
        </is>
      </c>
      <c r="S98" s="155" t="inlineStr">
        <is>
          <t>Cafe</t>
        </is>
      </c>
      <c r="T98" s="155" t="n"/>
      <c r="U98" s="155" t="n"/>
      <c r="V98" s="155" t="inlineStr">
        <is>
          <t>100% PIEL VACUNO</t>
        </is>
      </c>
      <c r="W98" s="155" t="inlineStr">
        <is>
          <t>Cinturón para Caballero de Piel</t>
        </is>
      </c>
      <c r="X98" s="155" t="inlineStr">
        <is>
          <t>México</t>
        </is>
      </c>
      <c r="Y98" s="155" t="inlineStr">
        <is>
          <t>PZS</t>
        </is>
      </c>
      <c r="Z98" s="59" t="inlineStr">
        <is>
          <t>53102501</t>
        </is>
      </c>
      <c r="AA98" s="126" t="n"/>
      <c r="AB98" s="61" t="n">
        <v>292.76</v>
      </c>
      <c r="AC98" s="61" t="n">
        <v>430.603448</v>
      </c>
      <c r="AD98" s="62" t="inlineStr">
        <is>
          <t>Con Incidencias</t>
        </is>
      </c>
      <c r="AE98" s="64" t="inlineStr">
        <is>
          <t>SKU duplicado; [Aviso] Ciclo de vida no capturado ()</t>
        </is>
      </c>
      <c r="AF98" s="64" t="n"/>
      <c r="AG98" s="59" t="n"/>
      <c r="AH98" s="155" t="n"/>
      <c r="AI98" s="59" t="n"/>
      <c r="AJ98" s="155" t="inlineStr">
        <is>
          <t>Nuevo – Carga Hoja3 01/10/2026</t>
        </is>
      </c>
      <c r="AK98" s="155" t="inlineStr">
        <is>
          <t>Alta 01/10/2026 desde Hoja3 (fila 687); Mismo SKU que la fila 2474 con otro código/ID; revisar cuál es el vigente | 01/10/2026: complementado desde Odoo Universal Unique Brands (match por código de barras): WB Talla de EE. UU.</t>
        </is>
      </c>
      <c r="AL98" s="155" t="n"/>
      <c r="AM98" s="155" t="n"/>
      <c r="AN98" s="155" t="inlineStr">
        <is>
          <t>Hoja3: fila 687 | Odoo: producto 30946 / plantilla 39658</t>
        </is>
      </c>
      <c r="AO98" s="58" t="n"/>
      <c r="AP98" s="58" t="n"/>
      <c r="AQ98" s="155" t="inlineStr">
        <is>
          <t>Odoo Universal Unique Brands</t>
        </is>
      </c>
      <c r="AR98" s="59" t="n"/>
      <c r="AS98" s="59" t="n"/>
      <c r="AT98" s="59" t="n">
        <v>22</v>
      </c>
      <c r="AU98" s="155" t="inlineStr">
        <is>
          <t>Odoo Universal Unique Brands › Bodega 25 › Bodega 25/General: 22</t>
        </is>
      </c>
    </row>
    <row r="99">
      <c r="A99" s="51" t="n">
        <v>53</v>
      </c>
      <c r="B99" s="156" t="inlineStr">
        <is>
          <t>Productos — registro integrado en el anterior</t>
        </is>
      </c>
      <c r="C99" s="125" t="inlineStr">
        <is>
          <t>Homologación G1522: mismo producto (mismo WB SKU)</t>
        </is>
      </c>
      <c r="D99" s="60" t="inlineStr">
        <is>
          <t>7506674600734</t>
        </is>
      </c>
      <c r="E99" s="59" t="inlineStr">
        <is>
          <t>117883</t>
        </is>
      </c>
      <c r="F99" s="155" t="inlineStr">
        <is>
          <t>Wrangler</t>
        </is>
      </c>
      <c r="G99" s="155" t="inlineStr">
        <is>
          <t>C49728-27</t>
        </is>
      </c>
      <c r="H99" s="155" t="inlineStr">
        <is>
          <t>C49728-27-42</t>
        </is>
      </c>
      <c r="I99" s="155" t="inlineStr">
        <is>
          <t>42</t>
        </is>
      </c>
      <c r="J99" s="155" t="inlineStr">
        <is>
          <t>42</t>
        </is>
      </c>
      <c r="K99" s="155" t="inlineStr">
        <is>
          <t>Wrangler</t>
        </is>
      </c>
      <c r="L99" s="155" t="inlineStr">
        <is>
          <t>Cinturón Wrangler Una Vista Casual para Hombre, Color Cafe</t>
        </is>
      </c>
      <c r="M99" s="155" t="inlineStr">
        <is>
          <t>Accesorios</t>
        </is>
      </c>
      <c r="N99" s="155" t="inlineStr">
        <is>
          <t>Cinturones</t>
        </is>
      </c>
      <c r="O99" s="155" t="inlineStr">
        <is>
          <t>Hombre</t>
        </is>
      </c>
      <c r="P99" s="155" t="inlineStr">
        <is>
          <t>Wrangler</t>
        </is>
      </c>
      <c r="Q99" s="155" t="inlineStr">
        <is>
          <t>SS26</t>
        </is>
      </c>
      <c r="R99" s="155" t="inlineStr">
        <is>
          <t>Seasonal</t>
        </is>
      </c>
      <c r="S99" s="155" t="inlineStr">
        <is>
          <t>Cafe</t>
        </is>
      </c>
      <c r="T99" s="155" t="n"/>
      <c r="U99" s="155" t="n"/>
      <c r="V99" s="155" t="inlineStr">
        <is>
          <t>100% piel de vacuno</t>
        </is>
      </c>
      <c r="W99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99" s="155" t="inlineStr">
        <is>
          <t>México</t>
        </is>
      </c>
      <c r="Y99" s="155" t="inlineStr">
        <is>
          <t>PZS</t>
        </is>
      </c>
      <c r="Z99" s="59" t="inlineStr">
        <is>
          <t>53102501</t>
        </is>
      </c>
      <c r="AA99" s="126" t="n"/>
      <c r="AB99" s="61" t="n">
        <v>292.76</v>
      </c>
      <c r="AC99" s="61" t="n">
        <v>949</v>
      </c>
      <c r="AD99" s="62" t="inlineStr">
        <is>
          <t>Con Incidencias</t>
        </is>
      </c>
      <c r="AE99" s="64" t="inlineStr">
        <is>
          <t>SKU duplicado</t>
        </is>
      </c>
      <c r="AF99" s="64" t="n"/>
      <c r="AG99" s="59" t="n">
        <v>2</v>
      </c>
      <c r="AH99" s="155" t="inlineStr">
        <is>
          <t>WB OUTLET LERMA (2)</t>
        </is>
      </c>
      <c r="AI99" s="59" t="n">
        <v>2</v>
      </c>
      <c r="AJ99" s="155" t="inlineStr">
        <is>
          <t>Catálogo existente</t>
        </is>
      </c>
      <c r="AK99" s="155" t="inlineStr">
        <is>
          <t>Coincidencia por código de barras (ID NetSuite 117883) | ID alternativo de Hoja a Revisar 117883 (UPC coincidente); se conserva ID principal; Auditoría NetSuite 30/09/2026: llenado desde NetSuite [Z]; Vinculado por código de barras al ID NetSuite 117883 (antes en Identificador interno: 'C49728-27-42'); 01/10/2026: mismo SKU registrado también en fila 67706 con código 7506674602920 (ID 30946, desde Hoja3); revisar cuál es el vigente | 01/10/2026: complementado desde Shopify Western Brothers (match por código de barras): WB Fit, WB Silueta</t>
        </is>
      </c>
      <c r="AL99" s="155" t="inlineStr">
        <is>
          <t>No</t>
        </is>
      </c>
      <c r="AM99" s="155" t="n"/>
      <c r="AN99" s="155" t="inlineStr">
        <is>
          <t>| Hoja a Revisar: fila 196047 (ID 117883, misma clave UPC); G1522_Extraccion_Articulos_NetSuite_2026-09-30.xlsx: fila 64124 [Z] | Shopify WB: producto 10310436946105 / variante 50512592634041</t>
        </is>
      </c>
      <c r="AO99" s="58" t="inlineStr">
        <is>
          <t>292,76</t>
        </is>
      </c>
      <c r="AP99" s="58" t="n"/>
      <c r="AQ99" s="155" t="inlineStr">
        <is>
          <t>Shopify Western Brothers</t>
        </is>
      </c>
      <c r="AR99" s="59" t="n"/>
      <c r="AS99" s="59" t="n">
        <v>2</v>
      </c>
      <c r="AT99" s="59" t="n"/>
      <c r="AU99" s="155" t="inlineStr">
        <is>
          <t>Shopify Western Brothers › Western Brothers Outlet Lerma: 2</t>
        </is>
      </c>
    </row>
    <row r="100">
      <c r="A100" s="51" t="n">
        <v>54</v>
      </c>
      <c r="B100" s="156" t="inlineStr">
        <is>
          <t>Productos — registro conservado</t>
        </is>
      </c>
      <c r="C100" s="125" t="inlineStr">
        <is>
          <t>Homologación G1522: mismo producto (mismo WB SKU)</t>
        </is>
      </c>
      <c r="D100" s="60" t="inlineStr">
        <is>
          <t>7506674602937</t>
        </is>
      </c>
      <c r="E100" s="59" t="inlineStr">
        <is>
          <t>30947</t>
        </is>
      </c>
      <c r="F100" s="155" t="inlineStr">
        <is>
          <t>Wrangler</t>
        </is>
      </c>
      <c r="G100" s="155" t="inlineStr">
        <is>
          <t>C49728-27</t>
        </is>
      </c>
      <c r="H100" s="155" t="inlineStr">
        <is>
          <t>C49728-27-44</t>
        </is>
      </c>
      <c r="I100" s="155" t="inlineStr">
        <is>
          <t>44</t>
        </is>
      </c>
      <c r="J100" s="155" t="inlineStr">
        <is>
          <t>44</t>
        </is>
      </c>
      <c r="K100" s="155" t="inlineStr">
        <is>
          <t>Wrangler</t>
        </is>
      </c>
      <c r="L100" s="155" t="inlineStr">
        <is>
          <t>Cinturon de hombre C49728-27 Café</t>
        </is>
      </c>
      <c r="M100" s="155" t="inlineStr">
        <is>
          <t>Accesorios</t>
        </is>
      </c>
      <c r="N100" s="155" t="inlineStr">
        <is>
          <t>Cinturones</t>
        </is>
      </c>
      <c r="O100" s="155" t="inlineStr">
        <is>
          <t>Hombre</t>
        </is>
      </c>
      <c r="P100" s="155" t="inlineStr">
        <is>
          <t>Wrangler</t>
        </is>
      </c>
      <c r="Q100" s="155" t="inlineStr">
        <is>
          <t>FW26</t>
        </is>
      </c>
      <c r="R100" s="155" t="inlineStr">
        <is>
          <t>Seasonal</t>
        </is>
      </c>
      <c r="S100" s="155" t="inlineStr">
        <is>
          <t>Cafe</t>
        </is>
      </c>
      <c r="T100" s="155" t="n"/>
      <c r="U100" s="155" t="n"/>
      <c r="V100" s="155" t="inlineStr">
        <is>
          <t>100% PIEL VACUNO</t>
        </is>
      </c>
      <c r="W100" s="155" t="inlineStr">
        <is>
          <t>Cinturón para Caballero de Piel</t>
        </is>
      </c>
      <c r="X100" s="155" t="inlineStr">
        <is>
          <t>México</t>
        </is>
      </c>
      <c r="Y100" s="155" t="inlineStr">
        <is>
          <t>PZS</t>
        </is>
      </c>
      <c r="Z100" s="59" t="inlineStr">
        <is>
          <t>53102501</t>
        </is>
      </c>
      <c r="AA100" s="126" t="n"/>
      <c r="AB100" s="61" t="n">
        <v>292.76</v>
      </c>
      <c r="AC100" s="61" t="n">
        <v>430.603448</v>
      </c>
      <c r="AD100" s="62" t="inlineStr">
        <is>
          <t>Con Incidencias</t>
        </is>
      </c>
      <c r="AE100" s="64" t="inlineStr">
        <is>
          <t>SKU duplicado; [Aviso] Ciclo de vida no capturado ()</t>
        </is>
      </c>
      <c r="AF100" s="64" t="n"/>
      <c r="AG100" s="59" t="n"/>
      <c r="AH100" s="155" t="n"/>
      <c r="AI100" s="59" t="n"/>
      <c r="AJ100" s="155" t="inlineStr">
        <is>
          <t>Nuevo – Carga Hoja3 01/10/2026</t>
        </is>
      </c>
      <c r="AK100" s="155" t="inlineStr">
        <is>
          <t>Alta 01/10/2026 desde Hoja3 (fila 688); Mismo SKU que la fila 2475 con otro código/ID; revisar cuál es el vigente | 01/10/2026: complementado desde Odoo Universal Unique Brands (match por código de barras): WB Talla de EE. UU.</t>
        </is>
      </c>
      <c r="AL100" s="155" t="n"/>
      <c r="AM100" s="155" t="n"/>
      <c r="AN100" s="155" t="inlineStr">
        <is>
          <t>Hoja3: fila 688 | Odoo: producto 30947 / plantilla 39658</t>
        </is>
      </c>
      <c r="AO100" s="58" t="n"/>
      <c r="AP100" s="58" t="n"/>
      <c r="AQ100" s="155" t="inlineStr">
        <is>
          <t>Odoo Universal Unique Brands</t>
        </is>
      </c>
      <c r="AR100" s="59" t="n"/>
      <c r="AS100" s="59" t="n"/>
      <c r="AT100" s="59" t="n">
        <v>17</v>
      </c>
      <c r="AU100" s="155" t="inlineStr">
        <is>
          <t>Odoo Universal Unique Brands › Bodega 25 › Bodega 25/General: 17</t>
        </is>
      </c>
    </row>
    <row r="101">
      <c r="A101" s="51" t="n">
        <v>54</v>
      </c>
      <c r="B101" s="156" t="inlineStr">
        <is>
          <t>Productos — registro integrado en el anterior</t>
        </is>
      </c>
      <c r="C101" s="125" t="inlineStr">
        <is>
          <t>Homologación G1522: mismo producto (mismo WB SKU)</t>
        </is>
      </c>
      <c r="D101" s="60" t="inlineStr">
        <is>
          <t>7506674600741</t>
        </is>
      </c>
      <c r="E101" s="59" t="inlineStr">
        <is>
          <t>117884</t>
        </is>
      </c>
      <c r="F101" s="155" t="inlineStr">
        <is>
          <t>Wrangler</t>
        </is>
      </c>
      <c r="G101" s="155" t="inlineStr">
        <is>
          <t>C49728-27</t>
        </is>
      </c>
      <c r="H101" s="155" t="inlineStr">
        <is>
          <t>C49728-27-44</t>
        </is>
      </c>
      <c r="I101" s="155" t="inlineStr">
        <is>
          <t>44</t>
        </is>
      </c>
      <c r="J101" s="155" t="inlineStr">
        <is>
          <t>44</t>
        </is>
      </c>
      <c r="K101" s="155" t="inlineStr">
        <is>
          <t>Wrangler</t>
        </is>
      </c>
      <c r="L101" s="155" t="inlineStr">
        <is>
          <t>Cinturón Wrangler Una Vista Casual para Hombre, Color Cafe</t>
        </is>
      </c>
      <c r="M101" s="155" t="inlineStr">
        <is>
          <t>Accesorios</t>
        </is>
      </c>
      <c r="N101" s="155" t="inlineStr">
        <is>
          <t>Cinturones</t>
        </is>
      </c>
      <c r="O101" s="155" t="inlineStr">
        <is>
          <t>Hombre</t>
        </is>
      </c>
      <c r="P101" s="155" t="inlineStr">
        <is>
          <t>Wrangler</t>
        </is>
      </c>
      <c r="Q101" s="155" t="inlineStr">
        <is>
          <t>SS26</t>
        </is>
      </c>
      <c r="R101" s="155" t="inlineStr">
        <is>
          <t>Seasonal</t>
        </is>
      </c>
      <c r="S101" s="155" t="inlineStr">
        <is>
          <t>Cafe</t>
        </is>
      </c>
      <c r="T101" s="155" t="n"/>
      <c r="U101" s="155" t="n"/>
      <c r="V101" s="155" t="inlineStr">
        <is>
          <t>100% piel de vacuno</t>
        </is>
      </c>
      <c r="W101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01" s="155" t="inlineStr">
        <is>
          <t>México</t>
        </is>
      </c>
      <c r="Y101" s="155" t="inlineStr">
        <is>
          <t>PZS</t>
        </is>
      </c>
      <c r="Z101" s="59" t="inlineStr">
        <is>
          <t>53102501</t>
        </is>
      </c>
      <c r="AA101" s="126" t="n"/>
      <c r="AB101" s="61" t="n">
        <v>292.76</v>
      </c>
      <c r="AC101" s="61" t="n">
        <v>949</v>
      </c>
      <c r="AD101" s="62" t="inlineStr">
        <is>
          <t>Con Incidencias</t>
        </is>
      </c>
      <c r="AE101" s="64" t="inlineStr">
        <is>
          <t>SKU duplicado</t>
        </is>
      </c>
      <c r="AF101" s="64" t="n"/>
      <c r="AG101" s="59" t="n">
        <v>1</v>
      </c>
      <c r="AH101" s="155" t="inlineStr">
        <is>
          <t>WB OUTLET LERMA (1)</t>
        </is>
      </c>
      <c r="AI101" s="59" t="n">
        <v>1</v>
      </c>
      <c r="AJ101" s="155" t="inlineStr">
        <is>
          <t>Catálogo existente</t>
        </is>
      </c>
      <c r="AK101" s="155" t="inlineStr">
        <is>
          <t>Coincidencia por código de barras (ID NetSuite 117884) | ID alternativo de Hoja a Revisar 117884 (UPC coincidente); se conserva ID principal; Auditoría NetSuite 30/09/2026: llenado desde NetSuite [Z]; Vinculado por código de barras al ID NetSuite 117884 (antes en Identificador interno: 'C49728-27-44'); 01/10/2026: mismo SKU registrado también en fila 67707 con código 7506674602937 (ID 30947, desde Hoja3); revisar cuál es el vigente | 01/10/2026: complementado desde Shopify Western Brothers (match por código de barras): WB Fit, WB Silueta</t>
        </is>
      </c>
      <c r="AL101" s="155" t="inlineStr">
        <is>
          <t>No</t>
        </is>
      </c>
      <c r="AM101" s="155" t="n"/>
      <c r="AN101" s="155" t="inlineStr">
        <is>
          <t>| Hoja a Revisar: fila 196048 (ID 117884, misma clave UPC); G1522_Extraccion_Articulos_NetSuite_2026-09-30.xlsx: fila 64125 [Z] | Shopify WB: producto 10310436946105 / variante 50512592666809</t>
        </is>
      </c>
      <c r="AO101" s="58" t="inlineStr">
        <is>
          <t>292,76</t>
        </is>
      </c>
      <c r="AP101" s="58" t="n"/>
      <c r="AQ101" s="155" t="inlineStr">
        <is>
          <t>Shopify Western Brothers</t>
        </is>
      </c>
      <c r="AR101" s="59" t="n"/>
      <c r="AS101" s="59" t="n">
        <v>1</v>
      </c>
      <c r="AT101" s="59" t="n"/>
      <c r="AU101" s="155" t="inlineStr">
        <is>
          <t>Shopify Western Brothers › Western Brothers Outlet Lerma: 1</t>
        </is>
      </c>
    </row>
    <row r="102">
      <c r="A102" s="51" t="n">
        <v>55</v>
      </c>
      <c r="B102" s="156" t="inlineStr">
        <is>
          <t>Productos — registro conservado</t>
        </is>
      </c>
      <c r="C102" s="125" t="inlineStr">
        <is>
          <t>Homologación G1522: mismo producto (mismo WB SKU)</t>
        </is>
      </c>
      <c r="D102" s="60" t="inlineStr">
        <is>
          <t>7506674602807</t>
        </is>
      </c>
      <c r="E102" s="59" t="inlineStr">
        <is>
          <t>30926</t>
        </is>
      </c>
      <c r="F102" s="155" t="inlineStr">
        <is>
          <t>Wrangler</t>
        </is>
      </c>
      <c r="G102" s="155" t="inlineStr">
        <is>
          <t>C49727-26</t>
        </is>
      </c>
      <c r="H102" s="155" t="inlineStr">
        <is>
          <t>C49727-26-32</t>
        </is>
      </c>
      <c r="I102" s="155" t="inlineStr">
        <is>
          <t>32</t>
        </is>
      </c>
      <c r="J102" s="155" t="inlineStr">
        <is>
          <t>32</t>
        </is>
      </c>
      <c r="K102" s="155" t="inlineStr">
        <is>
          <t>Wrangler</t>
        </is>
      </c>
      <c r="L102" s="155" t="inlineStr">
        <is>
          <t>Cinturon de hombre C49727-26 Café claro</t>
        </is>
      </c>
      <c r="M102" s="155" t="inlineStr">
        <is>
          <t>Accesorios</t>
        </is>
      </c>
      <c r="N102" s="155" t="inlineStr">
        <is>
          <t>Cinturones</t>
        </is>
      </c>
      <c r="O102" s="155" t="inlineStr">
        <is>
          <t>Hombre</t>
        </is>
      </c>
      <c r="P102" s="155" t="inlineStr">
        <is>
          <t>Wrangler</t>
        </is>
      </c>
      <c r="Q102" s="155" t="inlineStr">
        <is>
          <t>FW26</t>
        </is>
      </c>
      <c r="R102" s="155" t="inlineStr">
        <is>
          <t>Seasonal</t>
        </is>
      </c>
      <c r="S102" s="155" t="inlineStr">
        <is>
          <t>Cafe</t>
        </is>
      </c>
      <c r="T102" s="155" t="n"/>
      <c r="U102" s="155" t="n"/>
      <c r="V102" s="155" t="inlineStr">
        <is>
          <t>70% CUERO VACUNO 30% REGENERADO</t>
        </is>
      </c>
      <c r="W102" s="155" t="inlineStr">
        <is>
          <t>Cinturón para Caballero de Piel</t>
        </is>
      </c>
      <c r="X102" s="155" t="inlineStr">
        <is>
          <t>México</t>
        </is>
      </c>
      <c r="Y102" s="155" t="inlineStr">
        <is>
          <t>PZS</t>
        </is>
      </c>
      <c r="Z102" s="59" t="inlineStr">
        <is>
          <t>53102501</t>
        </is>
      </c>
      <c r="AA102" s="126" t="n"/>
      <c r="AB102" s="61" t="n">
        <v>292.76</v>
      </c>
      <c r="AC102" s="61" t="n">
        <v>365.948276</v>
      </c>
      <c r="AD102" s="62" t="inlineStr">
        <is>
          <t>Con Incidencias</t>
        </is>
      </c>
      <c r="AE102" s="64" t="inlineStr">
        <is>
          <t>SKU duplicado; [Aviso] Ciclo de vida no capturado ()</t>
        </is>
      </c>
      <c r="AF102" s="64" t="n"/>
      <c r="AG102" s="59" t="n"/>
      <c r="AH102" s="155" t="n"/>
      <c r="AI102" s="59" t="n"/>
      <c r="AJ102" s="155" t="inlineStr">
        <is>
          <t>Nuevo – Carga Hoja3 01/10/2026</t>
        </is>
      </c>
      <c r="AK102" s="155" t="inlineStr">
        <is>
          <t>Alta 01/10/2026 desde Hoja3 (fila 675); Mismo SKU que la fila 2476 con otro código/ID; revisar cuál es el vigente | 01/10/2026: complementado desde Odoo Universal Unique Brands (match por código de barras): WB Talla de EE. UU.</t>
        </is>
      </c>
      <c r="AL102" s="155" t="n"/>
      <c r="AM102" s="155" t="n"/>
      <c r="AN102" s="155" t="inlineStr">
        <is>
          <t>Hoja3: fila 675 | Odoo: producto 30926 / plantilla 39655</t>
        </is>
      </c>
      <c r="AO102" s="58" t="n"/>
      <c r="AP102" s="58" t="n"/>
      <c r="AQ102" s="155" t="inlineStr">
        <is>
          <t>Odoo Universal Unique Brands</t>
        </is>
      </c>
      <c r="AR102" s="59" t="n"/>
      <c r="AS102" s="59" t="n"/>
      <c r="AT102" s="59" t="n">
        <v>1</v>
      </c>
      <c r="AU102" s="155" t="inlineStr">
        <is>
          <t>Odoo Universal Unique Brands › Bodega 25 › Bodega 25/General: 1</t>
        </is>
      </c>
    </row>
    <row r="103">
      <c r="A103" s="51" t="n">
        <v>55</v>
      </c>
      <c r="B103" s="156" t="inlineStr">
        <is>
          <t>Productos — registro integrado en el anterior</t>
        </is>
      </c>
      <c r="C103" s="125" t="inlineStr">
        <is>
          <t>Homologación G1522: mismo producto (mismo WB SKU)</t>
        </is>
      </c>
      <c r="D103" s="60" t="inlineStr">
        <is>
          <t>7506674600611</t>
        </is>
      </c>
      <c r="E103" s="59" t="inlineStr">
        <is>
          <t>117871</t>
        </is>
      </c>
      <c r="F103" s="155" t="inlineStr">
        <is>
          <t>Wrangler</t>
        </is>
      </c>
      <c r="G103" s="155" t="inlineStr">
        <is>
          <t>C49727-26</t>
        </is>
      </c>
      <c r="H103" s="155" t="inlineStr">
        <is>
          <t>C49727-26-32</t>
        </is>
      </c>
      <c r="I103" s="155" t="inlineStr">
        <is>
          <t>32</t>
        </is>
      </c>
      <c r="J103" s="155" t="inlineStr">
        <is>
          <t>32</t>
        </is>
      </c>
      <c r="K103" s="155" t="inlineStr">
        <is>
          <t>Wrangler</t>
        </is>
      </c>
      <c r="L103" s="155" t="inlineStr">
        <is>
          <t>Cinturón Wrangler Una Vista Casual para Hombre, Color Cafe</t>
        </is>
      </c>
      <c r="M103" s="155" t="inlineStr">
        <is>
          <t>Accesorios</t>
        </is>
      </c>
      <c r="N103" s="155" t="inlineStr">
        <is>
          <t>Cinturones</t>
        </is>
      </c>
      <c r="O103" s="155" t="inlineStr">
        <is>
          <t>Hombre</t>
        </is>
      </c>
      <c r="P103" s="155" t="inlineStr">
        <is>
          <t>Wrangler</t>
        </is>
      </c>
      <c r="Q103" s="155" t="inlineStr">
        <is>
          <t>SS26</t>
        </is>
      </c>
      <c r="R103" s="155" t="inlineStr">
        <is>
          <t>Seasonal</t>
        </is>
      </c>
      <c r="S103" s="155" t="inlineStr">
        <is>
          <t>Cafe</t>
        </is>
      </c>
      <c r="T103" s="155" t="n"/>
      <c r="U103" s="155" t="n"/>
      <c r="V103" s="155" t="inlineStr">
        <is>
          <t>100% piel de vacuno</t>
        </is>
      </c>
      <c r="W103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03" s="155" t="inlineStr">
        <is>
          <t>México</t>
        </is>
      </c>
      <c r="Y103" s="155" t="inlineStr">
        <is>
          <t>PZS</t>
        </is>
      </c>
      <c r="Z103" s="59" t="inlineStr">
        <is>
          <t>53102501</t>
        </is>
      </c>
      <c r="AA103" s="126" t="n"/>
      <c r="AB103" s="61" t="n">
        <v>292.76</v>
      </c>
      <c r="AC103" s="61" t="n">
        <v>849</v>
      </c>
      <c r="AD103" s="62" t="inlineStr">
        <is>
          <t>Con Incidencias</t>
        </is>
      </c>
      <c r="AE103" s="64" t="inlineStr">
        <is>
          <t>SKU duplicado</t>
        </is>
      </c>
      <c r="AF103" s="64" t="n"/>
      <c r="AG103" s="59" t="n">
        <v>1</v>
      </c>
      <c r="AH103" s="155" t="inlineStr">
        <is>
          <t>WB OUTLET LERMA (1)</t>
        </is>
      </c>
      <c r="AI103" s="59" t="n">
        <v>1</v>
      </c>
      <c r="AJ103" s="155" t="inlineStr">
        <is>
          <t>Catálogo existente</t>
        </is>
      </c>
      <c r="AK103" s="155" t="inlineStr">
        <is>
          <t>Coincidencia por código de barras (ID NetSuite 117871) | ID alternativo de Hoja a Revisar 117871 (UPC coincidente); se conserva ID principal; Auditoría NetSuite 30/09/2026: llenado desde NetSuite [Z]; Vinculado por código de barras al ID NetSuite 117871 (antes en Identificador interno: 'C49727-26-32'); 01/10/2026: mismo SKU registrado también en fila 67694 con código 7506674602807 (ID 30926, desde Hoja3); revisar cuál es el vigente | 01/10/2026: complementado desde Shopify Western Brothers (match por código de barras): WB Fit, WB Silueta</t>
        </is>
      </c>
      <c r="AL103" s="155" t="inlineStr">
        <is>
          <t>No</t>
        </is>
      </c>
      <c r="AM103" s="155" t="n"/>
      <c r="AN103" s="155" t="inlineStr">
        <is>
          <t>| Hoja a Revisar: fila 196034 (ID 117871, misma clave UPC); G1522_Extraccion_Articulos_NetSuite_2026-09-30.xlsx: fila 64112 [Z] | Shopify WB: producto 10310436913337 / variante 50512592240825</t>
        </is>
      </c>
      <c r="AO103" s="58" t="inlineStr">
        <is>
          <t>292,76</t>
        </is>
      </c>
      <c r="AP103" s="58" t="n"/>
      <c r="AQ103" s="155" t="inlineStr">
        <is>
          <t>Shopify Western Brothers</t>
        </is>
      </c>
      <c r="AR103" s="59" t="n"/>
      <c r="AS103" s="59" t="n">
        <v>1</v>
      </c>
      <c r="AT103" s="59" t="n"/>
      <c r="AU103" s="155" t="inlineStr">
        <is>
          <t>Shopify Western Brothers › Western Brothers Outlet Lerma: 1</t>
        </is>
      </c>
    </row>
    <row r="104">
      <c r="A104" s="51" t="n">
        <v>56</v>
      </c>
      <c r="B104" s="156" t="inlineStr">
        <is>
          <t>Productos — registro conservado</t>
        </is>
      </c>
      <c r="C104" s="125" t="inlineStr">
        <is>
          <t>Homologación G1522: mismo producto (mismo WB SKU)</t>
        </is>
      </c>
      <c r="D104" s="60" t="inlineStr">
        <is>
          <t>7506674602814</t>
        </is>
      </c>
      <c r="E104" s="59" t="inlineStr">
        <is>
          <t>30927</t>
        </is>
      </c>
      <c r="F104" s="155" t="inlineStr">
        <is>
          <t>Wrangler</t>
        </is>
      </c>
      <c r="G104" s="155" t="inlineStr">
        <is>
          <t>C49727-26</t>
        </is>
      </c>
      <c r="H104" s="155" t="inlineStr">
        <is>
          <t>C49727-26-34</t>
        </is>
      </c>
      <c r="I104" s="155" t="inlineStr">
        <is>
          <t>34</t>
        </is>
      </c>
      <c r="J104" s="155" t="inlineStr">
        <is>
          <t>34</t>
        </is>
      </c>
      <c r="K104" s="155" t="inlineStr">
        <is>
          <t>Wrangler</t>
        </is>
      </c>
      <c r="L104" s="155" t="inlineStr">
        <is>
          <t>Cinturon de hombre C49727-26 Café claro</t>
        </is>
      </c>
      <c r="M104" s="155" t="inlineStr">
        <is>
          <t>Accesorios</t>
        </is>
      </c>
      <c r="N104" s="155" t="inlineStr">
        <is>
          <t>Cinturones</t>
        </is>
      </c>
      <c r="O104" s="155" t="inlineStr">
        <is>
          <t>Hombre</t>
        </is>
      </c>
      <c r="P104" s="155" t="inlineStr">
        <is>
          <t>Wrangler</t>
        </is>
      </c>
      <c r="Q104" s="155" t="inlineStr">
        <is>
          <t>FW26</t>
        </is>
      </c>
      <c r="R104" s="155" t="inlineStr">
        <is>
          <t>Seasonal</t>
        </is>
      </c>
      <c r="S104" s="155" t="inlineStr">
        <is>
          <t>Cafe</t>
        </is>
      </c>
      <c r="T104" s="155" t="n"/>
      <c r="U104" s="155" t="n"/>
      <c r="V104" s="155" t="inlineStr">
        <is>
          <t>70% CUERO VACUNO 30% REGENERADO</t>
        </is>
      </c>
      <c r="W104" s="155" t="inlineStr">
        <is>
          <t>Cinturón para Caballero de Piel</t>
        </is>
      </c>
      <c r="X104" s="155" t="inlineStr">
        <is>
          <t>México</t>
        </is>
      </c>
      <c r="Y104" s="155" t="inlineStr">
        <is>
          <t>PZS</t>
        </is>
      </c>
      <c r="Z104" s="59" t="inlineStr">
        <is>
          <t>53102501</t>
        </is>
      </c>
      <c r="AA104" s="126" t="n"/>
      <c r="AB104" s="61" t="n">
        <v>292.76</v>
      </c>
      <c r="AC104" s="61" t="n">
        <v>365.948276</v>
      </c>
      <c r="AD104" s="62" t="inlineStr">
        <is>
          <t>Con Incidencias</t>
        </is>
      </c>
      <c r="AE104" s="64" t="inlineStr">
        <is>
          <t>SKU duplicado; [Aviso] Ciclo de vida no capturado ()</t>
        </is>
      </c>
      <c r="AF104" s="64" t="n"/>
      <c r="AG104" s="59" t="n"/>
      <c r="AH104" s="155" t="n"/>
      <c r="AI104" s="59" t="n"/>
      <c r="AJ104" s="155" t="inlineStr">
        <is>
          <t>Nuevo – Carga Hoja3 01/10/2026</t>
        </is>
      </c>
      <c r="AK104" s="155" t="inlineStr">
        <is>
          <t>Alta 01/10/2026 desde Hoja3 (fila 676); Mismo SKU que la fila 2477 con otro código/ID; revisar cuál es el vigente | 01/10/2026: complementado desde Odoo Universal Unique Brands (match por código de barras): WB Talla de EE. UU.</t>
        </is>
      </c>
      <c r="AL104" s="155" t="n"/>
      <c r="AM104" s="155" t="n"/>
      <c r="AN104" s="155" t="inlineStr">
        <is>
          <t>Hoja3: fila 676 | Odoo: producto 30927 / plantilla 39655</t>
        </is>
      </c>
      <c r="AO104" s="58" t="n"/>
      <c r="AP104" s="58" t="n"/>
      <c r="AQ104" s="155" t="inlineStr">
        <is>
          <t>Odoo Universal Unique Brands</t>
        </is>
      </c>
      <c r="AR104" s="59" t="n"/>
      <c r="AS104" s="59" t="n"/>
      <c r="AT104" s="59" t="n">
        <v>10</v>
      </c>
      <c r="AU104" s="155" t="inlineStr">
        <is>
          <t>Odoo Universal Unique Brands › Bodega 25 › Bodega 25/General: 10</t>
        </is>
      </c>
    </row>
    <row r="105">
      <c r="A105" s="51" t="n">
        <v>56</v>
      </c>
      <c r="B105" s="156" t="inlineStr">
        <is>
          <t>Productos — registro integrado en el anterior</t>
        </is>
      </c>
      <c r="C105" s="125" t="inlineStr">
        <is>
          <t>Homologación G1522: mismo producto (mismo WB SKU)</t>
        </is>
      </c>
      <c r="D105" s="60" t="inlineStr">
        <is>
          <t>7506674600628</t>
        </is>
      </c>
      <c r="E105" s="59" t="inlineStr">
        <is>
          <t>117872</t>
        </is>
      </c>
      <c r="F105" s="155" t="inlineStr">
        <is>
          <t>Wrangler</t>
        </is>
      </c>
      <c r="G105" s="155" t="inlineStr">
        <is>
          <t>C49727-26</t>
        </is>
      </c>
      <c r="H105" s="155" t="inlineStr">
        <is>
          <t>C49727-26-34</t>
        </is>
      </c>
      <c r="I105" s="155" t="inlineStr">
        <is>
          <t>34</t>
        </is>
      </c>
      <c r="J105" s="155" t="inlineStr">
        <is>
          <t>34</t>
        </is>
      </c>
      <c r="K105" s="155" t="inlineStr">
        <is>
          <t>Wrangler</t>
        </is>
      </c>
      <c r="L105" s="155" t="inlineStr">
        <is>
          <t>Cinturón Wrangler Una Vista Casual para Hombre, Color Cafe</t>
        </is>
      </c>
      <c r="M105" s="155" t="inlineStr">
        <is>
          <t>Accesorios</t>
        </is>
      </c>
      <c r="N105" s="155" t="inlineStr">
        <is>
          <t>Cinturones</t>
        </is>
      </c>
      <c r="O105" s="155" t="inlineStr">
        <is>
          <t>Hombre</t>
        </is>
      </c>
      <c r="P105" s="155" t="inlineStr">
        <is>
          <t>Wrangler</t>
        </is>
      </c>
      <c r="Q105" s="155" t="inlineStr">
        <is>
          <t>SS26</t>
        </is>
      </c>
      <c r="R105" s="155" t="inlineStr">
        <is>
          <t>Seasonal</t>
        </is>
      </c>
      <c r="S105" s="155" t="inlineStr">
        <is>
          <t>Cafe</t>
        </is>
      </c>
      <c r="T105" s="155" t="n"/>
      <c r="U105" s="155" t="n"/>
      <c r="V105" s="155" t="inlineStr">
        <is>
          <t>100% piel de vacuno</t>
        </is>
      </c>
      <c r="W105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05" s="155" t="inlineStr">
        <is>
          <t>México</t>
        </is>
      </c>
      <c r="Y105" s="155" t="inlineStr">
        <is>
          <t>PZS</t>
        </is>
      </c>
      <c r="Z105" s="59" t="inlineStr">
        <is>
          <t>53102501</t>
        </is>
      </c>
      <c r="AA105" s="126" t="n"/>
      <c r="AB105" s="61" t="n">
        <v>292.76</v>
      </c>
      <c r="AC105" s="61" t="n">
        <v>849</v>
      </c>
      <c r="AD105" s="62" t="inlineStr">
        <is>
          <t>Con Incidencias</t>
        </is>
      </c>
      <c r="AE105" s="64" t="inlineStr">
        <is>
          <t>SKU duplicado</t>
        </is>
      </c>
      <c r="AF105" s="64" t="n"/>
      <c r="AG105" s="59" t="n">
        <v>2</v>
      </c>
      <c r="AH105" s="155" t="inlineStr">
        <is>
          <t>WB OUTLET LERMA (2)</t>
        </is>
      </c>
      <c r="AI105" s="59" t="n">
        <v>2</v>
      </c>
      <c r="AJ105" s="155" t="inlineStr">
        <is>
          <t>Catálogo existente</t>
        </is>
      </c>
      <c r="AK105" s="155" t="inlineStr">
        <is>
          <t>Coincidencia por código de barras (ID NetSuite 117872) | ID alternativo de Hoja a Revisar 117872 (UPC coincidente); se conserva ID principal; Auditoría NetSuite 30/09/2026: llenado desde NetSuite [Z]; Vinculado por código de barras al ID NetSuite 117872 (antes en Identificador interno: 'C49727-26-34'); 01/10/2026: mismo SKU registrado también en fila 67695 con código 7506674602814 (ID 30927, desde Hoja3); revisar cuál es el vigente | 01/10/2026: complementado desde Shopify Western Brothers (match por código de barras): WB Fit, WB Silueta</t>
        </is>
      </c>
      <c r="AL105" s="155" t="inlineStr">
        <is>
          <t>No</t>
        </is>
      </c>
      <c r="AM105" s="155" t="n"/>
      <c r="AN105" s="155" t="inlineStr">
        <is>
          <t>| Hoja a Revisar: fila 196035 (ID 117872, misma clave UPC); G1522_Extraccion_Articulos_NetSuite_2026-09-30.xlsx: fila 64113 [Z] | Shopify WB: producto 10310436913337 / variante 50512592273593</t>
        </is>
      </c>
      <c r="AO105" s="58" t="inlineStr">
        <is>
          <t>292,76</t>
        </is>
      </c>
      <c r="AP105" s="58" t="n"/>
      <c r="AQ105" s="155" t="inlineStr">
        <is>
          <t>Shopify Western Brothers</t>
        </is>
      </c>
      <c r="AR105" s="59" t="n"/>
      <c r="AS105" s="59" t="n">
        <v>2</v>
      </c>
      <c r="AT105" s="59" t="n"/>
      <c r="AU105" s="155" t="inlineStr">
        <is>
          <t>Shopify Western Brothers › Western Brothers Outlet Lerma: 2</t>
        </is>
      </c>
    </row>
    <row r="106">
      <c r="A106" s="51" t="n">
        <v>57</v>
      </c>
      <c r="B106" s="156" t="inlineStr">
        <is>
          <t>Productos — registro conservado</t>
        </is>
      </c>
      <c r="C106" s="125" t="inlineStr">
        <is>
          <t>Homologación G1522: mismo producto (mismo WB SKU)</t>
        </is>
      </c>
      <c r="D106" s="60" t="inlineStr">
        <is>
          <t>7506674602821</t>
        </is>
      </c>
      <c r="E106" s="59" t="inlineStr">
        <is>
          <t>30928</t>
        </is>
      </c>
      <c r="F106" s="155" t="inlineStr">
        <is>
          <t>Wrangler</t>
        </is>
      </c>
      <c r="G106" s="155" t="inlineStr">
        <is>
          <t>C49727-26</t>
        </is>
      </c>
      <c r="H106" s="155" t="inlineStr">
        <is>
          <t>C49727-26-36</t>
        </is>
      </c>
      <c r="I106" s="155" t="inlineStr">
        <is>
          <t>36</t>
        </is>
      </c>
      <c r="J106" s="155" t="inlineStr">
        <is>
          <t>36</t>
        </is>
      </c>
      <c r="K106" s="155" t="inlineStr">
        <is>
          <t>Wrangler</t>
        </is>
      </c>
      <c r="L106" s="155" t="inlineStr">
        <is>
          <t>Cinturon de hombre C49727-26 Café claro</t>
        </is>
      </c>
      <c r="M106" s="155" t="inlineStr">
        <is>
          <t>Accesorios</t>
        </is>
      </c>
      <c r="N106" s="155" t="inlineStr">
        <is>
          <t>Cinturones</t>
        </is>
      </c>
      <c r="O106" s="155" t="inlineStr">
        <is>
          <t>Hombre</t>
        </is>
      </c>
      <c r="P106" s="155" t="inlineStr">
        <is>
          <t>Wrangler</t>
        </is>
      </c>
      <c r="Q106" s="155" t="inlineStr">
        <is>
          <t>FW26</t>
        </is>
      </c>
      <c r="R106" s="155" t="inlineStr">
        <is>
          <t>Seasonal</t>
        </is>
      </c>
      <c r="S106" s="155" t="inlineStr">
        <is>
          <t>Cafe</t>
        </is>
      </c>
      <c r="T106" s="155" t="n"/>
      <c r="U106" s="155" t="n"/>
      <c r="V106" s="155" t="inlineStr">
        <is>
          <t>70% CUERO VACUNO 30% REGENERADO</t>
        </is>
      </c>
      <c r="W106" s="155" t="inlineStr">
        <is>
          <t>Cinturón para Caballero de Piel</t>
        </is>
      </c>
      <c r="X106" s="155" t="inlineStr">
        <is>
          <t>México</t>
        </is>
      </c>
      <c r="Y106" s="155" t="inlineStr">
        <is>
          <t>PZS</t>
        </is>
      </c>
      <c r="Z106" s="59" t="inlineStr">
        <is>
          <t>53102501</t>
        </is>
      </c>
      <c r="AA106" s="126" t="n"/>
      <c r="AB106" s="61" t="n">
        <v>292.76</v>
      </c>
      <c r="AC106" s="61" t="n">
        <v>365.948276</v>
      </c>
      <c r="AD106" s="62" t="inlineStr">
        <is>
          <t>Con Incidencias</t>
        </is>
      </c>
      <c r="AE106" s="64" t="inlineStr">
        <is>
          <t>SKU duplicado; [Aviso] Ciclo de vida no capturado ()</t>
        </is>
      </c>
      <c r="AF106" s="64" t="n"/>
      <c r="AG106" s="59" t="n"/>
      <c r="AH106" s="155" t="n"/>
      <c r="AI106" s="59" t="n"/>
      <c r="AJ106" s="155" t="inlineStr">
        <is>
          <t>Nuevo – Carga Hoja3 01/10/2026</t>
        </is>
      </c>
      <c r="AK106" s="155" t="inlineStr">
        <is>
          <t>Alta 01/10/2026 desde Hoja3 (fila 677); Mismo SKU que la fila 2478 con otro código/ID; revisar cuál es el vigente | 01/10/2026: complementado desde Odoo Universal Unique Brands (match por código de barras): WB Talla de EE. UU.</t>
        </is>
      </c>
      <c r="AL106" s="155" t="n"/>
      <c r="AM106" s="155" t="n"/>
      <c r="AN106" s="155" t="inlineStr">
        <is>
          <t>Hoja3: fila 677 | Odoo: producto 30928 / plantilla 39655</t>
        </is>
      </c>
      <c r="AO106" s="58" t="n"/>
      <c r="AP106" s="58" t="n"/>
      <c r="AQ106" s="155" t="inlineStr">
        <is>
          <t>Odoo Universal Unique Brands</t>
        </is>
      </c>
      <c r="AR106" s="59" t="n"/>
      <c r="AS106" s="59" t="n"/>
      <c r="AT106" s="59" t="n">
        <v>9</v>
      </c>
      <c r="AU106" s="155" t="inlineStr">
        <is>
          <t>Odoo Universal Unique Brands › Bodega 25 › Bodega 25/General: 9</t>
        </is>
      </c>
    </row>
    <row r="107">
      <c r="A107" s="51" t="n">
        <v>57</v>
      </c>
      <c r="B107" s="156" t="inlineStr">
        <is>
          <t>Productos — registro integrado en el anterior</t>
        </is>
      </c>
      <c r="C107" s="125" t="inlineStr">
        <is>
          <t>Homologación G1522: mismo producto (mismo WB SKU)</t>
        </is>
      </c>
      <c r="D107" s="60" t="inlineStr">
        <is>
          <t>7506674600635</t>
        </is>
      </c>
      <c r="E107" s="59" t="inlineStr">
        <is>
          <t>117873</t>
        </is>
      </c>
      <c r="F107" s="155" t="inlineStr">
        <is>
          <t>Wrangler</t>
        </is>
      </c>
      <c r="G107" s="155" t="inlineStr">
        <is>
          <t>C49727-26</t>
        </is>
      </c>
      <c r="H107" s="155" t="inlineStr">
        <is>
          <t>C49727-26-36</t>
        </is>
      </c>
      <c r="I107" s="155" t="inlineStr">
        <is>
          <t>36</t>
        </is>
      </c>
      <c r="J107" s="155" t="inlineStr">
        <is>
          <t>36</t>
        </is>
      </c>
      <c r="K107" s="155" t="inlineStr">
        <is>
          <t>Wrangler</t>
        </is>
      </c>
      <c r="L107" s="155" t="inlineStr">
        <is>
          <t>Cinturón Wrangler Una Vista Casual para Hombre, Color Cafe</t>
        </is>
      </c>
      <c r="M107" s="155" t="inlineStr">
        <is>
          <t>Accesorios</t>
        </is>
      </c>
      <c r="N107" s="155" t="inlineStr">
        <is>
          <t>Cinturones</t>
        </is>
      </c>
      <c r="O107" s="155" t="inlineStr">
        <is>
          <t>Hombre</t>
        </is>
      </c>
      <c r="P107" s="155" t="inlineStr">
        <is>
          <t>Wrangler</t>
        </is>
      </c>
      <c r="Q107" s="155" t="inlineStr">
        <is>
          <t>SS26</t>
        </is>
      </c>
      <c r="R107" s="155" t="inlineStr">
        <is>
          <t>Seasonal</t>
        </is>
      </c>
      <c r="S107" s="155" t="inlineStr">
        <is>
          <t>Cafe</t>
        </is>
      </c>
      <c r="T107" s="155" t="n"/>
      <c r="U107" s="155" t="n"/>
      <c r="V107" s="155" t="inlineStr">
        <is>
          <t>100% piel de vacuno</t>
        </is>
      </c>
      <c r="W107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07" s="155" t="inlineStr">
        <is>
          <t>México</t>
        </is>
      </c>
      <c r="Y107" s="155" t="inlineStr">
        <is>
          <t>PZS</t>
        </is>
      </c>
      <c r="Z107" s="59" t="inlineStr">
        <is>
          <t>53102501</t>
        </is>
      </c>
      <c r="AA107" s="126" t="n"/>
      <c r="AB107" s="61" t="n">
        <v>292.76</v>
      </c>
      <c r="AC107" s="61" t="n">
        <v>849</v>
      </c>
      <c r="AD107" s="62" t="inlineStr">
        <is>
          <t>Con Incidencias</t>
        </is>
      </c>
      <c r="AE107" s="64" t="inlineStr">
        <is>
          <t>SKU duplicado</t>
        </is>
      </c>
      <c r="AF107" s="64" t="n"/>
      <c r="AG107" s="59" t="n">
        <v>2</v>
      </c>
      <c r="AH107" s="155" t="inlineStr">
        <is>
          <t>WB OUTLET LERMA (2)</t>
        </is>
      </c>
      <c r="AI107" s="59" t="n">
        <v>2</v>
      </c>
      <c r="AJ107" s="155" t="inlineStr">
        <is>
          <t>Catálogo existente</t>
        </is>
      </c>
      <c r="AK107" s="155" t="inlineStr">
        <is>
          <t>Coincidencia por código de barras (ID NetSuite 117873) | ID alternativo de Hoja a Revisar 117873 (UPC coincidente); se conserva ID principal; Auditoría NetSuite 30/09/2026: llenado desde NetSuite [Z]; Vinculado por código de barras al ID NetSuite 117873 (antes en Identificador interno: 'C49727-26-36'); 01/10/2026: mismo SKU registrado también en fila 67696 con código 7506674602821 (ID 30928, desde Hoja3); revisar cuál es el vigente | 01/10/2026: complementado desde Shopify Western Brothers (match por código de barras): WB Fit, WB Silueta</t>
        </is>
      </c>
      <c r="AL107" s="155" t="inlineStr">
        <is>
          <t>No</t>
        </is>
      </c>
      <c r="AM107" s="155" t="n"/>
      <c r="AN107" s="155" t="inlineStr">
        <is>
          <t>| Hoja a Revisar: fila 196036 (ID 117873, misma clave UPC); G1522_Extraccion_Articulos_NetSuite_2026-09-30.xlsx: fila 64114 [Z] | Shopify WB: producto 10310436913337 / variante 50512592306361</t>
        </is>
      </c>
      <c r="AO107" s="58" t="inlineStr">
        <is>
          <t>292,76</t>
        </is>
      </c>
      <c r="AP107" s="58" t="n"/>
      <c r="AQ107" s="155" t="inlineStr">
        <is>
          <t>Shopify Western Brothers</t>
        </is>
      </c>
      <c r="AR107" s="59" t="n"/>
      <c r="AS107" s="59" t="n">
        <v>2</v>
      </c>
      <c r="AT107" s="59" t="n"/>
      <c r="AU107" s="155" t="inlineStr">
        <is>
          <t>Shopify Western Brothers › Western Brothers Outlet Lerma: 2</t>
        </is>
      </c>
    </row>
    <row r="108">
      <c r="A108" s="51" t="n">
        <v>58</v>
      </c>
      <c r="B108" s="156" t="inlineStr">
        <is>
          <t>Productos — registro conservado</t>
        </is>
      </c>
      <c r="C108" s="125" t="inlineStr">
        <is>
          <t>Homologación G1522: mismo producto (mismo WB SKU)</t>
        </is>
      </c>
      <c r="D108" s="60" t="inlineStr">
        <is>
          <t>7506674602838</t>
        </is>
      </c>
      <c r="E108" s="59" t="inlineStr">
        <is>
          <t>30929</t>
        </is>
      </c>
      <c r="F108" s="155" t="inlineStr">
        <is>
          <t>Wrangler</t>
        </is>
      </c>
      <c r="G108" s="155" t="inlineStr">
        <is>
          <t>C49727-26</t>
        </is>
      </c>
      <c r="H108" s="155" t="inlineStr">
        <is>
          <t>C49727-26-38</t>
        </is>
      </c>
      <c r="I108" s="155" t="inlineStr">
        <is>
          <t>38</t>
        </is>
      </c>
      <c r="J108" s="155" t="inlineStr">
        <is>
          <t>38</t>
        </is>
      </c>
      <c r="K108" s="155" t="inlineStr">
        <is>
          <t>Wrangler</t>
        </is>
      </c>
      <c r="L108" s="155" t="inlineStr">
        <is>
          <t>Cinturon de hombre C49727-26 Café claro</t>
        </is>
      </c>
      <c r="M108" s="155" t="inlineStr">
        <is>
          <t>Accesorios</t>
        </is>
      </c>
      <c r="N108" s="155" t="inlineStr">
        <is>
          <t>Cinturones</t>
        </is>
      </c>
      <c r="O108" s="155" t="inlineStr">
        <is>
          <t>Hombre</t>
        </is>
      </c>
      <c r="P108" s="155" t="inlineStr">
        <is>
          <t>Wrangler</t>
        </is>
      </c>
      <c r="Q108" s="155" t="inlineStr">
        <is>
          <t>FW26</t>
        </is>
      </c>
      <c r="R108" s="155" t="inlineStr">
        <is>
          <t>Seasonal</t>
        </is>
      </c>
      <c r="S108" s="155" t="inlineStr">
        <is>
          <t>Cafe</t>
        </is>
      </c>
      <c r="T108" s="155" t="n"/>
      <c r="U108" s="155" t="n"/>
      <c r="V108" s="155" t="inlineStr">
        <is>
          <t>70% CUERO VACUNO 30% REGENERADO</t>
        </is>
      </c>
      <c r="W108" s="155" t="inlineStr">
        <is>
          <t>Cinturón para Caballero de Piel</t>
        </is>
      </c>
      <c r="X108" s="155" t="inlineStr">
        <is>
          <t>México</t>
        </is>
      </c>
      <c r="Y108" s="155" t="inlineStr">
        <is>
          <t>PZS</t>
        </is>
      </c>
      <c r="Z108" s="59" t="inlineStr">
        <is>
          <t>53102501</t>
        </is>
      </c>
      <c r="AA108" s="126" t="n"/>
      <c r="AB108" s="61" t="n">
        <v>292.76</v>
      </c>
      <c r="AC108" s="61" t="n">
        <v>365.948276</v>
      </c>
      <c r="AD108" s="62" t="inlineStr">
        <is>
          <t>Con Incidencias</t>
        </is>
      </c>
      <c r="AE108" s="64" t="inlineStr">
        <is>
          <t>SKU duplicado; [Aviso] Ciclo de vida no capturado ()</t>
        </is>
      </c>
      <c r="AF108" s="64" t="n"/>
      <c r="AG108" s="59" t="n"/>
      <c r="AH108" s="155" t="n"/>
      <c r="AI108" s="59" t="n"/>
      <c r="AJ108" s="155" t="inlineStr">
        <is>
          <t>Nuevo – Carga Hoja3 01/10/2026</t>
        </is>
      </c>
      <c r="AK108" s="155" t="inlineStr">
        <is>
          <t>Alta 01/10/2026 desde Hoja3 (fila 678); Mismo SKU que la fila 2479 con otro código/ID; revisar cuál es el vigente | 01/10/2026: complementado desde Odoo Universal Unique Brands (match por código de barras): WB Talla de EE. UU.</t>
        </is>
      </c>
      <c r="AL108" s="155" t="n"/>
      <c r="AM108" s="155" t="n"/>
      <c r="AN108" s="155" t="inlineStr">
        <is>
          <t>Hoja3: fila 678 | Odoo: producto 30929 / plantilla 39655</t>
        </is>
      </c>
      <c r="AO108" s="58" t="n"/>
      <c r="AP108" s="58" t="n"/>
      <c r="AQ108" s="155" t="inlineStr">
        <is>
          <t>Odoo Universal Unique Brands</t>
        </is>
      </c>
      <c r="AR108" s="59" t="n"/>
      <c r="AS108" s="59" t="n"/>
      <c r="AT108" s="59" t="n">
        <v>14</v>
      </c>
      <c r="AU108" s="155" t="inlineStr">
        <is>
          <t>Odoo Universal Unique Brands › Bodega 25 › Bodega 25/General: 14</t>
        </is>
      </c>
    </row>
    <row r="109">
      <c r="A109" s="51" t="n">
        <v>58</v>
      </c>
      <c r="B109" s="156" t="inlineStr">
        <is>
          <t>Productos — registro integrado en el anterior</t>
        </is>
      </c>
      <c r="C109" s="125" t="inlineStr">
        <is>
          <t>Homologación G1522: mismo producto (mismo WB SKU)</t>
        </is>
      </c>
      <c r="D109" s="60" t="inlineStr">
        <is>
          <t>7506674600642</t>
        </is>
      </c>
      <c r="E109" s="59" t="inlineStr">
        <is>
          <t>117874</t>
        </is>
      </c>
      <c r="F109" s="155" t="inlineStr">
        <is>
          <t>Wrangler</t>
        </is>
      </c>
      <c r="G109" s="155" t="inlineStr">
        <is>
          <t>C49727-26</t>
        </is>
      </c>
      <c r="H109" s="155" t="inlineStr">
        <is>
          <t>C49727-26-38</t>
        </is>
      </c>
      <c r="I109" s="155" t="inlineStr">
        <is>
          <t>38</t>
        </is>
      </c>
      <c r="J109" s="155" t="inlineStr">
        <is>
          <t>38</t>
        </is>
      </c>
      <c r="K109" s="155" t="inlineStr">
        <is>
          <t>Wrangler</t>
        </is>
      </c>
      <c r="L109" s="155" t="inlineStr">
        <is>
          <t>Cinturón Wrangler Una Vista Casual para Hombre, Color Cafe</t>
        </is>
      </c>
      <c r="M109" s="155" t="inlineStr">
        <is>
          <t>Accesorios</t>
        </is>
      </c>
      <c r="N109" s="155" t="inlineStr">
        <is>
          <t>Cinturones</t>
        </is>
      </c>
      <c r="O109" s="155" t="inlineStr">
        <is>
          <t>Hombre</t>
        </is>
      </c>
      <c r="P109" s="155" t="inlineStr">
        <is>
          <t>Wrangler</t>
        </is>
      </c>
      <c r="Q109" s="155" t="inlineStr">
        <is>
          <t>SS26</t>
        </is>
      </c>
      <c r="R109" s="155" t="inlineStr">
        <is>
          <t>Seasonal</t>
        </is>
      </c>
      <c r="S109" s="155" t="inlineStr">
        <is>
          <t>Cafe</t>
        </is>
      </c>
      <c r="T109" s="155" t="n"/>
      <c r="U109" s="155" t="n"/>
      <c r="V109" s="155" t="inlineStr">
        <is>
          <t>100% piel de vacuno</t>
        </is>
      </c>
      <c r="W109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09" s="155" t="inlineStr">
        <is>
          <t>México</t>
        </is>
      </c>
      <c r="Y109" s="155" t="inlineStr">
        <is>
          <t>PZS</t>
        </is>
      </c>
      <c r="Z109" s="59" t="inlineStr">
        <is>
          <t>53102501</t>
        </is>
      </c>
      <c r="AA109" s="126" t="n"/>
      <c r="AB109" s="61" t="n">
        <v>292.76</v>
      </c>
      <c r="AC109" s="61" t="n">
        <v>849</v>
      </c>
      <c r="AD109" s="62" t="inlineStr">
        <is>
          <t>Con Incidencias</t>
        </is>
      </c>
      <c r="AE109" s="64" t="inlineStr">
        <is>
          <t>SKU duplicado</t>
        </is>
      </c>
      <c r="AF109" s="64" t="n"/>
      <c r="AG109" s="59" t="n">
        <v>3</v>
      </c>
      <c r="AH109" s="155" t="inlineStr">
        <is>
          <t>WB OUTLET LERMA (3)</t>
        </is>
      </c>
      <c r="AI109" s="59" t="n">
        <v>3</v>
      </c>
      <c r="AJ109" s="155" t="inlineStr">
        <is>
          <t>Catálogo existente</t>
        </is>
      </c>
      <c r="AK109" s="155" t="inlineStr">
        <is>
          <t>Coincidencia por código de barras (ID NetSuite 117874) | ID alternativo de Hoja a Revisar 117874 (UPC coincidente); se conserva ID principal; Auditoría NetSuite 30/09/2026: llenado desde NetSuite [Z]; Vinculado por código de barras al ID NetSuite 117874 (antes en Identificador interno: 'C49727-26-38'); 01/10/2026: mismo SKU registrado también en fila 67697 con código 7506674602838 (ID 30929, desde Hoja3); revisar cuál es el vigente | 01/10/2026: complementado desde Shopify Western Brothers (match por código de barras): WB Fit, WB Silueta</t>
        </is>
      </c>
      <c r="AL109" s="155" t="inlineStr">
        <is>
          <t>No</t>
        </is>
      </c>
      <c r="AM109" s="155" t="n"/>
      <c r="AN109" s="155" t="inlineStr">
        <is>
          <t>| Hoja a Revisar: fila 196037 (ID 117874, misma clave UPC); G1522_Extraccion_Articulos_NetSuite_2026-09-30.xlsx: fila 64115 [Z] | Shopify WB: producto 10310436913337 / variante 50512592339129</t>
        </is>
      </c>
      <c r="AO109" s="58" t="inlineStr">
        <is>
          <t>292,76</t>
        </is>
      </c>
      <c r="AP109" s="58" t="n"/>
      <c r="AQ109" s="155" t="inlineStr">
        <is>
          <t>Shopify Western Brothers</t>
        </is>
      </c>
      <c r="AR109" s="59" t="n"/>
      <c r="AS109" s="59" t="n">
        <v>3</v>
      </c>
      <c r="AT109" s="59" t="n"/>
      <c r="AU109" s="155" t="inlineStr">
        <is>
          <t>Shopify Western Brothers › Western Brothers Outlet Lerma: 3</t>
        </is>
      </c>
    </row>
    <row r="110">
      <c r="A110" s="51" t="n">
        <v>59</v>
      </c>
      <c r="B110" s="156" t="inlineStr">
        <is>
          <t>Productos — registro conservado</t>
        </is>
      </c>
      <c r="C110" s="125" t="inlineStr">
        <is>
          <t>Homologación G1522: mismo producto (mismo WB SKU)</t>
        </is>
      </c>
      <c r="D110" s="60" t="inlineStr">
        <is>
          <t>7506674602845</t>
        </is>
      </c>
      <c r="E110" s="59" t="inlineStr">
        <is>
          <t>30930</t>
        </is>
      </c>
      <c r="F110" s="155" t="inlineStr">
        <is>
          <t>Wrangler</t>
        </is>
      </c>
      <c r="G110" s="155" t="inlineStr">
        <is>
          <t>C49727-26</t>
        </is>
      </c>
      <c r="H110" s="155" t="inlineStr">
        <is>
          <t>C49727-26-40</t>
        </is>
      </c>
      <c r="I110" s="155" t="inlineStr">
        <is>
          <t>40</t>
        </is>
      </c>
      <c r="J110" s="155" t="inlineStr">
        <is>
          <t>40</t>
        </is>
      </c>
      <c r="K110" s="155" t="inlineStr">
        <is>
          <t>Wrangler</t>
        </is>
      </c>
      <c r="L110" s="155" t="inlineStr">
        <is>
          <t>Cinturon de hombre C49727-26 Café claro</t>
        </is>
      </c>
      <c r="M110" s="155" t="inlineStr">
        <is>
          <t>Accesorios</t>
        </is>
      </c>
      <c r="N110" s="155" t="inlineStr">
        <is>
          <t>Cinturones</t>
        </is>
      </c>
      <c r="O110" s="155" t="inlineStr">
        <is>
          <t>Hombre</t>
        </is>
      </c>
      <c r="P110" s="155" t="inlineStr">
        <is>
          <t>Wrangler</t>
        </is>
      </c>
      <c r="Q110" s="155" t="inlineStr">
        <is>
          <t>FW26</t>
        </is>
      </c>
      <c r="R110" s="155" t="inlineStr">
        <is>
          <t>Seasonal</t>
        </is>
      </c>
      <c r="S110" s="155" t="inlineStr">
        <is>
          <t>Cafe</t>
        </is>
      </c>
      <c r="T110" s="155" t="n"/>
      <c r="U110" s="155" t="n"/>
      <c r="V110" s="155" t="inlineStr">
        <is>
          <t>70% CUERO VACUNO 30% REGENERADO</t>
        </is>
      </c>
      <c r="W110" s="155" t="inlineStr">
        <is>
          <t>Cinturón para Caballero de Piel</t>
        </is>
      </c>
      <c r="X110" s="155" t="inlineStr">
        <is>
          <t>México</t>
        </is>
      </c>
      <c r="Y110" s="155" t="inlineStr">
        <is>
          <t>PZS</t>
        </is>
      </c>
      <c r="Z110" s="59" t="inlineStr">
        <is>
          <t>53102501</t>
        </is>
      </c>
      <c r="AA110" s="126" t="n"/>
      <c r="AB110" s="61" t="n">
        <v>292.76</v>
      </c>
      <c r="AC110" s="61" t="n">
        <v>365.948276</v>
      </c>
      <c r="AD110" s="62" t="inlineStr">
        <is>
          <t>Con Incidencias</t>
        </is>
      </c>
      <c r="AE110" s="64" t="inlineStr">
        <is>
          <t>SKU duplicado; [Aviso] Ciclo de vida no capturado ()</t>
        </is>
      </c>
      <c r="AF110" s="64" t="n"/>
      <c r="AG110" s="59" t="n"/>
      <c r="AH110" s="155" t="n"/>
      <c r="AI110" s="59" t="n"/>
      <c r="AJ110" s="155" t="inlineStr">
        <is>
          <t>Nuevo – Carga Hoja3 01/10/2026</t>
        </is>
      </c>
      <c r="AK110" s="155" t="inlineStr">
        <is>
          <t>Alta 01/10/2026 desde Hoja3 (fila 679); Mismo SKU que la fila 2480 con otro código/ID; revisar cuál es el vigente | 01/10/2026: complementado desde Odoo Universal Unique Brands (match por código de barras): WB Talla de EE. UU.</t>
        </is>
      </c>
      <c r="AL110" s="155" t="n"/>
      <c r="AM110" s="155" t="n"/>
      <c r="AN110" s="155" t="inlineStr">
        <is>
          <t>Hoja3: fila 679 | Odoo: producto 30930 / plantilla 39655</t>
        </is>
      </c>
      <c r="AO110" s="58" t="n"/>
      <c r="AP110" s="58" t="n"/>
      <c r="AQ110" s="155" t="inlineStr">
        <is>
          <t>Odoo Universal Unique Brands</t>
        </is>
      </c>
      <c r="AR110" s="59" t="n"/>
      <c r="AS110" s="59" t="n"/>
      <c r="AT110" s="59" t="n">
        <v>13</v>
      </c>
      <c r="AU110" s="155" t="inlineStr">
        <is>
          <t>Odoo Universal Unique Brands › Bodega 25 › Bodega 25/General: 13</t>
        </is>
      </c>
    </row>
    <row r="111">
      <c r="A111" s="51" t="n">
        <v>59</v>
      </c>
      <c r="B111" s="156" t="inlineStr">
        <is>
          <t>Productos — registro integrado en el anterior</t>
        </is>
      </c>
      <c r="C111" s="125" t="inlineStr">
        <is>
          <t>Homologación G1522: mismo producto (mismo WB SKU)</t>
        </is>
      </c>
      <c r="D111" s="60" t="inlineStr">
        <is>
          <t>7506674600659</t>
        </is>
      </c>
      <c r="E111" s="59" t="inlineStr">
        <is>
          <t>117875</t>
        </is>
      </c>
      <c r="F111" s="155" t="inlineStr">
        <is>
          <t>Wrangler</t>
        </is>
      </c>
      <c r="G111" s="155" t="inlineStr">
        <is>
          <t>C49727-26</t>
        </is>
      </c>
      <c r="H111" s="155" t="inlineStr">
        <is>
          <t>C49727-26-40</t>
        </is>
      </c>
      <c r="I111" s="155" t="inlineStr">
        <is>
          <t>40</t>
        </is>
      </c>
      <c r="J111" s="155" t="inlineStr">
        <is>
          <t>40</t>
        </is>
      </c>
      <c r="K111" s="155" t="inlineStr">
        <is>
          <t>Wrangler</t>
        </is>
      </c>
      <c r="L111" s="155" t="inlineStr">
        <is>
          <t>Cinturón Wrangler Una Vista Casual para Hombre, Color Cafe</t>
        </is>
      </c>
      <c r="M111" s="155" t="inlineStr">
        <is>
          <t>Accesorios</t>
        </is>
      </c>
      <c r="N111" s="155" t="inlineStr">
        <is>
          <t>Cinturones</t>
        </is>
      </c>
      <c r="O111" s="155" t="inlineStr">
        <is>
          <t>Hombre</t>
        </is>
      </c>
      <c r="P111" s="155" t="inlineStr">
        <is>
          <t>Wrangler</t>
        </is>
      </c>
      <c r="Q111" s="155" t="inlineStr">
        <is>
          <t>SS26</t>
        </is>
      </c>
      <c r="R111" s="155" t="inlineStr">
        <is>
          <t>Seasonal</t>
        </is>
      </c>
      <c r="S111" s="155" t="inlineStr">
        <is>
          <t>Cafe</t>
        </is>
      </c>
      <c r="T111" s="155" t="n"/>
      <c r="U111" s="155" t="n"/>
      <c r="V111" s="155" t="inlineStr">
        <is>
          <t>100% piel de vacuno</t>
        </is>
      </c>
      <c r="W111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11" s="155" t="inlineStr">
        <is>
          <t>México</t>
        </is>
      </c>
      <c r="Y111" s="155" t="inlineStr">
        <is>
          <t>PZS</t>
        </is>
      </c>
      <c r="Z111" s="59" t="inlineStr">
        <is>
          <t>53102501</t>
        </is>
      </c>
      <c r="AA111" s="126" t="n"/>
      <c r="AB111" s="61" t="n">
        <v>292.76</v>
      </c>
      <c r="AC111" s="61" t="n">
        <v>849</v>
      </c>
      <c r="AD111" s="62" t="inlineStr">
        <is>
          <t>Con Incidencias</t>
        </is>
      </c>
      <c r="AE111" s="64" t="inlineStr">
        <is>
          <t>SKU duplicado</t>
        </is>
      </c>
      <c r="AF111" s="64" t="n"/>
      <c r="AG111" s="59" t="n">
        <v>2</v>
      </c>
      <c r="AH111" s="155" t="inlineStr">
        <is>
          <t>WB OUTLET LERMA (2)</t>
        </is>
      </c>
      <c r="AI111" s="59" t="n">
        <v>2</v>
      </c>
      <c r="AJ111" s="155" t="inlineStr">
        <is>
          <t>Catálogo existente</t>
        </is>
      </c>
      <c r="AK111" s="155" t="inlineStr">
        <is>
          <t>Coincidencia por código de barras (ID NetSuite 117875) | ID alternativo de Hoja a Revisar 117875 (UPC coincidente); se conserva ID principal; Auditoría NetSuite 30/09/2026: llenado desde NetSuite [Z]; Vinculado por código de barras al ID NetSuite 117875 (antes en Identificador interno: 'C49727-26-40'); 01/10/2026: mismo SKU registrado también en fila 67698 con código 7506674602845 (ID 30930, desde Hoja3); revisar cuál es el vigente | 01/10/2026: complementado desde Shopify Western Brothers (match por código de barras): WB Fit, WB Silueta</t>
        </is>
      </c>
      <c r="AL111" s="155" t="inlineStr">
        <is>
          <t>No</t>
        </is>
      </c>
      <c r="AM111" s="155" t="n"/>
      <c r="AN111" s="155" t="inlineStr">
        <is>
          <t>| Hoja a Revisar: fila 196038 (ID 117875, misma clave UPC); G1522_Extraccion_Articulos_NetSuite_2026-09-30.xlsx: fila 64116 [Z] | Shopify WB: producto 10310436913337 / variante 50512592371897</t>
        </is>
      </c>
      <c r="AO111" s="58" t="inlineStr">
        <is>
          <t>292,76</t>
        </is>
      </c>
      <c r="AP111" s="58" t="n"/>
      <c r="AQ111" s="155" t="inlineStr">
        <is>
          <t>Shopify Western Brothers</t>
        </is>
      </c>
      <c r="AR111" s="59" t="n"/>
      <c r="AS111" s="59" t="n">
        <v>2</v>
      </c>
      <c r="AT111" s="59" t="n"/>
      <c r="AU111" s="155" t="inlineStr">
        <is>
          <t>Shopify Western Brothers › Western Brothers Outlet Lerma: 2</t>
        </is>
      </c>
    </row>
    <row r="112">
      <c r="A112" s="51" t="n">
        <v>60</v>
      </c>
      <c r="B112" s="156" t="inlineStr">
        <is>
          <t>Productos — registro conservado</t>
        </is>
      </c>
      <c r="C112" s="125" t="inlineStr">
        <is>
          <t>Homologación G1522: mismo producto (mismo WB SKU)</t>
        </is>
      </c>
      <c r="D112" s="60" t="inlineStr">
        <is>
          <t>7506674602852</t>
        </is>
      </c>
      <c r="E112" s="59" t="inlineStr">
        <is>
          <t>30931</t>
        </is>
      </c>
      <c r="F112" s="155" t="inlineStr">
        <is>
          <t>Wrangler</t>
        </is>
      </c>
      <c r="G112" s="155" t="inlineStr">
        <is>
          <t>C49727-26</t>
        </is>
      </c>
      <c r="H112" s="155" t="inlineStr">
        <is>
          <t>C49727-26-42</t>
        </is>
      </c>
      <c r="I112" s="155" t="inlineStr">
        <is>
          <t>42</t>
        </is>
      </c>
      <c r="J112" s="155" t="inlineStr">
        <is>
          <t>42</t>
        </is>
      </c>
      <c r="K112" s="155" t="inlineStr">
        <is>
          <t>Wrangler</t>
        </is>
      </c>
      <c r="L112" s="155" t="inlineStr">
        <is>
          <t>Cinturon de hombre C49727-26 Café claro</t>
        </is>
      </c>
      <c r="M112" s="155" t="inlineStr">
        <is>
          <t>Accesorios</t>
        </is>
      </c>
      <c r="N112" s="155" t="inlineStr">
        <is>
          <t>Cinturones</t>
        </is>
      </c>
      <c r="O112" s="155" t="inlineStr">
        <is>
          <t>Hombre</t>
        </is>
      </c>
      <c r="P112" s="155" t="inlineStr">
        <is>
          <t>Wrangler</t>
        </is>
      </c>
      <c r="Q112" s="155" t="inlineStr">
        <is>
          <t>FW26</t>
        </is>
      </c>
      <c r="R112" s="155" t="inlineStr">
        <is>
          <t>Seasonal</t>
        </is>
      </c>
      <c r="S112" s="155" t="inlineStr">
        <is>
          <t>Cafe</t>
        </is>
      </c>
      <c r="T112" s="155" t="n"/>
      <c r="U112" s="155" t="n"/>
      <c r="V112" s="155" t="inlineStr">
        <is>
          <t>70% CUERO VACUNO 30% REGENERADO</t>
        </is>
      </c>
      <c r="W112" s="155" t="inlineStr">
        <is>
          <t>Cinturón para Caballero de Piel</t>
        </is>
      </c>
      <c r="X112" s="155" t="inlineStr">
        <is>
          <t>México</t>
        </is>
      </c>
      <c r="Y112" s="155" t="inlineStr">
        <is>
          <t>PZS</t>
        </is>
      </c>
      <c r="Z112" s="59" t="inlineStr">
        <is>
          <t>53102501</t>
        </is>
      </c>
      <c r="AA112" s="126" t="n"/>
      <c r="AB112" s="61" t="n">
        <v>292.76</v>
      </c>
      <c r="AC112" s="61" t="n">
        <v>365.948276</v>
      </c>
      <c r="AD112" s="62" t="inlineStr">
        <is>
          <t>Con Incidencias</t>
        </is>
      </c>
      <c r="AE112" s="64" t="inlineStr">
        <is>
          <t>SKU duplicado; [Aviso] Ciclo de vida no capturado ()</t>
        </is>
      </c>
      <c r="AF112" s="64" t="n"/>
      <c r="AG112" s="59" t="n"/>
      <c r="AH112" s="155" t="n"/>
      <c r="AI112" s="59" t="n"/>
      <c r="AJ112" s="155" t="inlineStr">
        <is>
          <t>Nuevo – Carga Hoja3 01/10/2026</t>
        </is>
      </c>
      <c r="AK112" s="155" t="inlineStr">
        <is>
          <t>Alta 01/10/2026 desde Hoja3 (fila 680); Mismo SKU que la fila 2481 con otro código/ID; revisar cuál es el vigente | 01/10/2026: complementado desde Odoo Universal Unique Brands (match por código de barras): WB Talla de EE. UU.</t>
        </is>
      </c>
      <c r="AL112" s="155" t="n"/>
      <c r="AM112" s="155" t="n"/>
      <c r="AN112" s="155" t="inlineStr">
        <is>
          <t>Hoja3: fila 680 | Odoo: producto 30931 / plantilla 39655</t>
        </is>
      </c>
      <c r="AO112" s="58" t="n"/>
      <c r="AP112" s="58" t="n"/>
      <c r="AQ112" s="155" t="inlineStr">
        <is>
          <t>Odoo Universal Unique Brands</t>
        </is>
      </c>
      <c r="AR112" s="59" t="n"/>
      <c r="AS112" s="59" t="n"/>
      <c r="AT112" s="59" t="n">
        <v>10</v>
      </c>
      <c r="AU112" s="155" t="inlineStr">
        <is>
          <t>Odoo Universal Unique Brands › Bodega 25 › Bodega 25/General: 10</t>
        </is>
      </c>
    </row>
    <row r="113">
      <c r="A113" s="51" t="n">
        <v>60</v>
      </c>
      <c r="B113" s="156" t="inlineStr">
        <is>
          <t>Productos — registro integrado en el anterior</t>
        </is>
      </c>
      <c r="C113" s="125" t="inlineStr">
        <is>
          <t>Homologación G1522: mismo producto (mismo WB SKU)</t>
        </is>
      </c>
      <c r="D113" s="60" t="inlineStr">
        <is>
          <t>7506674600666</t>
        </is>
      </c>
      <c r="E113" s="59" t="inlineStr">
        <is>
          <t>117876</t>
        </is>
      </c>
      <c r="F113" s="155" t="inlineStr">
        <is>
          <t>Wrangler</t>
        </is>
      </c>
      <c r="G113" s="155" t="inlineStr">
        <is>
          <t>C49727-26</t>
        </is>
      </c>
      <c r="H113" s="155" t="inlineStr">
        <is>
          <t>C49727-26-42</t>
        </is>
      </c>
      <c r="I113" s="155" t="inlineStr">
        <is>
          <t>42</t>
        </is>
      </c>
      <c r="J113" s="155" t="inlineStr">
        <is>
          <t>42</t>
        </is>
      </c>
      <c r="K113" s="155" t="inlineStr">
        <is>
          <t>Wrangler</t>
        </is>
      </c>
      <c r="L113" s="155" t="inlineStr">
        <is>
          <t>Cinturón Wrangler Una Vista Casual para Hombre, Color Cafe</t>
        </is>
      </c>
      <c r="M113" s="155" t="inlineStr">
        <is>
          <t>Accesorios</t>
        </is>
      </c>
      <c r="N113" s="155" t="inlineStr">
        <is>
          <t>Cinturones</t>
        </is>
      </c>
      <c r="O113" s="155" t="inlineStr">
        <is>
          <t>Hombre</t>
        </is>
      </c>
      <c r="P113" s="155" t="inlineStr">
        <is>
          <t>Wrangler</t>
        </is>
      </c>
      <c r="Q113" s="155" t="inlineStr">
        <is>
          <t>SS26</t>
        </is>
      </c>
      <c r="R113" s="155" t="inlineStr">
        <is>
          <t>Seasonal</t>
        </is>
      </c>
      <c r="S113" s="155" t="inlineStr">
        <is>
          <t>Cafe</t>
        </is>
      </c>
      <c r="T113" s="155" t="n"/>
      <c r="U113" s="155" t="n"/>
      <c r="V113" s="155" t="inlineStr">
        <is>
          <t>100% piel de vacuno</t>
        </is>
      </c>
      <c r="W113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13" s="155" t="inlineStr">
        <is>
          <t>México</t>
        </is>
      </c>
      <c r="Y113" s="155" t="inlineStr">
        <is>
          <t>PZS</t>
        </is>
      </c>
      <c r="Z113" s="59" t="inlineStr">
        <is>
          <t>53102501</t>
        </is>
      </c>
      <c r="AA113" s="126" t="n"/>
      <c r="AB113" s="61" t="n">
        <v>292.76</v>
      </c>
      <c r="AC113" s="61" t="n">
        <v>849</v>
      </c>
      <c r="AD113" s="62" t="inlineStr">
        <is>
          <t>Con Incidencias</t>
        </is>
      </c>
      <c r="AE113" s="64" t="inlineStr">
        <is>
          <t>SKU duplicado</t>
        </is>
      </c>
      <c r="AF113" s="64" t="n"/>
      <c r="AG113" s="59" t="n">
        <v>2</v>
      </c>
      <c r="AH113" s="155" t="inlineStr">
        <is>
          <t>WB OUTLET LERMA (2)</t>
        </is>
      </c>
      <c r="AI113" s="59" t="n">
        <v>2</v>
      </c>
      <c r="AJ113" s="155" t="inlineStr">
        <is>
          <t>Catálogo existente</t>
        </is>
      </c>
      <c r="AK113" s="155" t="inlineStr">
        <is>
          <t>Coincidencia por código de barras (ID NetSuite 117876) | ID alternativo de Hoja a Revisar 117876 (UPC coincidente); se conserva ID principal; Auditoría NetSuite 30/09/2026: llenado desde NetSuite [Z]; Vinculado por código de barras al ID NetSuite 117876 (antes en Identificador interno: 'C49727-26-42'); 01/10/2026: mismo SKU registrado también en fila 67699 con código 7506674602852 (ID 30931, desde Hoja3); revisar cuál es el vigente | 01/10/2026: complementado desde Shopify Western Brothers (match por código de barras): WB Fit, WB Silueta</t>
        </is>
      </c>
      <c r="AL113" s="155" t="inlineStr">
        <is>
          <t>No</t>
        </is>
      </c>
      <c r="AM113" s="155" t="n"/>
      <c r="AN113" s="155" t="inlineStr">
        <is>
          <t>| Hoja a Revisar: fila 196039 (ID 117876, misma clave UPC); G1522_Extraccion_Articulos_NetSuite_2026-09-30.xlsx: fila 64117 [Z] | Shopify WB: producto 10310436913337 / variante 50512592404665</t>
        </is>
      </c>
      <c r="AO113" s="58" t="inlineStr">
        <is>
          <t>292,76</t>
        </is>
      </c>
      <c r="AP113" s="58" t="n"/>
      <c r="AQ113" s="155" t="inlineStr">
        <is>
          <t>Shopify Western Brothers</t>
        </is>
      </c>
      <c r="AR113" s="59" t="n"/>
      <c r="AS113" s="59" t="n">
        <v>2</v>
      </c>
      <c r="AT113" s="59" t="n"/>
      <c r="AU113" s="155" t="inlineStr">
        <is>
          <t>Shopify Western Brothers › Western Brothers Outlet Lerma: 2</t>
        </is>
      </c>
    </row>
    <row r="114">
      <c r="A114" s="51" t="n">
        <v>61</v>
      </c>
      <c r="B114" s="156" t="inlineStr">
        <is>
          <t>Productos — registro conservado</t>
        </is>
      </c>
      <c r="C114" s="125" t="inlineStr">
        <is>
          <t>Homologación G1522: mismo producto (mismo WB SKU)</t>
        </is>
      </c>
      <c r="D114" s="60" t="inlineStr">
        <is>
          <t>7506674602869</t>
        </is>
      </c>
      <c r="E114" s="59" t="inlineStr">
        <is>
          <t>30932</t>
        </is>
      </c>
      <c r="F114" s="155" t="inlineStr">
        <is>
          <t>Wrangler</t>
        </is>
      </c>
      <c r="G114" s="155" t="inlineStr">
        <is>
          <t>C49727-26</t>
        </is>
      </c>
      <c r="H114" s="155" t="inlineStr">
        <is>
          <t>C49727-26-44</t>
        </is>
      </c>
      <c r="I114" s="155" t="inlineStr">
        <is>
          <t>44</t>
        </is>
      </c>
      <c r="J114" s="155" t="inlineStr">
        <is>
          <t>44</t>
        </is>
      </c>
      <c r="K114" s="155" t="inlineStr">
        <is>
          <t>Wrangler</t>
        </is>
      </c>
      <c r="L114" s="155" t="inlineStr">
        <is>
          <t>Cinturon de hombre C49727-26 Café claro</t>
        </is>
      </c>
      <c r="M114" s="155" t="inlineStr">
        <is>
          <t>Accesorios</t>
        </is>
      </c>
      <c r="N114" s="155" t="inlineStr">
        <is>
          <t>Cinturones</t>
        </is>
      </c>
      <c r="O114" s="155" t="inlineStr">
        <is>
          <t>Hombre</t>
        </is>
      </c>
      <c r="P114" s="155" t="inlineStr">
        <is>
          <t>Wrangler</t>
        </is>
      </c>
      <c r="Q114" s="155" t="inlineStr">
        <is>
          <t>FW26</t>
        </is>
      </c>
      <c r="R114" s="155" t="inlineStr">
        <is>
          <t>Seasonal</t>
        </is>
      </c>
      <c r="S114" s="155" t="inlineStr">
        <is>
          <t>Cafe</t>
        </is>
      </c>
      <c r="T114" s="155" t="n"/>
      <c r="U114" s="155" t="n"/>
      <c r="V114" s="155" t="inlineStr">
        <is>
          <t>70% CUERO VACUNO 30% REGENERADO</t>
        </is>
      </c>
      <c r="W114" s="155" t="inlineStr">
        <is>
          <t>Cinturón para Caballero de Piel</t>
        </is>
      </c>
      <c r="X114" s="155" t="inlineStr">
        <is>
          <t>México</t>
        </is>
      </c>
      <c r="Y114" s="155" t="inlineStr">
        <is>
          <t>PZS</t>
        </is>
      </c>
      <c r="Z114" s="59" t="inlineStr">
        <is>
          <t>53102501</t>
        </is>
      </c>
      <c r="AA114" s="126" t="n"/>
      <c r="AB114" s="61" t="n">
        <v>292.76</v>
      </c>
      <c r="AC114" s="61" t="n">
        <v>365.948276</v>
      </c>
      <c r="AD114" s="62" t="inlineStr">
        <is>
          <t>Con Incidencias</t>
        </is>
      </c>
      <c r="AE114" s="64" t="inlineStr">
        <is>
          <t>SKU duplicado; [Aviso] Ciclo de vida no capturado ()</t>
        </is>
      </c>
      <c r="AF114" s="64" t="n"/>
      <c r="AG114" s="59" t="n"/>
      <c r="AH114" s="155" t="n"/>
      <c r="AI114" s="59" t="n"/>
      <c r="AJ114" s="155" t="inlineStr">
        <is>
          <t>Nuevo – Carga Hoja3 01/10/2026</t>
        </is>
      </c>
      <c r="AK114" s="155" t="inlineStr">
        <is>
          <t>Alta 01/10/2026 desde Hoja3 (fila 681); Mismo SKU que la fila 2482 con otro código/ID; revisar cuál es el vigente | 01/10/2026: complementado desde Odoo Universal Unique Brands (match por código de barras): WB Talla de EE. UU.</t>
        </is>
      </c>
      <c r="AL114" s="155" t="n"/>
      <c r="AM114" s="155" t="n"/>
      <c r="AN114" s="155" t="inlineStr">
        <is>
          <t>Hoja3: fila 681 | Odoo: producto 30932 / plantilla 39655</t>
        </is>
      </c>
      <c r="AO114" s="58" t="n"/>
      <c r="AP114" s="58" t="n"/>
      <c r="AQ114" s="155" t="inlineStr">
        <is>
          <t>Odoo Universal Unique Brands</t>
        </is>
      </c>
      <c r="AR114" s="59" t="n"/>
      <c r="AS114" s="59" t="n"/>
      <c r="AT114" s="59" t="n">
        <v>11</v>
      </c>
      <c r="AU114" s="155" t="inlineStr">
        <is>
          <t>Odoo Universal Unique Brands › Bodega 25 › Bodega 25/General: 11</t>
        </is>
      </c>
    </row>
    <row r="115">
      <c r="A115" s="51" t="n">
        <v>61</v>
      </c>
      <c r="B115" s="156" t="inlineStr">
        <is>
          <t>Productos — registro integrado en el anterior</t>
        </is>
      </c>
      <c r="C115" s="125" t="inlineStr">
        <is>
          <t>Homologación G1522: mismo producto (mismo WB SKU)</t>
        </is>
      </c>
      <c r="D115" s="60" t="inlineStr">
        <is>
          <t>7506674600673</t>
        </is>
      </c>
      <c r="E115" s="59" t="inlineStr">
        <is>
          <t>117877</t>
        </is>
      </c>
      <c r="F115" s="155" t="inlineStr">
        <is>
          <t>Wrangler</t>
        </is>
      </c>
      <c r="G115" s="155" t="inlineStr">
        <is>
          <t>C49727-26</t>
        </is>
      </c>
      <c r="H115" s="155" t="inlineStr">
        <is>
          <t>C49727-26-44</t>
        </is>
      </c>
      <c r="I115" s="155" t="inlineStr">
        <is>
          <t>44</t>
        </is>
      </c>
      <c r="J115" s="155" t="inlineStr">
        <is>
          <t>44</t>
        </is>
      </c>
      <c r="K115" s="155" t="inlineStr">
        <is>
          <t>Wrangler</t>
        </is>
      </c>
      <c r="L115" s="155" t="inlineStr">
        <is>
          <t>Cinturón Wrangler Una Vista Casual para Hombre, Color Cafe</t>
        </is>
      </c>
      <c r="M115" s="155" t="inlineStr">
        <is>
          <t>Accesorios</t>
        </is>
      </c>
      <c r="N115" s="155" t="inlineStr">
        <is>
          <t>Cinturones</t>
        </is>
      </c>
      <c r="O115" s="155" t="inlineStr">
        <is>
          <t>Hombre</t>
        </is>
      </c>
      <c r="P115" s="155" t="inlineStr">
        <is>
          <t>Wrangler</t>
        </is>
      </c>
      <c r="Q115" s="155" t="inlineStr">
        <is>
          <t>SS26</t>
        </is>
      </c>
      <c r="R115" s="155" t="inlineStr">
        <is>
          <t>Seasonal</t>
        </is>
      </c>
      <c r="S115" s="155" t="inlineStr">
        <is>
          <t>Cafe</t>
        </is>
      </c>
      <c r="T115" s="155" t="n"/>
      <c r="U115" s="155" t="n"/>
      <c r="V115" s="155" t="inlineStr">
        <is>
          <t>100% piel de vacuno</t>
        </is>
      </c>
      <c r="W115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15" s="155" t="inlineStr">
        <is>
          <t>México</t>
        </is>
      </c>
      <c r="Y115" s="155" t="inlineStr">
        <is>
          <t>PZS</t>
        </is>
      </c>
      <c r="Z115" s="59" t="inlineStr">
        <is>
          <t>53102501</t>
        </is>
      </c>
      <c r="AA115" s="126" t="n"/>
      <c r="AB115" s="61" t="n">
        <v>292.76</v>
      </c>
      <c r="AC115" s="61" t="n">
        <v>849</v>
      </c>
      <c r="AD115" s="62" t="inlineStr">
        <is>
          <t>Con Incidencias</t>
        </is>
      </c>
      <c r="AE115" s="64" t="inlineStr">
        <is>
          <t>SKU duplicado</t>
        </is>
      </c>
      <c r="AF115" s="64" t="n"/>
      <c r="AG115" s="59" t="n">
        <v>1</v>
      </c>
      <c r="AH115" s="155" t="inlineStr">
        <is>
          <t>WB OUTLET LERMA (1)</t>
        </is>
      </c>
      <c r="AI115" s="59" t="n">
        <v>1</v>
      </c>
      <c r="AJ115" s="155" t="inlineStr">
        <is>
          <t>Catálogo existente</t>
        </is>
      </c>
      <c r="AK115" s="155" t="inlineStr">
        <is>
          <t>Coincidencia por código de barras (ID NetSuite 117877) | ID alternativo de Hoja a Revisar 117877 (UPC coincidente); se conserva ID principal; Auditoría NetSuite 30/09/2026: llenado desde NetSuite [Z]; Vinculado por código de barras al ID NetSuite 117877 (antes en Identificador interno: 'C49727-26-44'); 01/10/2026: mismo SKU registrado también en fila 67700 con código 7506674602869 (ID 30932, desde Hoja3); revisar cuál es el vigente | 01/10/2026: complementado desde Shopify Western Brothers (match por código de barras): WB Fit, WB Silueta</t>
        </is>
      </c>
      <c r="AL115" s="155" t="inlineStr">
        <is>
          <t>No</t>
        </is>
      </c>
      <c r="AM115" s="155" t="n"/>
      <c r="AN115" s="155" t="inlineStr">
        <is>
          <t>| Hoja a Revisar: fila 196040 (ID 117877, misma clave UPC); G1522_Extraccion_Articulos_NetSuite_2026-09-30.xlsx: fila 64118 [Z] | Shopify WB: producto 10310436913337 / variante 50512592437433</t>
        </is>
      </c>
      <c r="AO115" s="58" t="inlineStr">
        <is>
          <t>292,76</t>
        </is>
      </c>
      <c r="AP115" s="58" t="n"/>
      <c r="AQ115" s="155" t="inlineStr">
        <is>
          <t>Shopify Western Brothers</t>
        </is>
      </c>
      <c r="AR115" s="59" t="n"/>
      <c r="AS115" s="59" t="n">
        <v>1</v>
      </c>
      <c r="AT115" s="59" t="n"/>
      <c r="AU115" s="155" t="inlineStr">
        <is>
          <t>Shopify Western Brothers › Western Brothers Outlet Lerma: 1</t>
        </is>
      </c>
    </row>
    <row r="116">
      <c r="A116" s="51" t="n">
        <v>62</v>
      </c>
      <c r="B116" s="156" t="inlineStr">
        <is>
          <t>Productos — registro conservado</t>
        </is>
      </c>
      <c r="C116" s="125" t="inlineStr">
        <is>
          <t>Homologación G1522: mismo producto (mismo WB SKU)</t>
        </is>
      </c>
      <c r="D116" s="60" t="inlineStr">
        <is>
          <t>7503063066981</t>
        </is>
      </c>
      <c r="E116" s="59" t="inlineStr">
        <is>
          <t>30902</t>
        </is>
      </c>
      <c r="F116" s="155" t="inlineStr">
        <is>
          <t>Wrangler</t>
        </is>
      </c>
      <c r="G116" s="155" t="inlineStr">
        <is>
          <t>C49628-27</t>
        </is>
      </c>
      <c r="H116" s="155" t="inlineStr">
        <is>
          <t>C49628-27-32</t>
        </is>
      </c>
      <c r="I116" s="155" t="inlineStr">
        <is>
          <t>32</t>
        </is>
      </c>
      <c r="J116" s="155" t="inlineStr">
        <is>
          <t>32</t>
        </is>
      </c>
      <c r="K116" s="155" t="inlineStr">
        <is>
          <t>Wrangler</t>
        </is>
      </c>
      <c r="L116" s="155" t="inlineStr">
        <is>
          <t>Cinturon de hombre C49628-27 Café</t>
        </is>
      </c>
      <c r="M116" s="155" t="inlineStr">
        <is>
          <t>Accesorios</t>
        </is>
      </c>
      <c r="N116" s="155" t="inlineStr">
        <is>
          <t>Cinturones</t>
        </is>
      </c>
      <c r="O116" s="155" t="inlineStr">
        <is>
          <t>Hombre</t>
        </is>
      </c>
      <c r="P116" s="155" t="inlineStr">
        <is>
          <t>Wrangler</t>
        </is>
      </c>
      <c r="Q116" s="155" t="inlineStr">
        <is>
          <t>FW26</t>
        </is>
      </c>
      <c r="R116" s="155" t="inlineStr">
        <is>
          <t>Seasonal</t>
        </is>
      </c>
      <c r="S116" s="155" t="inlineStr">
        <is>
          <t>Cafe</t>
        </is>
      </c>
      <c r="T116" s="155" t="n"/>
      <c r="U116" s="155" t="n"/>
      <c r="V116" s="155" t="inlineStr">
        <is>
          <t>100% PIEL VACUNO</t>
        </is>
      </c>
      <c r="W116" s="155" t="inlineStr">
        <is>
          <t>Cinturón para Caballero de Piel</t>
        </is>
      </c>
      <c r="X116" s="155" t="inlineStr">
        <is>
          <t>México</t>
        </is>
      </c>
      <c r="Y116" s="155" t="inlineStr">
        <is>
          <t>PZS</t>
        </is>
      </c>
      <c r="Z116" s="59" t="inlineStr">
        <is>
          <t>53102501</t>
        </is>
      </c>
      <c r="AA116" s="126" t="n"/>
      <c r="AB116" s="61" t="n">
        <v>292.76</v>
      </c>
      <c r="AC116" s="61" t="n">
        <v>365.948276</v>
      </c>
      <c r="AD116" s="62" t="inlineStr">
        <is>
          <t>Con Incidencias</t>
        </is>
      </c>
      <c r="AE116" s="64" t="inlineStr">
        <is>
          <t>SKU duplicado; [Aviso] Ciclo de vida no capturado ()</t>
        </is>
      </c>
      <c r="AF116" s="64" t="n"/>
      <c r="AG116" s="59" t="n"/>
      <c r="AH116" s="155" t="n"/>
      <c r="AI116" s="59" t="n"/>
      <c r="AJ116" s="155" t="inlineStr">
        <is>
          <t>Nuevo – Carga Hoja3 01/10/2026</t>
        </is>
      </c>
      <c r="AK116" s="155" t="inlineStr">
        <is>
          <t>Alta 01/10/2026 desde Hoja3 (fila 668); Mismo SKU que la fila 2483 con otro código/ID; revisar cuál es el vigente | 01/10/2026: complementado desde Odoo Universal Unique Brands (match por código de barras): WB Talla de EE. UU.</t>
        </is>
      </c>
      <c r="AL116" s="155" t="n"/>
      <c r="AM116" s="155" t="n"/>
      <c r="AN116" s="155" t="inlineStr">
        <is>
          <t>Hoja3: fila 668 | Odoo: producto 30902 / plantilla 39652</t>
        </is>
      </c>
      <c r="AO116" s="58" t="n"/>
      <c r="AP116" s="58" t="n"/>
      <c r="AQ116" s="155" t="inlineStr">
        <is>
          <t>Odoo Universal Unique Brands</t>
        </is>
      </c>
      <c r="AR116" s="59" t="n"/>
      <c r="AS116" s="59" t="n"/>
      <c r="AT116" s="59" t="n">
        <v>5</v>
      </c>
      <c r="AU116" s="155" t="inlineStr">
        <is>
          <t>Odoo Universal Unique Brands › Bodega 25 › Bodega 25/General: 5</t>
        </is>
      </c>
    </row>
    <row r="117">
      <c r="A117" s="51" t="n">
        <v>62</v>
      </c>
      <c r="B117" s="156" t="inlineStr">
        <is>
          <t>Productos — registro integrado en el anterior</t>
        </is>
      </c>
      <c r="C117" s="125" t="inlineStr">
        <is>
          <t>Homologación G1522: mismo producto (mismo WB SKU)</t>
        </is>
      </c>
      <c r="D117" s="60" t="inlineStr">
        <is>
          <t>7506674600543</t>
        </is>
      </c>
      <c r="E117" s="59" t="inlineStr">
        <is>
          <t>117934</t>
        </is>
      </c>
      <c r="F117" s="155" t="inlineStr">
        <is>
          <t>Wrangler</t>
        </is>
      </c>
      <c r="G117" s="155" t="inlineStr">
        <is>
          <t>C49628-27</t>
        </is>
      </c>
      <c r="H117" s="155" t="inlineStr">
        <is>
          <t>C49628-27-32</t>
        </is>
      </c>
      <c r="I117" s="155" t="inlineStr">
        <is>
          <t>32</t>
        </is>
      </c>
      <c r="J117" s="155" t="inlineStr">
        <is>
          <t>32</t>
        </is>
      </c>
      <c r="K117" s="155" t="inlineStr">
        <is>
          <t>Wrangler</t>
        </is>
      </c>
      <c r="L117" s="155" t="inlineStr">
        <is>
          <t>Cinturón Wrangler Una Vista Casual para Hombre, Color Cafe</t>
        </is>
      </c>
      <c r="M117" s="155" t="inlineStr">
        <is>
          <t>Accesorios</t>
        </is>
      </c>
      <c r="N117" s="155" t="inlineStr">
        <is>
          <t>Cinturones</t>
        </is>
      </c>
      <c r="O117" s="155" t="inlineStr">
        <is>
          <t>Hombre</t>
        </is>
      </c>
      <c r="P117" s="155" t="inlineStr">
        <is>
          <t>Wrangler</t>
        </is>
      </c>
      <c r="Q117" s="155" t="inlineStr">
        <is>
          <t>SS26</t>
        </is>
      </c>
      <c r="R117" s="155" t="inlineStr">
        <is>
          <t>Seasonal</t>
        </is>
      </c>
      <c r="S117" s="155" t="inlineStr">
        <is>
          <t>Cafe</t>
        </is>
      </c>
      <c r="T117" s="155" t="n"/>
      <c r="U117" s="155" t="n"/>
      <c r="V117" s="155" t="inlineStr">
        <is>
          <t>100% piel de vacuno</t>
        </is>
      </c>
      <c r="W117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17" s="155" t="inlineStr">
        <is>
          <t>México</t>
        </is>
      </c>
      <c r="Y117" s="155" t="inlineStr">
        <is>
          <t>PZS</t>
        </is>
      </c>
      <c r="Z117" s="59" t="inlineStr">
        <is>
          <t>53102501</t>
        </is>
      </c>
      <c r="AA117" s="126" t="n"/>
      <c r="AB117" s="61" t="n">
        <v>292.76</v>
      </c>
      <c r="AC117" s="61" t="n">
        <v>849</v>
      </c>
      <c r="AD117" s="62" t="inlineStr">
        <is>
          <t>Con Incidencias</t>
        </is>
      </c>
      <c r="AE117" s="64" t="inlineStr">
        <is>
          <t>SKU duplicado</t>
        </is>
      </c>
      <c r="AF117" s="64" t="n"/>
      <c r="AG117" s="59" t="n">
        <v>1</v>
      </c>
      <c r="AH117" s="155" t="inlineStr">
        <is>
          <t>WB OUTLET LERMA (1)</t>
        </is>
      </c>
      <c r="AI117" s="59" t="n">
        <v>1</v>
      </c>
      <c r="AJ117" s="155" t="inlineStr">
        <is>
          <t>Catálogo existente</t>
        </is>
      </c>
      <c r="AK117" s="155" t="inlineStr">
        <is>
          <t>Coincidencia por código de barras (ID NetSuite 117934) | ID alternativo de Hoja a Revisar 117934 (UPC coincidente); se conserva ID principal; Auditoría NetSuite 30/09/2026: llenado desde NetSuite [Z]; Vinculado por código de barras al ID NetSuite 117934 (antes en Identificador interno: 'C49628-27-32'); 01/10/2026: mismo SKU registrado también en fila 67687 con código 7503063066981 (ID 30902, desde Hoja3); revisar cuál es el vigente | 01/10/2026: complementado desde Shopify Western Brothers (match por código de barras): WB Fit, WB Silueta</t>
        </is>
      </c>
      <c r="AL117" s="155" t="inlineStr">
        <is>
          <t>No</t>
        </is>
      </c>
      <c r="AM117" s="155" t="n"/>
      <c r="AN117" s="155" t="inlineStr">
        <is>
          <t>| Hoja a Revisar: fila 196026 (ID 117934, misma clave UPC); G1522_Extraccion_Articulos_NetSuite_2026-09-30.xlsx: fila 64175 [Z] | Shopify WB: producto 10310436978873 / variante 50512592928953</t>
        </is>
      </c>
      <c r="AO117" s="58" t="inlineStr">
        <is>
          <t>292,76</t>
        </is>
      </c>
      <c r="AP117" s="58" t="n"/>
      <c r="AQ117" s="155" t="inlineStr">
        <is>
          <t>Shopify Western Brothers</t>
        </is>
      </c>
      <c r="AR117" s="59" t="n"/>
      <c r="AS117" s="59" t="n">
        <v>1</v>
      </c>
      <c r="AT117" s="59" t="n"/>
      <c r="AU117" s="155" t="inlineStr">
        <is>
          <t>Shopify Western Brothers › Western Brothers Outlet Lerma: 1</t>
        </is>
      </c>
    </row>
    <row r="118">
      <c r="A118" s="51" t="n">
        <v>63</v>
      </c>
      <c r="B118" s="156" t="inlineStr">
        <is>
          <t>Productos — registro conservado</t>
        </is>
      </c>
      <c r="C118" s="125" t="inlineStr">
        <is>
          <t>Homologación G1522: mismo producto (mismo WB SKU)</t>
        </is>
      </c>
      <c r="D118" s="60" t="inlineStr">
        <is>
          <t>7503063066998</t>
        </is>
      </c>
      <c r="E118" s="59" t="inlineStr">
        <is>
          <t>30903</t>
        </is>
      </c>
      <c r="F118" s="155" t="inlineStr">
        <is>
          <t>Wrangler</t>
        </is>
      </c>
      <c r="G118" s="155" t="inlineStr">
        <is>
          <t>C49628-27</t>
        </is>
      </c>
      <c r="H118" s="155" t="inlineStr">
        <is>
          <t>C49628-27-34</t>
        </is>
      </c>
      <c r="I118" s="155" t="inlineStr">
        <is>
          <t>34</t>
        </is>
      </c>
      <c r="J118" s="155" t="inlineStr">
        <is>
          <t>34</t>
        </is>
      </c>
      <c r="K118" s="155" t="inlineStr">
        <is>
          <t>Wrangler</t>
        </is>
      </c>
      <c r="L118" s="155" t="inlineStr">
        <is>
          <t>Cinturon de hombre C49628-27 Café</t>
        </is>
      </c>
      <c r="M118" s="155" t="inlineStr">
        <is>
          <t>Accesorios</t>
        </is>
      </c>
      <c r="N118" s="155" t="inlineStr">
        <is>
          <t>Cinturones</t>
        </is>
      </c>
      <c r="O118" s="155" t="inlineStr">
        <is>
          <t>Hombre</t>
        </is>
      </c>
      <c r="P118" s="155" t="inlineStr">
        <is>
          <t>Wrangler</t>
        </is>
      </c>
      <c r="Q118" s="155" t="inlineStr">
        <is>
          <t>FW26</t>
        </is>
      </c>
      <c r="R118" s="155" t="inlineStr">
        <is>
          <t>Seasonal</t>
        </is>
      </c>
      <c r="S118" s="155" t="inlineStr">
        <is>
          <t>Cafe</t>
        </is>
      </c>
      <c r="T118" s="155" t="n"/>
      <c r="U118" s="155" t="n"/>
      <c r="V118" s="155" t="inlineStr">
        <is>
          <t>100% PIEL VACUNO</t>
        </is>
      </c>
      <c r="W118" s="155" t="inlineStr">
        <is>
          <t>Cinturón para Caballero de Piel</t>
        </is>
      </c>
      <c r="X118" s="155" t="inlineStr">
        <is>
          <t>México</t>
        </is>
      </c>
      <c r="Y118" s="155" t="inlineStr">
        <is>
          <t>PZS</t>
        </is>
      </c>
      <c r="Z118" s="59" t="inlineStr">
        <is>
          <t>53102501</t>
        </is>
      </c>
      <c r="AA118" s="126" t="n"/>
      <c r="AB118" s="61" t="n">
        <v>292.76</v>
      </c>
      <c r="AC118" s="61" t="n">
        <v>365.948276</v>
      </c>
      <c r="AD118" s="62" t="inlineStr">
        <is>
          <t>Con Incidencias</t>
        </is>
      </c>
      <c r="AE118" s="64" t="inlineStr">
        <is>
          <t>SKU duplicado; [Aviso] Ciclo de vida no capturado ()</t>
        </is>
      </c>
      <c r="AF118" s="64" t="n"/>
      <c r="AG118" s="59" t="n"/>
      <c r="AH118" s="155" t="n"/>
      <c r="AI118" s="59" t="n"/>
      <c r="AJ118" s="155" t="inlineStr">
        <is>
          <t>Nuevo – Carga Hoja3 01/10/2026</t>
        </is>
      </c>
      <c r="AK118" s="155" t="inlineStr">
        <is>
          <t>Alta 01/10/2026 desde Hoja3 (fila 669); Mismo SKU que la fila 2484 con otro código/ID; revisar cuál es el vigente | 01/10/2026: complementado desde Odoo Universal Unique Brands (match por código de barras): WB Talla de EE. UU.</t>
        </is>
      </c>
      <c r="AL118" s="155" t="n"/>
      <c r="AM118" s="155" t="n"/>
      <c r="AN118" s="155" t="inlineStr">
        <is>
          <t>Hoja3: fila 669 | Odoo: producto 30903 / plantilla 39652</t>
        </is>
      </c>
      <c r="AO118" s="58" t="n"/>
      <c r="AP118" s="58" t="n"/>
      <c r="AQ118" s="155" t="inlineStr">
        <is>
          <t>Odoo Universal Unique Brands</t>
        </is>
      </c>
      <c r="AR118" s="59" t="n"/>
      <c r="AS118" s="59" t="n"/>
      <c r="AT118" s="59" t="n">
        <v>10</v>
      </c>
      <c r="AU118" s="155" t="inlineStr">
        <is>
          <t>Odoo Universal Unique Brands › Bodega 25 › Bodega 25/General: 10</t>
        </is>
      </c>
    </row>
    <row r="119">
      <c r="A119" s="51" t="n">
        <v>63</v>
      </c>
      <c r="B119" s="156" t="inlineStr">
        <is>
          <t>Productos — registro integrado en el anterior</t>
        </is>
      </c>
      <c r="C119" s="125" t="inlineStr">
        <is>
          <t>Homologación G1522: mismo producto (mismo WB SKU)</t>
        </is>
      </c>
      <c r="D119" s="60" t="inlineStr">
        <is>
          <t>7506674600550</t>
        </is>
      </c>
      <c r="E119" s="59" t="inlineStr">
        <is>
          <t>117935</t>
        </is>
      </c>
      <c r="F119" s="155" t="inlineStr">
        <is>
          <t>Wrangler</t>
        </is>
      </c>
      <c r="G119" s="155" t="inlineStr">
        <is>
          <t>C49628-27</t>
        </is>
      </c>
      <c r="H119" s="155" t="inlineStr">
        <is>
          <t>C49628-27-34</t>
        </is>
      </c>
      <c r="I119" s="155" t="inlineStr">
        <is>
          <t>34</t>
        </is>
      </c>
      <c r="J119" s="155" t="inlineStr">
        <is>
          <t>34</t>
        </is>
      </c>
      <c r="K119" s="155" t="inlineStr">
        <is>
          <t>Wrangler</t>
        </is>
      </c>
      <c r="L119" s="155" t="inlineStr">
        <is>
          <t>Cinturón Wrangler Una Vista Casual para Hombre, Color Cafe</t>
        </is>
      </c>
      <c r="M119" s="155" t="inlineStr">
        <is>
          <t>Accesorios</t>
        </is>
      </c>
      <c r="N119" s="155" t="inlineStr">
        <is>
          <t>Cinturones</t>
        </is>
      </c>
      <c r="O119" s="155" t="inlineStr">
        <is>
          <t>Hombre</t>
        </is>
      </c>
      <c r="P119" s="155" t="inlineStr">
        <is>
          <t>Wrangler</t>
        </is>
      </c>
      <c r="Q119" s="155" t="inlineStr">
        <is>
          <t>SS26</t>
        </is>
      </c>
      <c r="R119" s="155" t="inlineStr">
        <is>
          <t>Seasonal</t>
        </is>
      </c>
      <c r="S119" s="155" t="inlineStr">
        <is>
          <t>Cafe</t>
        </is>
      </c>
      <c r="T119" s="155" t="n"/>
      <c r="U119" s="155" t="n"/>
      <c r="V119" s="155" t="inlineStr">
        <is>
          <t>100% piel de vacuno</t>
        </is>
      </c>
      <c r="W119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19" s="155" t="inlineStr">
        <is>
          <t>México</t>
        </is>
      </c>
      <c r="Y119" s="155" t="inlineStr">
        <is>
          <t>PZS</t>
        </is>
      </c>
      <c r="Z119" s="59" t="inlineStr">
        <is>
          <t>53102501</t>
        </is>
      </c>
      <c r="AA119" s="126" t="n"/>
      <c r="AB119" s="61" t="n">
        <v>292.76</v>
      </c>
      <c r="AC119" s="61" t="n">
        <v>849</v>
      </c>
      <c r="AD119" s="62" t="inlineStr">
        <is>
          <t>Con Incidencias</t>
        </is>
      </c>
      <c r="AE119" s="64" t="inlineStr">
        <is>
          <t>SKU duplicado</t>
        </is>
      </c>
      <c r="AF119" s="64" t="n"/>
      <c r="AG119" s="59" t="n">
        <v>2</v>
      </c>
      <c r="AH119" s="155" t="inlineStr">
        <is>
          <t>WB OUTLET LERMA (2)</t>
        </is>
      </c>
      <c r="AI119" s="59" t="n">
        <v>2</v>
      </c>
      <c r="AJ119" s="155" t="inlineStr">
        <is>
          <t>Catálogo existente</t>
        </is>
      </c>
      <c r="AK119" s="155" t="inlineStr">
        <is>
          <t>Coincidencia por código de barras (ID NetSuite 117935) | ID alternativo de Hoja a Revisar 117935 (UPC coincidente); se conserva ID principal; Auditoría NetSuite 30/09/2026: llenado desde NetSuite [Z]; Vinculado por código de barras al ID NetSuite 117935 (antes en Identificador interno: 'C49628-27-34'); 01/10/2026: mismo SKU registrado también en fila 67688 con código 7503063066998 (ID 30903, desde Hoja3); revisar cuál es el vigente | 01/10/2026: complementado desde Shopify Western Brothers (match por código de barras): WB Fit, WB Silueta</t>
        </is>
      </c>
      <c r="AL119" s="155" t="inlineStr">
        <is>
          <t>No</t>
        </is>
      </c>
      <c r="AM119" s="155" t="n"/>
      <c r="AN119" s="155" t="inlineStr">
        <is>
          <t>| Hoja a Revisar: fila 196027 (ID 117935, misma clave UPC); G1522_Extraccion_Articulos_NetSuite_2026-09-30.xlsx: fila 64176 [Z] | Shopify WB: producto 10310436978873 / variante 50512592961721</t>
        </is>
      </c>
      <c r="AO119" s="58" t="inlineStr">
        <is>
          <t>292,76</t>
        </is>
      </c>
      <c r="AP119" s="58" t="n"/>
      <c r="AQ119" s="155" t="inlineStr">
        <is>
          <t>Shopify Western Brothers</t>
        </is>
      </c>
      <c r="AR119" s="59" t="n"/>
      <c r="AS119" s="59" t="n">
        <v>2</v>
      </c>
      <c r="AT119" s="59" t="n"/>
      <c r="AU119" s="155" t="inlineStr">
        <is>
          <t>Shopify Western Brothers › Western Brothers Outlet Lerma: 2</t>
        </is>
      </c>
    </row>
    <row r="120">
      <c r="A120" s="51" t="n">
        <v>64</v>
      </c>
      <c r="B120" s="156" t="inlineStr">
        <is>
          <t>Productos — registro conservado</t>
        </is>
      </c>
      <c r="C120" s="125" t="inlineStr">
        <is>
          <t>Homologación G1522: mismo producto (mismo WB SKU)</t>
        </is>
      </c>
      <c r="D120" s="60" t="inlineStr">
        <is>
          <t>7506674600001</t>
        </is>
      </c>
      <c r="E120" s="59" t="inlineStr">
        <is>
          <t>30904</t>
        </is>
      </c>
      <c r="F120" s="155" t="inlineStr">
        <is>
          <t>Wrangler</t>
        </is>
      </c>
      <c r="G120" s="155" t="inlineStr">
        <is>
          <t>C49628-27</t>
        </is>
      </c>
      <c r="H120" s="155" t="inlineStr">
        <is>
          <t>C49628-27-36</t>
        </is>
      </c>
      <c r="I120" s="155" t="inlineStr">
        <is>
          <t>36</t>
        </is>
      </c>
      <c r="J120" s="155" t="inlineStr">
        <is>
          <t>36</t>
        </is>
      </c>
      <c r="K120" s="155" t="inlineStr">
        <is>
          <t>Wrangler</t>
        </is>
      </c>
      <c r="L120" s="155" t="inlineStr">
        <is>
          <t>Cinturon de hombre C49628-27 Café</t>
        </is>
      </c>
      <c r="M120" s="155" t="inlineStr">
        <is>
          <t>Accesorios</t>
        </is>
      </c>
      <c r="N120" s="155" t="inlineStr">
        <is>
          <t>Cinturones</t>
        </is>
      </c>
      <c r="O120" s="155" t="inlineStr">
        <is>
          <t>Hombre</t>
        </is>
      </c>
      <c r="P120" s="155" t="inlineStr">
        <is>
          <t>Wrangler</t>
        </is>
      </c>
      <c r="Q120" s="155" t="inlineStr">
        <is>
          <t>FW26</t>
        </is>
      </c>
      <c r="R120" s="155" t="inlineStr">
        <is>
          <t>Seasonal</t>
        </is>
      </c>
      <c r="S120" s="155" t="inlineStr">
        <is>
          <t>Cafe</t>
        </is>
      </c>
      <c r="T120" s="155" t="n"/>
      <c r="U120" s="155" t="n"/>
      <c r="V120" s="155" t="inlineStr">
        <is>
          <t>100% PIEL VACUNO</t>
        </is>
      </c>
      <c r="W120" s="155" t="inlineStr">
        <is>
          <t>Cinturón para Caballero de Piel</t>
        </is>
      </c>
      <c r="X120" s="155" t="inlineStr">
        <is>
          <t>México</t>
        </is>
      </c>
      <c r="Y120" s="155" t="inlineStr">
        <is>
          <t>PZS</t>
        </is>
      </c>
      <c r="Z120" s="59" t="inlineStr">
        <is>
          <t>53102501</t>
        </is>
      </c>
      <c r="AA120" s="126" t="n"/>
      <c r="AB120" s="61" t="n">
        <v>292.76</v>
      </c>
      <c r="AC120" s="61" t="n">
        <v>365.948276</v>
      </c>
      <c r="AD120" s="62" t="inlineStr">
        <is>
          <t>Con Incidencias</t>
        </is>
      </c>
      <c r="AE120" s="64" t="inlineStr">
        <is>
          <t>SKU duplicado; [Aviso] Ciclo de vida no capturado ()</t>
        </is>
      </c>
      <c r="AF120" s="64" t="n"/>
      <c r="AG120" s="59" t="n"/>
      <c r="AH120" s="155" t="n"/>
      <c r="AI120" s="59" t="n"/>
      <c r="AJ120" s="155" t="inlineStr">
        <is>
          <t>Nuevo – Carga Hoja3 01/10/2026</t>
        </is>
      </c>
      <c r="AK120" s="155" t="inlineStr">
        <is>
          <t>Alta 01/10/2026 desde Hoja3 (fila 670); Mismo SKU que la fila 2485 con otro código/ID; revisar cuál es el vigente | 01/10/2026: complementado desde Odoo Universal Unique Brands (match por código de barras): WB Talla de EE. UU.</t>
        </is>
      </c>
      <c r="AL120" s="155" t="n"/>
      <c r="AM120" s="155" t="n"/>
      <c r="AN120" s="155" t="inlineStr">
        <is>
          <t>Hoja3: fila 670 | Odoo: producto 30904 / plantilla 39652</t>
        </is>
      </c>
      <c r="AO120" s="58" t="n"/>
      <c r="AP120" s="58" t="n"/>
      <c r="AQ120" s="155" t="inlineStr">
        <is>
          <t>Odoo Universal Unique Brands</t>
        </is>
      </c>
      <c r="AR120" s="59" t="n"/>
      <c r="AS120" s="59" t="n"/>
      <c r="AT120" s="59" t="n">
        <v>10</v>
      </c>
      <c r="AU120" s="155" t="inlineStr">
        <is>
          <t>Odoo Universal Unique Brands › Bodega 25 › Bodega 25/General: 10</t>
        </is>
      </c>
    </row>
    <row r="121">
      <c r="A121" s="51" t="n">
        <v>64</v>
      </c>
      <c r="B121" s="156" t="inlineStr">
        <is>
          <t>Productos — registro integrado en el anterior</t>
        </is>
      </c>
      <c r="C121" s="125" t="inlineStr">
        <is>
          <t>Homologación G1522: mismo producto (mismo WB SKU)</t>
        </is>
      </c>
      <c r="D121" s="60" t="inlineStr">
        <is>
          <t>7506674600567</t>
        </is>
      </c>
      <c r="E121" s="59" t="inlineStr">
        <is>
          <t>117936</t>
        </is>
      </c>
      <c r="F121" s="155" t="inlineStr">
        <is>
          <t>Wrangler</t>
        </is>
      </c>
      <c r="G121" s="155" t="inlineStr">
        <is>
          <t>C49628-27</t>
        </is>
      </c>
      <c r="H121" s="155" t="inlineStr">
        <is>
          <t>C49628-27-36</t>
        </is>
      </c>
      <c r="I121" s="155" t="inlineStr">
        <is>
          <t>36</t>
        </is>
      </c>
      <c r="J121" s="155" t="inlineStr">
        <is>
          <t>36</t>
        </is>
      </c>
      <c r="K121" s="155" t="inlineStr">
        <is>
          <t>Wrangler</t>
        </is>
      </c>
      <c r="L121" s="155" t="inlineStr">
        <is>
          <t>Cinturón Wrangler Una Vista Casual para Hombre, Color Cafe</t>
        </is>
      </c>
      <c r="M121" s="155" t="inlineStr">
        <is>
          <t>Accesorios</t>
        </is>
      </c>
      <c r="N121" s="155" t="inlineStr">
        <is>
          <t>Cinturones</t>
        </is>
      </c>
      <c r="O121" s="155" t="inlineStr">
        <is>
          <t>Hombre</t>
        </is>
      </c>
      <c r="P121" s="155" t="inlineStr">
        <is>
          <t>Wrangler</t>
        </is>
      </c>
      <c r="Q121" s="155" t="inlineStr">
        <is>
          <t>SS26</t>
        </is>
      </c>
      <c r="R121" s="155" t="inlineStr">
        <is>
          <t>Seasonal</t>
        </is>
      </c>
      <c r="S121" s="155" t="inlineStr">
        <is>
          <t>Cafe</t>
        </is>
      </c>
      <c r="T121" s="155" t="n"/>
      <c r="U121" s="155" t="n"/>
      <c r="V121" s="155" t="inlineStr">
        <is>
          <t>100% piel de vacuno</t>
        </is>
      </c>
      <c r="W121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21" s="155" t="inlineStr">
        <is>
          <t>México</t>
        </is>
      </c>
      <c r="Y121" s="155" t="inlineStr">
        <is>
          <t>PZS</t>
        </is>
      </c>
      <c r="Z121" s="59" t="inlineStr">
        <is>
          <t>53102501</t>
        </is>
      </c>
      <c r="AA121" s="126" t="n"/>
      <c r="AB121" s="61" t="n">
        <v>292.76</v>
      </c>
      <c r="AC121" s="61" t="n">
        <v>849</v>
      </c>
      <c r="AD121" s="62" t="inlineStr">
        <is>
          <t>Con Incidencias</t>
        </is>
      </c>
      <c r="AE121" s="64" t="inlineStr">
        <is>
          <t>SKU duplicado</t>
        </is>
      </c>
      <c r="AF121" s="64" t="n"/>
      <c r="AG121" s="59" t="n">
        <v>2</v>
      </c>
      <c r="AH121" s="155" t="inlineStr">
        <is>
          <t>WB OUTLET LERMA (2)</t>
        </is>
      </c>
      <c r="AI121" s="59" t="n">
        <v>2</v>
      </c>
      <c r="AJ121" s="155" t="inlineStr">
        <is>
          <t>Catálogo existente</t>
        </is>
      </c>
      <c r="AK121" s="155" t="inlineStr">
        <is>
          <t>Coincidencia por código de barras (ID NetSuite 117936) | ID alternativo de Hoja a Revisar 117936 (UPC coincidente); se conserva ID principal; Auditoría NetSuite 30/09/2026: llenado desde NetSuite [Z]; Vinculado por código de barras al ID NetSuite 117936 (antes en Identificador interno: 'C49628-27-36'); 01/10/2026: mismo SKU registrado también en fila 67689 con código 7506674600001 (ID 30904, desde Hoja3); revisar cuál es el vigente | 01/10/2026: complementado desde Shopify Western Brothers (match por código de barras): WB Fit, WB Silueta</t>
        </is>
      </c>
      <c r="AL121" s="155" t="inlineStr">
        <is>
          <t>No</t>
        </is>
      </c>
      <c r="AM121" s="155" t="n"/>
      <c r="AN121" s="155" t="inlineStr">
        <is>
          <t>| Hoja a Revisar: fila 196028 (ID 117936, misma clave UPC); G1522_Extraccion_Articulos_NetSuite_2026-09-30.xlsx: fila 64177 [Z] | Shopify WB: producto 10310436978873 / variante 50512592994489</t>
        </is>
      </c>
      <c r="AO121" s="58" t="inlineStr">
        <is>
          <t>292,76</t>
        </is>
      </c>
      <c r="AP121" s="58" t="n"/>
      <c r="AQ121" s="155" t="inlineStr">
        <is>
          <t>Shopify Western Brothers</t>
        </is>
      </c>
      <c r="AR121" s="59" t="n"/>
      <c r="AS121" s="59" t="n">
        <v>2</v>
      </c>
      <c r="AT121" s="59" t="n"/>
      <c r="AU121" s="155" t="inlineStr">
        <is>
          <t>Shopify Western Brothers › Western Brothers Outlet Lerma: 2</t>
        </is>
      </c>
    </row>
    <row r="122">
      <c r="A122" s="51" t="n">
        <v>65</v>
      </c>
      <c r="B122" s="156" t="inlineStr">
        <is>
          <t>Productos — registro conservado</t>
        </is>
      </c>
      <c r="C122" s="125" t="inlineStr">
        <is>
          <t>Homologación G1522: mismo producto (mismo WB SKU)</t>
        </is>
      </c>
      <c r="D122" s="60" t="inlineStr">
        <is>
          <t>7506674600018</t>
        </is>
      </c>
      <c r="E122" s="59" t="inlineStr">
        <is>
          <t>30905</t>
        </is>
      </c>
      <c r="F122" s="155" t="inlineStr">
        <is>
          <t>Wrangler</t>
        </is>
      </c>
      <c r="G122" s="155" t="inlineStr">
        <is>
          <t>C49628-27</t>
        </is>
      </c>
      <c r="H122" s="155" t="inlineStr">
        <is>
          <t>C49628-27-38</t>
        </is>
      </c>
      <c r="I122" s="155" t="inlineStr">
        <is>
          <t>38</t>
        </is>
      </c>
      <c r="J122" s="155" t="inlineStr">
        <is>
          <t>38</t>
        </is>
      </c>
      <c r="K122" s="155" t="inlineStr">
        <is>
          <t>Wrangler</t>
        </is>
      </c>
      <c r="L122" s="155" t="inlineStr">
        <is>
          <t>Cinturon de hombre C49628-27 Café</t>
        </is>
      </c>
      <c r="M122" s="155" t="inlineStr">
        <is>
          <t>Accesorios</t>
        </is>
      </c>
      <c r="N122" s="155" t="inlineStr">
        <is>
          <t>Cinturones</t>
        </is>
      </c>
      <c r="O122" s="155" t="inlineStr">
        <is>
          <t>Hombre</t>
        </is>
      </c>
      <c r="P122" s="155" t="inlineStr">
        <is>
          <t>Wrangler</t>
        </is>
      </c>
      <c r="Q122" s="155" t="inlineStr">
        <is>
          <t>FW26</t>
        </is>
      </c>
      <c r="R122" s="155" t="inlineStr">
        <is>
          <t>Seasonal</t>
        </is>
      </c>
      <c r="S122" s="155" t="inlineStr">
        <is>
          <t>Cafe</t>
        </is>
      </c>
      <c r="T122" s="155" t="n"/>
      <c r="U122" s="155" t="n"/>
      <c r="V122" s="155" t="inlineStr">
        <is>
          <t>100% PIEL VACUNO</t>
        </is>
      </c>
      <c r="W122" s="155" t="inlineStr">
        <is>
          <t>Cinturón para Caballero de Piel</t>
        </is>
      </c>
      <c r="X122" s="155" t="inlineStr">
        <is>
          <t>México</t>
        </is>
      </c>
      <c r="Y122" s="155" t="inlineStr">
        <is>
          <t>PZS</t>
        </is>
      </c>
      <c r="Z122" s="59" t="inlineStr">
        <is>
          <t>53102501</t>
        </is>
      </c>
      <c r="AA122" s="126" t="n"/>
      <c r="AB122" s="61" t="n">
        <v>292.76</v>
      </c>
      <c r="AC122" s="61" t="n">
        <v>365.948276</v>
      </c>
      <c r="AD122" s="62" t="inlineStr">
        <is>
          <t>Con Incidencias</t>
        </is>
      </c>
      <c r="AE122" s="64" t="inlineStr">
        <is>
          <t>SKU duplicado; [Aviso] Ciclo de vida no capturado ()</t>
        </is>
      </c>
      <c r="AF122" s="64" t="n"/>
      <c r="AG122" s="59" t="n"/>
      <c r="AH122" s="155" t="n"/>
      <c r="AI122" s="59" t="n"/>
      <c r="AJ122" s="155" t="inlineStr">
        <is>
          <t>Nuevo – Carga Hoja3 01/10/2026</t>
        </is>
      </c>
      <c r="AK122" s="155" t="inlineStr">
        <is>
          <t>Alta 01/10/2026 desde Hoja3 (fila 671); Mismo SKU que la fila 2486 con otro código/ID; revisar cuál es el vigente | 01/10/2026: complementado desde Odoo Universal Unique Brands (match por código de barras): WB Talla de EE. UU.</t>
        </is>
      </c>
      <c r="AL122" s="155" t="n"/>
      <c r="AM122" s="155" t="n"/>
      <c r="AN122" s="155" t="inlineStr">
        <is>
          <t>Hoja3: fila 671 | Odoo: producto 30905 / plantilla 39652</t>
        </is>
      </c>
      <c r="AO122" s="58" t="n"/>
      <c r="AP122" s="58" t="n"/>
      <c r="AQ122" s="155" t="inlineStr">
        <is>
          <t>Odoo Universal Unique Brands</t>
        </is>
      </c>
      <c r="AR122" s="59" t="n"/>
      <c r="AS122" s="59" t="n"/>
      <c r="AT122" s="59" t="n">
        <v>15</v>
      </c>
      <c r="AU122" s="155" t="inlineStr">
        <is>
          <t>Odoo Universal Unique Brands › Bodega 25 › Bodega 25/General: 15</t>
        </is>
      </c>
    </row>
    <row r="123">
      <c r="A123" s="51" t="n">
        <v>65</v>
      </c>
      <c r="B123" s="156" t="inlineStr">
        <is>
          <t>Productos — registro integrado en el anterior</t>
        </is>
      </c>
      <c r="C123" s="125" t="inlineStr">
        <is>
          <t>Homologación G1522: mismo producto (mismo WB SKU)</t>
        </is>
      </c>
      <c r="D123" s="60" t="inlineStr">
        <is>
          <t>7506674600574</t>
        </is>
      </c>
      <c r="E123" s="59" t="inlineStr">
        <is>
          <t>117937</t>
        </is>
      </c>
      <c r="F123" s="155" t="inlineStr">
        <is>
          <t>Wrangler</t>
        </is>
      </c>
      <c r="G123" s="155" t="inlineStr">
        <is>
          <t>C49628-27</t>
        </is>
      </c>
      <c r="H123" s="155" t="inlineStr">
        <is>
          <t>C49628-27-38</t>
        </is>
      </c>
      <c r="I123" s="155" t="inlineStr">
        <is>
          <t>38</t>
        </is>
      </c>
      <c r="J123" s="155" t="inlineStr">
        <is>
          <t>38</t>
        </is>
      </c>
      <c r="K123" s="155" t="inlineStr">
        <is>
          <t>Wrangler</t>
        </is>
      </c>
      <c r="L123" s="155" t="inlineStr">
        <is>
          <t>Cinturón Wrangler Una Vista Casual para Hombre, Color Cafe</t>
        </is>
      </c>
      <c r="M123" s="155" t="inlineStr">
        <is>
          <t>Accesorios</t>
        </is>
      </c>
      <c r="N123" s="155" t="inlineStr">
        <is>
          <t>Cinturones</t>
        </is>
      </c>
      <c r="O123" s="155" t="inlineStr">
        <is>
          <t>Hombre</t>
        </is>
      </c>
      <c r="P123" s="155" t="inlineStr">
        <is>
          <t>Wrangler</t>
        </is>
      </c>
      <c r="Q123" s="155" t="inlineStr">
        <is>
          <t>SS26</t>
        </is>
      </c>
      <c r="R123" s="155" t="inlineStr">
        <is>
          <t>Seasonal</t>
        </is>
      </c>
      <c r="S123" s="155" t="inlineStr">
        <is>
          <t>Cafe</t>
        </is>
      </c>
      <c r="T123" s="155" t="n"/>
      <c r="U123" s="155" t="n"/>
      <c r="V123" s="155" t="inlineStr">
        <is>
          <t>100% piel de vacuno</t>
        </is>
      </c>
      <c r="W123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23" s="155" t="inlineStr">
        <is>
          <t>México</t>
        </is>
      </c>
      <c r="Y123" s="155" t="inlineStr">
        <is>
          <t>PZS</t>
        </is>
      </c>
      <c r="Z123" s="59" t="inlineStr">
        <is>
          <t>53102501</t>
        </is>
      </c>
      <c r="AA123" s="126" t="n"/>
      <c r="AB123" s="61" t="n">
        <v>292.76</v>
      </c>
      <c r="AC123" s="61" t="n">
        <v>849</v>
      </c>
      <c r="AD123" s="62" t="inlineStr">
        <is>
          <t>Con Incidencias</t>
        </is>
      </c>
      <c r="AE123" s="64" t="inlineStr">
        <is>
          <t>SKU duplicado</t>
        </is>
      </c>
      <c r="AF123" s="64" t="n"/>
      <c r="AG123" s="59" t="n">
        <v>3</v>
      </c>
      <c r="AH123" s="155" t="inlineStr">
        <is>
          <t>WB OUTLET LERMA (3)</t>
        </is>
      </c>
      <c r="AI123" s="59" t="n">
        <v>3</v>
      </c>
      <c r="AJ123" s="155" t="inlineStr">
        <is>
          <t>Catálogo existente</t>
        </is>
      </c>
      <c r="AK123" s="155" t="inlineStr">
        <is>
          <t>Coincidencia por código de barras (ID NetSuite 117937) | ID alternativo de Hoja a Revisar 117937 (UPC coincidente); se conserva ID principal; Auditoría NetSuite 30/09/2026: llenado desde NetSuite [Z]; Vinculado por código de barras al ID NetSuite 117937 (antes en Identificador interno: 'C49628-27-38'); 01/10/2026: mismo SKU registrado también en fila 67690 con código 7506674600018 (ID 30905, desde Hoja3); revisar cuál es el vigente | 01/10/2026: complementado desde Shopify Western Brothers (match por código de barras): WB Fit, WB Silueta</t>
        </is>
      </c>
      <c r="AL123" s="155" t="inlineStr">
        <is>
          <t>No</t>
        </is>
      </c>
      <c r="AM123" s="155" t="n"/>
      <c r="AN123" s="155" t="inlineStr">
        <is>
          <t>| Hoja a Revisar: fila 196029 (ID 117937, misma clave UPC); G1522_Extraccion_Articulos_NetSuite_2026-09-30.xlsx: fila 64178 [Z] | Shopify WB: producto 10310436978873 / variante 50512593027257</t>
        </is>
      </c>
      <c r="AO123" s="58" t="inlineStr">
        <is>
          <t>292,76</t>
        </is>
      </c>
      <c r="AP123" s="58" t="n"/>
      <c r="AQ123" s="155" t="inlineStr">
        <is>
          <t>Shopify Western Brothers</t>
        </is>
      </c>
      <c r="AR123" s="59" t="n"/>
      <c r="AS123" s="59" t="n">
        <v>3</v>
      </c>
      <c r="AT123" s="59" t="n"/>
      <c r="AU123" s="155" t="inlineStr">
        <is>
          <t>Shopify Western Brothers › Western Brothers Outlet Lerma: 3</t>
        </is>
      </c>
    </row>
    <row r="124">
      <c r="A124" s="51" t="n">
        <v>66</v>
      </c>
      <c r="B124" s="156" t="inlineStr">
        <is>
          <t>Productos — registro conservado</t>
        </is>
      </c>
      <c r="C124" s="125" t="inlineStr">
        <is>
          <t>Homologación G1522: mismo producto (mismo WB SKU)</t>
        </is>
      </c>
      <c r="D124" s="60" t="inlineStr">
        <is>
          <t>7506674600025</t>
        </is>
      </c>
      <c r="E124" s="59" t="inlineStr">
        <is>
          <t>30906</t>
        </is>
      </c>
      <c r="F124" s="155" t="inlineStr">
        <is>
          <t>Wrangler</t>
        </is>
      </c>
      <c r="G124" s="155" t="inlineStr">
        <is>
          <t>C49628-27</t>
        </is>
      </c>
      <c r="H124" s="155" t="inlineStr">
        <is>
          <t>C49628-27-40</t>
        </is>
      </c>
      <c r="I124" s="155" t="inlineStr">
        <is>
          <t>40</t>
        </is>
      </c>
      <c r="J124" s="155" t="inlineStr">
        <is>
          <t>40</t>
        </is>
      </c>
      <c r="K124" s="155" t="inlineStr">
        <is>
          <t>Wrangler</t>
        </is>
      </c>
      <c r="L124" s="155" t="inlineStr">
        <is>
          <t>Cinturon de hombre C49628-27 Café</t>
        </is>
      </c>
      <c r="M124" s="155" t="inlineStr">
        <is>
          <t>Accesorios</t>
        </is>
      </c>
      <c r="N124" s="155" t="inlineStr">
        <is>
          <t>Cinturones</t>
        </is>
      </c>
      <c r="O124" s="155" t="inlineStr">
        <is>
          <t>Hombre</t>
        </is>
      </c>
      <c r="P124" s="155" t="inlineStr">
        <is>
          <t>Wrangler</t>
        </is>
      </c>
      <c r="Q124" s="155" t="inlineStr">
        <is>
          <t>FW26</t>
        </is>
      </c>
      <c r="R124" s="155" t="inlineStr">
        <is>
          <t>Seasonal</t>
        </is>
      </c>
      <c r="S124" s="155" t="inlineStr">
        <is>
          <t>Cafe</t>
        </is>
      </c>
      <c r="T124" s="155" t="n"/>
      <c r="U124" s="155" t="n"/>
      <c r="V124" s="155" t="inlineStr">
        <is>
          <t>100% PIEL VACUNO</t>
        </is>
      </c>
      <c r="W124" s="155" t="inlineStr">
        <is>
          <t>Cinturón para Caballero de Piel</t>
        </is>
      </c>
      <c r="X124" s="155" t="inlineStr">
        <is>
          <t>México</t>
        </is>
      </c>
      <c r="Y124" s="155" t="inlineStr">
        <is>
          <t>PZS</t>
        </is>
      </c>
      <c r="Z124" s="59" t="inlineStr">
        <is>
          <t>53102501</t>
        </is>
      </c>
      <c r="AA124" s="126" t="n"/>
      <c r="AB124" s="61" t="n">
        <v>292.76</v>
      </c>
      <c r="AC124" s="61" t="n">
        <v>365.948276</v>
      </c>
      <c r="AD124" s="62" t="inlineStr">
        <is>
          <t>Con Incidencias</t>
        </is>
      </c>
      <c r="AE124" s="64" t="inlineStr">
        <is>
          <t>SKU duplicado; [Aviso] Ciclo de vida no capturado ()</t>
        </is>
      </c>
      <c r="AF124" s="64" t="n"/>
      <c r="AG124" s="59" t="n"/>
      <c r="AH124" s="155" t="n"/>
      <c r="AI124" s="59" t="n"/>
      <c r="AJ124" s="155" t="inlineStr">
        <is>
          <t>Nuevo – Carga Hoja3 01/10/2026</t>
        </is>
      </c>
      <c r="AK124" s="155" t="inlineStr">
        <is>
          <t>Alta 01/10/2026 desde Hoja3 (fila 672); Mismo SKU que la fila 2487 con otro código/ID; revisar cuál es el vigente | 01/10/2026: complementado desde Odoo Universal Unique Brands (match por código de barras): WB Talla de EE. UU.</t>
        </is>
      </c>
      <c r="AL124" s="155" t="n"/>
      <c r="AM124" s="155" t="n"/>
      <c r="AN124" s="155" t="inlineStr">
        <is>
          <t>Hoja3: fila 672 | Odoo: producto 30906 / plantilla 39652</t>
        </is>
      </c>
      <c r="AO124" s="58" t="n"/>
      <c r="AP124" s="58" t="n"/>
      <c r="AQ124" s="155" t="inlineStr">
        <is>
          <t>Odoo Universal Unique Brands</t>
        </is>
      </c>
      <c r="AR124" s="59" t="n"/>
      <c r="AS124" s="59" t="n"/>
      <c r="AT124" s="59" t="n">
        <v>22</v>
      </c>
      <c r="AU124" s="155" t="inlineStr">
        <is>
          <t>Odoo Universal Unique Brands › Bodega 25 › Bodega 25/General: 22</t>
        </is>
      </c>
    </row>
    <row r="125">
      <c r="A125" s="51" t="n">
        <v>66</v>
      </c>
      <c r="B125" s="156" t="inlineStr">
        <is>
          <t>Productos — registro integrado en el anterior</t>
        </is>
      </c>
      <c r="C125" s="125" t="inlineStr">
        <is>
          <t>Homologación G1522: mismo producto (mismo WB SKU)</t>
        </is>
      </c>
      <c r="D125" s="60" t="inlineStr">
        <is>
          <t>7506674600581</t>
        </is>
      </c>
      <c r="E125" s="59" t="inlineStr">
        <is>
          <t>117938</t>
        </is>
      </c>
      <c r="F125" s="155" t="inlineStr">
        <is>
          <t>Wrangler</t>
        </is>
      </c>
      <c r="G125" s="155" t="inlineStr">
        <is>
          <t>C49628-27</t>
        </is>
      </c>
      <c r="H125" s="155" t="inlineStr">
        <is>
          <t>C49628-27-40</t>
        </is>
      </c>
      <c r="I125" s="155" t="inlineStr">
        <is>
          <t>40</t>
        </is>
      </c>
      <c r="J125" s="155" t="inlineStr">
        <is>
          <t>40</t>
        </is>
      </c>
      <c r="K125" s="155" t="inlineStr">
        <is>
          <t>Wrangler</t>
        </is>
      </c>
      <c r="L125" s="155" t="inlineStr">
        <is>
          <t>Cinturón Wrangler Una Vista Casual para Hombre, Color Cafe</t>
        </is>
      </c>
      <c r="M125" s="155" t="inlineStr">
        <is>
          <t>Accesorios</t>
        </is>
      </c>
      <c r="N125" s="155" t="inlineStr">
        <is>
          <t>Cinturones</t>
        </is>
      </c>
      <c r="O125" s="155" t="inlineStr">
        <is>
          <t>Hombre</t>
        </is>
      </c>
      <c r="P125" s="155" t="inlineStr">
        <is>
          <t>Wrangler</t>
        </is>
      </c>
      <c r="Q125" s="155" t="inlineStr">
        <is>
          <t>SS26</t>
        </is>
      </c>
      <c r="R125" s="155" t="inlineStr">
        <is>
          <t>Seasonal</t>
        </is>
      </c>
      <c r="S125" s="155" t="inlineStr">
        <is>
          <t>Cafe</t>
        </is>
      </c>
      <c r="T125" s="155" t="n"/>
      <c r="U125" s="155" t="n"/>
      <c r="V125" s="155" t="inlineStr">
        <is>
          <t>100% piel de vacuno</t>
        </is>
      </c>
      <c r="W125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25" s="155" t="inlineStr">
        <is>
          <t>México</t>
        </is>
      </c>
      <c r="Y125" s="155" t="inlineStr">
        <is>
          <t>PZS</t>
        </is>
      </c>
      <c r="Z125" s="59" t="inlineStr">
        <is>
          <t>53102501</t>
        </is>
      </c>
      <c r="AA125" s="126" t="n"/>
      <c r="AB125" s="61" t="n">
        <v>292.76</v>
      </c>
      <c r="AC125" s="61" t="n">
        <v>849</v>
      </c>
      <c r="AD125" s="62" t="inlineStr">
        <is>
          <t>Con Incidencias</t>
        </is>
      </c>
      <c r="AE125" s="64" t="inlineStr">
        <is>
          <t>SKU duplicado</t>
        </is>
      </c>
      <c r="AF125" s="64" t="n"/>
      <c r="AG125" s="59" t="n">
        <v>2</v>
      </c>
      <c r="AH125" s="155" t="inlineStr">
        <is>
          <t>WB OUTLET LERMA (2)</t>
        </is>
      </c>
      <c r="AI125" s="59" t="n">
        <v>2</v>
      </c>
      <c r="AJ125" s="155" t="inlineStr">
        <is>
          <t>Catálogo existente</t>
        </is>
      </c>
      <c r="AK125" s="155" t="inlineStr">
        <is>
          <t>Coincidencia por código de barras (ID NetSuite 117938) | ID alternativo de Hoja a Revisar 117938 (UPC coincidente); se conserva ID principal; Auditoría NetSuite 30/09/2026: llenado desde NetSuite [Z]; Vinculado por código de barras al ID NetSuite 117938 (antes en Identificador interno: 'C49628-27-40'); 01/10/2026: mismo SKU registrado también en fila 67691 con código 7506674600025 (ID 30906, desde Hoja3); revisar cuál es el vigente | 01/10/2026: complementado desde Shopify Western Brothers (match por código de barras): WB Fit, WB Silueta</t>
        </is>
      </c>
      <c r="AL125" s="155" t="inlineStr">
        <is>
          <t>No</t>
        </is>
      </c>
      <c r="AM125" s="155" t="n"/>
      <c r="AN125" s="155" t="inlineStr">
        <is>
          <t>| Hoja a Revisar: fila 196030 (ID 117938, misma clave UPC); G1522_Extraccion_Articulos_NetSuite_2026-09-30.xlsx: fila 64179 [Z] | Shopify WB: producto 10310436978873 / variante 50512593060025</t>
        </is>
      </c>
      <c r="AO125" s="58" t="inlineStr">
        <is>
          <t>292,76</t>
        </is>
      </c>
      <c r="AP125" s="58" t="n"/>
      <c r="AQ125" s="155" t="inlineStr">
        <is>
          <t>Shopify Western Brothers</t>
        </is>
      </c>
      <c r="AR125" s="59" t="n"/>
      <c r="AS125" s="59" t="n">
        <v>2</v>
      </c>
      <c r="AT125" s="59" t="n"/>
      <c r="AU125" s="155" t="inlineStr">
        <is>
          <t>Shopify Western Brothers › Western Brothers Outlet Lerma: 2</t>
        </is>
      </c>
    </row>
    <row r="126">
      <c r="A126" s="51" t="n">
        <v>67</v>
      </c>
      <c r="B126" s="156" t="inlineStr">
        <is>
          <t>Productos — registro conservado</t>
        </is>
      </c>
      <c r="C126" s="125" t="inlineStr">
        <is>
          <t>Homologación G1522: mismo producto (mismo WB SKU)</t>
        </is>
      </c>
      <c r="D126" s="60" t="inlineStr">
        <is>
          <t>7506674600032</t>
        </is>
      </c>
      <c r="E126" s="59" t="inlineStr">
        <is>
          <t>30907</t>
        </is>
      </c>
      <c r="F126" s="155" t="inlineStr">
        <is>
          <t>Wrangler</t>
        </is>
      </c>
      <c r="G126" s="155" t="inlineStr">
        <is>
          <t>C49628-27</t>
        </is>
      </c>
      <c r="H126" s="155" t="inlineStr">
        <is>
          <t>C49628-27-42</t>
        </is>
      </c>
      <c r="I126" s="155" t="inlineStr">
        <is>
          <t>42</t>
        </is>
      </c>
      <c r="J126" s="155" t="inlineStr">
        <is>
          <t>42</t>
        </is>
      </c>
      <c r="K126" s="155" t="inlineStr">
        <is>
          <t>Wrangler</t>
        </is>
      </c>
      <c r="L126" s="155" t="inlineStr">
        <is>
          <t>Cinturon de hombre C49628-27 Café</t>
        </is>
      </c>
      <c r="M126" s="155" t="inlineStr">
        <is>
          <t>Accesorios</t>
        </is>
      </c>
      <c r="N126" s="155" t="inlineStr">
        <is>
          <t>Cinturones</t>
        </is>
      </c>
      <c r="O126" s="155" t="inlineStr">
        <is>
          <t>Hombre</t>
        </is>
      </c>
      <c r="P126" s="155" t="inlineStr">
        <is>
          <t>Wrangler</t>
        </is>
      </c>
      <c r="Q126" s="155" t="inlineStr">
        <is>
          <t>FW26</t>
        </is>
      </c>
      <c r="R126" s="155" t="inlineStr">
        <is>
          <t>Seasonal</t>
        </is>
      </c>
      <c r="S126" s="155" t="inlineStr">
        <is>
          <t>Cafe</t>
        </is>
      </c>
      <c r="T126" s="155" t="n"/>
      <c r="U126" s="155" t="n"/>
      <c r="V126" s="155" t="inlineStr">
        <is>
          <t>100% PIEL VACUNO</t>
        </is>
      </c>
      <c r="W126" s="155" t="inlineStr">
        <is>
          <t>Cinturón para Caballero de Piel</t>
        </is>
      </c>
      <c r="X126" s="155" t="inlineStr">
        <is>
          <t>México</t>
        </is>
      </c>
      <c r="Y126" s="155" t="inlineStr">
        <is>
          <t>PZS</t>
        </is>
      </c>
      <c r="Z126" s="59" t="inlineStr">
        <is>
          <t>53102501</t>
        </is>
      </c>
      <c r="AA126" s="126" t="n"/>
      <c r="AB126" s="61" t="n">
        <v>292.76</v>
      </c>
      <c r="AC126" s="61" t="n">
        <v>365.948276</v>
      </c>
      <c r="AD126" s="62" t="inlineStr">
        <is>
          <t>Con Incidencias</t>
        </is>
      </c>
      <c r="AE126" s="64" t="inlineStr">
        <is>
          <t>SKU duplicado; [Aviso] Ciclo de vida no capturado ()</t>
        </is>
      </c>
      <c r="AF126" s="64" t="n"/>
      <c r="AG126" s="59" t="n"/>
      <c r="AH126" s="155" t="n"/>
      <c r="AI126" s="59" t="n"/>
      <c r="AJ126" s="155" t="inlineStr">
        <is>
          <t>Nuevo – Carga Hoja3 01/10/2026</t>
        </is>
      </c>
      <c r="AK126" s="155" t="inlineStr">
        <is>
          <t>Alta 01/10/2026 desde Hoja3 (fila 673); Mismo SKU que la fila 2488 con otro código/ID; revisar cuál es el vigente | 01/10/2026: complementado desde Odoo Universal Unique Brands (match por código de barras): WB Talla de EE. UU.</t>
        </is>
      </c>
      <c r="AL126" s="155" t="n"/>
      <c r="AM126" s="155" t="n"/>
      <c r="AN126" s="155" t="inlineStr">
        <is>
          <t>Hoja3: fila 673 | Odoo: producto 30907 / plantilla 39652</t>
        </is>
      </c>
      <c r="AO126" s="58" t="n"/>
      <c r="AP126" s="58" t="n"/>
      <c r="AQ126" s="155" t="inlineStr">
        <is>
          <t>Odoo Universal Unique Brands</t>
        </is>
      </c>
      <c r="AR126" s="59" t="n"/>
      <c r="AS126" s="59" t="n"/>
      <c r="AT126" s="59" t="n">
        <v>22</v>
      </c>
      <c r="AU126" s="155" t="inlineStr">
        <is>
          <t>Odoo Universal Unique Brands › Bodega 25 › Bodega 25/General: 22</t>
        </is>
      </c>
    </row>
    <row r="127">
      <c r="A127" s="51" t="n">
        <v>67</v>
      </c>
      <c r="B127" s="156" t="inlineStr">
        <is>
          <t>Productos — registro integrado en el anterior</t>
        </is>
      </c>
      <c r="C127" s="125" t="inlineStr">
        <is>
          <t>Homologación G1522: mismo producto (mismo WB SKU)</t>
        </is>
      </c>
      <c r="D127" s="60" t="inlineStr">
        <is>
          <t>7506674600598</t>
        </is>
      </c>
      <c r="E127" s="59" t="inlineStr">
        <is>
          <t>117939</t>
        </is>
      </c>
      <c r="F127" s="155" t="inlineStr">
        <is>
          <t>Wrangler</t>
        </is>
      </c>
      <c r="G127" s="155" t="inlineStr">
        <is>
          <t>C49628-27</t>
        </is>
      </c>
      <c r="H127" s="155" t="inlineStr">
        <is>
          <t>C49628-27-42</t>
        </is>
      </c>
      <c r="I127" s="155" t="inlineStr">
        <is>
          <t>42</t>
        </is>
      </c>
      <c r="J127" s="155" t="inlineStr">
        <is>
          <t>42</t>
        </is>
      </c>
      <c r="K127" s="155" t="inlineStr">
        <is>
          <t>Wrangler</t>
        </is>
      </c>
      <c r="L127" s="155" t="inlineStr">
        <is>
          <t>Cinturón Wrangler Una Vista Casual para Hombre, Color Cafe</t>
        </is>
      </c>
      <c r="M127" s="155" t="inlineStr">
        <is>
          <t>Accesorios</t>
        </is>
      </c>
      <c r="N127" s="155" t="inlineStr">
        <is>
          <t>Cinturones</t>
        </is>
      </c>
      <c r="O127" s="155" t="inlineStr">
        <is>
          <t>Hombre</t>
        </is>
      </c>
      <c r="P127" s="155" t="inlineStr">
        <is>
          <t>Wrangler</t>
        </is>
      </c>
      <c r="Q127" s="155" t="inlineStr">
        <is>
          <t>SS26</t>
        </is>
      </c>
      <c r="R127" s="155" t="inlineStr">
        <is>
          <t>Seasonal</t>
        </is>
      </c>
      <c r="S127" s="155" t="inlineStr">
        <is>
          <t>Cafe</t>
        </is>
      </c>
      <c r="T127" s="155" t="n"/>
      <c r="U127" s="155" t="n"/>
      <c r="V127" s="155" t="inlineStr">
        <is>
          <t>100% piel de vacuno</t>
        </is>
      </c>
      <c r="W127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27" s="155" t="inlineStr">
        <is>
          <t>México</t>
        </is>
      </c>
      <c r="Y127" s="155" t="inlineStr">
        <is>
          <t>PZS</t>
        </is>
      </c>
      <c r="Z127" s="59" t="inlineStr">
        <is>
          <t>53102501</t>
        </is>
      </c>
      <c r="AA127" s="126" t="n"/>
      <c r="AB127" s="61" t="n">
        <v>292.76</v>
      </c>
      <c r="AC127" s="61" t="n">
        <v>849</v>
      </c>
      <c r="AD127" s="62" t="inlineStr">
        <is>
          <t>Con Incidencias</t>
        </is>
      </c>
      <c r="AE127" s="64" t="inlineStr">
        <is>
          <t>SKU duplicado</t>
        </is>
      </c>
      <c r="AF127" s="64" t="n"/>
      <c r="AG127" s="59" t="n">
        <v>2</v>
      </c>
      <c r="AH127" s="155" t="inlineStr">
        <is>
          <t>WB OUTLET LERMA (2)</t>
        </is>
      </c>
      <c r="AI127" s="59" t="n">
        <v>2</v>
      </c>
      <c r="AJ127" s="155" t="inlineStr">
        <is>
          <t>Catálogo existente</t>
        </is>
      </c>
      <c r="AK127" s="155" t="inlineStr">
        <is>
          <t>Coincidencia por código de barras (ID NetSuite 117939) | ID alternativo de Hoja a Revisar 117939 (UPC coincidente); se conserva ID principal; Auditoría NetSuite 30/09/2026: llenado desde NetSuite [Z]; Vinculado por código de barras al ID NetSuite 117939 (antes en Identificador interno: 'C49628-27-42'); 01/10/2026: mismo SKU registrado también en fila 67692 con código 7506674600032 (ID 30907, desde Hoja3); revisar cuál es el vigente | 01/10/2026: complementado desde Shopify Western Brothers (match por código de barras): WB Fit, WB Silueta</t>
        </is>
      </c>
      <c r="AL127" s="155" t="inlineStr">
        <is>
          <t>No</t>
        </is>
      </c>
      <c r="AM127" s="155" t="n"/>
      <c r="AN127" s="155" t="inlineStr">
        <is>
          <t>| Hoja a Revisar: fila 196031 (ID 117939, misma clave UPC); G1522_Extraccion_Articulos_NetSuite_2026-09-30.xlsx: fila 64180 [Z] | Shopify WB: producto 10310436978873 / variante 50512593092793</t>
        </is>
      </c>
      <c r="AO127" s="58" t="inlineStr">
        <is>
          <t>292,76</t>
        </is>
      </c>
      <c r="AP127" s="58" t="n"/>
      <c r="AQ127" s="155" t="inlineStr">
        <is>
          <t>Shopify Western Brothers</t>
        </is>
      </c>
      <c r="AR127" s="59" t="n"/>
      <c r="AS127" s="59" t="n">
        <v>2</v>
      </c>
      <c r="AT127" s="59" t="n"/>
      <c r="AU127" s="155" t="inlineStr">
        <is>
          <t>Shopify Western Brothers › Western Brothers Outlet Lerma: 2</t>
        </is>
      </c>
    </row>
    <row r="128">
      <c r="A128" s="51" t="n">
        <v>68</v>
      </c>
      <c r="B128" s="156" t="inlineStr">
        <is>
          <t>Productos — registro conservado</t>
        </is>
      </c>
      <c r="C128" s="125" t="inlineStr">
        <is>
          <t>Homologación G1522: mismo producto (mismo WB SKU)</t>
        </is>
      </c>
      <c r="D128" s="60" t="inlineStr">
        <is>
          <t>7506674600049</t>
        </is>
      </c>
      <c r="E128" s="59" t="inlineStr">
        <is>
          <t>30908</t>
        </is>
      </c>
      <c r="F128" s="155" t="inlineStr">
        <is>
          <t>Wrangler</t>
        </is>
      </c>
      <c r="G128" s="155" t="inlineStr">
        <is>
          <t>C49628-27</t>
        </is>
      </c>
      <c r="H128" s="155" t="inlineStr">
        <is>
          <t>C49628-27-44</t>
        </is>
      </c>
      <c r="I128" s="155" t="inlineStr">
        <is>
          <t>44</t>
        </is>
      </c>
      <c r="J128" s="155" t="inlineStr">
        <is>
          <t>44</t>
        </is>
      </c>
      <c r="K128" s="155" t="inlineStr">
        <is>
          <t>Wrangler</t>
        </is>
      </c>
      <c r="L128" s="155" t="inlineStr">
        <is>
          <t>Cinturon de hombre C49628-27 Café</t>
        </is>
      </c>
      <c r="M128" s="155" t="inlineStr">
        <is>
          <t>Accesorios</t>
        </is>
      </c>
      <c r="N128" s="155" t="inlineStr">
        <is>
          <t>Cinturones</t>
        </is>
      </c>
      <c r="O128" s="155" t="inlineStr">
        <is>
          <t>Hombre</t>
        </is>
      </c>
      <c r="P128" s="155" t="inlineStr">
        <is>
          <t>Wrangler</t>
        </is>
      </c>
      <c r="Q128" s="155" t="inlineStr">
        <is>
          <t>FW26</t>
        </is>
      </c>
      <c r="R128" s="155" t="inlineStr">
        <is>
          <t>Seasonal</t>
        </is>
      </c>
      <c r="S128" s="155" t="inlineStr">
        <is>
          <t>Cafe</t>
        </is>
      </c>
      <c r="T128" s="155" t="n"/>
      <c r="U128" s="155" t="n"/>
      <c r="V128" s="155" t="inlineStr">
        <is>
          <t>100% PIEL VACUNO</t>
        </is>
      </c>
      <c r="W128" s="155" t="inlineStr">
        <is>
          <t>Cinturón para Caballero de Piel</t>
        </is>
      </c>
      <c r="X128" s="155" t="inlineStr">
        <is>
          <t>México</t>
        </is>
      </c>
      <c r="Y128" s="155" t="inlineStr">
        <is>
          <t>PZS</t>
        </is>
      </c>
      <c r="Z128" s="59" t="inlineStr">
        <is>
          <t>53102501</t>
        </is>
      </c>
      <c r="AA128" s="126" t="n"/>
      <c r="AB128" s="61" t="n">
        <v>292.76</v>
      </c>
      <c r="AC128" s="61" t="n">
        <v>365.948276</v>
      </c>
      <c r="AD128" s="62" t="inlineStr">
        <is>
          <t>Con Incidencias</t>
        </is>
      </c>
      <c r="AE128" s="64" t="inlineStr">
        <is>
          <t>SKU duplicado; [Aviso] Ciclo de vida no capturado ()</t>
        </is>
      </c>
      <c r="AF128" s="64" t="n"/>
      <c r="AG128" s="59" t="n"/>
      <c r="AH128" s="155" t="n"/>
      <c r="AI128" s="59" t="n"/>
      <c r="AJ128" s="155" t="inlineStr">
        <is>
          <t>Nuevo – Carga Hoja3 01/10/2026</t>
        </is>
      </c>
      <c r="AK128" s="155" t="inlineStr">
        <is>
          <t>Alta 01/10/2026 desde Hoja3 (fila 674); Mismo SKU que la fila 2489 con otro código/ID; revisar cuál es el vigente | 01/10/2026: complementado desde Odoo Universal Unique Brands (match por código de barras): WB Talla de EE. UU.</t>
        </is>
      </c>
      <c r="AL128" s="155" t="n"/>
      <c r="AM128" s="155" t="n"/>
      <c r="AN128" s="155" t="inlineStr">
        <is>
          <t>Hoja3: fila 674 | Odoo: producto 30908 / plantilla 39652</t>
        </is>
      </c>
      <c r="AO128" s="58" t="n"/>
      <c r="AP128" s="58" t="n"/>
      <c r="AQ128" s="155" t="inlineStr">
        <is>
          <t>Odoo Universal Unique Brands</t>
        </is>
      </c>
      <c r="AR128" s="59" t="n"/>
      <c r="AS128" s="59" t="n"/>
      <c r="AT128" s="59" t="n">
        <v>17</v>
      </c>
      <c r="AU128" s="155" t="inlineStr">
        <is>
          <t>Odoo Universal Unique Brands › Bodega 25 › Bodega 25/General: 17</t>
        </is>
      </c>
    </row>
    <row r="129">
      <c r="A129" s="51" t="n">
        <v>68</v>
      </c>
      <c r="B129" s="156" t="inlineStr">
        <is>
          <t>Productos — registro integrado en el anterior</t>
        </is>
      </c>
      <c r="C129" s="125" t="inlineStr">
        <is>
          <t>Homologación G1522: mismo producto (mismo WB SKU)</t>
        </is>
      </c>
      <c r="D129" s="60" t="inlineStr">
        <is>
          <t>7506674600604</t>
        </is>
      </c>
      <c r="E129" s="59" t="inlineStr">
        <is>
          <t>117940</t>
        </is>
      </c>
      <c r="F129" s="155" t="inlineStr">
        <is>
          <t>Wrangler</t>
        </is>
      </c>
      <c r="G129" s="155" t="inlineStr">
        <is>
          <t>C49628-27</t>
        </is>
      </c>
      <c r="H129" s="155" t="inlineStr">
        <is>
          <t>C49628-27-44</t>
        </is>
      </c>
      <c r="I129" s="155" t="inlineStr">
        <is>
          <t>44</t>
        </is>
      </c>
      <c r="J129" s="155" t="inlineStr">
        <is>
          <t>44</t>
        </is>
      </c>
      <c r="K129" s="155" t="inlineStr">
        <is>
          <t>Wrangler</t>
        </is>
      </c>
      <c r="L129" s="155" t="inlineStr">
        <is>
          <t>Cinturón Wrangler Una Vista Casual para Hombre, Color Cafe</t>
        </is>
      </c>
      <c r="M129" s="155" t="inlineStr">
        <is>
          <t>Accesorios</t>
        </is>
      </c>
      <c r="N129" s="155" t="inlineStr">
        <is>
          <t>Cinturones</t>
        </is>
      </c>
      <c r="O129" s="155" t="inlineStr">
        <is>
          <t>Hombre</t>
        </is>
      </c>
      <c r="P129" s="155" t="inlineStr">
        <is>
          <t>Wrangler</t>
        </is>
      </c>
      <c r="Q129" s="155" t="inlineStr">
        <is>
          <t>SS26</t>
        </is>
      </c>
      <c r="R129" s="155" t="inlineStr">
        <is>
          <t>Seasonal</t>
        </is>
      </c>
      <c r="S129" s="155" t="inlineStr">
        <is>
          <t>Cafe</t>
        </is>
      </c>
      <c r="T129" s="155" t="n"/>
      <c r="U129" s="155" t="n"/>
      <c r="V129" s="155" t="inlineStr">
        <is>
          <t>100% piel de vacuno</t>
        </is>
      </c>
      <c r="W129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29" s="155" t="inlineStr">
        <is>
          <t>México</t>
        </is>
      </c>
      <c r="Y129" s="155" t="inlineStr">
        <is>
          <t>PZS</t>
        </is>
      </c>
      <c r="Z129" s="59" t="inlineStr">
        <is>
          <t>53102501</t>
        </is>
      </c>
      <c r="AA129" s="126" t="n"/>
      <c r="AB129" s="61" t="n">
        <v>292.76</v>
      </c>
      <c r="AC129" s="61" t="n">
        <v>849</v>
      </c>
      <c r="AD129" s="62" t="inlineStr">
        <is>
          <t>Con Incidencias</t>
        </is>
      </c>
      <c r="AE129" s="64" t="inlineStr">
        <is>
          <t>SKU duplicado</t>
        </is>
      </c>
      <c r="AF129" s="64" t="n"/>
      <c r="AG129" s="59" t="n">
        <v>1</v>
      </c>
      <c r="AH129" s="155" t="inlineStr">
        <is>
          <t>WB OUTLET LERMA (1)</t>
        </is>
      </c>
      <c r="AI129" s="59" t="n">
        <v>1</v>
      </c>
      <c r="AJ129" s="155" t="inlineStr">
        <is>
          <t>Catálogo existente</t>
        </is>
      </c>
      <c r="AK129" s="155" t="inlineStr">
        <is>
          <t>Coincidencia por código de barras (ID NetSuite 117940) | ID alternativo de Hoja a Revisar 117940 (UPC coincidente); se conserva ID principal; Auditoría NetSuite 30/09/2026: llenado desde NetSuite [Z]; Vinculado por código de barras al ID NetSuite 117940 (antes en Identificador interno: 'C49628-27-44'); 01/10/2026: mismo SKU registrado también en fila 67693 con código 7506674600049 (ID 30908, desde Hoja3); revisar cuál es el vigente | 01/10/2026: complementado desde Shopify Western Brothers (match por código de barras): WB Fit, WB Silueta</t>
        </is>
      </c>
      <c r="AL129" s="155" t="inlineStr">
        <is>
          <t>No</t>
        </is>
      </c>
      <c r="AM129" s="155" t="n"/>
      <c r="AN129" s="155" t="inlineStr">
        <is>
          <t>| Hoja a Revisar: fila 196032 (ID 117940, misma clave UPC); G1522_Extraccion_Articulos_NetSuite_2026-09-30.xlsx: fila 64181 [Z] | Shopify WB: producto 10310436978873 / variante 50512593125561</t>
        </is>
      </c>
      <c r="AO129" s="58" t="inlineStr">
        <is>
          <t>292,76</t>
        </is>
      </c>
      <c r="AP129" s="58" t="n"/>
      <c r="AQ129" s="155" t="inlineStr">
        <is>
          <t>Shopify Western Brothers</t>
        </is>
      </c>
      <c r="AR129" s="59" t="n"/>
      <c r="AS129" s="59" t="n">
        <v>1</v>
      </c>
      <c r="AT129" s="59" t="n"/>
      <c r="AU129" s="155" t="inlineStr">
        <is>
          <t>Shopify Western Brothers › Western Brothers Outlet Lerma: 1</t>
        </is>
      </c>
    </row>
    <row r="130">
      <c r="A130" s="51" t="n">
        <v>69</v>
      </c>
      <c r="B130" s="156" t="inlineStr">
        <is>
          <t>Productos — registro conservado</t>
        </is>
      </c>
      <c r="C130" s="125" t="inlineStr">
        <is>
          <t>Homologación G1522: mismo producto (mismo WB SKU)</t>
        </is>
      </c>
      <c r="D130" s="60" t="inlineStr">
        <is>
          <t>7506674600179</t>
        </is>
      </c>
      <c r="E130" s="59" t="inlineStr">
        <is>
          <t>117864</t>
        </is>
      </c>
      <c r="F130" s="155" t="inlineStr">
        <is>
          <t>Wrangler</t>
        </is>
      </c>
      <c r="G130" s="155" t="inlineStr">
        <is>
          <t>C47572-27</t>
        </is>
      </c>
      <c r="H130" s="155" t="inlineStr">
        <is>
          <t>C47572-27-32</t>
        </is>
      </c>
      <c r="I130" s="155" t="inlineStr">
        <is>
          <t>32</t>
        </is>
      </c>
      <c r="J130" s="155" t="inlineStr">
        <is>
          <t>32</t>
        </is>
      </c>
      <c r="K130" s="155" t="inlineStr">
        <is>
          <t>Wrangler</t>
        </is>
      </c>
      <c r="L130" s="155" t="inlineStr">
        <is>
          <t>Cinturón Wrangler Una Vista Casual para Hombre, Color Cafe</t>
        </is>
      </c>
      <c r="M130" s="155" t="inlineStr">
        <is>
          <t>Accesorios</t>
        </is>
      </c>
      <c r="N130" s="155" t="inlineStr">
        <is>
          <t>Cinturones</t>
        </is>
      </c>
      <c r="O130" s="155" t="inlineStr">
        <is>
          <t>Hombre</t>
        </is>
      </c>
      <c r="P130" s="155" t="inlineStr">
        <is>
          <t>Wrangler</t>
        </is>
      </c>
      <c r="Q130" s="155" t="inlineStr">
        <is>
          <t>SS26</t>
        </is>
      </c>
      <c r="R130" s="155" t="inlineStr">
        <is>
          <t>Seasonal</t>
        </is>
      </c>
      <c r="S130" s="155" t="inlineStr">
        <is>
          <t>Cafe</t>
        </is>
      </c>
      <c r="T130" s="155" t="n"/>
      <c r="U130" s="155" t="n"/>
      <c r="V130" s="155" t="inlineStr">
        <is>
          <t>100% piel de vacuno</t>
        </is>
      </c>
      <c r="W130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30" s="155" t="inlineStr">
        <is>
          <t>México</t>
        </is>
      </c>
      <c r="Y130" s="155" t="inlineStr">
        <is>
          <t>PZS</t>
        </is>
      </c>
      <c r="Z130" s="59" t="inlineStr">
        <is>
          <t>53102501</t>
        </is>
      </c>
      <c r="AA130" s="126" t="n"/>
      <c r="AB130" s="61" t="n">
        <v>292.76</v>
      </c>
      <c r="AC130" s="61" t="n">
        <v>849</v>
      </c>
      <c r="AD130" s="62" t="inlineStr">
        <is>
          <t>Con Incidencias</t>
        </is>
      </c>
      <c r="AE130" s="64" t="inlineStr">
        <is>
          <t>SKU duplicado</t>
        </is>
      </c>
      <c r="AF130" s="64" t="n"/>
      <c r="AG130" s="59" t="n">
        <v>1</v>
      </c>
      <c r="AH130" s="155" t="inlineStr">
        <is>
          <t>WB OUTLET LERMA (1)</t>
        </is>
      </c>
      <c r="AI130" s="59" t="n">
        <v>1</v>
      </c>
      <c r="AJ130" s="155" t="inlineStr">
        <is>
          <t>Catálogo existente</t>
        </is>
      </c>
      <c r="AK130" s="155" t="inlineStr">
        <is>
          <t>Coincidencia por código de barras (ID NetSuite 117864) | ID alternativo de Hoja a Revisar 117864 (UPC coincidente); se conserva ID principal; Auditoría NetSuite 30/09/2026: Vinculado por código de barras al ID NetSuite 117864 (antes en Identificador interno: 'C47572-27-32'); 01/10/2026: mismo SKU registrado también en fila 67680 con código 7506674602739 (ID 30895, desde Hoja3); revisar cuál es el vigente | 01/10/2026: complementado desde Shopify Western Brothers (match por código de barras): WB Fit, WB Silueta</t>
        </is>
      </c>
      <c r="AL130" s="155" t="inlineStr">
        <is>
          <t>No</t>
        </is>
      </c>
      <c r="AM130" s="155" t="n"/>
      <c r="AN130" s="155" t="inlineStr">
        <is>
          <t>| Hoja a Revisar: fila 196008 (ID 117864, misma clave UPC) | Shopify WB: producto 10310436159673 / variante 50512589619385</t>
        </is>
      </c>
      <c r="AO130" s="58" t="inlineStr">
        <is>
          <t>292,76</t>
        </is>
      </c>
      <c r="AP130" s="58" t="n">
        <v>849</v>
      </c>
      <c r="AQ130" s="155" t="inlineStr">
        <is>
          <t>Shopify Western Brothers</t>
        </is>
      </c>
      <c r="AR130" s="59" t="n"/>
      <c r="AS130" s="59" t="n">
        <v>0</v>
      </c>
      <c r="AT130" s="59" t="n"/>
      <c r="AU130" s="155" t="n"/>
    </row>
    <row r="131">
      <c r="A131" s="51" t="n">
        <v>69</v>
      </c>
      <c r="B131" s="156" t="inlineStr">
        <is>
          <t>Productos — registro integrado en el anterior</t>
        </is>
      </c>
      <c r="C131" s="125" t="inlineStr">
        <is>
          <t>Homologación G1522: mismo producto (mismo WB SKU)</t>
        </is>
      </c>
      <c r="D131" s="60" t="inlineStr">
        <is>
          <t>7506674602739</t>
        </is>
      </c>
      <c r="E131" s="59" t="inlineStr">
        <is>
          <t>30895</t>
        </is>
      </c>
      <c r="F131" s="155" t="inlineStr">
        <is>
          <t>Wrangler</t>
        </is>
      </c>
      <c r="G131" s="155" t="inlineStr">
        <is>
          <t>C47572-27</t>
        </is>
      </c>
      <c r="H131" s="155" t="inlineStr">
        <is>
          <t>C47572-27-32</t>
        </is>
      </c>
      <c r="I131" s="155" t="inlineStr">
        <is>
          <t>32</t>
        </is>
      </c>
      <c r="J131" s="155" t="inlineStr">
        <is>
          <t>32</t>
        </is>
      </c>
      <c r="K131" s="155" t="inlineStr">
        <is>
          <t>Wrangler</t>
        </is>
      </c>
      <c r="L131" s="155" t="inlineStr">
        <is>
          <t>Cinturon de hombre C47572-27 Café</t>
        </is>
      </c>
      <c r="M131" s="155" t="inlineStr">
        <is>
          <t>Accesorios</t>
        </is>
      </c>
      <c r="N131" s="155" t="inlineStr">
        <is>
          <t>Cinturones</t>
        </is>
      </c>
      <c r="O131" s="155" t="inlineStr">
        <is>
          <t>Hombre</t>
        </is>
      </c>
      <c r="P131" s="155" t="inlineStr">
        <is>
          <t>Wrangler</t>
        </is>
      </c>
      <c r="Q131" s="155" t="inlineStr">
        <is>
          <t>FW26</t>
        </is>
      </c>
      <c r="R131" s="155" t="n"/>
      <c r="S131" s="155" t="inlineStr">
        <is>
          <t>Cafe</t>
        </is>
      </c>
      <c r="T131" s="155" t="n"/>
      <c r="U131" s="155" t="n"/>
      <c r="V131" s="155" t="inlineStr">
        <is>
          <t>100% PIEL VACUNO</t>
        </is>
      </c>
      <c r="W131" s="155" t="inlineStr">
        <is>
          <t>Cinturón para Caballero de Piel</t>
        </is>
      </c>
      <c r="X131" s="155" t="inlineStr">
        <is>
          <t>México</t>
        </is>
      </c>
      <c r="Y131" s="155" t="inlineStr">
        <is>
          <t>PZS</t>
        </is>
      </c>
      <c r="Z131" s="59" t="inlineStr">
        <is>
          <t>53102501</t>
        </is>
      </c>
      <c r="AA131" s="126" t="n"/>
      <c r="AB131" s="61" t="n">
        <v>292.76</v>
      </c>
      <c r="AC131" s="61" t="n">
        <v>430.603448</v>
      </c>
      <c r="AD131" s="62" t="inlineStr">
        <is>
          <t>Con Incidencias</t>
        </is>
      </c>
      <c r="AE131" s="64" t="inlineStr">
        <is>
          <t>SKU duplicado; [Aviso] Ciclo de vida no capturado ()</t>
        </is>
      </c>
      <c r="AF131" s="64" t="n"/>
      <c r="AG131" s="59" t="n"/>
      <c r="AH131" s="155" t="n"/>
      <c r="AI131" s="59" t="n"/>
      <c r="AJ131" s="155" t="inlineStr">
        <is>
          <t>Nuevo – Carga Hoja3 01/10/2026</t>
        </is>
      </c>
      <c r="AK131" s="155" t="inlineStr">
        <is>
          <t>Alta 01/10/2026 desde Hoja3 (fila 653); Mismo SKU que la fila 2490 con otro código/ID; revisar cuál es el vigente | 01/10/2026: complementado desde Odoo Universal Unique Brands (match por código de barras): WB Talla de EE. UU.</t>
        </is>
      </c>
      <c r="AL131" s="155" t="n"/>
      <c r="AM131" s="155" t="n"/>
      <c r="AN131" s="155" t="inlineStr">
        <is>
          <t>Hoja3: fila 653 | Odoo: producto 30895 / plantilla 39651</t>
        </is>
      </c>
      <c r="AO131" s="58" t="n"/>
      <c r="AP131" s="58" t="n"/>
      <c r="AQ131" s="155" t="inlineStr">
        <is>
          <t>Odoo Universal Unique Brands</t>
        </is>
      </c>
      <c r="AR131" s="59" t="n"/>
      <c r="AS131" s="59" t="n"/>
      <c r="AT131" s="59" t="n">
        <v>5</v>
      </c>
      <c r="AU131" s="155" t="inlineStr">
        <is>
          <t>Odoo Universal Unique Brands › Bodega 25 › Bodega 25/General: 5</t>
        </is>
      </c>
    </row>
    <row r="132">
      <c r="A132" s="51" t="n">
        <v>70</v>
      </c>
      <c r="B132" s="156" t="inlineStr">
        <is>
          <t>Productos — registro conservado</t>
        </is>
      </c>
      <c r="C132" s="125" t="inlineStr">
        <is>
          <t>Homologación G1522: mismo producto (mismo WB SKU)</t>
        </is>
      </c>
      <c r="D132" s="60" t="inlineStr">
        <is>
          <t>7506674600186</t>
        </is>
      </c>
      <c r="E132" s="59" t="inlineStr">
        <is>
          <t>117865</t>
        </is>
      </c>
      <c r="F132" s="155" t="inlineStr">
        <is>
          <t>Wrangler</t>
        </is>
      </c>
      <c r="G132" s="155" t="inlineStr">
        <is>
          <t>C47572-27</t>
        </is>
      </c>
      <c r="H132" s="155" t="inlineStr">
        <is>
          <t>C47572-27-34</t>
        </is>
      </c>
      <c r="I132" s="155" t="inlineStr">
        <is>
          <t>34</t>
        </is>
      </c>
      <c r="J132" s="155" t="inlineStr">
        <is>
          <t>34</t>
        </is>
      </c>
      <c r="K132" s="155" t="inlineStr">
        <is>
          <t>Wrangler</t>
        </is>
      </c>
      <c r="L132" s="155" t="inlineStr">
        <is>
          <t>Cinturón Wrangler Una Vista Casual para Hombre, Color Cafe</t>
        </is>
      </c>
      <c r="M132" s="155" t="inlineStr">
        <is>
          <t>Accesorios</t>
        </is>
      </c>
      <c r="N132" s="155" t="inlineStr">
        <is>
          <t>Cinturones</t>
        </is>
      </c>
      <c r="O132" s="155" t="inlineStr">
        <is>
          <t>Hombre</t>
        </is>
      </c>
      <c r="P132" s="155" t="inlineStr">
        <is>
          <t>Wrangler</t>
        </is>
      </c>
      <c r="Q132" s="155" t="inlineStr">
        <is>
          <t>SS26</t>
        </is>
      </c>
      <c r="R132" s="155" t="inlineStr">
        <is>
          <t>Seasonal</t>
        </is>
      </c>
      <c r="S132" s="155" t="inlineStr">
        <is>
          <t>Cafe</t>
        </is>
      </c>
      <c r="T132" s="155" t="n"/>
      <c r="U132" s="155" t="n"/>
      <c r="V132" s="155" t="inlineStr">
        <is>
          <t>100% piel de vacuno</t>
        </is>
      </c>
      <c r="W132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32" s="155" t="inlineStr">
        <is>
          <t>México</t>
        </is>
      </c>
      <c r="Y132" s="155" t="inlineStr">
        <is>
          <t>PZS</t>
        </is>
      </c>
      <c r="Z132" s="59" t="inlineStr">
        <is>
          <t>53102501</t>
        </is>
      </c>
      <c r="AA132" s="126" t="n"/>
      <c r="AB132" s="61" t="n">
        <v>292.76</v>
      </c>
      <c r="AC132" s="61" t="n">
        <v>849</v>
      </c>
      <c r="AD132" s="62" t="inlineStr">
        <is>
          <t>Con Incidencias</t>
        </is>
      </c>
      <c r="AE132" s="64" t="inlineStr">
        <is>
          <t>SKU duplicado</t>
        </is>
      </c>
      <c r="AF132" s="64" t="n"/>
      <c r="AG132" s="59" t="n">
        <v>2</v>
      </c>
      <c r="AH132" s="155" t="inlineStr">
        <is>
          <t>WB OUTLET LERMA (2)</t>
        </is>
      </c>
      <c r="AI132" s="59" t="n">
        <v>2</v>
      </c>
      <c r="AJ132" s="155" t="inlineStr">
        <is>
          <t>Catálogo existente</t>
        </is>
      </c>
      <c r="AK132" s="155" t="inlineStr">
        <is>
          <t>Coincidencia por código de barras (ID NetSuite 117865) | ID alternativo de Hoja a Revisar 117865 (UPC coincidente); se conserva ID principal; Auditoría NetSuite 30/09/2026: Vinculado por código de barras al ID NetSuite 117865 (antes en Identificador interno: 'C47572-27-34'); 01/10/2026: mismo SKU registrado también en fila 67681 con código 7506674602746 (ID 30896, desde Hoja3); revisar cuál es el vigente | 01/10/2026: complementado desde Shopify Western Brothers (match por código de barras): WB Fit, WB Silueta</t>
        </is>
      </c>
      <c r="AL132" s="155" t="inlineStr">
        <is>
          <t>No</t>
        </is>
      </c>
      <c r="AM132" s="155" t="n"/>
      <c r="AN132" s="155" t="inlineStr">
        <is>
          <t>| Hoja a Revisar: fila 196009 (ID 117865, misma clave UPC) | Shopify WB: producto 10310436159673 / variante 50512589652153</t>
        </is>
      </c>
      <c r="AO132" s="58" t="inlineStr">
        <is>
          <t>292,76</t>
        </is>
      </c>
      <c r="AP132" s="58" t="n">
        <v>849</v>
      </c>
      <c r="AQ132" s="155" t="inlineStr">
        <is>
          <t>Shopify Western Brothers</t>
        </is>
      </c>
      <c r="AR132" s="59" t="n"/>
      <c r="AS132" s="59" t="n">
        <v>2</v>
      </c>
      <c r="AT132" s="59" t="n"/>
      <c r="AU132" s="155" t="inlineStr">
        <is>
          <t>Shopify Western Brothers › Western Brothers Outlet Lerma: 2</t>
        </is>
      </c>
    </row>
    <row r="133">
      <c r="A133" s="51" t="n">
        <v>70</v>
      </c>
      <c r="B133" s="156" t="inlineStr">
        <is>
          <t>Productos — registro integrado en el anterior</t>
        </is>
      </c>
      <c r="C133" s="125" t="inlineStr">
        <is>
          <t>Homologación G1522: mismo producto (mismo WB SKU)</t>
        </is>
      </c>
      <c r="D133" s="60" t="inlineStr">
        <is>
          <t>7506674602746</t>
        </is>
      </c>
      <c r="E133" s="59" t="inlineStr">
        <is>
          <t>30896</t>
        </is>
      </c>
      <c r="F133" s="155" t="inlineStr">
        <is>
          <t>Wrangler</t>
        </is>
      </c>
      <c r="G133" s="155" t="inlineStr">
        <is>
          <t>C47572-27</t>
        </is>
      </c>
      <c r="H133" s="155" t="inlineStr">
        <is>
          <t>C47572-27-34</t>
        </is>
      </c>
      <c r="I133" s="155" t="inlineStr">
        <is>
          <t>34</t>
        </is>
      </c>
      <c r="J133" s="155" t="inlineStr">
        <is>
          <t>34</t>
        </is>
      </c>
      <c r="K133" s="155" t="inlineStr">
        <is>
          <t>Wrangler</t>
        </is>
      </c>
      <c r="L133" s="155" t="inlineStr">
        <is>
          <t>Cinturon de hombre C47572-27 Café</t>
        </is>
      </c>
      <c r="M133" s="155" t="inlineStr">
        <is>
          <t>Accesorios</t>
        </is>
      </c>
      <c r="N133" s="155" t="inlineStr">
        <is>
          <t>Cinturones</t>
        </is>
      </c>
      <c r="O133" s="155" t="inlineStr">
        <is>
          <t>Hombre</t>
        </is>
      </c>
      <c r="P133" s="155" t="inlineStr">
        <is>
          <t>Wrangler</t>
        </is>
      </c>
      <c r="Q133" s="155" t="inlineStr">
        <is>
          <t>FW26</t>
        </is>
      </c>
      <c r="R133" s="155" t="n"/>
      <c r="S133" s="155" t="inlineStr">
        <is>
          <t>Cafe</t>
        </is>
      </c>
      <c r="T133" s="155" t="n"/>
      <c r="U133" s="155" t="n"/>
      <c r="V133" s="155" t="inlineStr">
        <is>
          <t>100% PIEL VACUNO</t>
        </is>
      </c>
      <c r="W133" s="155" t="inlineStr">
        <is>
          <t>Cinturón para Caballero de Piel</t>
        </is>
      </c>
      <c r="X133" s="155" t="inlineStr">
        <is>
          <t>México</t>
        </is>
      </c>
      <c r="Y133" s="155" t="inlineStr">
        <is>
          <t>PZS</t>
        </is>
      </c>
      <c r="Z133" s="59" t="inlineStr">
        <is>
          <t>53102501</t>
        </is>
      </c>
      <c r="AA133" s="126" t="n"/>
      <c r="AB133" s="61" t="n">
        <v>292.76</v>
      </c>
      <c r="AC133" s="61" t="n">
        <v>430.603448</v>
      </c>
      <c r="AD133" s="62" t="inlineStr">
        <is>
          <t>Con Incidencias</t>
        </is>
      </c>
      <c r="AE133" s="64" t="inlineStr">
        <is>
          <t>SKU duplicado; [Aviso] Ciclo de vida no capturado ()</t>
        </is>
      </c>
      <c r="AF133" s="64" t="n"/>
      <c r="AG133" s="59" t="n"/>
      <c r="AH133" s="155" t="n"/>
      <c r="AI133" s="59" t="n"/>
      <c r="AJ133" s="155" t="inlineStr">
        <is>
          <t>Nuevo – Carga Hoja3 01/10/2026</t>
        </is>
      </c>
      <c r="AK133" s="155" t="inlineStr">
        <is>
          <t>Alta 01/10/2026 desde Hoja3 (fila 654); Mismo SKU que la fila 2491 con otro código/ID; revisar cuál es el vigente | 01/10/2026: complementado desde Odoo Universal Unique Brands (match por código de barras): WB Talla de EE. UU.</t>
        </is>
      </c>
      <c r="AL133" s="155" t="n"/>
      <c r="AM133" s="155" t="n"/>
      <c r="AN133" s="155" t="inlineStr">
        <is>
          <t>Hoja3: fila 654 | Odoo: producto 30896 / plantilla 39651</t>
        </is>
      </c>
      <c r="AO133" s="58" t="n"/>
      <c r="AP133" s="58" t="n"/>
      <c r="AQ133" s="155" t="inlineStr">
        <is>
          <t>Odoo Universal Unique Brands</t>
        </is>
      </c>
      <c r="AR133" s="59" t="n"/>
      <c r="AS133" s="59" t="n"/>
      <c r="AT133" s="59" t="n">
        <v>9</v>
      </c>
      <c r="AU133" s="155" t="inlineStr">
        <is>
          <t>Odoo Universal Unique Brands › Bodega 25 › Bodega 25/General: 9</t>
        </is>
      </c>
    </row>
    <row r="134">
      <c r="A134" s="51" t="n">
        <v>71</v>
      </c>
      <c r="B134" s="156" t="inlineStr">
        <is>
          <t>Productos — registro conservado</t>
        </is>
      </c>
      <c r="C134" s="125" t="inlineStr">
        <is>
          <t>Homologación G1522: mismo producto (mismo WB SKU)</t>
        </is>
      </c>
      <c r="D134" s="60" t="inlineStr">
        <is>
          <t>7506674600193</t>
        </is>
      </c>
      <c r="E134" s="59" t="inlineStr">
        <is>
          <t>117866</t>
        </is>
      </c>
      <c r="F134" s="155" t="inlineStr">
        <is>
          <t>Wrangler</t>
        </is>
      </c>
      <c r="G134" s="155" t="inlineStr">
        <is>
          <t>C47572-27</t>
        </is>
      </c>
      <c r="H134" s="155" t="inlineStr">
        <is>
          <t>C47572-27-36</t>
        </is>
      </c>
      <c r="I134" s="155" t="inlineStr">
        <is>
          <t>36</t>
        </is>
      </c>
      <c r="J134" s="155" t="inlineStr">
        <is>
          <t>36</t>
        </is>
      </c>
      <c r="K134" s="155" t="inlineStr">
        <is>
          <t>Wrangler</t>
        </is>
      </c>
      <c r="L134" s="155" t="inlineStr">
        <is>
          <t>Cinturón Wrangler Una Vista Casual para Hombre, Color Cafe</t>
        </is>
      </c>
      <c r="M134" s="155" t="inlineStr">
        <is>
          <t>Accesorios</t>
        </is>
      </c>
      <c r="N134" s="155" t="inlineStr">
        <is>
          <t>Cinturones</t>
        </is>
      </c>
      <c r="O134" s="155" t="inlineStr">
        <is>
          <t>Hombre</t>
        </is>
      </c>
      <c r="P134" s="155" t="inlineStr">
        <is>
          <t>Wrangler</t>
        </is>
      </c>
      <c r="Q134" s="155" t="inlineStr">
        <is>
          <t>SS26</t>
        </is>
      </c>
      <c r="R134" s="155" t="inlineStr">
        <is>
          <t>Seasonal</t>
        </is>
      </c>
      <c r="S134" s="155" t="inlineStr">
        <is>
          <t>Cafe</t>
        </is>
      </c>
      <c r="T134" s="155" t="n"/>
      <c r="U134" s="155" t="n"/>
      <c r="V134" s="155" t="inlineStr">
        <is>
          <t>100% piel de vacuno</t>
        </is>
      </c>
      <c r="W134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34" s="155" t="inlineStr">
        <is>
          <t>México</t>
        </is>
      </c>
      <c r="Y134" s="155" t="inlineStr">
        <is>
          <t>PZS</t>
        </is>
      </c>
      <c r="Z134" s="59" t="inlineStr">
        <is>
          <t>53102501</t>
        </is>
      </c>
      <c r="AA134" s="126" t="n"/>
      <c r="AB134" s="61" t="n">
        <v>292.76</v>
      </c>
      <c r="AC134" s="61" t="n">
        <v>849</v>
      </c>
      <c r="AD134" s="62" t="inlineStr">
        <is>
          <t>Con Incidencias</t>
        </is>
      </c>
      <c r="AE134" s="64" t="inlineStr">
        <is>
          <t>SKU duplicado</t>
        </is>
      </c>
      <c r="AF134" s="64" t="n"/>
      <c r="AG134" s="59" t="n">
        <v>2</v>
      </c>
      <c r="AH134" s="155" t="inlineStr">
        <is>
          <t>WB OUTLET LERMA (2)</t>
        </is>
      </c>
      <c r="AI134" s="59" t="n">
        <v>2</v>
      </c>
      <c r="AJ134" s="155" t="inlineStr">
        <is>
          <t>Catálogo existente</t>
        </is>
      </c>
      <c r="AK134" s="155" t="inlineStr">
        <is>
          <t>Coincidencia por código de barras (ID NetSuite 117866) | ID alternativo de Hoja a Revisar 117866 (UPC coincidente); se conserva ID principal; Auditoría NetSuite 30/09/2026: Vinculado por código de barras al ID NetSuite 117866 (antes en Identificador interno: 'C47572-27-36'); 01/10/2026: mismo SKU registrado también en fila 67682 con código 7506674602753 (ID 30897, desde Hoja3); revisar cuál es el vigente | 01/10/2026: complementado desde Shopify Western Brothers (match por código de barras): WB Fit, WB Silueta</t>
        </is>
      </c>
      <c r="AL134" s="155" t="inlineStr">
        <is>
          <t>No</t>
        </is>
      </c>
      <c r="AM134" s="155" t="n"/>
      <c r="AN134" s="155" t="inlineStr">
        <is>
          <t>| Hoja a Revisar: fila 196010 (ID 117866, misma clave UPC) | Shopify WB: producto 10310436159673 / variante 50512589684921</t>
        </is>
      </c>
      <c r="AO134" s="58" t="inlineStr">
        <is>
          <t>292,76</t>
        </is>
      </c>
      <c r="AP134" s="58" t="n">
        <v>849</v>
      </c>
      <c r="AQ134" s="155" t="inlineStr">
        <is>
          <t>Shopify Western Brothers</t>
        </is>
      </c>
      <c r="AR134" s="59" t="n"/>
      <c r="AS134" s="59" t="n">
        <v>2</v>
      </c>
      <c r="AT134" s="59" t="n"/>
      <c r="AU134" s="155" t="inlineStr">
        <is>
          <t>Shopify Western Brothers › Western Brothers Outlet Lerma: 2</t>
        </is>
      </c>
    </row>
    <row r="135">
      <c r="A135" s="51" t="n">
        <v>71</v>
      </c>
      <c r="B135" s="156" t="inlineStr">
        <is>
          <t>Productos — registro integrado en el anterior</t>
        </is>
      </c>
      <c r="C135" s="125" t="inlineStr">
        <is>
          <t>Homologación G1522: mismo producto (mismo WB SKU)</t>
        </is>
      </c>
      <c r="D135" s="60" t="inlineStr">
        <is>
          <t>7506674602753</t>
        </is>
      </c>
      <c r="E135" s="59" t="inlineStr">
        <is>
          <t>30897</t>
        </is>
      </c>
      <c r="F135" s="155" t="inlineStr">
        <is>
          <t>Wrangler</t>
        </is>
      </c>
      <c r="G135" s="155" t="inlineStr">
        <is>
          <t>C47572-27</t>
        </is>
      </c>
      <c r="H135" s="155" t="inlineStr">
        <is>
          <t>C47572-27-36</t>
        </is>
      </c>
      <c r="I135" s="155" t="inlineStr">
        <is>
          <t>36</t>
        </is>
      </c>
      <c r="J135" s="155" t="inlineStr">
        <is>
          <t>36</t>
        </is>
      </c>
      <c r="K135" s="155" t="inlineStr">
        <is>
          <t>Wrangler</t>
        </is>
      </c>
      <c r="L135" s="155" t="inlineStr">
        <is>
          <t>Cinturon de hombre C47572-27 Café</t>
        </is>
      </c>
      <c r="M135" s="155" t="inlineStr">
        <is>
          <t>Accesorios</t>
        </is>
      </c>
      <c r="N135" s="155" t="inlineStr">
        <is>
          <t>Cinturones</t>
        </is>
      </c>
      <c r="O135" s="155" t="inlineStr">
        <is>
          <t>Hombre</t>
        </is>
      </c>
      <c r="P135" s="155" t="inlineStr">
        <is>
          <t>Wrangler</t>
        </is>
      </c>
      <c r="Q135" s="155" t="inlineStr">
        <is>
          <t>FW26</t>
        </is>
      </c>
      <c r="R135" s="155" t="n"/>
      <c r="S135" s="155" t="inlineStr">
        <is>
          <t>Cafe</t>
        </is>
      </c>
      <c r="T135" s="155" t="n"/>
      <c r="U135" s="155" t="n"/>
      <c r="V135" s="155" t="inlineStr">
        <is>
          <t>100% PIEL VACUNO</t>
        </is>
      </c>
      <c r="W135" s="155" t="inlineStr">
        <is>
          <t>Cinturón para Caballero de Piel</t>
        </is>
      </c>
      <c r="X135" s="155" t="inlineStr">
        <is>
          <t>México</t>
        </is>
      </c>
      <c r="Y135" s="155" t="inlineStr">
        <is>
          <t>PZS</t>
        </is>
      </c>
      <c r="Z135" s="59" t="inlineStr">
        <is>
          <t>53102501</t>
        </is>
      </c>
      <c r="AA135" s="126" t="n"/>
      <c r="AB135" s="61" t="n">
        <v>292.76</v>
      </c>
      <c r="AC135" s="61" t="n">
        <v>430.603448</v>
      </c>
      <c r="AD135" s="62" t="inlineStr">
        <is>
          <t>Con Incidencias</t>
        </is>
      </c>
      <c r="AE135" s="64" t="inlineStr">
        <is>
          <t>SKU duplicado; [Aviso] Ciclo de vida no capturado ()</t>
        </is>
      </c>
      <c r="AF135" s="64" t="n"/>
      <c r="AG135" s="59" t="n"/>
      <c r="AH135" s="155" t="n"/>
      <c r="AI135" s="59" t="n"/>
      <c r="AJ135" s="155" t="inlineStr">
        <is>
          <t>Nuevo – Carga Hoja3 01/10/2026</t>
        </is>
      </c>
      <c r="AK135" s="155" t="inlineStr">
        <is>
          <t>Alta 01/10/2026 desde Hoja3 (fila 655); Mismo SKU que la fila 2492 con otro código/ID; revisar cuál es el vigente | 01/10/2026: complementado desde Odoo Universal Unique Brands (match por código de barras): WB Talla de EE. UU.</t>
        </is>
      </c>
      <c r="AL135" s="155" t="n"/>
      <c r="AM135" s="155" t="n"/>
      <c r="AN135" s="155" t="inlineStr">
        <is>
          <t>Hoja3: fila 655 | Odoo: producto 30897 / plantilla 39651</t>
        </is>
      </c>
      <c r="AO135" s="58" t="n"/>
      <c r="AP135" s="58" t="n"/>
      <c r="AQ135" s="155" t="inlineStr">
        <is>
          <t>Odoo Universal Unique Brands</t>
        </is>
      </c>
      <c r="AR135" s="59" t="n"/>
      <c r="AS135" s="59" t="n"/>
      <c r="AT135" s="59" t="n">
        <v>9</v>
      </c>
      <c r="AU135" s="155" t="inlineStr">
        <is>
          <t>Odoo Universal Unique Brands › Bodega 25 › Bodega 25/General: 9</t>
        </is>
      </c>
    </row>
    <row r="136">
      <c r="A136" s="51" t="n">
        <v>72</v>
      </c>
      <c r="B136" s="156" t="inlineStr">
        <is>
          <t>Productos — registro conservado</t>
        </is>
      </c>
      <c r="C136" s="125" t="inlineStr">
        <is>
          <t>Homologación G1522: mismo producto (mismo WB SKU)</t>
        </is>
      </c>
      <c r="D136" s="60" t="inlineStr">
        <is>
          <t>7506674600209</t>
        </is>
      </c>
      <c r="E136" s="59" t="inlineStr">
        <is>
          <t>117867</t>
        </is>
      </c>
      <c r="F136" s="155" t="inlineStr">
        <is>
          <t>Wrangler</t>
        </is>
      </c>
      <c r="G136" s="155" t="inlineStr">
        <is>
          <t>C47572-27</t>
        </is>
      </c>
      <c r="H136" s="155" t="inlineStr">
        <is>
          <t>C47572-27-38</t>
        </is>
      </c>
      <c r="I136" s="155" t="inlineStr">
        <is>
          <t>38</t>
        </is>
      </c>
      <c r="J136" s="155" t="inlineStr">
        <is>
          <t>38</t>
        </is>
      </c>
      <c r="K136" s="155" t="inlineStr">
        <is>
          <t>Wrangler</t>
        </is>
      </c>
      <c r="L136" s="155" t="inlineStr">
        <is>
          <t>Cinturón Wrangler Una Vista Casual para Hombre, Color Cafe</t>
        </is>
      </c>
      <c r="M136" s="155" t="inlineStr">
        <is>
          <t>Accesorios</t>
        </is>
      </c>
      <c r="N136" s="155" t="inlineStr">
        <is>
          <t>Cinturones</t>
        </is>
      </c>
      <c r="O136" s="155" t="inlineStr">
        <is>
          <t>Hombre</t>
        </is>
      </c>
      <c r="P136" s="155" t="inlineStr">
        <is>
          <t>Wrangler</t>
        </is>
      </c>
      <c r="Q136" s="155" t="inlineStr">
        <is>
          <t>SS26</t>
        </is>
      </c>
      <c r="R136" s="155" t="inlineStr">
        <is>
          <t>Seasonal</t>
        </is>
      </c>
      <c r="S136" s="155" t="inlineStr">
        <is>
          <t>Cafe</t>
        </is>
      </c>
      <c r="T136" s="155" t="n"/>
      <c r="U136" s="155" t="n"/>
      <c r="V136" s="155" t="inlineStr">
        <is>
          <t>100% piel de vacuno</t>
        </is>
      </c>
      <c r="W136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36" s="155" t="inlineStr">
        <is>
          <t>México</t>
        </is>
      </c>
      <c r="Y136" s="155" t="inlineStr">
        <is>
          <t>PZS</t>
        </is>
      </c>
      <c r="Z136" s="59" t="inlineStr">
        <is>
          <t>53102501</t>
        </is>
      </c>
      <c r="AA136" s="126" t="n"/>
      <c r="AB136" s="61" t="n">
        <v>292.76</v>
      </c>
      <c r="AC136" s="61" t="n">
        <v>849</v>
      </c>
      <c r="AD136" s="62" t="inlineStr">
        <is>
          <t>Con Incidencias</t>
        </is>
      </c>
      <c r="AE136" s="64" t="inlineStr">
        <is>
          <t>SKU duplicado</t>
        </is>
      </c>
      <c r="AF136" s="64" t="n"/>
      <c r="AG136" s="59" t="n">
        <v>3</v>
      </c>
      <c r="AH136" s="155" t="inlineStr">
        <is>
          <t>WB OUTLET LERMA (3)</t>
        </is>
      </c>
      <c r="AI136" s="59" t="n">
        <v>3</v>
      </c>
      <c r="AJ136" s="155" t="inlineStr">
        <is>
          <t>Catálogo existente</t>
        </is>
      </c>
      <c r="AK136" s="155" t="inlineStr">
        <is>
          <t>Coincidencia por código de barras (ID NetSuite 117867) | ID alternativo de Hoja a Revisar 117867 (UPC coincidente); se conserva ID principal; Auditoría NetSuite 30/09/2026: Vinculado por código de barras al ID NetSuite 117867 (antes en Identificador interno: 'C47572-27-38'); 01/10/2026: mismo SKU registrado también en fila 67683 con código 7506674602760 (ID 30898, desde Hoja3); revisar cuál es el vigente | 01/10/2026: complementado desde Shopify Western Brothers (match por código de barras): WB Fit, WB Silueta</t>
        </is>
      </c>
      <c r="AL136" s="155" t="inlineStr">
        <is>
          <t>No</t>
        </is>
      </c>
      <c r="AM136" s="155" t="n"/>
      <c r="AN136" s="155" t="inlineStr">
        <is>
          <t>| Hoja a Revisar: fila 196011 (ID 117867, misma clave UPC) | Shopify WB: producto 10310436159673 / variante 50512589717689</t>
        </is>
      </c>
      <c r="AO136" s="58" t="inlineStr">
        <is>
          <t>292,76</t>
        </is>
      </c>
      <c r="AP136" s="58" t="n">
        <v>849</v>
      </c>
      <c r="AQ136" s="155" t="inlineStr">
        <is>
          <t>Shopify Western Brothers</t>
        </is>
      </c>
      <c r="AR136" s="59" t="n"/>
      <c r="AS136" s="59" t="n">
        <v>3</v>
      </c>
      <c r="AT136" s="59" t="n"/>
      <c r="AU136" s="155" t="inlineStr">
        <is>
          <t>Shopify Western Brothers › Western Brothers Outlet Lerma: 3</t>
        </is>
      </c>
    </row>
    <row r="137">
      <c r="A137" s="51" t="n">
        <v>72</v>
      </c>
      <c r="B137" s="156" t="inlineStr">
        <is>
          <t>Productos — registro integrado en el anterior</t>
        </is>
      </c>
      <c r="C137" s="125" t="inlineStr">
        <is>
          <t>Homologación G1522: mismo producto (mismo WB SKU)</t>
        </is>
      </c>
      <c r="D137" s="60" t="inlineStr">
        <is>
          <t>7506674602760</t>
        </is>
      </c>
      <c r="E137" s="59" t="inlineStr">
        <is>
          <t>30898</t>
        </is>
      </c>
      <c r="F137" s="155" t="inlineStr">
        <is>
          <t>Wrangler</t>
        </is>
      </c>
      <c r="G137" s="155" t="inlineStr">
        <is>
          <t>C47572-27</t>
        </is>
      </c>
      <c r="H137" s="155" t="inlineStr">
        <is>
          <t>C47572-27-38</t>
        </is>
      </c>
      <c r="I137" s="155" t="inlineStr">
        <is>
          <t>38</t>
        </is>
      </c>
      <c r="J137" s="155" t="inlineStr">
        <is>
          <t>38</t>
        </is>
      </c>
      <c r="K137" s="155" t="inlineStr">
        <is>
          <t>Wrangler</t>
        </is>
      </c>
      <c r="L137" s="155" t="inlineStr">
        <is>
          <t>Cinturon de hombre C47572-27 Café</t>
        </is>
      </c>
      <c r="M137" s="155" t="inlineStr">
        <is>
          <t>Accesorios</t>
        </is>
      </c>
      <c r="N137" s="155" t="inlineStr">
        <is>
          <t>Cinturones</t>
        </is>
      </c>
      <c r="O137" s="155" t="inlineStr">
        <is>
          <t>Hombre</t>
        </is>
      </c>
      <c r="P137" s="155" t="inlineStr">
        <is>
          <t>Wrangler</t>
        </is>
      </c>
      <c r="Q137" s="155" t="inlineStr">
        <is>
          <t>FW26</t>
        </is>
      </c>
      <c r="R137" s="155" t="n"/>
      <c r="S137" s="155" t="inlineStr">
        <is>
          <t>Cafe</t>
        </is>
      </c>
      <c r="T137" s="155" t="n"/>
      <c r="U137" s="155" t="n"/>
      <c r="V137" s="155" t="inlineStr">
        <is>
          <t>100% PIEL VACUNO</t>
        </is>
      </c>
      <c r="W137" s="155" t="inlineStr">
        <is>
          <t>Cinturón para Caballero de Piel</t>
        </is>
      </c>
      <c r="X137" s="155" t="inlineStr">
        <is>
          <t>México</t>
        </is>
      </c>
      <c r="Y137" s="155" t="inlineStr">
        <is>
          <t>PZS</t>
        </is>
      </c>
      <c r="Z137" s="59" t="inlineStr">
        <is>
          <t>53102501</t>
        </is>
      </c>
      <c r="AA137" s="126" t="n"/>
      <c r="AB137" s="61" t="n">
        <v>292.76</v>
      </c>
      <c r="AC137" s="61" t="n">
        <v>430.603448</v>
      </c>
      <c r="AD137" s="62" t="inlineStr">
        <is>
          <t>Con Incidencias</t>
        </is>
      </c>
      <c r="AE137" s="64" t="inlineStr">
        <is>
          <t>SKU duplicado; [Aviso] Ciclo de vida no capturado ()</t>
        </is>
      </c>
      <c r="AF137" s="64" t="n"/>
      <c r="AG137" s="59" t="n"/>
      <c r="AH137" s="155" t="n"/>
      <c r="AI137" s="59" t="n"/>
      <c r="AJ137" s="155" t="inlineStr">
        <is>
          <t>Nuevo – Carga Hoja3 01/10/2026</t>
        </is>
      </c>
      <c r="AK137" s="155" t="inlineStr">
        <is>
          <t>Alta 01/10/2026 desde Hoja3 (fila 656); Mismo SKU que la fila 2493 con otro código/ID; revisar cuál es el vigente | 01/10/2026: complementado desde Odoo Universal Unique Brands (match por código de barras): WB Talla de EE. UU.</t>
        </is>
      </c>
      <c r="AL137" s="155" t="n"/>
      <c r="AM137" s="155" t="n"/>
      <c r="AN137" s="155" t="inlineStr">
        <is>
          <t>Hoja3: fila 656 | Odoo: producto 30898 / plantilla 39651</t>
        </is>
      </c>
      <c r="AO137" s="58" t="n"/>
      <c r="AP137" s="58" t="n"/>
      <c r="AQ137" s="155" t="inlineStr">
        <is>
          <t>Odoo Universal Unique Brands</t>
        </is>
      </c>
      <c r="AR137" s="59" t="n"/>
      <c r="AS137" s="59" t="n"/>
      <c r="AT137" s="59" t="n">
        <v>13</v>
      </c>
      <c r="AU137" s="155" t="inlineStr">
        <is>
          <t>Odoo Universal Unique Brands › Bodega 25 › Bodega 25/General: 13</t>
        </is>
      </c>
    </row>
    <row r="138">
      <c r="A138" s="51" t="n">
        <v>73</v>
      </c>
      <c r="B138" s="156" t="inlineStr">
        <is>
          <t>Productos — registro conservado</t>
        </is>
      </c>
      <c r="C138" s="125" t="inlineStr">
        <is>
          <t>Homologación G1522: mismo producto (mismo WB SKU)</t>
        </is>
      </c>
      <c r="D138" s="60" t="inlineStr">
        <is>
          <t>7506674600216</t>
        </is>
      </c>
      <c r="E138" s="59" t="inlineStr">
        <is>
          <t>117868</t>
        </is>
      </c>
      <c r="F138" s="155" t="inlineStr">
        <is>
          <t>Wrangler</t>
        </is>
      </c>
      <c r="G138" s="155" t="inlineStr">
        <is>
          <t>C47572-27</t>
        </is>
      </c>
      <c r="H138" s="155" t="inlineStr">
        <is>
          <t>C47572-27-40</t>
        </is>
      </c>
      <c r="I138" s="155" t="inlineStr">
        <is>
          <t>40</t>
        </is>
      </c>
      <c r="J138" s="155" t="inlineStr">
        <is>
          <t>40</t>
        </is>
      </c>
      <c r="K138" s="155" t="inlineStr">
        <is>
          <t>Wrangler</t>
        </is>
      </c>
      <c r="L138" s="155" t="inlineStr">
        <is>
          <t>Cinturón Wrangler Una Vista Casual para Hombre, Color Cafe</t>
        </is>
      </c>
      <c r="M138" s="155" t="inlineStr">
        <is>
          <t>Accesorios</t>
        </is>
      </c>
      <c r="N138" s="155" t="inlineStr">
        <is>
          <t>Cinturones</t>
        </is>
      </c>
      <c r="O138" s="155" t="inlineStr">
        <is>
          <t>Hombre</t>
        </is>
      </c>
      <c r="P138" s="155" t="inlineStr">
        <is>
          <t>Wrangler</t>
        </is>
      </c>
      <c r="Q138" s="155" t="inlineStr">
        <is>
          <t>SS26</t>
        </is>
      </c>
      <c r="R138" s="155" t="inlineStr">
        <is>
          <t>Seasonal</t>
        </is>
      </c>
      <c r="S138" s="155" t="inlineStr">
        <is>
          <t>Cafe</t>
        </is>
      </c>
      <c r="T138" s="155" t="n"/>
      <c r="U138" s="155" t="n"/>
      <c r="V138" s="155" t="inlineStr">
        <is>
          <t>100% piel de vacuno</t>
        </is>
      </c>
      <c r="W138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38" s="155" t="inlineStr">
        <is>
          <t>México</t>
        </is>
      </c>
      <c r="Y138" s="155" t="inlineStr">
        <is>
          <t>PZS</t>
        </is>
      </c>
      <c r="Z138" s="59" t="inlineStr">
        <is>
          <t>53102501</t>
        </is>
      </c>
      <c r="AA138" s="126" t="n"/>
      <c r="AB138" s="61" t="n">
        <v>292.76</v>
      </c>
      <c r="AC138" s="61" t="n">
        <v>849</v>
      </c>
      <c r="AD138" s="62" t="inlineStr">
        <is>
          <t>Con Incidencias</t>
        </is>
      </c>
      <c r="AE138" s="64" t="inlineStr">
        <is>
          <t>SKU duplicado</t>
        </is>
      </c>
      <c r="AF138" s="64" t="n"/>
      <c r="AG138" s="59" t="n">
        <v>2</v>
      </c>
      <c r="AH138" s="155" t="inlineStr">
        <is>
          <t>WB OUTLET LERMA (2)</t>
        </is>
      </c>
      <c r="AI138" s="59" t="n">
        <v>2</v>
      </c>
      <c r="AJ138" s="155" t="inlineStr">
        <is>
          <t>Catálogo existente</t>
        </is>
      </c>
      <c r="AK138" s="155" t="inlineStr">
        <is>
          <t>Coincidencia por código de barras (ID NetSuite 117868) | ID alternativo de Hoja a Revisar 117868 (UPC coincidente); se conserva ID principal; Auditoría NetSuite 30/09/2026: Vinculado por código de barras al ID NetSuite 117868 (antes en Identificador interno: 'C47572-27-40'); 01/10/2026: mismo SKU registrado también en fila 67684 con código 7506674602777 (ID 30899, desde Hoja3); revisar cuál es el vigente | 01/10/2026: complementado desde Shopify Western Brothers (match por código de barras): WB Fit, WB Silueta</t>
        </is>
      </c>
      <c r="AL138" s="155" t="inlineStr">
        <is>
          <t>No</t>
        </is>
      </c>
      <c r="AM138" s="155" t="n"/>
      <c r="AN138" s="155" t="inlineStr">
        <is>
          <t>| Hoja a Revisar: fila 196012 (ID 117868, misma clave UPC) | Shopify WB: producto 10310436159673 / variante 50512589750457</t>
        </is>
      </c>
      <c r="AO138" s="58" t="inlineStr">
        <is>
          <t>292,76</t>
        </is>
      </c>
      <c r="AP138" s="58" t="n">
        <v>849</v>
      </c>
      <c r="AQ138" s="155" t="inlineStr">
        <is>
          <t>Shopify Western Brothers</t>
        </is>
      </c>
      <c r="AR138" s="59" t="n"/>
      <c r="AS138" s="59" t="n">
        <v>2</v>
      </c>
      <c r="AT138" s="59" t="n"/>
      <c r="AU138" s="155" t="inlineStr">
        <is>
          <t>Shopify Western Brothers › Western Brothers Outlet Lerma: 2</t>
        </is>
      </c>
    </row>
    <row r="139">
      <c r="A139" s="51" t="n">
        <v>73</v>
      </c>
      <c r="B139" s="156" t="inlineStr">
        <is>
          <t>Productos — registro integrado en el anterior</t>
        </is>
      </c>
      <c r="C139" s="125" t="inlineStr">
        <is>
          <t>Homologación G1522: mismo producto (mismo WB SKU)</t>
        </is>
      </c>
      <c r="D139" s="60" t="inlineStr">
        <is>
          <t>7506674602777</t>
        </is>
      </c>
      <c r="E139" s="59" t="inlineStr">
        <is>
          <t>30899</t>
        </is>
      </c>
      <c r="F139" s="155" t="inlineStr">
        <is>
          <t>Wrangler</t>
        </is>
      </c>
      <c r="G139" s="155" t="inlineStr">
        <is>
          <t>C47572-27</t>
        </is>
      </c>
      <c r="H139" s="155" t="inlineStr">
        <is>
          <t>C47572-27-40</t>
        </is>
      </c>
      <c r="I139" s="155" t="inlineStr">
        <is>
          <t>40</t>
        </is>
      </c>
      <c r="J139" s="155" t="inlineStr">
        <is>
          <t>40</t>
        </is>
      </c>
      <c r="K139" s="155" t="inlineStr">
        <is>
          <t>Wrangler</t>
        </is>
      </c>
      <c r="L139" s="155" t="inlineStr">
        <is>
          <t>Cinturon de hombre C47572-27 Café</t>
        </is>
      </c>
      <c r="M139" s="155" t="inlineStr">
        <is>
          <t>Accesorios</t>
        </is>
      </c>
      <c r="N139" s="155" t="inlineStr">
        <is>
          <t>Cinturones</t>
        </is>
      </c>
      <c r="O139" s="155" t="inlineStr">
        <is>
          <t>Hombre</t>
        </is>
      </c>
      <c r="P139" s="155" t="inlineStr">
        <is>
          <t>Wrangler</t>
        </is>
      </c>
      <c r="Q139" s="155" t="inlineStr">
        <is>
          <t>FW26</t>
        </is>
      </c>
      <c r="R139" s="155" t="n"/>
      <c r="S139" s="155" t="inlineStr">
        <is>
          <t>Cafe</t>
        </is>
      </c>
      <c r="T139" s="155" t="n"/>
      <c r="U139" s="155" t="n"/>
      <c r="V139" s="155" t="inlineStr">
        <is>
          <t>100% PIEL VACUNO</t>
        </is>
      </c>
      <c r="W139" s="155" t="inlineStr">
        <is>
          <t>Cinturón para Caballero de Piel</t>
        </is>
      </c>
      <c r="X139" s="155" t="inlineStr">
        <is>
          <t>México</t>
        </is>
      </c>
      <c r="Y139" s="155" t="inlineStr">
        <is>
          <t>PZS</t>
        </is>
      </c>
      <c r="Z139" s="59" t="inlineStr">
        <is>
          <t>53102501</t>
        </is>
      </c>
      <c r="AA139" s="126" t="n"/>
      <c r="AB139" s="61" t="n">
        <v>292.76</v>
      </c>
      <c r="AC139" s="61" t="n">
        <v>430.603448</v>
      </c>
      <c r="AD139" s="62" t="inlineStr">
        <is>
          <t>Con Incidencias</t>
        </is>
      </c>
      <c r="AE139" s="64" t="inlineStr">
        <is>
          <t>SKU duplicado; [Aviso] Ciclo de vida no capturado ()</t>
        </is>
      </c>
      <c r="AF139" s="64" t="n"/>
      <c r="AG139" s="59" t="n"/>
      <c r="AH139" s="155" t="n"/>
      <c r="AI139" s="59" t="n"/>
      <c r="AJ139" s="155" t="inlineStr">
        <is>
          <t>Nuevo – Carga Hoja3 01/10/2026</t>
        </is>
      </c>
      <c r="AK139" s="155" t="inlineStr">
        <is>
          <t>Alta 01/10/2026 desde Hoja3 (fila 657); Mismo SKU que la fila 2494 con otro código/ID; revisar cuál es el vigente | 01/10/2026: complementado desde Odoo Universal Unique Brands (match por código de barras): WB Talla de EE. UU.</t>
        </is>
      </c>
      <c r="AL139" s="155" t="n"/>
      <c r="AM139" s="155" t="n"/>
      <c r="AN139" s="155" t="inlineStr">
        <is>
          <t>Hoja3: fila 657 | Odoo: producto 30899 / plantilla 39651</t>
        </is>
      </c>
      <c r="AO139" s="58" t="n"/>
      <c r="AP139" s="58" t="n"/>
      <c r="AQ139" s="155" t="inlineStr">
        <is>
          <t>Odoo Universal Unique Brands</t>
        </is>
      </c>
      <c r="AR139" s="59" t="n"/>
      <c r="AS139" s="59" t="n"/>
      <c r="AT139" s="59" t="n">
        <v>19</v>
      </c>
      <c r="AU139" s="155" t="inlineStr">
        <is>
          <t>Odoo Universal Unique Brands › Bodega 25 › Bodega 25/General: 19</t>
        </is>
      </c>
    </row>
    <row r="140">
      <c r="A140" s="51" t="n">
        <v>74</v>
      </c>
      <c r="B140" s="156" t="inlineStr">
        <is>
          <t>Productos — registro conservado</t>
        </is>
      </c>
      <c r="C140" s="125" t="inlineStr">
        <is>
          <t>Homologación G1522: mismo producto (mismo WB SKU)</t>
        </is>
      </c>
      <c r="D140" s="60" t="inlineStr">
        <is>
          <t>7506674600223</t>
        </is>
      </c>
      <c r="E140" s="59" t="inlineStr">
        <is>
          <t>117869</t>
        </is>
      </c>
      <c r="F140" s="155" t="inlineStr">
        <is>
          <t>Wrangler</t>
        </is>
      </c>
      <c r="G140" s="155" t="inlineStr">
        <is>
          <t>C47572-27</t>
        </is>
      </c>
      <c r="H140" s="155" t="inlineStr">
        <is>
          <t>C47572-27-42</t>
        </is>
      </c>
      <c r="I140" s="155" t="inlineStr">
        <is>
          <t>42</t>
        </is>
      </c>
      <c r="J140" s="155" t="inlineStr">
        <is>
          <t>42</t>
        </is>
      </c>
      <c r="K140" s="155" t="inlineStr">
        <is>
          <t>Wrangler</t>
        </is>
      </c>
      <c r="L140" s="155" t="inlineStr">
        <is>
          <t>Cinturón Wrangler Una Vista Casual para Hombre, Color Cafe</t>
        </is>
      </c>
      <c r="M140" s="155" t="inlineStr">
        <is>
          <t>Accesorios</t>
        </is>
      </c>
      <c r="N140" s="155" t="inlineStr">
        <is>
          <t>Cinturones</t>
        </is>
      </c>
      <c r="O140" s="155" t="inlineStr">
        <is>
          <t>Hombre</t>
        </is>
      </c>
      <c r="P140" s="155" t="inlineStr">
        <is>
          <t>Wrangler</t>
        </is>
      </c>
      <c r="Q140" s="155" t="inlineStr">
        <is>
          <t>SS26</t>
        </is>
      </c>
      <c r="R140" s="155" t="inlineStr">
        <is>
          <t>Seasonal</t>
        </is>
      </c>
      <c r="S140" s="155" t="inlineStr">
        <is>
          <t>Cafe</t>
        </is>
      </c>
      <c r="T140" s="155" t="n"/>
      <c r="U140" s="155" t="n"/>
      <c r="V140" s="155" t="inlineStr">
        <is>
          <t>100% piel de vacuno</t>
        </is>
      </c>
      <c r="W140" s="155" t="inlineStr">
        <is>
      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      </is>
      </c>
      <c r="X140" s="155" t="inlineStr">
        <is>
          <t>México</t>
        </is>
      </c>
      <c r="Y140" s="155" t="inlineStr">
        <is>
          <t>PZS</t>
        </is>
      </c>
      <c r="Z140" s="59" t="inlineStr">
        <is>
          <t>53102501</t>
        </is>
      </c>
      <c r="AA140" s="126" t="n"/>
      <c r="AB140" s="61" t="n">
        <v>292.76</v>
      </c>
      <c r="AC140" s="61" t="n">
        <v>849</v>
      </c>
      <c r="AD140" s="62" t="inlineStr">
        <is>
          <t>Con Incidencias</t>
        </is>
      </c>
      <c r="AE140" s="64" t="inlineStr">
        <is>
          <t>SKU duplicado</t>
        </is>
      </c>
      <c r="AF140" s="64" t="n"/>
      <c r="AG140" s="59" t="n">
        <v>2</v>
      </c>
      <c r="AH140" s="155" t="inlineStr">
        <is>
          <t>WB OUTLET LERMA (2)</t>
        </is>
      </c>
      <c r="AI140" s="59" t="n">
        <v>2</v>
      </c>
      <c r="AJ140" s="155" t="inlineStr">
        <is>
          <t>Catálogo existente</t>
        </is>
      </c>
      <c r="AK140" s="155" t="inlineStr">
        <is>
          <t>Coincidencia por código de barras (ID NetSuite 117869) | ID alternativo de Hoja a Revisar 117869 (UPC coincidente); se conserva ID principal; Auditoría NetSuite 30/09/2026: Vinculado por código de barras al ID NetSuite 117869 (antes en Identificador interno: 'C47572-27-42'); 01/10/2026: mismo SKU registrado también en fila 67685 con código 7506674602784 (ID 30900, desde Hoja3); revisar cuál es el vigente | 01/10/2026: complementado desde Shopify Western Brothers (match por código de barras): WB Fit, WB Silueta</t>
        </is>
      </c>
      <c r="AL140" s="155" t="inlineStr">
        <is>
          <t>No</t>
        </is>
      </c>
      <c r="AM140" s="155" t="n"/>
      <c r="AN140" s="155" t="inlineStr">
        <is>
          <t>| Hoja a Revisar: fila 196013 (ID 117869, misma clave UPC) | Shopify WB: producto 10310436159673 / variante 50512589783225</t>
        </is>
      </c>
      <c r="AO140" s="58" t="inlineStr">
        <is>
          <t>292,76</t>
        </is>
      </c>
      <c r="AP140" s="58" t="n">
        <v>849</v>
      </c>
      <c r="AQ140" s="155" t="inlineStr">
        <is>
          <t>Shopify Western Brothers</t>
        </is>
      </c>
      <c r="AR140" s="59" t="n"/>
      <c r="AS140" s="59" t="n">
        <v>2</v>
      </c>
      <c r="AT140" s="59" t="n"/>
      <c r="AU140" s="155" t="inlineStr">
        <is>
          <t>Shopify Western Brothers › Western Brothers Outlet Lerma: 2</t>
        </is>
      </c>
    </row>
    <row r="141">
      <c r="A141" s="51" t="n">
        <v>74</v>
      </c>
      <c r="B141" s="156" t="inlineStr">
        <is>
          <t>Productos — registro integrado en el anterior</t>
        </is>
      </c>
      <c r="C141" s="125" t="inlineStr">
        <is>
          <t>Homologación G1522: mismo producto (mismo WB SKU)</t>
        </is>
      </c>
      <c r="D141" s="60" t="inlineStr">
        <is>
          <t>7506674602784</t>
        </is>
      </c>
      <c r="E141" s="59" t="inlineStr">
        <is>
          <t>30900</t>
        </is>
      </c>
      <c r="F141" s="155" t="inlineStr">
        <is>
          <t>Wrangler</t>
        </is>
      </c>
      <c r="G141" s="155" t="inlineStr">
        <is>
          <t>C47572-27</t>
        </is>
      </c>
      <c r="H141" s="155" t="inlineStr">
        <is>
          <t>C47572-27-42</t>
        </is>
      </c>
      <c r="I141" s="155" t="inlineStr">
        <is>
          <t>42</t>
        </is>
      </c>
      <c r="J141" s="155" t="inlineStr">
        <is>
          <t>42</t>
        </is>
      </c>
      <c r="K141" s="155" t="inlineStr">
        <is>
          <t>Wrangler</t>
        </is>
      </c>
      <c r="L141" s="155" t="inlineStr">
        <is>
          <t>Cinturon de hombre C47572-27 Café</t>
        </is>
      </c>
      <c r="M141" s="155" t="inlineStr">
        <is>
          <t>Accesorios</t>
        </is>
      </c>
      <c r="N141" s="155" t="inlineStr">
        <is>
          <t>Cinturones</t>
        </is>
      </c>
      <c r="O141" s="155" t="inlineStr">
        <is>
          <t>Hombre</t>
        </is>
      </c>
      <c r="P141" s="155" t="inlineStr">
        <is>
          <t>Wrangler</t>
        </is>
      </c>
      <c r="Q141" s="155" t="inlineStr">
        <is>
          <t>FW26</t>
        </is>
      </c>
      <c r="R141" s="155" t="n"/>
      <c r="S141" s="155" t="inlineStr">
        <is>
          <t>Cafe</t>
        </is>
      </c>
      <c r="T141" s="155" t="n"/>
      <c r="U141" s="155" t="n"/>
      <c r="V141" s="155" t="inlineStr">
        <is>
          <t>100% PIEL VACUNO</t>
        </is>
      </c>
      <c r="W141" s="155" t="inlineStr">
        <is>
          <t>Cinturón para Caballero de Piel</t>
        </is>
      </c>
      <c r="X141" s="155" t="inlineStr">
        <is>
          <t>México</t>
        </is>
      </c>
      <c r="Y141" s="155" t="inlineStr">
        <is>
          <t>PZS</t>
        </is>
      </c>
      <c r="Z141" s="59" t="inlineStr">
        <is>
          <t>53102501</t>
        </is>
      </c>
      <c r="AA141" s="126" t="n"/>
      <c r="AB141" s="61" t="n">
        <v>292.76</v>
      </c>
      <c r="AC141" s="61" t="n">
        <v>430.603448</v>
      </c>
      <c r="AD141" s="62" t="inlineStr">
        <is>
          <t>Con Incidencias</t>
        </is>
      </c>
      <c r="AE141" s="64" t="inlineStr">
        <is>
          <t>SKU duplicado; [Aviso] Ciclo de vida no capturado ()</t>
        </is>
      </c>
      <c r="AF141" s="64" t="n"/>
      <c r="AG141" s="59" t="n"/>
      <c r="AH141" s="155" t="n"/>
      <c r="AI141" s="59" t="n"/>
      <c r="AJ141" s="155" t="inlineStr">
        <is>
          <t>Nuevo – Carga Hoja3 01/10/2026</t>
        </is>
      </c>
      <c r="AK141" s="155" t="inlineStr">
        <is>
          <t>Alta 01/10/2026 desde Hoja3 (fila 658); Mismo SKU que la fila 2495 con otro código/ID; revisar cuál es el vigente | 01/10/2026: complementado desde Odoo Universal Unique Brands (match por código de barras): WB Talla de EE. UU.</t>
        </is>
      </c>
      <c r="AL141" s="155" t="n"/>
      <c r="AM141" s="155" t="n"/>
      <c r="AN141" s="155" t="inlineStr">
        <is>
          <t>Hoja3: fila 658 | Odoo: producto 30900 / plantilla 39651</t>
        </is>
      </c>
      <c r="AO141" s="58" t="n"/>
      <c r="AP141" s="58" t="n"/>
      <c r="AQ141" s="155" t="inlineStr">
        <is>
          <t>Odoo Universal Unique Brands</t>
        </is>
      </c>
      <c r="AR141" s="59" t="n"/>
      <c r="AS141" s="59" t="n"/>
      <c r="AT141" s="59" t="n">
        <v>17</v>
      </c>
      <c r="AU141" s="155" t="inlineStr">
        <is>
          <t>Odoo Universal Unique Brands › Bodega 25 › Bodega 25/General: 17</t>
        </is>
      </c>
    </row>
    <row r="142">
      <c r="A142" s="51" t="n">
        <v>75</v>
      </c>
      <c r="B142" s="156" t="inlineStr">
        <is>
          <t>Productos — registro conservado</t>
        </is>
      </c>
      <c r="C142" s="125" t="inlineStr">
        <is>
          <t>Homologación G1522: mismo producto (variante sin código igual en estilo/talla/color)</t>
        </is>
      </c>
      <c r="D142" s="60" t="inlineStr">
        <is>
          <t>717325231902</t>
        </is>
      </c>
      <c r="E142" s="59" t="inlineStr">
        <is>
          <t>108596</t>
        </is>
      </c>
      <c r="F142" s="155" t="inlineStr">
        <is>
          <t>Multimarca</t>
        </is>
      </c>
      <c r="G142" s="155" t="inlineStr">
        <is>
          <t>WG211-8014BR</t>
        </is>
      </c>
      <c r="H142" s="155" t="inlineStr">
        <is>
          <t>WG211-8014BR-UNI</t>
        </is>
      </c>
      <c r="I142" s="155" t="inlineStr">
        <is>
          <t>Talla única</t>
        </is>
      </c>
      <c r="J142" s="155" t="inlineStr">
        <is>
          <t>One Size</t>
        </is>
      </c>
      <c r="K142" s="155" t="inlineStr">
        <is>
          <t>Wrangler</t>
        </is>
      </c>
      <c r="L142" s="155" t="inlineStr">
        <is>
          <t>Bolso Wrangler Mujer Café</t>
        </is>
      </c>
      <c r="M142" s="155" t="inlineStr">
        <is>
          <t>Accesorios</t>
        </is>
      </c>
      <c r="N142" s="155" t="inlineStr">
        <is>
          <t>Bolsos</t>
        </is>
      </c>
      <c r="O142" s="155" t="inlineStr">
        <is>
          <t>Mujer</t>
        </is>
      </c>
      <c r="P142" s="155" t="inlineStr">
        <is>
          <t>Wrangler</t>
        </is>
      </c>
      <c r="Q142" s="155" t="inlineStr">
        <is>
          <t>SS26</t>
        </is>
      </c>
      <c r="R142" s="155" t="inlineStr">
        <is>
          <t>Seasonal</t>
        </is>
      </c>
      <c r="S142" s="155" t="inlineStr">
        <is>
          <t>Cafe</t>
        </is>
      </c>
      <c r="T142" s="155" t="n"/>
      <c r="U142" s="155" t="n"/>
      <c r="V142" s="155" t="inlineStr">
        <is>
          <t>Exterior: 100% Piel Vacuna, Forro: 100% Poliéster</t>
        </is>
      </c>
      <c r="W142" s="155" t="inlineStr">
        <is>
          <t>Bolso Wrangler Mujer Café Bowling Bag Estructura Soft</t>
        </is>
      </c>
      <c r="X142" s="155" t="inlineStr">
        <is>
          <t>China</t>
        </is>
      </c>
      <c r="Y142" s="155" t="inlineStr">
        <is>
          <t>PZS</t>
        </is>
      </c>
      <c r="Z142" s="59" t="inlineStr">
        <is>
          <t>53121601</t>
        </is>
      </c>
      <c r="AA142" s="126" t="n"/>
      <c r="AB142" s="61" t="n">
        <v>310</v>
      </c>
      <c r="AC142" s="61" t="n">
        <v>899</v>
      </c>
      <c r="AD142" s="62" t="inlineStr">
        <is>
          <t>Válido</t>
        </is>
      </c>
      <c r="AE142" s="64" t="n"/>
      <c r="AF142" s="64" t="n"/>
      <c r="AG142" s="59" t="n">
        <v>-2</v>
      </c>
      <c r="AH142" s="155" t="n"/>
      <c r="AI142" s="59" t="n">
        <v>0</v>
      </c>
      <c r="AJ142" s="155" t="inlineStr">
        <is>
          <t>Nuevo – NetSuite con existencia</t>
        </is>
      </c>
      <c r="AK142" s="155" t="inlineStr">
        <is>
          <t>Clave SAT por validar; Stock negativo en sistema: revisar en conteo | Revisión 29/09/2026: Campos sin respaldo: X; Auditoría NetSuite 30/09/2026: llenado desde NetSuite [P,V,Z,T] | 01/10/2026: complementado desde Shopify Western Brothers (match por código de barras): WB Fit, WB Silueta</t>
        </is>
      </c>
      <c r="AL142" s="155" t="inlineStr">
        <is>
          <t>Sí</t>
        </is>
      </c>
      <c r="AM142" s="155" t="inlineStr">
        <is>
          <t>WB OUTLET LERMA (-2)</t>
        </is>
      </c>
      <c r="AN142" s="155" t="inlineStr">
        <is>
          <t>ProductosCatalogoEstandar907.xlsx: fila 6116 [N,O,S,U,W,Y]; G1522_Extraccion_Articulos_NetSuite_2026-09-30.xlsx: fila 56755 [P,V,Z,T] | Shopify WB: producto 8569967444153 / variante 47621337645241</t>
        </is>
      </c>
      <c r="AO142" s="58" t="n">
        <v>310</v>
      </c>
      <c r="AP142" s="58" t="n"/>
      <c r="AQ142" s="155" t="inlineStr">
        <is>
          <t>Shopify Western Brothers</t>
        </is>
      </c>
      <c r="AR142" s="59" t="n"/>
      <c r="AS142" s="59" t="n">
        <v>-2</v>
      </c>
      <c r="AT142" s="59" t="n"/>
      <c r="AU142" s="155" t="n"/>
    </row>
    <row r="143">
      <c r="A143" s="51" t="n">
        <v>75</v>
      </c>
      <c r="B143" s="156" t="inlineStr">
        <is>
          <t>Productos — registro integrado en el anterior</t>
        </is>
      </c>
      <c r="C143" s="125" t="inlineStr">
        <is>
          <t>Homologación G1522: mismo producto (variante sin código igual en estilo/talla/color)</t>
        </is>
      </c>
      <c r="D143" s="60" t="n"/>
      <c r="E143" s="59" t="inlineStr">
        <is>
          <t>11839</t>
        </is>
      </c>
      <c r="F143" s="155" t="inlineStr">
        <is>
          <t>Wrangler</t>
        </is>
      </c>
      <c r="G143" s="155" t="inlineStr">
        <is>
          <t>WG211-8014BR</t>
        </is>
      </c>
      <c r="H143" s="155" t="inlineStr">
        <is>
          <t>WG211-8014BR</t>
        </is>
      </c>
      <c r="I143" s="155" t="inlineStr">
        <is>
          <t>Talla única</t>
        </is>
      </c>
      <c r="J143" s="155" t="inlineStr">
        <is>
          <t>One Size</t>
        </is>
      </c>
      <c r="K143" s="155" t="inlineStr">
        <is>
          <t>Wrangler</t>
        </is>
      </c>
      <c r="L143" s="155" t="inlineStr">
        <is>
          <t>Bolsa Tote Cruzada Wrangler Bordada Azteca Floral Repujada Café</t>
        </is>
      </c>
      <c r="M143" s="155" t="inlineStr">
        <is>
          <t>Accesorios</t>
        </is>
      </c>
      <c r="N143" s="155" t="inlineStr">
        <is>
          <t>Bolsos</t>
        </is>
      </c>
      <c r="O143" s="155" t="inlineStr">
        <is>
          <t>Unisex</t>
        </is>
      </c>
      <c r="P143" s="155" t="inlineStr">
        <is>
          <t>Wrangler</t>
        </is>
      </c>
      <c r="Q143" s="155" t="n"/>
      <c r="R143" s="155" t="n"/>
      <c r="S143" s="155" t="inlineStr">
        <is>
          <t>Cafe</t>
        </is>
      </c>
      <c r="T143" s="155" t="n"/>
      <c r="U143" s="155" t="n"/>
      <c r="V143" s="155" t="n"/>
      <c r="W143" s="155" t="n"/>
      <c r="X143" s="155" t="inlineStr">
        <is>
          <t>México</t>
        </is>
      </c>
      <c r="Y143" s="155" t="inlineStr">
        <is>
          <t>PZS</t>
        </is>
      </c>
      <c r="Z143" s="59" t="inlineStr">
        <is>
          <t>53121601</t>
        </is>
      </c>
      <c r="AA143" s="126" t="n"/>
      <c r="AB143" s="61" t="n">
        <v>396.75</v>
      </c>
      <c r="AC143" s="61" t="n">
        <v>639</v>
      </c>
      <c r="AD143" s="62" t="inlineStr">
        <is>
          <t>Con Incidencias</t>
        </is>
      </c>
      <c r="AE143" s="64" t="inlineStr">
        <is>
          <t>UPC faltante/inválido; SKU duplicado; [Aviso] Temporada no capturada (); [Aviso] Ciclo de vida no capturado ()</t>
        </is>
      </c>
      <c r="AF143" s="64" t="n"/>
      <c r="AG143" s="59" t="n"/>
      <c r="AH143" s="155" t="n"/>
      <c r="AI143" s="59" t="n"/>
      <c r="AJ143" s="155" t="inlineStr">
        <is>
          <t>Nuevo – Carga Hoja2 01/10/2026</t>
        </is>
      </c>
      <c r="AK143" s="155" t="inlineStr">
        <is>
          <t>Alta 01/10/2026 desde Hoja2 (fila 848)</t>
        </is>
      </c>
      <c r="AL143" s="155" t="n"/>
      <c r="AM143" s="155" t="n"/>
      <c r="AN143" s="155" t="inlineStr">
        <is>
          <t>Hoja2: fila 848</t>
        </is>
      </c>
      <c r="AO143" s="58" t="n"/>
      <c r="AP143" s="58" t="n"/>
      <c r="AQ143" s="155" t="n"/>
      <c r="AR143" s="59" t="n"/>
      <c r="AS143" s="59" t="n"/>
      <c r="AT143" s="59" t="n"/>
      <c r="AU143" s="155" t="n"/>
    </row>
    <row r="144">
      <c r="A144" s="51" t="n">
        <v>76</v>
      </c>
      <c r="B144" s="156" t="inlineStr">
        <is>
          <t>Productos — registro conservado</t>
        </is>
      </c>
      <c r="C144" s="125" t="inlineStr">
        <is>
          <t>Homologación G1522: mismo producto (mismo WB SKU)</t>
        </is>
      </c>
      <c r="D144" s="60" t="inlineStr">
        <is>
          <t>717325221781</t>
        </is>
      </c>
      <c r="E144" s="59" t="inlineStr">
        <is>
          <t>15619</t>
        </is>
      </c>
      <c r="F144" s="155" t="inlineStr">
        <is>
          <t>Montana West</t>
        </is>
      </c>
      <c r="G144" s="155" t="n"/>
      <c r="H144" s="155" t="inlineStr">
        <is>
          <t>MW1333-8113BG</t>
        </is>
      </c>
      <c r="I144" s="155" t="inlineStr">
        <is>
          <t>Talla única</t>
        </is>
      </c>
      <c r="J144" s="155" t="inlineStr">
        <is>
          <t>One Size</t>
        </is>
      </c>
      <c r="K144" s="155" t="inlineStr">
        <is>
          <t>Montana West</t>
        </is>
      </c>
      <c r="L144" s="155" t="inlineStr">
        <is>
          <t>MONTANA WEST MW BAG</t>
        </is>
      </c>
      <c r="M144" s="155" t="inlineStr">
        <is>
          <t>Accesorios</t>
        </is>
      </c>
      <c r="N144" s="155" t="inlineStr">
        <is>
          <t>Bolsos</t>
        </is>
      </c>
      <c r="O144" s="155" t="inlineStr">
        <is>
          <t>Unisex</t>
        </is>
      </c>
      <c r="P144" s="155" t="n"/>
      <c r="Q144" s="155" t="n"/>
      <c r="R144" s="155" t="n"/>
      <c r="S144" s="155" t="inlineStr">
        <is>
          <t>Beige</t>
        </is>
      </c>
      <c r="T144" s="155" t="n"/>
      <c r="U144" s="155" t="n"/>
      <c r="V144" s="155" t="n"/>
      <c r="W144" s="155" t="n"/>
      <c r="X144" s="155" t="n"/>
      <c r="Y144" s="155" t="inlineStr">
        <is>
          <t>PZS</t>
        </is>
      </c>
      <c r="Z144" s="59" t="inlineStr">
        <is>
          <t>53121600</t>
        </is>
      </c>
      <c r="AA144" s="126" t="inlineStr">
        <is>
          <t>https://cdn.shopify.com/s/files/1/0005/9015/1741/files/Montana_West_Aztec_Retro_Arrows_Dual_Sided_Print_Wide_Tote_Beige.webp?v=1746685854</t>
        </is>
      </c>
      <c r="AB144" s="61" t="n">
        <v>289.8</v>
      </c>
      <c r="AC144" s="61" t="n">
        <v>669</v>
      </c>
      <c r="AD144" s="62" t="inlineStr">
        <is>
          <t>Con Incidencias</t>
        </is>
      </c>
      <c r="AE144" s="64" t="inlineStr">
        <is>
          <t>SKU duplicado; [Aviso] Temporada no capturada (); [Aviso] Ciclo de vida no capturado ()</t>
        </is>
      </c>
      <c r="AF144" s="64" t="n"/>
      <c r="AG144" s="59" t="n"/>
      <c r="AH144" s="155" t="n"/>
      <c r="AI144" s="59" t="n"/>
      <c r="AJ144" s="155" t="inlineStr">
        <is>
          <t>Nuevo – Carga Hoja2 01/10/2026</t>
        </is>
      </c>
      <c r="AK144" s="155" t="inlineStr">
        <is>
          <t>Alta 01/10/2026 desde Hoja2 (fila 57); Precio de compra en 0/vacío en origen | 01/10/2026: complementado desde Odoo Universal Unique Brands (match por código de barras): WB Talla, WB Talla de EE. UU., WB Género</t>
        </is>
      </c>
      <c r="AL144" s="155" t="n"/>
      <c r="AM144" s="155" t="n"/>
      <c r="AN144" s="155" t="inlineStr">
        <is>
          <t>Hoja2: fila 57 | Odoo: producto 15619 / plantilla 19972 | Odoo: producto 27108 / plantilla 33808</t>
        </is>
      </c>
      <c r="AO144" s="58" t="n"/>
      <c r="AP144" s="58" t="n"/>
      <c r="AQ144" s="155" t="inlineStr">
        <is>
          <t>Odoo Universal Unique Brands</t>
        </is>
      </c>
      <c r="AR144" s="59" t="n"/>
      <c r="AS144" s="59" t="n"/>
      <c r="AT144" s="59" t="n">
        <v>42</v>
      </c>
      <c r="AU144" s="155" t="inlineStr">
        <is>
          <t>Odoo Universal Unique Brands › Bodega 25 › Bodega 25/General: 36 | Odoo Universal Unique Brands › Bodega 25 › Bodega 25/General: 6</t>
        </is>
      </c>
    </row>
    <row r="145">
      <c r="A145" s="51" t="n">
        <v>76</v>
      </c>
      <c r="B145" s="156" t="inlineStr">
        <is>
          <t>Productos — registro integrado en el anterior</t>
        </is>
      </c>
      <c r="C145" s="125" t="inlineStr">
        <is>
          <t>Homologación G1522: mismo producto (mismo WB SKU)</t>
        </is>
      </c>
      <c r="D145" s="60" t="n"/>
      <c r="E145" s="59" t="inlineStr">
        <is>
          <t>27108</t>
        </is>
      </c>
      <c r="F145" s="155" t="inlineStr">
        <is>
          <t>Montana West</t>
        </is>
      </c>
      <c r="G145" s="155" t="n"/>
      <c r="H145" s="155" t="inlineStr">
        <is>
          <t>MW1333-8113BG</t>
        </is>
      </c>
      <c r="I145" s="155" t="inlineStr">
        <is>
          <t>Talla única</t>
        </is>
      </c>
      <c r="J145" s="155" t="inlineStr">
        <is>
          <t>One Size</t>
        </is>
      </c>
      <c r="K145" s="155" t="inlineStr">
        <is>
          <t>Montana West</t>
        </is>
      </c>
      <c r="L145" s="155" t="inlineStr">
        <is>
          <t>MW BAG</t>
        </is>
      </c>
      <c r="M145" s="155" t="inlineStr">
        <is>
          <t>Accesorios</t>
        </is>
      </c>
      <c r="N145" s="155" t="inlineStr">
        <is>
          <t>Bolsos</t>
        </is>
      </c>
      <c r="O145" s="155" t="inlineStr">
        <is>
          <t>Mujer</t>
        </is>
      </c>
      <c r="P145" s="155" t="n"/>
      <c r="Q145" s="155" t="n"/>
      <c r="R145" s="155" t="n"/>
      <c r="S145" s="155" t="inlineStr">
        <is>
          <t>Beige</t>
        </is>
      </c>
      <c r="T145" s="155" t="n"/>
      <c r="U145" s="155" t="n"/>
      <c r="V145" s="155" t="n"/>
      <c r="W145" s="155" t="n"/>
      <c r="X145" s="155" t="n"/>
      <c r="Y145" s="155" t="inlineStr">
        <is>
          <t>PZS</t>
        </is>
      </c>
      <c r="Z145" s="59" t="inlineStr">
        <is>
          <t>53121601</t>
        </is>
      </c>
      <c r="AA145" s="126" t="inlineStr">
        <is>
          <t>https://cdn.shopify.com/s/files/1/0005/9015/1741/files/Montana_West_Aztec_Retro_Arrows_Dual_Sided_Print_Wide_Tote_Beige.webp?v=1746685854</t>
        </is>
      </c>
      <c r="AB145" s="61" t="n">
        <v>289.8</v>
      </c>
      <c r="AC145" s="61" t="n">
        <v>499</v>
      </c>
      <c r="AD145" s="62" t="inlineStr">
        <is>
          <t>Con Incidencias</t>
        </is>
      </c>
      <c r="AE145" s="64" t="inlineStr">
        <is>
          <t>UPC faltante/inválido; SKU duplicado; [Aviso] Género no capturado (); [Aviso] Temporada no capturada (); [Aviso] Ciclo de vida no capturado ()</t>
        </is>
      </c>
      <c r="AF145" s="64" t="n"/>
      <c r="AG145" s="59" t="n"/>
      <c r="AH145" s="155" t="n"/>
      <c r="AI145" s="59" t="n"/>
      <c r="AJ145" s="155" t="inlineStr">
        <is>
          <t>Nuevo – Carga Hoja2 01/10/2026</t>
        </is>
      </c>
      <c r="AK145" s="155" t="inlineStr">
        <is>
          <t>Alta 01/10/2026 desde Hoja2 (fila 58)</t>
        </is>
      </c>
      <c r="AL145" s="155" t="n"/>
      <c r="AM145" s="155" t="n"/>
      <c r="AN145" s="155" t="inlineStr">
        <is>
          <t>Hoja2: fila 58 | Investigación en línea 06/10/2026: https://montanawestworld.com/products/montana-west-aztec-retro-arrows-dual-sided-print-wide-tote</t>
        </is>
      </c>
      <c r="AO145" s="58" t="n"/>
      <c r="AP145" s="58" t="n"/>
      <c r="AQ145" s="155" t="n"/>
      <c r="AR145" s="59" t="n"/>
      <c r="AS145" s="59" t="n"/>
      <c r="AT145" s="59" t="n"/>
      <c r="AU145" s="155" t="n"/>
    </row>
    <row r="146">
      <c r="A146" s="51" t="n">
        <v>77</v>
      </c>
      <c r="B146" s="156" t="inlineStr">
        <is>
          <t>Productos — registro conservado</t>
        </is>
      </c>
      <c r="C146" s="125" t="inlineStr">
        <is>
          <t>Homologación G1522: mismo producto (mismo WB SKU)</t>
        </is>
      </c>
      <c r="D146" s="60" t="inlineStr">
        <is>
          <t>717325221750</t>
        </is>
      </c>
      <c r="E146" s="59" t="inlineStr">
        <is>
          <t>15615</t>
        </is>
      </c>
      <c r="F146" s="155" t="inlineStr">
        <is>
          <t>Montana West</t>
        </is>
      </c>
      <c r="G146" s="155" t="n"/>
      <c r="H146" s="155" t="inlineStr">
        <is>
          <t>MW1333-8113BR</t>
        </is>
      </c>
      <c r="I146" s="155" t="inlineStr">
        <is>
          <t>Talla única</t>
        </is>
      </c>
      <c r="J146" s="155" t="inlineStr">
        <is>
          <t>One Size</t>
        </is>
      </c>
      <c r="K146" s="155" t="inlineStr">
        <is>
          <t>Montana West</t>
        </is>
      </c>
      <c r="L146" s="155" t="inlineStr">
        <is>
          <t>MONTANA WEST MW BAG</t>
        </is>
      </c>
      <c r="M146" s="155" t="inlineStr">
        <is>
          <t>Accesorios</t>
        </is>
      </c>
      <c r="N146" s="155" t="inlineStr">
        <is>
          <t>Bolsos</t>
        </is>
      </c>
      <c r="O146" s="155" t="inlineStr">
        <is>
          <t>Unisex</t>
        </is>
      </c>
      <c r="P146" s="155" t="n"/>
      <c r="Q146" s="155" t="n"/>
      <c r="R146" s="155" t="n"/>
      <c r="S146" s="155" t="inlineStr">
        <is>
          <t>Cafe</t>
        </is>
      </c>
      <c r="T146" s="155" t="n"/>
      <c r="U146" s="155" t="n"/>
      <c r="V146" s="155" t="n"/>
      <c r="W146" s="155" t="n"/>
      <c r="X146" s="155" t="n"/>
      <c r="Y146" s="155" t="inlineStr">
        <is>
          <t>PZS</t>
        </is>
      </c>
      <c r="Z146" s="59" t="inlineStr">
        <is>
          <t>53121600</t>
        </is>
      </c>
      <c r="AA146" s="126" t="inlineStr">
        <is>
          <t>https://cdn.shopify.com/s/files/1/0005/9015/1741/files/Montana_West_Aztec_Retro_Arrows_Dual_Sided_Print_Wide_Tote_Brown2.webp?v=1746685956</t>
        </is>
      </c>
      <c r="AB146" s="61" t="n">
        <v>289.8</v>
      </c>
      <c r="AC146" s="61" t="n">
        <v>669</v>
      </c>
      <c r="AD146" s="62" t="inlineStr">
        <is>
          <t>Con Incidencias</t>
        </is>
      </c>
      <c r="AE146" s="64" t="inlineStr">
        <is>
          <t>SKU duplicado; [Aviso] Temporada no capturada (); [Aviso] Ciclo de vida no capturado ()</t>
        </is>
      </c>
      <c r="AF146" s="64" t="n"/>
      <c r="AG146" s="59" t="n"/>
      <c r="AH146" s="155" t="n"/>
      <c r="AI146" s="59" t="n"/>
      <c r="AJ146" s="155" t="inlineStr">
        <is>
          <t>Nuevo – Carga Hoja2 01/10/2026</t>
        </is>
      </c>
      <c r="AK146" s="155" t="inlineStr">
        <is>
          <t>Alta 01/10/2026 desde Hoja2 (fila 59); Precio de compra en 0/vacío en origen | 01/10/2026: complementado desde Odoo Universal Unique Brands (match por código de barras): WB Talla, WB Talla de EE. UU., WB Género</t>
        </is>
      </c>
      <c r="AL146" s="155" t="n"/>
      <c r="AM146" s="155" t="n"/>
      <c r="AN146" s="155" t="inlineStr">
        <is>
          <t>Hoja2: fila 59 | Odoo: producto 15615 / plantilla 19968 | Odoo: producto 27109 / plantilla 33809</t>
        </is>
      </c>
      <c r="AO146" s="58" t="n"/>
      <c r="AP146" s="58" t="n"/>
      <c r="AQ146" s="155" t="inlineStr">
        <is>
          <t>Odoo Universal Unique Brands</t>
        </is>
      </c>
      <c r="AR146" s="59" t="n"/>
      <c r="AS146" s="59" t="n"/>
      <c r="AT146" s="59" t="n">
        <v>40</v>
      </c>
      <c r="AU146" s="155" t="inlineStr">
        <is>
          <t>Odoo Universal Unique Brands › Bodega 25 › Bodega 25/General: 29 | Odoo Universal Unique Brands › Bodega 25 › Bodega 25/General: 11</t>
        </is>
      </c>
    </row>
    <row r="147">
      <c r="A147" s="51" t="n">
        <v>77</v>
      </c>
      <c r="B147" s="156" t="inlineStr">
        <is>
          <t>Productos — registro integrado en el anterior</t>
        </is>
      </c>
      <c r="C147" s="125" t="inlineStr">
        <is>
          <t>Homologación G1522: mismo producto (mismo WB SKU)</t>
        </is>
      </c>
      <c r="D147" s="60" t="n"/>
      <c r="E147" s="59" t="inlineStr">
        <is>
          <t>27109</t>
        </is>
      </c>
      <c r="F147" s="155" t="inlineStr">
        <is>
          <t>Montana West</t>
        </is>
      </c>
      <c r="G147" s="155" t="n"/>
      <c r="H147" s="155" t="inlineStr">
        <is>
          <t>MW1333-8113BR</t>
        </is>
      </c>
      <c r="I147" s="155" t="inlineStr">
        <is>
          <t>Talla única</t>
        </is>
      </c>
      <c r="J147" s="155" t="inlineStr">
        <is>
          <t>One Size</t>
        </is>
      </c>
      <c r="K147" s="155" t="inlineStr">
        <is>
          <t>Montana West</t>
        </is>
      </c>
      <c r="L147" s="155" t="inlineStr">
        <is>
          <t>MW BAG</t>
        </is>
      </c>
      <c r="M147" s="155" t="inlineStr">
        <is>
          <t>Accesorios</t>
        </is>
      </c>
      <c r="N147" s="155" t="inlineStr">
        <is>
          <t>Bolsos</t>
        </is>
      </c>
      <c r="O147" s="155" t="inlineStr">
        <is>
          <t>Mujer</t>
        </is>
      </c>
      <c r="P147" s="155" t="n"/>
      <c r="Q147" s="155" t="n"/>
      <c r="R147" s="155" t="n"/>
      <c r="S147" s="155" t="inlineStr">
        <is>
          <t>Cafe</t>
        </is>
      </c>
      <c r="T147" s="155" t="n"/>
      <c r="U147" s="155" t="n"/>
      <c r="V147" s="155" t="n"/>
      <c r="W147" s="155" t="n"/>
      <c r="X147" s="155" t="n"/>
      <c r="Y147" s="155" t="inlineStr">
        <is>
          <t>PZS</t>
        </is>
      </c>
      <c r="Z147" s="59" t="inlineStr">
        <is>
          <t>53121601</t>
        </is>
      </c>
      <c r="AA147" s="126" t="inlineStr">
        <is>
          <t>https://cdn.shopify.com/s/files/1/0005/9015/1741/files/Montana_West_Aztec_Retro_Arrows_Dual_Sided_Print_Wide_Tote_Brown2.webp?v=1746685956</t>
        </is>
      </c>
      <c r="AB147" s="61" t="n">
        <v>289.8</v>
      </c>
      <c r="AC147" s="61" t="n">
        <v>499</v>
      </c>
      <c r="AD147" s="62" t="inlineStr">
        <is>
          <t>Con Incidencias</t>
        </is>
      </c>
      <c r="AE147" s="64" t="inlineStr">
        <is>
          <t>UPC faltante/inválido; SKU duplicado; [Aviso] Género no capturado (); [Aviso] Temporada no capturada (); [Aviso] Ciclo de vida no capturado ()</t>
        </is>
      </c>
      <c r="AF147" s="64" t="n"/>
      <c r="AG147" s="59" t="n"/>
      <c r="AH147" s="155" t="n"/>
      <c r="AI147" s="59" t="n"/>
      <c r="AJ147" s="155" t="inlineStr">
        <is>
          <t>Nuevo – Carga Hoja2 01/10/2026</t>
        </is>
      </c>
      <c r="AK147" s="155" t="inlineStr">
        <is>
          <t>Alta 01/10/2026 desde Hoja2 (fila 60)</t>
        </is>
      </c>
      <c r="AL147" s="155" t="n"/>
      <c r="AM147" s="155" t="n"/>
      <c r="AN147" s="155" t="inlineStr">
        <is>
          <t>Hoja2: fila 60 | Investigación en línea 06/10/2026: https://montanawestworld.com/products/montana-west-aztec-retro-arrows-dual-sided-print-wide-tote</t>
        </is>
      </c>
      <c r="AO147" s="58" t="n"/>
      <c r="AP147" s="58" t="n"/>
      <c r="AQ147" s="155" t="n"/>
      <c r="AR147" s="59" t="n"/>
      <c r="AS147" s="59" t="n"/>
      <c r="AT147" s="59" t="n"/>
      <c r="AU147" s="155" t="n"/>
    </row>
    <row r="148">
      <c r="A148" s="51" t="n">
        <v>78</v>
      </c>
      <c r="B148" s="156" t="inlineStr">
        <is>
          <t>Productos — registro conservado</t>
        </is>
      </c>
      <c r="C148" s="125" t="inlineStr">
        <is>
          <t>Homologación G1522: mismo producto (mismo WB SKU)</t>
        </is>
      </c>
      <c r="D148" s="60" t="inlineStr">
        <is>
          <t>717325221811</t>
        </is>
      </c>
      <c r="E148" s="59" t="inlineStr">
        <is>
          <t>15630</t>
        </is>
      </c>
      <c r="F148" s="155" t="inlineStr">
        <is>
          <t>Montana West</t>
        </is>
      </c>
      <c r="G148" s="155" t="n"/>
      <c r="H148" s="155" t="inlineStr">
        <is>
          <t>MW1333-8113PK</t>
        </is>
      </c>
      <c r="I148" s="155" t="inlineStr">
        <is>
          <t>Talla única</t>
        </is>
      </c>
      <c r="J148" s="155" t="inlineStr">
        <is>
          <t>One Size</t>
        </is>
      </c>
      <c r="K148" s="155" t="inlineStr">
        <is>
          <t>Montana West</t>
        </is>
      </c>
      <c r="L148" s="155" t="inlineStr">
        <is>
          <t>MONTANA WEST MW BAG</t>
        </is>
      </c>
      <c r="M148" s="155" t="inlineStr">
        <is>
          <t>Accesorios</t>
        </is>
      </c>
      <c r="N148" s="155" t="inlineStr">
        <is>
          <t>Bolsos</t>
        </is>
      </c>
      <c r="O148" s="155" t="inlineStr">
        <is>
          <t>Unisex</t>
        </is>
      </c>
      <c r="P148" s="155" t="n"/>
      <c r="Q148" s="155" t="n"/>
      <c r="R148" s="155" t="n"/>
      <c r="S148" s="155" t="inlineStr">
        <is>
          <t>Rosa</t>
        </is>
      </c>
      <c r="T148" s="155" t="n"/>
      <c r="U148" s="155" t="n"/>
      <c r="V148" s="155" t="n"/>
      <c r="W148" s="155" t="n"/>
      <c r="X148" s="155" t="n"/>
      <c r="Y148" s="155" t="inlineStr">
        <is>
          <t>PZS</t>
        </is>
      </c>
      <c r="Z148" s="59" t="inlineStr">
        <is>
          <t>53121601</t>
        </is>
      </c>
      <c r="AA148" s="126" t="inlineStr">
        <is>
          <t>https://cdn.shopify.com/s/files/1/0005/9015/1741/files/Montana_West_Aztec_Retro_Arrows_Dual_Sided_Print_Wide_Tote_Pink2.webp?v=1746686070</t>
        </is>
      </c>
      <c r="AB148" s="61" t="n">
        <v>18</v>
      </c>
      <c r="AC148" s="61" t="n">
        <v>669</v>
      </c>
      <c r="AD148" s="62" t="inlineStr">
        <is>
          <t>Con Incidencias</t>
        </is>
      </c>
      <c r="AE148" s="64" t="inlineStr">
        <is>
          <t>SKU duplicado; [Aviso] Temporada no capturada (); [Aviso] Ciclo de vida no capturado ()</t>
        </is>
      </c>
      <c r="AF148" s="64" t="n"/>
      <c r="AG148" s="59" t="n"/>
      <c r="AH148" s="155" t="n"/>
      <c r="AI148" s="59" t="n"/>
      <c r="AJ148" s="155" t="inlineStr">
        <is>
          <t>Nuevo – Carga Hoja2 01/10/2026</t>
        </is>
      </c>
      <c r="AK148" s="155" t="inlineStr">
        <is>
          <t>Alta 01/10/2026 desde Hoja2 (fila 63) | 01/10/2026: complementado desde Odoo Universal Unique Brands (match por código de barras): WB Talla, WB Talla de EE. UU., WB Género</t>
        </is>
      </c>
      <c r="AL148" s="155" t="n"/>
      <c r="AM148" s="155" t="n"/>
      <c r="AN148" s="155" t="inlineStr">
        <is>
          <t>Hoja2: fila 63 | Odoo: producto 15630 / plantilla 19983 | Odoo: producto 27112 / plantilla 33812</t>
        </is>
      </c>
      <c r="AO148" s="58" t="n"/>
      <c r="AP148" s="58" t="n"/>
      <c r="AQ148" s="155" t="inlineStr">
        <is>
          <t>Odoo Universal Unique Brands</t>
        </is>
      </c>
      <c r="AR148" s="59" t="n"/>
      <c r="AS148" s="59" t="n"/>
      <c r="AT148" s="59" t="n">
        <v>29</v>
      </c>
      <c r="AU148" s="155" t="inlineStr">
        <is>
          <t>Odoo Universal Unique Brands › Bodega 25 › Bodega 25/General: 23 | Odoo Universal Unique Brands › Bodega 25 › Bodega 25/General: 6</t>
        </is>
      </c>
    </row>
    <row r="149">
      <c r="A149" s="51" t="n">
        <v>78</v>
      </c>
      <c r="B149" s="156" t="inlineStr">
        <is>
          <t>Productos — registro integrado en el anterior</t>
        </is>
      </c>
      <c r="C149" s="125" t="inlineStr">
        <is>
          <t>Homologación G1522: mismo producto (mismo WB SKU)</t>
        </is>
      </c>
      <c r="D149" s="60" t="n"/>
      <c r="E149" s="59" t="inlineStr">
        <is>
          <t>27112</t>
        </is>
      </c>
      <c r="F149" s="155" t="inlineStr">
        <is>
          <t>Montana West</t>
        </is>
      </c>
      <c r="G149" s="155" t="n"/>
      <c r="H149" s="155" t="inlineStr">
        <is>
          <t>MW1333-8113PK</t>
        </is>
      </c>
      <c r="I149" s="155" t="inlineStr">
        <is>
          <t>Talla única</t>
        </is>
      </c>
      <c r="J149" s="155" t="inlineStr">
        <is>
          <t>One Size</t>
        </is>
      </c>
      <c r="K149" s="155" t="inlineStr">
        <is>
          <t>Montana West</t>
        </is>
      </c>
      <c r="L149" s="155" t="inlineStr">
        <is>
          <t>MW BAG</t>
        </is>
      </c>
      <c r="M149" s="155" t="inlineStr">
        <is>
          <t>Accesorios</t>
        </is>
      </c>
      <c r="N149" s="155" t="inlineStr">
        <is>
          <t>Bolsos</t>
        </is>
      </c>
      <c r="O149" s="155" t="inlineStr">
        <is>
          <t>Mujer</t>
        </is>
      </c>
      <c r="P149" s="155" t="n"/>
      <c r="Q149" s="155" t="n"/>
      <c r="R149" s="155" t="n"/>
      <c r="S149" s="155" t="inlineStr">
        <is>
          <t>Rosa</t>
        </is>
      </c>
      <c r="T149" s="155" t="n"/>
      <c r="U149" s="155" t="n"/>
      <c r="V149" s="155" t="n"/>
      <c r="W149" s="155" t="n"/>
      <c r="X149" s="155" t="n"/>
      <c r="Y149" s="155" t="inlineStr">
        <is>
          <t>PZS</t>
        </is>
      </c>
      <c r="Z149" s="59" t="inlineStr">
        <is>
          <t>53121601</t>
        </is>
      </c>
      <c r="AA149" s="126" t="inlineStr">
        <is>
          <t>https://cdn.shopify.com/s/files/1/0005/9015/1741/files/Montana_West_Aztec_Retro_Arrows_Dual_Sided_Print_Wide_Tote_Pink2.webp?v=1746686070</t>
        </is>
      </c>
      <c r="AB149" s="61" t="n">
        <v>289.8</v>
      </c>
      <c r="AC149" s="61" t="n">
        <v>499</v>
      </c>
      <c r="AD149" s="62" t="inlineStr">
        <is>
          <t>Con Incidencias</t>
        </is>
      </c>
      <c r="AE149" s="64" t="inlineStr">
        <is>
          <t>UPC faltante/inválido; SKU duplicado; [Aviso] Género no capturado (); [Aviso] Temporada no capturada (); [Aviso] Ciclo de vida no capturado ()</t>
        </is>
      </c>
      <c r="AF149" s="64" t="n"/>
      <c r="AG149" s="59" t="n"/>
      <c r="AH149" s="155" t="n"/>
      <c r="AI149" s="59" t="n"/>
      <c r="AJ149" s="155" t="inlineStr">
        <is>
          <t>Nuevo – Carga Hoja2 01/10/2026</t>
        </is>
      </c>
      <c r="AK149" s="155" t="inlineStr">
        <is>
          <t>Alta 01/10/2026 desde Hoja2 (fila 64)</t>
        </is>
      </c>
      <c r="AL149" s="155" t="n"/>
      <c r="AM149" s="155" t="n"/>
      <c r="AN149" s="155" t="inlineStr">
        <is>
          <t>Hoja2: fila 64 | Investigación en línea 06/10/2026: https://montanawestworld.com/products/montana-west-aztec-retro-arrows-dual-sided-print-wide-tote</t>
        </is>
      </c>
      <c r="AO149" s="58" t="n"/>
      <c r="AP149" s="58" t="n"/>
      <c r="AQ149" s="155" t="n"/>
      <c r="AR149" s="59" t="n"/>
      <c r="AS149" s="59" t="n"/>
      <c r="AT149" s="59" t="n"/>
      <c r="AU149" s="155" t="n"/>
    </row>
    <row r="150">
      <c r="A150" s="51" t="n">
        <v>79</v>
      </c>
      <c r="B150" s="156" t="inlineStr">
        <is>
          <t>Productos — registro conservado</t>
        </is>
      </c>
      <c r="C150" s="125" t="inlineStr">
        <is>
          <t>Homologación G1522: mismo producto (mismo WB SKU)</t>
        </is>
      </c>
      <c r="D150" s="60" t="inlineStr">
        <is>
          <t>717325231957</t>
        </is>
      </c>
      <c r="E150" s="59" t="inlineStr">
        <is>
          <t>15667</t>
        </is>
      </c>
      <c r="F150" s="155" t="inlineStr">
        <is>
          <t>Montana West</t>
        </is>
      </c>
      <c r="G150" s="155" t="n"/>
      <c r="H150" s="155" t="inlineStr">
        <is>
          <t>MW1336-8633BR</t>
        </is>
      </c>
      <c r="I150" s="155" t="inlineStr">
        <is>
          <t>Talla única</t>
        </is>
      </c>
      <c r="J150" s="155" t="inlineStr">
        <is>
          <t>One Size</t>
        </is>
      </c>
      <c r="K150" s="155" t="inlineStr">
        <is>
          <t>Montana West</t>
        </is>
      </c>
      <c r="L150" s="155" t="inlineStr">
        <is>
          <t>MONTANA WEST MW BAG</t>
        </is>
      </c>
      <c r="M150" s="155" t="inlineStr">
        <is>
          <t>Accesorios</t>
        </is>
      </c>
      <c r="N150" s="155" t="inlineStr">
        <is>
          <t>Bolsos</t>
        </is>
      </c>
      <c r="O150" s="155" t="inlineStr">
        <is>
          <t>Unisex</t>
        </is>
      </c>
      <c r="P150" s="155" t="n"/>
      <c r="Q150" s="155" t="n"/>
      <c r="R150" s="155" t="n"/>
      <c r="S150" s="155" t="n"/>
      <c r="T150" s="155" t="n"/>
      <c r="U150" s="155" t="n"/>
      <c r="V150" s="155" t="n"/>
      <c r="W150" s="155" t="n"/>
      <c r="X150" s="155" t="n"/>
      <c r="Y150" s="155" t="inlineStr">
        <is>
          <t>PZS</t>
        </is>
      </c>
      <c r="Z150" s="59" t="inlineStr">
        <is>
          <t>53121600</t>
        </is>
      </c>
      <c r="AA150" s="126" t="n"/>
      <c r="AB150" s="61" t="n">
        <v>354.2</v>
      </c>
      <c r="AC150" s="61" t="n">
        <v>529</v>
      </c>
      <c r="AD150" s="62" t="inlineStr">
        <is>
          <t>Con Incidencias</t>
        </is>
      </c>
      <c r="AE150" s="64" t="inlineStr">
        <is>
          <t>SKU duplicado; [Aviso] Temporada no capturada (); [Aviso] Ciclo de vida no capturado ()</t>
        </is>
      </c>
      <c r="AF150" s="64" t="n"/>
      <c r="AG150" s="59" t="n"/>
      <c r="AH150" s="155" t="n"/>
      <c r="AI150" s="59" t="n"/>
      <c r="AJ150" s="155" t="inlineStr">
        <is>
          <t>Nuevo – Carga Hoja2 01/10/2026</t>
        </is>
      </c>
      <c r="AK150" s="155" t="inlineStr">
        <is>
          <t>Alta 01/10/2026 desde Hoja2 (fila 69); Precio de compra en 0/vacío en origen | 01/10/2026: complementado desde Odoo Universal Unique Brands (match por código de barras): WB Talla, WB Talla de EE. UU., WB Género</t>
        </is>
      </c>
      <c r="AL150" s="155" t="n"/>
      <c r="AM150" s="155" t="n"/>
      <c r="AN150" s="155" t="inlineStr">
        <is>
          <t>Hoja2: fila 69 | Odoo: producto 15667 / plantilla 20020 | Odoo: producto 27114 / plantilla 33814</t>
        </is>
      </c>
      <c r="AO150" s="58" t="n"/>
      <c r="AP150" s="58" t="n"/>
      <c r="AQ150" s="155" t="inlineStr">
        <is>
          <t>Odoo Universal Unique Brands</t>
        </is>
      </c>
      <c r="AR150" s="59" t="n"/>
      <c r="AS150" s="59" t="n"/>
      <c r="AT150" s="59" t="n">
        <v>16</v>
      </c>
      <c r="AU150" s="155" t="inlineStr">
        <is>
          <t>Odoo Universal Unique Brands › Bodega 25 › Bodega 25/General: 17</t>
        </is>
      </c>
    </row>
    <row r="151">
      <c r="A151" s="51" t="n">
        <v>79</v>
      </c>
      <c r="B151" s="156" t="inlineStr">
        <is>
          <t>Productos — registro integrado en el anterior</t>
        </is>
      </c>
      <c r="C151" s="125" t="inlineStr">
        <is>
          <t>Homologación G1522: mismo producto (mismo WB SKU)</t>
        </is>
      </c>
      <c r="D151" s="60" t="n"/>
      <c r="E151" s="59" t="inlineStr">
        <is>
          <t>27114</t>
        </is>
      </c>
      <c r="F151" s="155" t="inlineStr">
        <is>
          <t>Montana West</t>
        </is>
      </c>
      <c r="G151" s="155" t="n"/>
      <c r="H151" s="155" t="inlineStr">
        <is>
          <t>MW1336-8633BR</t>
        </is>
      </c>
      <c r="I151" s="155" t="inlineStr">
        <is>
          <t>Talla única</t>
        </is>
      </c>
      <c r="J151" s="155" t="inlineStr">
        <is>
          <t>One Size</t>
        </is>
      </c>
      <c r="K151" s="155" t="inlineStr">
        <is>
          <t>Montana West</t>
        </is>
      </c>
      <c r="L151" s="155" t="inlineStr">
        <is>
          <t>MW BAG</t>
        </is>
      </c>
      <c r="M151" s="155" t="inlineStr">
        <is>
          <t>Accesorios</t>
        </is>
      </c>
      <c r="N151" s="155" t="inlineStr">
        <is>
          <t>Bolsos</t>
        </is>
      </c>
      <c r="O151" s="155" t="inlineStr">
        <is>
          <t>Unisex</t>
        </is>
      </c>
      <c r="P151" s="155" t="n"/>
      <c r="Q151" s="155" t="n"/>
      <c r="R151" s="155" t="n"/>
      <c r="S151" s="155" t="n"/>
      <c r="T151" s="155" t="n"/>
      <c r="U151" s="155" t="n"/>
      <c r="V151" s="155" t="n"/>
      <c r="W151" s="155" t="n"/>
      <c r="X151" s="155" t="n"/>
      <c r="Y151" s="155" t="inlineStr">
        <is>
          <t>PZS</t>
        </is>
      </c>
      <c r="Z151" s="59" t="inlineStr">
        <is>
          <t>53121601</t>
        </is>
      </c>
      <c r="AA151" s="126" t="n"/>
      <c r="AB151" s="61" t="n">
        <v>354.2</v>
      </c>
      <c r="AC151" s="61" t="n">
        <v>599</v>
      </c>
      <c r="AD151" s="62" t="inlineStr">
        <is>
          <t>Con Incidencias</t>
        </is>
      </c>
      <c r="AE151" s="64" t="inlineStr">
        <is>
          <t>UPC faltante/inválido; SKU duplicado; [Aviso] Género no capturado (); [Aviso] Temporada no capturada (); [Aviso] Ciclo de vida no capturado ()</t>
        </is>
      </c>
      <c r="AF151" s="64" t="n"/>
      <c r="AG151" s="59" t="n"/>
      <c r="AH151" s="155" t="n"/>
      <c r="AI151" s="59" t="n"/>
      <c r="AJ151" s="155" t="inlineStr">
        <is>
          <t>Nuevo – Carga Hoja2 01/10/2026</t>
        </is>
      </c>
      <c r="AK151" s="155" t="inlineStr">
        <is>
          <t>Alta 01/10/2026 desde Hoja2 (fila 70)</t>
        </is>
      </c>
      <c r="AL151" s="155" t="n"/>
      <c r="AM151" s="155" t="n"/>
      <c r="AN151" s="155" t="inlineStr">
        <is>
          <t>Hoja2: fila 70</t>
        </is>
      </c>
      <c r="AO151" s="58" t="n"/>
      <c r="AP151" s="58" t="n"/>
      <c r="AQ151" s="155" t="n"/>
      <c r="AR151" s="59" t="n"/>
      <c r="AS151" s="59" t="n"/>
      <c r="AT151" s="59" t="n"/>
      <c r="AU151" s="155" t="n"/>
    </row>
    <row r="152">
      <c r="A152" s="51" t="n">
        <v>80</v>
      </c>
      <c r="B152" s="156" t="inlineStr">
        <is>
          <t>Productos — registro conservado</t>
        </is>
      </c>
      <c r="C152" s="125" t="inlineStr">
        <is>
          <t>Homologación G1522: mismo producto (mismo WB SKU)</t>
        </is>
      </c>
      <c r="D152" s="60" t="inlineStr">
        <is>
          <t>717325230271</t>
        </is>
      </c>
      <c r="E152" s="59" t="inlineStr">
        <is>
          <t>15672</t>
        </is>
      </c>
      <c r="F152" s="155" t="inlineStr">
        <is>
          <t>Montana West</t>
        </is>
      </c>
      <c r="G152" s="155" t="n"/>
      <c r="H152" s="155" t="inlineStr">
        <is>
          <t>MW1338-8802LBR</t>
        </is>
      </c>
      <c r="I152" s="155" t="inlineStr">
        <is>
          <t>Talla única</t>
        </is>
      </c>
      <c r="J152" s="155" t="inlineStr">
        <is>
          <t>One Size</t>
        </is>
      </c>
      <c r="K152" s="155" t="inlineStr">
        <is>
          <t>Montana West</t>
        </is>
      </c>
      <c r="L152" s="155" t="inlineStr">
        <is>
          <t>MONTANA WEST MW BAG</t>
        </is>
      </c>
      <c r="M152" s="155" t="inlineStr">
        <is>
          <t>Accesorios</t>
        </is>
      </c>
      <c r="N152" s="155" t="inlineStr">
        <is>
          <t>Bolsos</t>
        </is>
      </c>
      <c r="O152" s="155" t="inlineStr">
        <is>
          <t>Unisex</t>
        </is>
      </c>
      <c r="P152" s="155" t="n"/>
      <c r="Q152" s="155" t="n"/>
      <c r="R152" s="155" t="n"/>
      <c r="S152" s="155" t="inlineStr">
        <is>
          <t>Cafe</t>
        </is>
      </c>
      <c r="T152" s="155" t="n"/>
      <c r="U152" s="155" t="n"/>
      <c r="V152" s="155" t="n"/>
      <c r="W152" s="155" t="n"/>
      <c r="X152" s="155" t="n"/>
      <c r="Y152" s="155" t="inlineStr">
        <is>
          <t>PZS</t>
        </is>
      </c>
      <c r="Z152" s="59" t="inlineStr">
        <is>
          <t>53121600</t>
        </is>
      </c>
      <c r="AA152" s="126" t="inlineStr">
        <is>
          <t>https://cdn.shopify.com/s/files/1/0005/9015/1741/files/Montana_West_Western_Tooled_Buckle_Mini_Barrel_Bag_Light_Brown.webp?v=1752216352</t>
        </is>
      </c>
      <c r="AB152" s="61" t="n">
        <v>338.1</v>
      </c>
      <c r="AC152" s="61" t="n">
        <v>509</v>
      </c>
      <c r="AD152" s="62" t="inlineStr">
        <is>
          <t>Con Incidencias</t>
        </is>
      </c>
      <c r="AE152" s="64" t="inlineStr">
        <is>
          <t>SKU duplicado; [Aviso] Temporada no capturada (); [Aviso] Ciclo de vida no capturado ()</t>
        </is>
      </c>
      <c r="AF152" s="64" t="n"/>
      <c r="AG152" s="59" t="n"/>
      <c r="AH152" s="155" t="n"/>
      <c r="AI152" s="59" t="n"/>
      <c r="AJ152" s="155" t="inlineStr">
        <is>
          <t>Nuevo – Carga Hoja2 01/10/2026</t>
        </is>
      </c>
      <c r="AK152" s="155" t="inlineStr">
        <is>
          <t>Alta 01/10/2026 desde Hoja2 (fila 75); Precio de compra en 0/vacío en origen | 01/10/2026: complementado desde Odoo Universal Unique Brands (match por código de barras): WB Talla, WB Talla de EE. UU., WB Género</t>
        </is>
      </c>
      <c r="AL152" s="155" t="n"/>
      <c r="AM152" s="155" t="n"/>
      <c r="AN152" s="155" t="inlineStr">
        <is>
          <t>Hoja2: fila 75 | Odoo: producto 15672 / plantilla 20025 | Odoo: producto 27119 / plantilla 33819</t>
        </is>
      </c>
      <c r="AO152" s="58" t="n"/>
      <c r="AP152" s="58" t="n"/>
      <c r="AQ152" s="155" t="inlineStr">
        <is>
          <t>Odoo Universal Unique Brands</t>
        </is>
      </c>
      <c r="AR152" s="59" t="n"/>
      <c r="AS152" s="59" t="n"/>
      <c r="AT152" s="59" t="n">
        <v>35</v>
      </c>
      <c r="AU152" s="155" t="inlineStr">
        <is>
          <t>Odoo Universal Unique Brands › Bodega 25 › Bodega 25/General: 29 | Odoo Universal Unique Brands › Bodega 25 › Bodega 25/General: 6</t>
        </is>
      </c>
    </row>
    <row r="153">
      <c r="A153" s="51" t="n">
        <v>80</v>
      </c>
      <c r="B153" s="156" t="inlineStr">
        <is>
          <t>Productos — registro integrado en el anterior</t>
        </is>
      </c>
      <c r="C153" s="125" t="inlineStr">
        <is>
          <t>Homologación G1522: mismo producto (mismo WB SKU)</t>
        </is>
      </c>
      <c r="D153" s="60" t="n"/>
      <c r="E153" s="59" t="inlineStr">
        <is>
          <t>27119</t>
        </is>
      </c>
      <c r="F153" s="155" t="inlineStr">
        <is>
          <t>Montana West</t>
        </is>
      </c>
      <c r="G153" s="155" t="n"/>
      <c r="H153" s="155" t="inlineStr">
        <is>
          <t>MW1338-8802LBR</t>
        </is>
      </c>
      <c r="I153" s="155" t="inlineStr">
        <is>
          <t>Talla única</t>
        </is>
      </c>
      <c r="J153" s="155" t="inlineStr">
        <is>
          <t>One Size</t>
        </is>
      </c>
      <c r="K153" s="155" t="inlineStr">
        <is>
          <t>Montana West</t>
        </is>
      </c>
      <c r="L153" s="155" t="inlineStr">
        <is>
          <t>MW BAG</t>
        </is>
      </c>
      <c r="M153" s="155" t="inlineStr">
        <is>
          <t>Accesorios</t>
        </is>
      </c>
      <c r="N153" s="155" t="inlineStr">
        <is>
          <t>Bolsos</t>
        </is>
      </c>
      <c r="O153" s="155" t="inlineStr">
        <is>
          <t>Unisex</t>
        </is>
      </c>
      <c r="P153" s="155" t="n"/>
      <c r="Q153" s="155" t="n"/>
      <c r="R153" s="155" t="n"/>
      <c r="S153" s="155" t="inlineStr">
        <is>
          <t>Cafe</t>
        </is>
      </c>
      <c r="T153" s="155" t="n"/>
      <c r="U153" s="155" t="n"/>
      <c r="V153" s="155" t="n"/>
      <c r="W153" s="155" t="n"/>
      <c r="X153" s="155" t="n"/>
      <c r="Y153" s="155" t="inlineStr">
        <is>
          <t>PZS</t>
        </is>
      </c>
      <c r="Z153" s="59" t="inlineStr">
        <is>
          <t>53121601</t>
        </is>
      </c>
      <c r="AA153" s="126" t="inlineStr">
        <is>
          <t>https://cdn.shopify.com/s/files/1/0005/9015/1741/files/Montana_West_Western_Tooled_Buckle_Mini_Barrel_Bag_Light_Brown.webp?v=1752216352</t>
        </is>
      </c>
      <c r="AB153" s="61" t="n">
        <v>338.1</v>
      </c>
      <c r="AC153" s="61" t="n">
        <v>549</v>
      </c>
      <c r="AD153" s="62" t="inlineStr">
        <is>
          <t>Con Incidencias</t>
        </is>
      </c>
      <c r="AE153" s="64" t="inlineStr">
        <is>
          <t>UPC faltante/inválido; SKU duplicado; [Aviso] Género no capturado (); [Aviso] Temporada no capturada (); [Aviso] Ciclo de vida no capturado ()</t>
        </is>
      </c>
      <c r="AF153" s="64" t="n"/>
      <c r="AG153" s="59" t="n"/>
      <c r="AH153" s="155" t="n"/>
      <c r="AI153" s="59" t="n"/>
      <c r="AJ153" s="155" t="inlineStr">
        <is>
          <t>Nuevo – Carga Hoja2 01/10/2026</t>
        </is>
      </c>
      <c r="AK153" s="155" t="inlineStr">
        <is>
          <t>Alta 01/10/2026 desde Hoja2 (fila 76)</t>
        </is>
      </c>
      <c r="AL153" s="155" t="n"/>
      <c r="AM153" s="155" t="n"/>
      <c r="AN153" s="155" t="inlineStr">
        <is>
          <t>Hoja2: fila 76 | Investigación en línea 06/10/2026: https://montanawestworld.com/products/montana-west-western-tooled-buckle-mini-barrel-bag</t>
        </is>
      </c>
      <c r="AO153" s="58" t="n"/>
      <c r="AP153" s="58" t="n"/>
      <c r="AQ153" s="155" t="n"/>
      <c r="AR153" s="59" t="n"/>
      <c r="AS153" s="59" t="n"/>
      <c r="AT153" s="59" t="n"/>
      <c r="AU153" s="155" t="n"/>
    </row>
    <row r="154">
      <c r="A154" s="51" t="n">
        <v>81</v>
      </c>
      <c r="B154" s="156" t="inlineStr">
        <is>
          <t>Productos — registro conservado</t>
        </is>
      </c>
      <c r="C154" s="125" t="inlineStr">
        <is>
          <t>Homologación G1522: mismo producto (mismo WB SKU, variante sin código igual en estilo/talla/color)</t>
        </is>
      </c>
      <c r="D154" s="60" t="inlineStr">
        <is>
          <t>717325217579</t>
        </is>
      </c>
      <c r="E154" s="59" t="inlineStr">
        <is>
          <t>15597</t>
        </is>
      </c>
      <c r="F154" s="155" t="inlineStr">
        <is>
          <t>Wrangler</t>
        </is>
      </c>
      <c r="G154" s="155" t="inlineStr">
        <is>
          <t>WG193-2003BG</t>
        </is>
      </c>
      <c r="H154" s="155" t="inlineStr">
        <is>
          <t>WG193-2003BG</t>
        </is>
      </c>
      <c r="I154" s="155" t="inlineStr">
        <is>
          <t>Talla única</t>
        </is>
      </c>
      <c r="J154" s="155" t="inlineStr">
        <is>
          <t>One Size</t>
        </is>
      </c>
      <c r="K154" s="155" t="inlineStr">
        <is>
          <t>Wrangler</t>
        </is>
      </c>
      <c r="L154" s="155" t="inlineStr">
        <is>
          <t>Bolsa Wrangler WG</t>
        </is>
      </c>
      <c r="M154" s="155" t="inlineStr">
        <is>
          <t>Accesorios</t>
        </is>
      </c>
      <c r="N154" s="155" t="inlineStr">
        <is>
          <t>Bolsos</t>
        </is>
      </c>
      <c r="O154" s="155" t="inlineStr">
        <is>
          <t>Unisex</t>
        </is>
      </c>
      <c r="P154" s="155" t="inlineStr">
        <is>
          <t>Wrangler</t>
        </is>
      </c>
      <c r="Q154" s="155" t="n"/>
      <c r="R154" s="155" t="n"/>
      <c r="S154" s="155" t="inlineStr">
        <is>
          <t>Beige</t>
        </is>
      </c>
      <c r="T154" s="155" t="n"/>
      <c r="U154" s="155" t="n"/>
      <c r="V154" s="155" t="n"/>
      <c r="W154" s="155" t="inlineStr">
        <is>
          <t>Bolsa</t>
        </is>
      </c>
      <c r="X154" s="155" t="inlineStr">
        <is>
          <t>México</t>
        </is>
      </c>
      <c r="Y154" s="155" t="inlineStr">
        <is>
          <t>PZS</t>
        </is>
      </c>
      <c r="Z154" s="59" t="inlineStr">
        <is>
          <t>53121600</t>
        </is>
      </c>
      <c r="AA154" s="126" t="inlineStr">
        <is>
          <t>https://m-universal-unique-brands.odoo.com/web/image/product.product/15597/image_1920</t>
        </is>
      </c>
      <c r="AB154" s="61" t="n"/>
      <c r="AC154" s="61" t="n">
        <v>719</v>
      </c>
      <c r="AD154" s="62" t="inlineStr">
        <is>
          <t>Con Incidencias</t>
        </is>
      </c>
      <c r="AE154" s="64" t="inlineStr">
        <is>
          <t>SKU duplicado; [Aviso] Temporada no capturada (); [Aviso] Ciclo de vida no capturado ()</t>
        </is>
      </c>
      <c r="AF154" s="64" t="n"/>
      <c r="AG154" s="59" t="n"/>
      <c r="AH154" s="155" t="n"/>
      <c r="AI154" s="59" t="n"/>
      <c r="AJ154" s="155" t="inlineStr">
        <is>
          <t>Nuevo – Carga Hoja2 01/10/2026</t>
        </is>
      </c>
      <c r="AK154" s="155" t="inlineStr">
        <is>
          <t>Alta 01/10/2026 desde Hoja2 (fila 827); Precio de compra en 0/vacío en origen | 01/10/2026: complementado desde Odoo Universal Unique Brands (match por SKU): WB Talla, WB Talla de EE. UU. | 01/10/2026: complementado desde Odoo Universal Unique Brands (match por código de barras): WB Descripción larga, Enlace de imagen</t>
        </is>
      </c>
      <c r="AL154" s="155" t="n"/>
      <c r="AM154" s="155" t="n"/>
      <c r="AN154" s="155" t="inlineStr">
        <is>
          <t>Hoja2: fila 827 | Odoo: producto 14903 / plantilla 19256 | Odoo: producto 15597 / plantilla 19950</t>
        </is>
      </c>
      <c r="AO154" s="58" t="n"/>
      <c r="AP154" s="58" t="n"/>
      <c r="AQ154" s="155" t="inlineStr">
        <is>
          <t>Odoo Universal Unique Brands</t>
        </is>
      </c>
      <c r="AR154" s="59" t="n"/>
      <c r="AS154" s="59" t="n"/>
      <c r="AT154" s="59" t="n">
        <v>33</v>
      </c>
      <c r="AU154" s="155" t="inlineStr">
        <is>
          <t>Odoo Universal Unique Brands › Bodega 25 › Bodega 25/General: 33</t>
        </is>
      </c>
    </row>
    <row r="155">
      <c r="A155" s="51" t="n">
        <v>81</v>
      </c>
      <c r="B155" s="156" t="inlineStr">
        <is>
          <t>Productos — registro integrado en el anterior</t>
        </is>
      </c>
      <c r="C155" s="125" t="inlineStr">
        <is>
          <t>Homologación G1522: mismo producto (mismo WB SKU, variante sin código igual en estilo/talla/color)</t>
        </is>
      </c>
      <c r="D155" s="60" t="n"/>
      <c r="E155" s="59" t="inlineStr">
        <is>
          <t>14903</t>
        </is>
      </c>
      <c r="F155" s="155" t="inlineStr">
        <is>
          <t>Wrangler</t>
        </is>
      </c>
      <c r="G155" s="155" t="inlineStr">
        <is>
          <t>WG193-2003BG</t>
        </is>
      </c>
      <c r="H155" s="155" t="inlineStr">
        <is>
          <t>WG193-2003BG</t>
        </is>
      </c>
      <c r="I155" s="155" t="inlineStr">
        <is>
          <t>Talla única</t>
        </is>
      </c>
      <c r="J155" s="155" t="inlineStr">
        <is>
          <t>One Size</t>
        </is>
      </c>
      <c r="K155" s="155" t="inlineStr">
        <is>
          <t>Wrangler</t>
        </is>
      </c>
      <c r="L155" s="155" t="inlineStr">
        <is>
          <t>WG193-2003BG</t>
        </is>
      </c>
      <c r="M155" s="155" t="inlineStr">
        <is>
          <t>Accesorios</t>
        </is>
      </c>
      <c r="N155" s="155" t="inlineStr">
        <is>
          <t>Bolsos</t>
        </is>
      </c>
      <c r="O155" s="155" t="inlineStr">
        <is>
          <t>Unisex</t>
        </is>
      </c>
      <c r="P155" s="155" t="inlineStr">
        <is>
          <t>Wrangler</t>
        </is>
      </c>
      <c r="Q155" s="155" t="n"/>
      <c r="R155" s="155" t="n"/>
      <c r="S155" s="155" t="inlineStr">
        <is>
          <t>Beige</t>
        </is>
      </c>
      <c r="T155" s="155" t="n"/>
      <c r="U155" s="155" t="n"/>
      <c r="V155" s="155" t="n"/>
      <c r="W155" s="155" t="n"/>
      <c r="X155" s="155" t="inlineStr">
        <is>
          <t>México</t>
        </is>
      </c>
      <c r="Y155" s="155" t="inlineStr">
        <is>
          <t>PZS</t>
        </is>
      </c>
      <c r="Z155" s="59" t="inlineStr">
        <is>
          <t>53121600</t>
        </is>
      </c>
      <c r="AA155" s="126" t="n"/>
      <c r="AB155" s="61" t="n"/>
      <c r="AC155" s="61" t="n">
        <v>719</v>
      </c>
      <c r="AD155" s="62" t="inlineStr">
        <is>
          <t>Con Incidencias</t>
        </is>
      </c>
      <c r="AE155" s="64" t="inlineStr">
        <is>
          <t>UPC faltante/inválido; SKU duplicado; [Aviso] Temporada no capturada (); [Aviso] Ciclo de vida no capturado ()</t>
        </is>
      </c>
      <c r="AF155" s="64" t="n"/>
      <c r="AG155" s="59" t="n"/>
      <c r="AH155" s="155" t="n"/>
      <c r="AI155" s="59" t="n"/>
      <c r="AJ155" s="155" t="inlineStr">
        <is>
          <t>Nuevo – Carga Hoja2 01/10/2026</t>
        </is>
      </c>
      <c r="AK155" s="155" t="inlineStr">
        <is>
          <t>Alta 01/10/2026 desde Hoja2 (fila 828); Precio de compra en 0/vacío en origen</t>
        </is>
      </c>
      <c r="AL155" s="155" t="n"/>
      <c r="AM155" s="155" t="n"/>
      <c r="AN155" s="155" t="inlineStr">
        <is>
          <t>Hoja2: fila 828</t>
        </is>
      </c>
      <c r="AO155" s="58" t="n"/>
      <c r="AP155" s="58" t="n"/>
      <c r="AQ155" s="155" t="n"/>
      <c r="AR155" s="59" t="n"/>
      <c r="AS155" s="59" t="n"/>
      <c r="AT155" s="59" t="n"/>
      <c r="AU155" s="155" t="n"/>
    </row>
  </sheetData>
  <autoFilter ref="A1:AU155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WB OUTLET LERMA</t>
        </is>
      </c>
      <c r="B2" s="5">
        <f>IF($I2="","",INDEX(Productos!$A:$A,$I2))</f>
        <v/>
      </c>
      <c r="C2" s="134" t="inlineStr">
        <is>
          <t>1261-1085-10004</t>
        </is>
      </c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-1</v>
      </c>
      <c r="H2" s="5">
        <f>IF($I2="","",INDEX(Productos!$AG:$AG,$I2))</f>
        <v/>
      </c>
      <c r="I2" s="136">
        <f>LET(_xlpm.r,Productos!$E$2:$E$1063,_xlpm.m,IFERROR(_xlfn.XMATCH(C2,_xlpm.r),IFERROR(_xlfn.XMATCH(VALUE(C2),_xlpm.r),0)),IF(_xlpm.m=0,"",_xlpm.m+1))</f>
        <v/>
      </c>
      <c r="J2" s="137" t="inlineStr">
        <is>
          <t>NetSuite</t>
        </is>
      </c>
    </row>
    <row r="3">
      <c r="A3" s="5" t="inlineStr">
        <is>
          <t>WB OUTLET LERMA</t>
        </is>
      </c>
      <c r="B3" s="5">
        <f>IF($I2="","",INDEX(Productos!$A:$A,$I2))</f>
        <v/>
      </c>
      <c r="C3" s="134" t="inlineStr">
        <is>
          <t>1261-1085-10009</t>
        </is>
      </c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-1</v>
      </c>
      <c r="H3" s="5">
        <f>IF($I2="","",INDEX(Productos!$AG:$AG,$I2))</f>
        <v/>
      </c>
      <c r="I3" s="136">
        <f>LET(_xlpm.r,Productos!$E$2:$E$1063,_xlpm.m,IFERROR(_xlfn.XMATCH(C3,_xlpm.r),IFERROR(_xlfn.XMATCH(VALUE(C3),_xlpm.r),0)),IF(_xlpm.m=0,"",_xlpm.m+1))</f>
        <v/>
      </c>
      <c r="J3" s="137" t="inlineStr">
        <is>
          <t>NetSuite</t>
        </is>
      </c>
    </row>
    <row r="4">
      <c r="A4" s="5" t="inlineStr">
        <is>
          <t>WB OUTLET LERMA</t>
        </is>
      </c>
      <c r="B4" s="5">
        <f>IF($I2="","",INDEX(Productos!$A:$A,$I2))</f>
        <v/>
      </c>
      <c r="C4" s="134" t="inlineStr">
        <is>
          <t>1261-1085-10010</t>
        </is>
      </c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-1</v>
      </c>
      <c r="H4" s="5">
        <f>IF($I2="","",INDEX(Productos!$AG:$AG,$I2))</f>
        <v/>
      </c>
      <c r="I4" s="136">
        <f>LET(_xlpm.r,Productos!$E$2:$E$1063,_xlpm.m,IFERROR(_xlfn.XMATCH(C4,_xlpm.r),IFERROR(_xlfn.XMATCH(VALUE(C4),_xlpm.r),0)),IF(_xlpm.m=0,"",_xlpm.m+1))</f>
        <v/>
      </c>
      <c r="J4" s="137" t="inlineStr">
        <is>
          <t>NetSuite</t>
        </is>
      </c>
    </row>
    <row r="5">
      <c r="A5" s="5" t="inlineStr">
        <is>
          <t>WB OUTLET LERMA</t>
        </is>
      </c>
      <c r="B5" s="5">
        <f>IF($I2="","",INDEX(Productos!$A:$A,$I2))</f>
        <v/>
      </c>
      <c r="C5" s="134" t="inlineStr">
        <is>
          <t>1261-1085-10016</t>
        </is>
      </c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-1</v>
      </c>
      <c r="H5" s="5">
        <f>IF($I2="","",INDEX(Productos!$AG:$AG,$I2))</f>
        <v/>
      </c>
      <c r="I5" s="136">
        <f>LET(_xlpm.r,Productos!$E$2:$E$1063,_xlpm.m,IFERROR(_xlfn.XMATCH(C5,_xlpm.r),IFERROR(_xlfn.XMATCH(VALUE(C5),_xlpm.r),0)),IF(_xlpm.m=0,"",_xlpm.m+1))</f>
        <v/>
      </c>
      <c r="J5" s="137" t="inlineStr">
        <is>
          <t>NetSuite</t>
        </is>
      </c>
    </row>
    <row r="6">
      <c r="A6" s="5" t="inlineStr">
        <is>
          <t>WB OUTLET LERMA</t>
        </is>
      </c>
      <c r="B6" s="5">
        <f>IF($I2="","",INDEX(Productos!$A:$A,$I2))</f>
        <v/>
      </c>
      <c r="C6" s="134" t="inlineStr">
        <is>
          <t>1261-1085-10032</t>
        </is>
      </c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-1</v>
      </c>
      <c r="H6" s="5">
        <f>IF($I2="","",INDEX(Productos!$AG:$AG,$I2))</f>
        <v/>
      </c>
      <c r="I6" s="136">
        <f>LET(_xlpm.r,Productos!$E$2:$E$1063,_xlpm.m,IFERROR(_xlfn.XMATCH(C6,_xlpm.r),IFERROR(_xlfn.XMATCH(VALUE(C6),_xlpm.r),0)),IF(_xlpm.m=0,"",_xlpm.m+1))</f>
        <v/>
      </c>
      <c r="J6" s="137" t="inlineStr">
        <is>
          <t>NetSuite</t>
        </is>
      </c>
    </row>
    <row r="7">
      <c r="A7" s="5" t="inlineStr">
        <is>
          <t>WB OUTLET LERMA</t>
        </is>
      </c>
      <c r="B7" s="5">
        <f>IF($I2="","",INDEX(Productos!$A:$A,$I2))</f>
        <v/>
      </c>
      <c r="C7" s="134" t="inlineStr">
        <is>
          <t>1261-1085-10033</t>
        </is>
      </c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-1</v>
      </c>
      <c r="H7" s="5">
        <f>IF($I2="","",INDEX(Productos!$AG:$AG,$I2))</f>
        <v/>
      </c>
      <c r="I7" s="136">
        <f>LET(_xlpm.r,Productos!$E$2:$E$1063,_xlpm.m,IFERROR(_xlfn.XMATCH(C7,_xlpm.r),IFERROR(_xlfn.XMATCH(VALUE(C7),_xlpm.r),0)),IF(_xlpm.m=0,"",_xlpm.m+1))</f>
        <v/>
      </c>
      <c r="J7" s="137" t="inlineStr">
        <is>
          <t>NetSuite</t>
        </is>
      </c>
    </row>
    <row r="8">
      <c r="A8" s="5" t="inlineStr">
        <is>
          <t>WB OUTLET LERMA</t>
        </is>
      </c>
      <c r="B8" s="5">
        <f>IF($I2="","",INDEX(Productos!$A:$A,$I2))</f>
        <v/>
      </c>
      <c r="C8" s="134" t="inlineStr">
        <is>
          <t>1261-1085-10038</t>
        </is>
      </c>
      <c r="D8" s="5">
        <f>IF($I2="","",INDEX(Productos!$B:$B,$I2))</f>
        <v/>
      </c>
      <c r="E8" s="5">
        <f>IF($I2="","",INDEX(Productos!$H:$H,$I2))</f>
        <v/>
      </c>
      <c r="F8" s="5">
        <f>IF($I2="","",INDEX(Productos!$I:$I,$I2))</f>
        <v/>
      </c>
      <c r="G8" s="135" t="n">
        <v>-1</v>
      </c>
      <c r="H8" s="5">
        <f>IF($I2="","",INDEX(Productos!$AG:$AG,$I2))</f>
        <v/>
      </c>
      <c r="I8" s="136">
        <f>LET(_xlpm.r,Productos!$E$2:$E$1063,_xlpm.m,IFERROR(_xlfn.XMATCH(C8,_xlpm.r),IFERROR(_xlfn.XMATCH(VALUE(C8),_xlpm.r),0)),IF(_xlpm.m=0,"",_xlpm.m+1))</f>
        <v/>
      </c>
      <c r="J8" s="137" t="inlineStr">
        <is>
          <t>NetSuite</t>
        </is>
      </c>
    </row>
    <row r="9">
      <c r="A9" s="5" t="inlineStr">
        <is>
          <t>WB OUTLET LERMA</t>
        </is>
      </c>
      <c r="B9" s="5">
        <f>IF($I2="","",INDEX(Productos!$A:$A,$I2))</f>
        <v/>
      </c>
      <c r="C9" s="134" t="inlineStr">
        <is>
          <t>1261-1085-10041</t>
        </is>
      </c>
      <c r="D9" s="5">
        <f>IF($I2="","",INDEX(Productos!$B:$B,$I2))</f>
        <v/>
      </c>
      <c r="E9" s="5">
        <f>IF($I2="","",INDEX(Productos!$H:$H,$I2))</f>
        <v/>
      </c>
      <c r="F9" s="5">
        <f>IF($I2="","",INDEX(Productos!$I:$I,$I2))</f>
        <v/>
      </c>
      <c r="G9" s="135" t="n">
        <v>-2</v>
      </c>
      <c r="H9" s="5">
        <f>IF($I2="","",INDEX(Productos!$AG:$AG,$I2))</f>
        <v/>
      </c>
      <c r="I9" s="136">
        <f>LET(_xlpm.r,Productos!$E$2:$E$1063,_xlpm.m,IFERROR(_xlfn.XMATCH(C9,_xlpm.r),IFERROR(_xlfn.XMATCH(VALUE(C9),_xlpm.r),0)),IF(_xlpm.m=0,"",_xlpm.m+1))</f>
        <v/>
      </c>
      <c r="J9" s="137" t="inlineStr">
        <is>
          <t>NetSuite</t>
        </is>
      </c>
    </row>
    <row r="10">
      <c r="A10" s="5" t="inlineStr">
        <is>
          <t>WB OUTLET LERMA</t>
        </is>
      </c>
      <c r="B10" s="5">
        <f>IF($I2="","",INDEX(Productos!$A:$A,$I2))</f>
        <v/>
      </c>
      <c r="C10" s="134" t="inlineStr">
        <is>
          <t>1261-1085-10042</t>
        </is>
      </c>
      <c r="D10" s="5">
        <f>IF($I2="","",INDEX(Productos!$B:$B,$I2))</f>
        <v/>
      </c>
      <c r="E10" s="5">
        <f>IF($I2="","",INDEX(Productos!$H:$H,$I2))</f>
        <v/>
      </c>
      <c r="F10" s="5">
        <f>IF($I2="","",INDEX(Productos!$I:$I,$I2))</f>
        <v/>
      </c>
      <c r="G10" s="135" t="n">
        <v>-2</v>
      </c>
      <c r="H10" s="5">
        <f>IF($I2="","",INDEX(Productos!$AG:$AG,$I2))</f>
        <v/>
      </c>
      <c r="I10" s="136">
        <f>LET(_xlpm.r,Productos!$E$2:$E$1063,_xlpm.m,IFERROR(_xlfn.XMATCH(C10,_xlpm.r),IFERROR(_xlfn.XMATCH(VALUE(C10),_xlpm.r),0)),IF(_xlpm.m=0,"",_xlpm.m+1))</f>
        <v/>
      </c>
      <c r="J10" s="137" t="inlineStr">
        <is>
          <t>NetSuite</t>
        </is>
      </c>
    </row>
    <row r="11">
      <c r="A11" s="5" t="inlineStr">
        <is>
          <t>WB OUTLET LERMA</t>
        </is>
      </c>
      <c r="B11" s="5">
        <f>IF($I2="","",INDEX(Productos!$A:$A,$I2))</f>
        <v/>
      </c>
      <c r="C11" s="134" t="inlineStr">
        <is>
          <t>1261-1085-10043</t>
        </is>
      </c>
      <c r="D11" s="5">
        <f>IF($I2="","",INDEX(Productos!$B:$B,$I2))</f>
        <v/>
      </c>
      <c r="E11" s="5">
        <f>IF($I2="","",INDEX(Productos!$H:$H,$I2))</f>
        <v/>
      </c>
      <c r="F11" s="5">
        <f>IF($I2="","",INDEX(Productos!$I:$I,$I2))</f>
        <v/>
      </c>
      <c r="G11" s="135" t="n">
        <v>-2</v>
      </c>
      <c r="H11" s="5">
        <f>IF($I2="","",INDEX(Productos!$AG:$AG,$I2))</f>
        <v/>
      </c>
      <c r="I11" s="136">
        <f>LET(_xlpm.r,Productos!$E$2:$E$1063,_xlpm.m,IFERROR(_xlfn.XMATCH(C11,_xlpm.r),IFERROR(_xlfn.XMATCH(VALUE(C11),_xlpm.r),0)),IF(_xlpm.m=0,"",_xlpm.m+1))</f>
        <v/>
      </c>
      <c r="J11" s="137" t="inlineStr">
        <is>
          <t>NetSuite</t>
        </is>
      </c>
    </row>
    <row r="12">
      <c r="A12" s="5" t="inlineStr">
        <is>
          <t>WB OUTLET LERMA</t>
        </is>
      </c>
      <c r="B12" s="5">
        <f>IF($I2="","",INDEX(Productos!$A:$A,$I2))</f>
        <v/>
      </c>
      <c r="C12" s="134" t="inlineStr">
        <is>
          <t>1261-1085-10047</t>
        </is>
      </c>
      <c r="D12" s="5">
        <f>IF($I2="","",INDEX(Productos!$B:$B,$I2))</f>
        <v/>
      </c>
      <c r="E12" s="5">
        <f>IF($I2="","",INDEX(Productos!$H:$H,$I2))</f>
        <v/>
      </c>
      <c r="F12" s="5">
        <f>IF($I2="","",INDEX(Productos!$I:$I,$I2))</f>
        <v/>
      </c>
      <c r="G12" s="135" t="n">
        <v>-2</v>
      </c>
      <c r="H12" s="5">
        <f>IF($I2="","",INDEX(Productos!$AG:$AG,$I2))</f>
        <v/>
      </c>
      <c r="I12" s="136">
        <f>LET(_xlpm.r,Productos!$E$2:$E$1063,_xlpm.m,IFERROR(_xlfn.XMATCH(C12,_xlpm.r),IFERROR(_xlfn.XMATCH(VALUE(C12),_xlpm.r),0)),IF(_xlpm.m=0,"",_xlpm.m+1))</f>
        <v/>
      </c>
      <c r="J12" s="137" t="inlineStr">
        <is>
          <t>NetSuite</t>
        </is>
      </c>
    </row>
    <row r="13">
      <c r="A13" s="5" t="inlineStr">
        <is>
          <t>WB OUTLET LERMA</t>
        </is>
      </c>
      <c r="B13" s="5">
        <f>IF($I2="","",INDEX(Productos!$A:$A,$I2))</f>
        <v/>
      </c>
      <c r="C13" s="134" t="inlineStr">
        <is>
          <t>1261-1085-10053</t>
        </is>
      </c>
      <c r="D13" s="5">
        <f>IF($I2="","",INDEX(Productos!$B:$B,$I2))</f>
        <v/>
      </c>
      <c r="E13" s="5">
        <f>IF($I2="","",INDEX(Productos!$H:$H,$I2))</f>
        <v/>
      </c>
      <c r="F13" s="5">
        <f>IF($I2="","",INDEX(Productos!$I:$I,$I2))</f>
        <v/>
      </c>
      <c r="G13" s="135" t="n">
        <v>-2</v>
      </c>
      <c r="H13" s="5">
        <f>IF($I2="","",INDEX(Productos!$AG:$AG,$I2))</f>
        <v/>
      </c>
      <c r="I13" s="136">
        <f>LET(_xlpm.r,Productos!$E$2:$E$1063,_xlpm.m,IFERROR(_xlfn.XMATCH(C13,_xlpm.r),IFERROR(_xlfn.XMATCH(VALUE(C13),_xlpm.r),0)),IF(_xlpm.m=0,"",_xlpm.m+1))</f>
        <v/>
      </c>
      <c r="J13" s="137" t="inlineStr">
        <is>
          <t>NetSuite</t>
        </is>
      </c>
    </row>
    <row r="14">
      <c r="A14" s="5" t="inlineStr">
        <is>
          <t>WB OUTLET LERMA</t>
        </is>
      </c>
      <c r="B14" s="5">
        <f>IF($I2="","",INDEX(Productos!$A:$A,$I2))</f>
        <v/>
      </c>
      <c r="C14" s="134" t="inlineStr">
        <is>
          <t>1261-1085-10056</t>
        </is>
      </c>
      <c r="D14" s="5">
        <f>IF($I2="","",INDEX(Productos!$B:$B,$I2))</f>
        <v/>
      </c>
      <c r="E14" s="5">
        <f>IF($I2="","",INDEX(Productos!$H:$H,$I2))</f>
        <v/>
      </c>
      <c r="F14" s="5">
        <f>IF($I2="","",INDEX(Productos!$I:$I,$I2))</f>
        <v/>
      </c>
      <c r="G14" s="135" t="n">
        <v>-1</v>
      </c>
      <c r="H14" s="5">
        <f>IF($I2="","",INDEX(Productos!$AG:$AG,$I2))</f>
        <v/>
      </c>
      <c r="I14" s="136">
        <f>LET(_xlpm.r,Productos!$E$2:$E$1063,_xlpm.m,IFERROR(_xlfn.XMATCH(C14,_xlpm.r),IFERROR(_xlfn.XMATCH(VALUE(C14),_xlpm.r),0)),IF(_xlpm.m=0,"",_xlpm.m+1))</f>
        <v/>
      </c>
      <c r="J14" s="137" t="inlineStr">
        <is>
          <t>NetSuite</t>
        </is>
      </c>
    </row>
    <row r="15">
      <c r="A15" s="5" t="inlineStr">
        <is>
          <t>WB OUTLET LERMA</t>
        </is>
      </c>
      <c r="B15" s="5">
        <f>IF($I2="","",INDEX(Productos!$A:$A,$I2))</f>
        <v/>
      </c>
      <c r="C15" s="134" t="inlineStr">
        <is>
          <t>C47565-27-L</t>
        </is>
      </c>
      <c r="D15" s="5">
        <f>IF($I2="","",INDEX(Productos!$B:$B,$I2))</f>
        <v/>
      </c>
      <c r="E15" s="5">
        <f>IF($I2="","",INDEX(Productos!$H:$H,$I2))</f>
        <v/>
      </c>
      <c r="F15" s="5">
        <f>IF($I2="","",INDEX(Productos!$I:$I,$I2))</f>
        <v/>
      </c>
      <c r="G15" s="135" t="n">
        <v>2</v>
      </c>
      <c r="H15" s="5">
        <f>IF($I2="","",INDEX(Productos!$AG:$AG,$I2))</f>
        <v/>
      </c>
      <c r="I15" s="136">
        <f>LET(_xlpm.r,Productos!$E$2:$E$1063,_xlpm.m,IFERROR(_xlfn.XMATCH(C15,_xlpm.r),IFERROR(_xlfn.XMATCH(VALUE(C15),_xlpm.r),0)),IF(_xlpm.m=0,"",_xlpm.m+1))</f>
        <v/>
      </c>
      <c r="J15" s="137" t="inlineStr">
        <is>
          <t>NetSuite</t>
        </is>
      </c>
    </row>
    <row r="16">
      <c r="A16" s="5" t="inlineStr">
        <is>
          <t>WB OUTLET LERMA</t>
        </is>
      </c>
      <c r="B16" s="5">
        <f>IF($I2="","",INDEX(Productos!$A:$A,$I2))</f>
        <v/>
      </c>
      <c r="C16" s="134" t="inlineStr">
        <is>
          <t>C47565-27-M</t>
        </is>
      </c>
      <c r="D16" s="5">
        <f>IF($I2="","",INDEX(Productos!$B:$B,$I2))</f>
        <v/>
      </c>
      <c r="E16" s="5">
        <f>IF($I2="","",INDEX(Productos!$H:$H,$I2))</f>
        <v/>
      </c>
      <c r="F16" s="5">
        <f>IF($I2="","",INDEX(Productos!$I:$I,$I2))</f>
        <v/>
      </c>
      <c r="G16" s="135" t="n">
        <v>3</v>
      </c>
      <c r="H16" s="5">
        <f>IF($I2="","",INDEX(Productos!$AG:$AG,$I2))</f>
        <v/>
      </c>
      <c r="I16" s="136">
        <f>LET(_xlpm.r,Productos!$E$2:$E$1063,_xlpm.m,IFERROR(_xlfn.XMATCH(C16,_xlpm.r),IFERROR(_xlfn.XMATCH(VALUE(C16),_xlpm.r),0)),IF(_xlpm.m=0,"",_xlpm.m+1))</f>
        <v/>
      </c>
      <c r="J16" s="137" t="inlineStr">
        <is>
          <t>NetSuite</t>
        </is>
      </c>
    </row>
    <row r="17">
      <c r="A17" s="5" t="inlineStr">
        <is>
          <t>WB OUTLET LERMA</t>
        </is>
      </c>
      <c r="B17" s="5">
        <f>IF($I2="","",INDEX(Productos!$A:$A,$I2))</f>
        <v/>
      </c>
      <c r="C17" s="134" t="inlineStr">
        <is>
          <t>C47565-27-S</t>
        </is>
      </c>
      <c r="D17" s="5">
        <f>IF($I2="","",INDEX(Productos!$B:$B,$I2))</f>
        <v/>
      </c>
      <c r="E17" s="5">
        <f>IF($I2="","",INDEX(Productos!$H:$H,$I2))</f>
        <v/>
      </c>
      <c r="F17" s="5">
        <f>IF($I2="","",INDEX(Productos!$I:$I,$I2))</f>
        <v/>
      </c>
      <c r="G17" s="135" t="n">
        <v>2</v>
      </c>
      <c r="H17" s="5">
        <f>IF($I2="","",INDEX(Productos!$AG:$AG,$I2))</f>
        <v/>
      </c>
      <c r="I17" s="136">
        <f>LET(_xlpm.r,Productos!$E$2:$E$1063,_xlpm.m,IFERROR(_xlfn.XMATCH(C17,_xlpm.r),IFERROR(_xlfn.XMATCH(VALUE(C17),_xlpm.r),0)),IF(_xlpm.m=0,"",_xlpm.m+1))</f>
        <v/>
      </c>
      <c r="J17" s="137" t="inlineStr">
        <is>
          <t>NetSuite</t>
        </is>
      </c>
    </row>
    <row r="18">
      <c r="A18" s="5" t="inlineStr">
        <is>
          <t>WB OUTLET LERMA</t>
        </is>
      </c>
      <c r="B18" s="5">
        <f>IF($I2="","",INDEX(Productos!$A:$A,$I2))</f>
        <v/>
      </c>
      <c r="C18" s="134" t="inlineStr">
        <is>
          <t>C47565-27-XL</t>
        </is>
      </c>
      <c r="D18" s="5">
        <f>IF($I2="","",INDEX(Productos!$B:$B,$I2))</f>
        <v/>
      </c>
      <c r="E18" s="5">
        <f>IF($I2="","",INDEX(Productos!$H:$H,$I2))</f>
        <v/>
      </c>
      <c r="F18" s="5">
        <f>IF($I2="","",INDEX(Productos!$I:$I,$I2))</f>
        <v/>
      </c>
      <c r="G18" s="135" t="n">
        <v>1</v>
      </c>
      <c r="H18" s="5">
        <f>IF($I2="","",INDEX(Productos!$AG:$AG,$I2))</f>
        <v/>
      </c>
      <c r="I18" s="136">
        <f>LET(_xlpm.r,Productos!$E$2:$E$1063,_xlpm.m,IFERROR(_xlfn.XMATCH(C18,_xlpm.r),IFERROR(_xlfn.XMATCH(VALUE(C18),_xlpm.r),0)),IF(_xlpm.m=0,"",_xlpm.m+1))</f>
        <v/>
      </c>
      <c r="J18" s="137" t="inlineStr">
        <is>
          <t>NetSuite</t>
        </is>
      </c>
    </row>
    <row r="19">
      <c r="A19" s="5" t="inlineStr">
        <is>
          <t>WB OUTLET LERMA</t>
        </is>
      </c>
      <c r="B19" s="5">
        <f>IF($I2="","",INDEX(Productos!$A:$A,$I2))</f>
        <v/>
      </c>
      <c r="C19" s="134" t="inlineStr">
        <is>
          <t>C47572-27-32</t>
        </is>
      </c>
      <c r="D19" s="5">
        <f>IF($I2="","",INDEX(Productos!$B:$B,$I2))</f>
        <v/>
      </c>
      <c r="E19" s="5">
        <f>IF($I2="","",INDEX(Productos!$H:$H,$I2))</f>
        <v/>
      </c>
      <c r="F19" s="5">
        <f>IF($I2="","",INDEX(Productos!$I:$I,$I2))</f>
        <v/>
      </c>
      <c r="G19" s="135" t="n">
        <v>1</v>
      </c>
      <c r="H19" s="5">
        <f>IF($I2="","",INDEX(Productos!$AG:$AG,$I2))</f>
        <v/>
      </c>
      <c r="I19" s="136">
        <f>LET(_xlpm.r,Productos!$E$2:$E$1063,_xlpm.m,IFERROR(_xlfn.XMATCH(C19,_xlpm.r),IFERROR(_xlfn.XMATCH(VALUE(C19),_xlpm.r),0)),IF(_xlpm.m=0,"",_xlpm.m+1))</f>
        <v/>
      </c>
      <c r="J19" s="137" t="inlineStr">
        <is>
          <t>NetSuite</t>
        </is>
      </c>
    </row>
    <row r="20">
      <c r="A20" s="5" t="inlineStr">
        <is>
          <t>WB OUTLET LERMA</t>
        </is>
      </c>
      <c r="B20" s="5">
        <f>IF($I2="","",INDEX(Productos!$A:$A,$I2))</f>
        <v/>
      </c>
      <c r="C20" s="134" t="inlineStr">
        <is>
          <t>C47572-27-34</t>
        </is>
      </c>
      <c r="D20" s="5">
        <f>IF($I2="","",INDEX(Productos!$B:$B,$I2))</f>
        <v/>
      </c>
      <c r="E20" s="5">
        <f>IF($I2="","",INDEX(Productos!$H:$H,$I2))</f>
        <v/>
      </c>
      <c r="F20" s="5">
        <f>IF($I2="","",INDEX(Productos!$I:$I,$I2))</f>
        <v/>
      </c>
      <c r="G20" s="135" t="n">
        <v>2</v>
      </c>
      <c r="H20" s="5">
        <f>IF($I2="","",INDEX(Productos!$AG:$AG,$I2))</f>
        <v/>
      </c>
      <c r="I20" s="136">
        <f>LET(_xlpm.r,Productos!$E$2:$E$1063,_xlpm.m,IFERROR(_xlfn.XMATCH(C20,_xlpm.r),IFERROR(_xlfn.XMATCH(VALUE(C20),_xlpm.r),0)),IF(_xlpm.m=0,"",_xlpm.m+1))</f>
        <v/>
      </c>
      <c r="J20" s="137" t="inlineStr">
        <is>
          <t>NetSuite</t>
        </is>
      </c>
    </row>
    <row r="21">
      <c r="A21" s="5" t="inlineStr">
        <is>
          <t>WB OUTLET LERMA</t>
        </is>
      </c>
      <c r="B21" s="5">
        <f>IF($I2="","",INDEX(Productos!$A:$A,$I2))</f>
        <v/>
      </c>
      <c r="C21" s="134" t="inlineStr">
        <is>
          <t>C47572-27-36</t>
        </is>
      </c>
      <c r="D21" s="5">
        <f>IF($I2="","",INDEX(Productos!$B:$B,$I2))</f>
        <v/>
      </c>
      <c r="E21" s="5">
        <f>IF($I2="","",INDEX(Productos!$H:$H,$I2))</f>
        <v/>
      </c>
      <c r="F21" s="5">
        <f>IF($I2="","",INDEX(Productos!$I:$I,$I2))</f>
        <v/>
      </c>
      <c r="G21" s="135" t="n">
        <v>2</v>
      </c>
      <c r="H21" s="5">
        <f>IF($I2="","",INDEX(Productos!$AG:$AG,$I2))</f>
        <v/>
      </c>
      <c r="I21" s="136">
        <f>LET(_xlpm.r,Productos!$E$2:$E$1063,_xlpm.m,IFERROR(_xlfn.XMATCH(C21,_xlpm.r),IFERROR(_xlfn.XMATCH(VALUE(C21),_xlpm.r),0)),IF(_xlpm.m=0,"",_xlpm.m+1))</f>
        <v/>
      </c>
      <c r="J21" s="137" t="inlineStr">
        <is>
          <t>NetSuite</t>
        </is>
      </c>
    </row>
    <row r="22">
      <c r="A22" s="5" t="inlineStr">
        <is>
          <t>WB OUTLET LERMA</t>
        </is>
      </c>
      <c r="B22" s="5">
        <f>IF($I2="","",INDEX(Productos!$A:$A,$I2))</f>
        <v/>
      </c>
      <c r="C22" s="134" t="inlineStr">
        <is>
          <t>C47572-27-38</t>
        </is>
      </c>
      <c r="D22" s="5">
        <f>IF($I2="","",INDEX(Productos!$B:$B,$I2))</f>
        <v/>
      </c>
      <c r="E22" s="5">
        <f>IF($I2="","",INDEX(Productos!$H:$H,$I2))</f>
        <v/>
      </c>
      <c r="F22" s="5">
        <f>IF($I2="","",INDEX(Productos!$I:$I,$I2))</f>
        <v/>
      </c>
      <c r="G22" s="135" t="n">
        <v>3</v>
      </c>
      <c r="H22" s="5">
        <f>IF($I2="","",INDEX(Productos!$AG:$AG,$I2))</f>
        <v/>
      </c>
      <c r="I22" s="136">
        <f>LET(_xlpm.r,Productos!$E$2:$E$1063,_xlpm.m,IFERROR(_xlfn.XMATCH(C22,_xlpm.r),IFERROR(_xlfn.XMATCH(VALUE(C22),_xlpm.r),0)),IF(_xlpm.m=0,"",_xlpm.m+1))</f>
        <v/>
      </c>
      <c r="J22" s="137" t="inlineStr">
        <is>
          <t>NetSuite</t>
        </is>
      </c>
    </row>
    <row r="23">
      <c r="A23" s="5" t="inlineStr">
        <is>
          <t>WB OUTLET LERMA</t>
        </is>
      </c>
      <c r="B23" s="5">
        <f>IF($I2="","",INDEX(Productos!$A:$A,$I2))</f>
        <v/>
      </c>
      <c r="C23" s="134" t="inlineStr">
        <is>
          <t>C47572-27-40</t>
        </is>
      </c>
      <c r="D23" s="5">
        <f>IF($I2="","",INDEX(Productos!$B:$B,$I2))</f>
        <v/>
      </c>
      <c r="E23" s="5">
        <f>IF($I2="","",INDEX(Productos!$H:$H,$I2))</f>
        <v/>
      </c>
      <c r="F23" s="5">
        <f>IF($I2="","",INDEX(Productos!$I:$I,$I2))</f>
        <v/>
      </c>
      <c r="G23" s="135" t="n">
        <v>2</v>
      </c>
      <c r="H23" s="5">
        <f>IF($I2="","",INDEX(Productos!$AG:$AG,$I2))</f>
        <v/>
      </c>
      <c r="I23" s="136">
        <f>LET(_xlpm.r,Productos!$E$2:$E$1063,_xlpm.m,IFERROR(_xlfn.XMATCH(C23,_xlpm.r),IFERROR(_xlfn.XMATCH(VALUE(C23),_xlpm.r),0)),IF(_xlpm.m=0,"",_xlpm.m+1))</f>
        <v/>
      </c>
      <c r="J23" s="137" t="inlineStr">
        <is>
          <t>NetSuite</t>
        </is>
      </c>
    </row>
    <row r="24">
      <c r="A24" s="5" t="inlineStr">
        <is>
          <t>WB OUTLET LERMA</t>
        </is>
      </c>
      <c r="B24" s="5">
        <f>IF($I2="","",INDEX(Productos!$A:$A,$I2))</f>
        <v/>
      </c>
      <c r="C24" s="134" t="inlineStr">
        <is>
          <t>C47572-27-42</t>
        </is>
      </c>
      <c r="D24" s="5">
        <f>IF($I2="","",INDEX(Productos!$B:$B,$I2))</f>
        <v/>
      </c>
      <c r="E24" s="5">
        <f>IF($I2="","",INDEX(Productos!$H:$H,$I2))</f>
        <v/>
      </c>
      <c r="F24" s="5">
        <f>IF($I2="","",INDEX(Productos!$I:$I,$I2))</f>
        <v/>
      </c>
      <c r="G24" s="135" t="n">
        <v>2</v>
      </c>
      <c r="H24" s="5">
        <f>IF($I2="","",INDEX(Productos!$AG:$AG,$I2))</f>
        <v/>
      </c>
      <c r="I24" s="136">
        <f>LET(_xlpm.r,Productos!$E$2:$E$1063,_xlpm.m,IFERROR(_xlfn.XMATCH(C24,_xlpm.r),IFERROR(_xlfn.XMATCH(VALUE(C24),_xlpm.r),0)),IF(_xlpm.m=0,"",_xlpm.m+1))</f>
        <v/>
      </c>
      <c r="J24" s="137" t="inlineStr">
        <is>
          <t>NetSuite</t>
        </is>
      </c>
    </row>
    <row r="25">
      <c r="A25" s="5" t="inlineStr">
        <is>
          <t>WB OUTLET LERMA</t>
        </is>
      </c>
      <c r="B25" s="5">
        <f>IF($I2="","",INDEX(Productos!$A:$A,$I2))</f>
        <v/>
      </c>
      <c r="C25" s="134" t="inlineStr">
        <is>
          <t>C47572-27-44</t>
        </is>
      </c>
      <c r="D25" s="5">
        <f>IF($I2="","",INDEX(Productos!$B:$B,$I2))</f>
        <v/>
      </c>
      <c r="E25" s="5">
        <f>IF($I2="","",INDEX(Productos!$H:$H,$I2))</f>
        <v/>
      </c>
      <c r="F25" s="5">
        <f>IF($I2="","",INDEX(Productos!$I:$I,$I2))</f>
        <v/>
      </c>
      <c r="G25" s="135" t="n">
        <v>1</v>
      </c>
      <c r="H25" s="5">
        <f>IF($I2="","",INDEX(Productos!$AG:$AG,$I2))</f>
        <v/>
      </c>
      <c r="I25" s="136">
        <f>LET(_xlpm.r,Productos!$E$2:$E$1063,_xlpm.m,IFERROR(_xlfn.XMATCH(C25,_xlpm.r),IFERROR(_xlfn.XMATCH(VALUE(C25),_xlpm.r),0)),IF(_xlpm.m=0,"",_xlpm.m+1))</f>
        <v/>
      </c>
      <c r="J25" s="137" t="inlineStr">
        <is>
          <t>NetSuite</t>
        </is>
      </c>
    </row>
    <row r="26">
      <c r="A26" s="5" t="inlineStr">
        <is>
          <t>WB OUTLET LERMA</t>
        </is>
      </c>
      <c r="B26" s="5">
        <f>IF($I2="","",INDEX(Productos!$A:$A,$I2))</f>
        <v/>
      </c>
      <c r="C26" s="134" t="inlineStr">
        <is>
          <t>C47574-26-L</t>
        </is>
      </c>
      <c r="D26" s="5">
        <f>IF($I2="","",INDEX(Productos!$B:$B,$I2))</f>
        <v/>
      </c>
      <c r="E26" s="5">
        <f>IF($I2="","",INDEX(Productos!$H:$H,$I2))</f>
        <v/>
      </c>
      <c r="F26" s="5">
        <f>IF($I2="","",INDEX(Productos!$I:$I,$I2))</f>
        <v/>
      </c>
      <c r="G26" s="135" t="n">
        <v>2</v>
      </c>
      <c r="H26" s="5">
        <f>IF($I2="","",INDEX(Productos!$AG:$AG,$I2))</f>
        <v/>
      </c>
      <c r="I26" s="136">
        <f>LET(_xlpm.r,Productos!$E$2:$E$1063,_xlpm.m,IFERROR(_xlfn.XMATCH(C26,_xlpm.r),IFERROR(_xlfn.XMATCH(VALUE(C26),_xlpm.r),0)),IF(_xlpm.m=0,"",_xlpm.m+1))</f>
        <v/>
      </c>
      <c r="J26" s="137" t="inlineStr">
        <is>
          <t>NetSuite</t>
        </is>
      </c>
    </row>
    <row r="27">
      <c r="A27" s="5" t="inlineStr">
        <is>
          <t>WB OUTLET LERMA</t>
        </is>
      </c>
      <c r="B27" s="5">
        <f>IF($I2="","",INDEX(Productos!$A:$A,$I2))</f>
        <v/>
      </c>
      <c r="C27" s="134" t="inlineStr">
        <is>
          <t>C47574-26-M</t>
        </is>
      </c>
      <c r="D27" s="5">
        <f>IF($I2="","",INDEX(Productos!$B:$B,$I2))</f>
        <v/>
      </c>
      <c r="E27" s="5">
        <f>IF($I2="","",INDEX(Productos!$H:$H,$I2))</f>
        <v/>
      </c>
      <c r="F27" s="5">
        <f>IF($I2="","",INDEX(Productos!$I:$I,$I2))</f>
        <v/>
      </c>
      <c r="G27" s="135" t="n">
        <v>3</v>
      </c>
      <c r="H27" s="5">
        <f>IF($I2="","",INDEX(Productos!$AG:$AG,$I2))</f>
        <v/>
      </c>
      <c r="I27" s="136">
        <f>LET(_xlpm.r,Productos!$E$2:$E$1063,_xlpm.m,IFERROR(_xlfn.XMATCH(C27,_xlpm.r),IFERROR(_xlfn.XMATCH(VALUE(C27),_xlpm.r),0)),IF(_xlpm.m=0,"",_xlpm.m+1))</f>
        <v/>
      </c>
      <c r="J27" s="137" t="inlineStr">
        <is>
          <t>NetSuite</t>
        </is>
      </c>
    </row>
    <row r="28">
      <c r="A28" s="5" t="inlineStr">
        <is>
          <t>WB OUTLET LERMA</t>
        </is>
      </c>
      <c r="B28" s="5">
        <f>IF($I2="","",INDEX(Productos!$A:$A,$I2))</f>
        <v/>
      </c>
      <c r="C28" s="134" t="inlineStr">
        <is>
          <t>C47574-26-S</t>
        </is>
      </c>
      <c r="D28" s="5">
        <f>IF($I2="","",INDEX(Productos!$B:$B,$I2))</f>
        <v/>
      </c>
      <c r="E28" s="5">
        <f>IF($I2="","",INDEX(Productos!$H:$H,$I2))</f>
        <v/>
      </c>
      <c r="F28" s="5">
        <f>IF($I2="","",INDEX(Productos!$I:$I,$I2))</f>
        <v/>
      </c>
      <c r="G28" s="135" t="n">
        <v>3</v>
      </c>
      <c r="H28" s="5">
        <f>IF($I2="","",INDEX(Productos!$AG:$AG,$I2))</f>
        <v/>
      </c>
      <c r="I28" s="136">
        <f>LET(_xlpm.r,Productos!$E$2:$E$1063,_xlpm.m,IFERROR(_xlfn.XMATCH(C28,_xlpm.r),IFERROR(_xlfn.XMATCH(VALUE(C28),_xlpm.r),0)),IF(_xlpm.m=0,"",_xlpm.m+1))</f>
        <v/>
      </c>
      <c r="J28" s="137" t="inlineStr">
        <is>
          <t>NetSuite</t>
        </is>
      </c>
    </row>
    <row r="29">
      <c r="A29" s="5" t="inlineStr">
        <is>
          <t>WB OUTLET LERMA</t>
        </is>
      </c>
      <c r="B29" s="5">
        <f>IF($I2="","",INDEX(Productos!$A:$A,$I2))</f>
        <v/>
      </c>
      <c r="C29" s="134" t="inlineStr">
        <is>
          <t>C47574-26-XL</t>
        </is>
      </c>
      <c r="D29" s="5">
        <f>IF($I2="","",INDEX(Productos!$B:$B,$I2))</f>
        <v/>
      </c>
      <c r="E29" s="5">
        <f>IF($I2="","",INDEX(Productos!$H:$H,$I2))</f>
        <v/>
      </c>
      <c r="F29" s="5">
        <f>IF($I2="","",INDEX(Productos!$I:$I,$I2))</f>
        <v/>
      </c>
      <c r="G29" s="135" t="n">
        <v>1</v>
      </c>
      <c r="H29" s="5">
        <f>IF($I2="","",INDEX(Productos!$AG:$AG,$I2))</f>
        <v/>
      </c>
      <c r="I29" s="136">
        <f>LET(_xlpm.r,Productos!$E$2:$E$1063,_xlpm.m,IFERROR(_xlfn.XMATCH(C29,_xlpm.r),IFERROR(_xlfn.XMATCH(VALUE(C29),_xlpm.r),0)),IF(_xlpm.m=0,"",_xlpm.m+1))</f>
        <v/>
      </c>
      <c r="J29" s="137" t="inlineStr">
        <is>
          <t>NetSuite</t>
        </is>
      </c>
    </row>
    <row r="30">
      <c r="A30" s="5" t="inlineStr">
        <is>
          <t>WB OUTLET LERMA</t>
        </is>
      </c>
      <c r="B30" s="5">
        <f>IF($I2="","",INDEX(Productos!$A:$A,$I2))</f>
        <v/>
      </c>
      <c r="C30" s="134" t="inlineStr">
        <is>
          <t>C47574-59-L</t>
        </is>
      </c>
      <c r="D30" s="5">
        <f>IF($I2="","",INDEX(Productos!$B:$B,$I2))</f>
        <v/>
      </c>
      <c r="E30" s="5">
        <f>IF($I2="","",INDEX(Productos!$H:$H,$I2))</f>
        <v/>
      </c>
      <c r="F30" s="5">
        <f>IF($I2="","",INDEX(Productos!$I:$I,$I2))</f>
        <v/>
      </c>
      <c r="G30" s="135" t="n">
        <v>2</v>
      </c>
      <c r="H30" s="5">
        <f>IF($I2="","",INDEX(Productos!$AG:$AG,$I2))</f>
        <v/>
      </c>
      <c r="I30" s="136">
        <f>LET(_xlpm.r,Productos!$E$2:$E$1063,_xlpm.m,IFERROR(_xlfn.XMATCH(C30,_xlpm.r),IFERROR(_xlfn.XMATCH(VALUE(C30),_xlpm.r),0)),IF(_xlpm.m=0,"",_xlpm.m+1))</f>
        <v/>
      </c>
      <c r="J30" s="137" t="inlineStr">
        <is>
          <t>NetSuite</t>
        </is>
      </c>
    </row>
    <row r="31">
      <c r="A31" s="5" t="inlineStr">
        <is>
          <t>WB OUTLET LERMA</t>
        </is>
      </c>
      <c r="B31" s="5">
        <f>IF($I2="","",INDEX(Productos!$A:$A,$I2))</f>
        <v/>
      </c>
      <c r="C31" s="134" t="inlineStr">
        <is>
          <t>C47574-59-M</t>
        </is>
      </c>
      <c r="D31" s="5">
        <f>IF($I2="","",INDEX(Productos!$B:$B,$I2))</f>
        <v/>
      </c>
      <c r="E31" s="5">
        <f>IF($I2="","",INDEX(Productos!$H:$H,$I2))</f>
        <v/>
      </c>
      <c r="F31" s="5">
        <f>IF($I2="","",INDEX(Productos!$I:$I,$I2))</f>
        <v/>
      </c>
      <c r="G31" s="135" t="n">
        <v>3</v>
      </c>
      <c r="H31" s="5">
        <f>IF($I2="","",INDEX(Productos!$AG:$AG,$I2))</f>
        <v/>
      </c>
      <c r="I31" s="136">
        <f>LET(_xlpm.r,Productos!$E$2:$E$1063,_xlpm.m,IFERROR(_xlfn.XMATCH(C31,_xlpm.r),IFERROR(_xlfn.XMATCH(VALUE(C31),_xlpm.r),0)),IF(_xlpm.m=0,"",_xlpm.m+1))</f>
        <v/>
      </c>
      <c r="J31" s="137" t="inlineStr">
        <is>
          <t>NetSuite</t>
        </is>
      </c>
    </row>
    <row r="32">
      <c r="A32" s="5" t="inlineStr">
        <is>
          <t>WB OUTLET LERMA</t>
        </is>
      </c>
      <c r="B32" s="5">
        <f>IF($I2="","",INDEX(Productos!$A:$A,$I2))</f>
        <v/>
      </c>
      <c r="C32" s="134" t="inlineStr">
        <is>
          <t>C47574-59-S</t>
        </is>
      </c>
      <c r="D32" s="5">
        <f>IF($I2="","",INDEX(Productos!$B:$B,$I2))</f>
        <v/>
      </c>
      <c r="E32" s="5">
        <f>IF($I2="","",INDEX(Productos!$H:$H,$I2))</f>
        <v/>
      </c>
      <c r="F32" s="5">
        <f>IF($I2="","",INDEX(Productos!$I:$I,$I2))</f>
        <v/>
      </c>
      <c r="G32" s="135" t="n">
        <v>3</v>
      </c>
      <c r="H32" s="5">
        <f>IF($I2="","",INDEX(Productos!$AG:$AG,$I2))</f>
        <v/>
      </c>
      <c r="I32" s="136">
        <f>LET(_xlpm.r,Productos!$E$2:$E$1063,_xlpm.m,IFERROR(_xlfn.XMATCH(C32,_xlpm.r),IFERROR(_xlfn.XMATCH(VALUE(C32),_xlpm.r),0)),IF(_xlpm.m=0,"",_xlpm.m+1))</f>
        <v/>
      </c>
      <c r="J32" s="137" t="inlineStr">
        <is>
          <t>NetSuite</t>
        </is>
      </c>
    </row>
    <row r="33">
      <c r="A33" s="5" t="inlineStr">
        <is>
          <t>WB OUTLET LERMA</t>
        </is>
      </c>
      <c r="B33" s="5">
        <f>IF($I2="","",INDEX(Productos!$A:$A,$I2))</f>
        <v/>
      </c>
      <c r="C33" s="134" t="inlineStr">
        <is>
          <t>C47574-59-XL</t>
        </is>
      </c>
      <c r="D33" s="5">
        <f>IF($I2="","",INDEX(Productos!$B:$B,$I2))</f>
        <v/>
      </c>
      <c r="E33" s="5">
        <f>IF($I2="","",INDEX(Productos!$H:$H,$I2))</f>
        <v/>
      </c>
      <c r="F33" s="5">
        <f>IF($I2="","",INDEX(Productos!$I:$I,$I2))</f>
        <v/>
      </c>
      <c r="G33" s="135" t="n">
        <v>1</v>
      </c>
      <c r="H33" s="5">
        <f>IF($I2="","",INDEX(Productos!$AG:$AG,$I2))</f>
        <v/>
      </c>
      <c r="I33" s="136">
        <f>LET(_xlpm.r,Productos!$E$2:$E$1063,_xlpm.m,IFERROR(_xlfn.XMATCH(C33,_xlpm.r),IFERROR(_xlfn.XMATCH(VALUE(C33),_xlpm.r),0)),IF(_xlpm.m=0,"",_xlpm.m+1))</f>
        <v/>
      </c>
      <c r="J33" s="137" t="inlineStr">
        <is>
          <t>NetSuite</t>
        </is>
      </c>
    </row>
    <row r="34">
      <c r="A34" s="5" t="inlineStr">
        <is>
          <t>WB OUTLET LERMA</t>
        </is>
      </c>
      <c r="B34" s="5">
        <f>IF($I2="","",INDEX(Productos!$A:$A,$I2))</f>
        <v/>
      </c>
      <c r="C34" s="134" t="inlineStr">
        <is>
          <t>C49628-27-32</t>
        </is>
      </c>
      <c r="D34" s="5">
        <f>IF($I2="","",INDEX(Productos!$B:$B,$I2))</f>
        <v/>
      </c>
      <c r="E34" s="5">
        <f>IF($I2="","",INDEX(Productos!$H:$H,$I2))</f>
        <v/>
      </c>
      <c r="F34" s="5">
        <f>IF($I2="","",INDEX(Productos!$I:$I,$I2))</f>
        <v/>
      </c>
      <c r="G34" s="135" t="n">
        <v>1</v>
      </c>
      <c r="H34" s="5">
        <f>IF($I2="","",INDEX(Productos!$AG:$AG,$I2))</f>
        <v/>
      </c>
      <c r="I34" s="136">
        <f>LET(_xlpm.r,Productos!$E$2:$E$1063,_xlpm.m,IFERROR(_xlfn.XMATCH(C34,_xlpm.r),IFERROR(_xlfn.XMATCH(VALUE(C34),_xlpm.r),0)),IF(_xlpm.m=0,"",_xlpm.m+1))</f>
        <v/>
      </c>
      <c r="J34" s="137" t="inlineStr">
        <is>
          <t>NetSuite</t>
        </is>
      </c>
    </row>
    <row r="35">
      <c r="A35" s="5" t="inlineStr">
        <is>
          <t>WB OUTLET LERMA</t>
        </is>
      </c>
      <c r="B35" s="5">
        <f>IF($I2="","",INDEX(Productos!$A:$A,$I2))</f>
        <v/>
      </c>
      <c r="C35" s="134" t="inlineStr">
        <is>
          <t>C49628-27-34</t>
        </is>
      </c>
      <c r="D35" s="5">
        <f>IF($I2="","",INDEX(Productos!$B:$B,$I2))</f>
        <v/>
      </c>
      <c r="E35" s="5">
        <f>IF($I2="","",INDEX(Productos!$H:$H,$I2))</f>
        <v/>
      </c>
      <c r="F35" s="5">
        <f>IF($I2="","",INDEX(Productos!$I:$I,$I2))</f>
        <v/>
      </c>
      <c r="G35" s="135" t="n">
        <v>2</v>
      </c>
      <c r="H35" s="5">
        <f>IF($I2="","",INDEX(Productos!$AG:$AG,$I2))</f>
        <v/>
      </c>
      <c r="I35" s="136">
        <f>LET(_xlpm.r,Productos!$E$2:$E$1063,_xlpm.m,IFERROR(_xlfn.XMATCH(C35,_xlpm.r),IFERROR(_xlfn.XMATCH(VALUE(C35),_xlpm.r),0)),IF(_xlpm.m=0,"",_xlpm.m+1))</f>
        <v/>
      </c>
      <c r="J35" s="137" t="inlineStr">
        <is>
          <t>NetSuite</t>
        </is>
      </c>
    </row>
    <row r="36">
      <c r="A36" s="5" t="inlineStr">
        <is>
          <t>WB OUTLET LERMA</t>
        </is>
      </c>
      <c r="B36" s="5">
        <f>IF($I2="","",INDEX(Productos!$A:$A,$I2))</f>
        <v/>
      </c>
      <c r="C36" s="134" t="inlineStr">
        <is>
          <t>C49628-27-36</t>
        </is>
      </c>
      <c r="D36" s="5">
        <f>IF($I2="","",INDEX(Productos!$B:$B,$I2))</f>
        <v/>
      </c>
      <c r="E36" s="5">
        <f>IF($I2="","",INDEX(Productos!$H:$H,$I2))</f>
        <v/>
      </c>
      <c r="F36" s="5">
        <f>IF($I2="","",INDEX(Productos!$I:$I,$I2))</f>
        <v/>
      </c>
      <c r="G36" s="135" t="n">
        <v>2</v>
      </c>
      <c r="H36" s="5">
        <f>IF($I2="","",INDEX(Productos!$AG:$AG,$I2))</f>
        <v/>
      </c>
      <c r="I36" s="136">
        <f>LET(_xlpm.r,Productos!$E$2:$E$1063,_xlpm.m,IFERROR(_xlfn.XMATCH(C36,_xlpm.r),IFERROR(_xlfn.XMATCH(VALUE(C36),_xlpm.r),0)),IF(_xlpm.m=0,"",_xlpm.m+1))</f>
        <v/>
      </c>
      <c r="J36" s="137" t="inlineStr">
        <is>
          <t>NetSuite</t>
        </is>
      </c>
    </row>
    <row r="37">
      <c r="A37" s="5" t="inlineStr">
        <is>
          <t>WB OUTLET LERMA</t>
        </is>
      </c>
      <c r="B37" s="5">
        <f>IF($I2="","",INDEX(Productos!$A:$A,$I2))</f>
        <v/>
      </c>
      <c r="C37" s="134" t="inlineStr">
        <is>
          <t>C49628-27-38</t>
        </is>
      </c>
      <c r="D37" s="5">
        <f>IF($I2="","",INDEX(Productos!$B:$B,$I2))</f>
        <v/>
      </c>
      <c r="E37" s="5">
        <f>IF($I2="","",INDEX(Productos!$H:$H,$I2))</f>
        <v/>
      </c>
      <c r="F37" s="5">
        <f>IF($I2="","",INDEX(Productos!$I:$I,$I2))</f>
        <v/>
      </c>
      <c r="G37" s="135" t="n">
        <v>3</v>
      </c>
      <c r="H37" s="5">
        <f>IF($I2="","",INDEX(Productos!$AG:$AG,$I2))</f>
        <v/>
      </c>
      <c r="I37" s="136">
        <f>LET(_xlpm.r,Productos!$E$2:$E$1063,_xlpm.m,IFERROR(_xlfn.XMATCH(C37,_xlpm.r),IFERROR(_xlfn.XMATCH(VALUE(C37),_xlpm.r),0)),IF(_xlpm.m=0,"",_xlpm.m+1))</f>
        <v/>
      </c>
      <c r="J37" s="137" t="inlineStr">
        <is>
          <t>NetSuite</t>
        </is>
      </c>
    </row>
    <row r="38">
      <c r="A38" s="5" t="inlineStr">
        <is>
          <t>WB OUTLET LERMA</t>
        </is>
      </c>
      <c r="B38" s="5">
        <f>IF($I2="","",INDEX(Productos!$A:$A,$I2))</f>
        <v/>
      </c>
      <c r="C38" s="134" t="inlineStr">
        <is>
          <t>C49628-27-40</t>
        </is>
      </c>
      <c r="D38" s="5">
        <f>IF($I2="","",INDEX(Productos!$B:$B,$I2))</f>
        <v/>
      </c>
      <c r="E38" s="5">
        <f>IF($I2="","",INDEX(Productos!$H:$H,$I2))</f>
        <v/>
      </c>
      <c r="F38" s="5">
        <f>IF($I2="","",INDEX(Productos!$I:$I,$I2))</f>
        <v/>
      </c>
      <c r="G38" s="135" t="n">
        <v>2</v>
      </c>
      <c r="H38" s="5">
        <f>IF($I2="","",INDEX(Productos!$AG:$AG,$I2))</f>
        <v/>
      </c>
      <c r="I38" s="136">
        <f>LET(_xlpm.r,Productos!$E$2:$E$1063,_xlpm.m,IFERROR(_xlfn.XMATCH(C38,_xlpm.r),IFERROR(_xlfn.XMATCH(VALUE(C38),_xlpm.r),0)),IF(_xlpm.m=0,"",_xlpm.m+1))</f>
        <v/>
      </c>
      <c r="J38" s="137" t="inlineStr">
        <is>
          <t>NetSuite</t>
        </is>
      </c>
    </row>
    <row r="39">
      <c r="A39" s="5" t="inlineStr">
        <is>
          <t>WB OUTLET LERMA</t>
        </is>
      </c>
      <c r="B39" s="5">
        <f>IF($I2="","",INDEX(Productos!$A:$A,$I2))</f>
        <v/>
      </c>
      <c r="C39" s="134" t="inlineStr">
        <is>
          <t>C49628-27-42</t>
        </is>
      </c>
      <c r="D39" s="5">
        <f>IF($I2="","",INDEX(Productos!$B:$B,$I2))</f>
        <v/>
      </c>
      <c r="E39" s="5">
        <f>IF($I2="","",INDEX(Productos!$H:$H,$I2))</f>
        <v/>
      </c>
      <c r="F39" s="5">
        <f>IF($I2="","",INDEX(Productos!$I:$I,$I2))</f>
        <v/>
      </c>
      <c r="G39" s="135" t="n">
        <v>2</v>
      </c>
      <c r="H39" s="5">
        <f>IF($I2="","",INDEX(Productos!$AG:$AG,$I2))</f>
        <v/>
      </c>
      <c r="I39" s="136">
        <f>LET(_xlpm.r,Productos!$E$2:$E$1063,_xlpm.m,IFERROR(_xlfn.XMATCH(C39,_xlpm.r),IFERROR(_xlfn.XMATCH(VALUE(C39),_xlpm.r),0)),IF(_xlpm.m=0,"",_xlpm.m+1))</f>
        <v/>
      </c>
      <c r="J39" s="137" t="inlineStr">
        <is>
          <t>NetSuite</t>
        </is>
      </c>
    </row>
    <row r="40">
      <c r="A40" s="5" t="inlineStr">
        <is>
          <t>WB OUTLET LERMA</t>
        </is>
      </c>
      <c r="B40" s="5">
        <f>IF($I2="","",INDEX(Productos!$A:$A,$I2))</f>
        <v/>
      </c>
      <c r="C40" s="134" t="inlineStr">
        <is>
          <t>C49628-27-44</t>
        </is>
      </c>
      <c r="D40" s="5">
        <f>IF($I2="","",INDEX(Productos!$B:$B,$I2))</f>
        <v/>
      </c>
      <c r="E40" s="5">
        <f>IF($I2="","",INDEX(Productos!$H:$H,$I2))</f>
        <v/>
      </c>
      <c r="F40" s="5">
        <f>IF($I2="","",INDEX(Productos!$I:$I,$I2))</f>
        <v/>
      </c>
      <c r="G40" s="135" t="n">
        <v>1</v>
      </c>
      <c r="H40" s="5">
        <f>IF($I2="","",INDEX(Productos!$AG:$AG,$I2))</f>
        <v/>
      </c>
      <c r="I40" s="136">
        <f>LET(_xlpm.r,Productos!$E$2:$E$1063,_xlpm.m,IFERROR(_xlfn.XMATCH(C40,_xlpm.r),IFERROR(_xlfn.XMATCH(VALUE(C40),_xlpm.r),0)),IF(_xlpm.m=0,"",_xlpm.m+1))</f>
        <v/>
      </c>
      <c r="J40" s="137" t="inlineStr">
        <is>
          <t>NetSuite</t>
        </is>
      </c>
    </row>
    <row r="41">
      <c r="A41" s="5" t="inlineStr">
        <is>
          <t>WB OUTLET LERMA</t>
        </is>
      </c>
      <c r="B41" s="5">
        <f>IF($I2="","",INDEX(Productos!$A:$A,$I2))</f>
        <v/>
      </c>
      <c r="C41" s="134" t="inlineStr">
        <is>
          <t>C49727-26-32</t>
        </is>
      </c>
      <c r="D41" s="5">
        <f>IF($I2="","",INDEX(Productos!$B:$B,$I2))</f>
        <v/>
      </c>
      <c r="E41" s="5">
        <f>IF($I2="","",INDEX(Productos!$H:$H,$I2))</f>
        <v/>
      </c>
      <c r="F41" s="5">
        <f>IF($I2="","",INDEX(Productos!$I:$I,$I2))</f>
        <v/>
      </c>
      <c r="G41" s="135" t="n">
        <v>1</v>
      </c>
      <c r="H41" s="5">
        <f>IF($I2="","",INDEX(Productos!$AG:$AG,$I2))</f>
        <v/>
      </c>
      <c r="I41" s="136">
        <f>LET(_xlpm.r,Productos!$E$2:$E$1063,_xlpm.m,IFERROR(_xlfn.XMATCH(C41,_xlpm.r),IFERROR(_xlfn.XMATCH(VALUE(C41),_xlpm.r),0)),IF(_xlpm.m=0,"",_xlpm.m+1))</f>
        <v/>
      </c>
      <c r="J41" s="137" t="inlineStr">
        <is>
          <t>NetSuite</t>
        </is>
      </c>
    </row>
    <row r="42">
      <c r="A42" s="5" t="inlineStr">
        <is>
          <t>WB OUTLET LERMA</t>
        </is>
      </c>
      <c r="B42" s="5">
        <f>IF($I2="","",INDEX(Productos!$A:$A,$I2))</f>
        <v/>
      </c>
      <c r="C42" s="134" t="inlineStr">
        <is>
          <t>C49727-26-34</t>
        </is>
      </c>
      <c r="D42" s="5">
        <f>IF($I2="","",INDEX(Productos!$B:$B,$I2))</f>
        <v/>
      </c>
      <c r="E42" s="5">
        <f>IF($I2="","",INDEX(Productos!$H:$H,$I2))</f>
        <v/>
      </c>
      <c r="F42" s="5">
        <f>IF($I2="","",INDEX(Productos!$I:$I,$I2))</f>
        <v/>
      </c>
      <c r="G42" s="135" t="n">
        <v>2</v>
      </c>
      <c r="H42" s="5">
        <f>IF($I2="","",INDEX(Productos!$AG:$AG,$I2))</f>
        <v/>
      </c>
      <c r="I42" s="136">
        <f>LET(_xlpm.r,Productos!$E$2:$E$1063,_xlpm.m,IFERROR(_xlfn.XMATCH(C42,_xlpm.r),IFERROR(_xlfn.XMATCH(VALUE(C42),_xlpm.r),0)),IF(_xlpm.m=0,"",_xlpm.m+1))</f>
        <v/>
      </c>
      <c r="J42" s="137" t="inlineStr">
        <is>
          <t>NetSuite</t>
        </is>
      </c>
    </row>
    <row r="43">
      <c r="A43" s="5" t="inlineStr">
        <is>
          <t>WB OUTLET LERMA</t>
        </is>
      </c>
      <c r="B43" s="5">
        <f>IF($I2="","",INDEX(Productos!$A:$A,$I2))</f>
        <v/>
      </c>
      <c r="C43" s="134" t="inlineStr">
        <is>
          <t>C49727-26-36</t>
        </is>
      </c>
      <c r="D43" s="5">
        <f>IF($I2="","",INDEX(Productos!$B:$B,$I2))</f>
        <v/>
      </c>
      <c r="E43" s="5">
        <f>IF($I2="","",INDEX(Productos!$H:$H,$I2))</f>
        <v/>
      </c>
      <c r="F43" s="5">
        <f>IF($I2="","",INDEX(Productos!$I:$I,$I2))</f>
        <v/>
      </c>
      <c r="G43" s="135" t="n">
        <v>2</v>
      </c>
      <c r="H43" s="5">
        <f>IF($I2="","",INDEX(Productos!$AG:$AG,$I2))</f>
        <v/>
      </c>
      <c r="I43" s="136">
        <f>LET(_xlpm.r,Productos!$E$2:$E$1063,_xlpm.m,IFERROR(_xlfn.XMATCH(C43,_xlpm.r),IFERROR(_xlfn.XMATCH(VALUE(C43),_xlpm.r),0)),IF(_xlpm.m=0,"",_xlpm.m+1))</f>
        <v/>
      </c>
      <c r="J43" s="137" t="inlineStr">
        <is>
          <t>NetSuite</t>
        </is>
      </c>
    </row>
    <row r="44">
      <c r="A44" s="5" t="inlineStr">
        <is>
          <t>WB OUTLET LERMA</t>
        </is>
      </c>
      <c r="B44" s="5">
        <f>IF($I2="","",INDEX(Productos!$A:$A,$I2))</f>
        <v/>
      </c>
      <c r="C44" s="134" t="inlineStr">
        <is>
          <t>C49727-26-38</t>
        </is>
      </c>
      <c r="D44" s="5">
        <f>IF($I2="","",INDEX(Productos!$B:$B,$I2))</f>
        <v/>
      </c>
      <c r="E44" s="5">
        <f>IF($I2="","",INDEX(Productos!$H:$H,$I2))</f>
        <v/>
      </c>
      <c r="F44" s="5">
        <f>IF($I2="","",INDEX(Productos!$I:$I,$I2))</f>
        <v/>
      </c>
      <c r="G44" s="135" t="n">
        <v>3</v>
      </c>
      <c r="H44" s="5">
        <f>IF($I2="","",INDEX(Productos!$AG:$AG,$I2))</f>
        <v/>
      </c>
      <c r="I44" s="136">
        <f>LET(_xlpm.r,Productos!$E$2:$E$1063,_xlpm.m,IFERROR(_xlfn.XMATCH(C44,_xlpm.r),IFERROR(_xlfn.XMATCH(VALUE(C44),_xlpm.r),0)),IF(_xlpm.m=0,"",_xlpm.m+1))</f>
        <v/>
      </c>
      <c r="J44" s="137" t="inlineStr">
        <is>
          <t>NetSuite</t>
        </is>
      </c>
    </row>
    <row r="45">
      <c r="A45" s="5" t="inlineStr">
        <is>
          <t>WB OUTLET LERMA</t>
        </is>
      </c>
      <c r="B45" s="5">
        <f>IF($I2="","",INDEX(Productos!$A:$A,$I2))</f>
        <v/>
      </c>
      <c r="C45" s="134" t="inlineStr">
        <is>
          <t>C49727-26-40</t>
        </is>
      </c>
      <c r="D45" s="5">
        <f>IF($I2="","",INDEX(Productos!$B:$B,$I2))</f>
        <v/>
      </c>
      <c r="E45" s="5">
        <f>IF($I2="","",INDEX(Productos!$H:$H,$I2))</f>
        <v/>
      </c>
      <c r="F45" s="5">
        <f>IF($I2="","",INDEX(Productos!$I:$I,$I2))</f>
        <v/>
      </c>
      <c r="G45" s="135" t="n">
        <v>2</v>
      </c>
      <c r="H45" s="5">
        <f>IF($I2="","",INDEX(Productos!$AG:$AG,$I2))</f>
        <v/>
      </c>
      <c r="I45" s="136">
        <f>LET(_xlpm.r,Productos!$E$2:$E$1063,_xlpm.m,IFERROR(_xlfn.XMATCH(C45,_xlpm.r),IFERROR(_xlfn.XMATCH(VALUE(C45),_xlpm.r),0)),IF(_xlpm.m=0,"",_xlpm.m+1))</f>
        <v/>
      </c>
      <c r="J45" s="137" t="inlineStr">
        <is>
          <t>NetSuite</t>
        </is>
      </c>
    </row>
    <row r="46">
      <c r="A46" s="5" t="inlineStr">
        <is>
          <t>WB OUTLET LERMA</t>
        </is>
      </c>
      <c r="B46" s="5">
        <f>IF($I2="","",INDEX(Productos!$A:$A,$I2))</f>
        <v/>
      </c>
      <c r="C46" s="134" t="inlineStr">
        <is>
          <t>C49727-26-42</t>
        </is>
      </c>
      <c r="D46" s="5">
        <f>IF($I2="","",INDEX(Productos!$B:$B,$I2))</f>
        <v/>
      </c>
      <c r="E46" s="5">
        <f>IF($I2="","",INDEX(Productos!$H:$H,$I2))</f>
        <v/>
      </c>
      <c r="F46" s="5">
        <f>IF($I2="","",INDEX(Productos!$I:$I,$I2))</f>
        <v/>
      </c>
      <c r="G46" s="135" t="n">
        <v>2</v>
      </c>
      <c r="H46" s="5">
        <f>IF($I2="","",INDEX(Productos!$AG:$AG,$I2))</f>
        <v/>
      </c>
      <c r="I46" s="136">
        <f>LET(_xlpm.r,Productos!$E$2:$E$1063,_xlpm.m,IFERROR(_xlfn.XMATCH(C46,_xlpm.r),IFERROR(_xlfn.XMATCH(VALUE(C46),_xlpm.r),0)),IF(_xlpm.m=0,"",_xlpm.m+1))</f>
        <v/>
      </c>
      <c r="J46" s="137" t="inlineStr">
        <is>
          <t>NetSuite</t>
        </is>
      </c>
    </row>
    <row r="47">
      <c r="A47" s="5" t="inlineStr">
        <is>
          <t>WB OUTLET LERMA</t>
        </is>
      </c>
      <c r="B47" s="5">
        <f>IF($I2="","",INDEX(Productos!$A:$A,$I2))</f>
        <v/>
      </c>
      <c r="C47" s="134" t="inlineStr">
        <is>
          <t>C49727-26-44</t>
        </is>
      </c>
      <c r="D47" s="5">
        <f>IF($I2="","",INDEX(Productos!$B:$B,$I2))</f>
        <v/>
      </c>
      <c r="E47" s="5">
        <f>IF($I2="","",INDEX(Productos!$H:$H,$I2))</f>
        <v/>
      </c>
      <c r="F47" s="5">
        <f>IF($I2="","",INDEX(Productos!$I:$I,$I2))</f>
        <v/>
      </c>
      <c r="G47" s="135" t="n">
        <v>1</v>
      </c>
      <c r="H47" s="5">
        <f>IF($I2="","",INDEX(Productos!$AG:$AG,$I2))</f>
        <v/>
      </c>
      <c r="I47" s="136">
        <f>LET(_xlpm.r,Productos!$E$2:$E$1063,_xlpm.m,IFERROR(_xlfn.XMATCH(C47,_xlpm.r),IFERROR(_xlfn.XMATCH(VALUE(C47),_xlpm.r),0)),IF(_xlpm.m=0,"",_xlpm.m+1))</f>
        <v/>
      </c>
      <c r="J47" s="137" t="inlineStr">
        <is>
          <t>NetSuite</t>
        </is>
      </c>
    </row>
    <row r="48">
      <c r="A48" s="5" t="inlineStr">
        <is>
          <t>WB OUTLET LERMA</t>
        </is>
      </c>
      <c r="B48" s="5">
        <f>IF($I2="","",INDEX(Productos!$A:$A,$I2))</f>
        <v/>
      </c>
      <c r="C48" s="134" t="inlineStr">
        <is>
          <t>C49728-27-32</t>
        </is>
      </c>
      <c r="D48" s="5">
        <f>IF($I2="","",INDEX(Productos!$B:$B,$I2))</f>
        <v/>
      </c>
      <c r="E48" s="5">
        <f>IF($I2="","",INDEX(Productos!$H:$H,$I2))</f>
        <v/>
      </c>
      <c r="F48" s="5">
        <f>IF($I2="","",INDEX(Productos!$I:$I,$I2))</f>
        <v/>
      </c>
      <c r="G48" s="135" t="n">
        <v>1</v>
      </c>
      <c r="H48" s="5">
        <f>IF($I2="","",INDEX(Productos!$AG:$AG,$I2))</f>
        <v/>
      </c>
      <c r="I48" s="136">
        <f>LET(_xlpm.r,Productos!$E$2:$E$1063,_xlpm.m,IFERROR(_xlfn.XMATCH(C48,_xlpm.r),IFERROR(_xlfn.XMATCH(VALUE(C48),_xlpm.r),0)),IF(_xlpm.m=0,"",_xlpm.m+1))</f>
        <v/>
      </c>
      <c r="J48" s="137" t="inlineStr">
        <is>
          <t>NetSuite</t>
        </is>
      </c>
    </row>
    <row r="49">
      <c r="A49" s="5" t="inlineStr">
        <is>
          <t>WB OUTLET LERMA</t>
        </is>
      </c>
      <c r="B49" s="5">
        <f>IF($I2="","",INDEX(Productos!$A:$A,$I2))</f>
        <v/>
      </c>
      <c r="C49" s="134" t="inlineStr">
        <is>
          <t>C49728-27-34</t>
        </is>
      </c>
      <c r="D49" s="5">
        <f>IF($I2="","",INDEX(Productos!$B:$B,$I2))</f>
        <v/>
      </c>
      <c r="E49" s="5">
        <f>IF($I2="","",INDEX(Productos!$H:$H,$I2))</f>
        <v/>
      </c>
      <c r="F49" s="5">
        <f>IF($I2="","",INDEX(Productos!$I:$I,$I2))</f>
        <v/>
      </c>
      <c r="G49" s="135" t="n">
        <v>2</v>
      </c>
      <c r="H49" s="5">
        <f>IF($I2="","",INDEX(Productos!$AG:$AG,$I2))</f>
        <v/>
      </c>
      <c r="I49" s="136">
        <f>LET(_xlpm.r,Productos!$E$2:$E$1063,_xlpm.m,IFERROR(_xlfn.XMATCH(C49,_xlpm.r),IFERROR(_xlfn.XMATCH(VALUE(C49),_xlpm.r),0)),IF(_xlpm.m=0,"",_xlpm.m+1))</f>
        <v/>
      </c>
      <c r="J49" s="137" t="inlineStr">
        <is>
          <t>NetSuite</t>
        </is>
      </c>
    </row>
    <row r="50">
      <c r="A50" s="5" t="inlineStr">
        <is>
          <t>WB OUTLET LERMA</t>
        </is>
      </c>
      <c r="B50" s="5">
        <f>IF($I2="","",INDEX(Productos!$A:$A,$I2))</f>
        <v/>
      </c>
      <c r="C50" s="134" t="inlineStr">
        <is>
          <t>C49728-27-36</t>
        </is>
      </c>
      <c r="D50" s="5">
        <f>IF($I2="","",INDEX(Productos!$B:$B,$I2))</f>
        <v/>
      </c>
      <c r="E50" s="5">
        <f>IF($I2="","",INDEX(Productos!$H:$H,$I2))</f>
        <v/>
      </c>
      <c r="F50" s="5">
        <f>IF($I2="","",INDEX(Productos!$I:$I,$I2))</f>
        <v/>
      </c>
      <c r="G50" s="135" t="n">
        <v>2</v>
      </c>
      <c r="H50" s="5">
        <f>IF($I2="","",INDEX(Productos!$AG:$AG,$I2))</f>
        <v/>
      </c>
      <c r="I50" s="136">
        <f>LET(_xlpm.r,Productos!$E$2:$E$1063,_xlpm.m,IFERROR(_xlfn.XMATCH(C50,_xlpm.r),IFERROR(_xlfn.XMATCH(VALUE(C50),_xlpm.r),0)),IF(_xlpm.m=0,"",_xlpm.m+1))</f>
        <v/>
      </c>
      <c r="J50" s="137" t="inlineStr">
        <is>
          <t>NetSuite</t>
        </is>
      </c>
    </row>
    <row r="51">
      <c r="A51" s="5" t="inlineStr">
        <is>
          <t>WB OUTLET LERMA</t>
        </is>
      </c>
      <c r="B51" s="5">
        <f>IF($I2="","",INDEX(Productos!$A:$A,$I2))</f>
        <v/>
      </c>
      <c r="C51" s="134" t="inlineStr">
        <is>
          <t>C49728-27-38</t>
        </is>
      </c>
      <c r="D51" s="5">
        <f>IF($I2="","",INDEX(Productos!$B:$B,$I2))</f>
        <v/>
      </c>
      <c r="E51" s="5">
        <f>IF($I2="","",INDEX(Productos!$H:$H,$I2))</f>
        <v/>
      </c>
      <c r="F51" s="5">
        <f>IF($I2="","",INDEX(Productos!$I:$I,$I2))</f>
        <v/>
      </c>
      <c r="G51" s="135" t="n">
        <v>3</v>
      </c>
      <c r="H51" s="5">
        <f>IF($I2="","",INDEX(Productos!$AG:$AG,$I2))</f>
        <v/>
      </c>
      <c r="I51" s="136">
        <f>LET(_xlpm.r,Productos!$E$2:$E$1063,_xlpm.m,IFERROR(_xlfn.XMATCH(C51,_xlpm.r),IFERROR(_xlfn.XMATCH(VALUE(C51),_xlpm.r),0)),IF(_xlpm.m=0,"",_xlpm.m+1))</f>
        <v/>
      </c>
      <c r="J51" s="137" t="inlineStr">
        <is>
          <t>NetSuite</t>
        </is>
      </c>
    </row>
    <row r="52">
      <c r="A52" s="5" t="inlineStr">
        <is>
          <t>WB OUTLET LERMA</t>
        </is>
      </c>
      <c r="B52" s="5">
        <f>IF($I2="","",INDEX(Productos!$A:$A,$I2))</f>
        <v/>
      </c>
      <c r="C52" s="134" t="inlineStr">
        <is>
          <t>C49728-27-40</t>
        </is>
      </c>
      <c r="D52" s="5">
        <f>IF($I2="","",INDEX(Productos!$B:$B,$I2))</f>
        <v/>
      </c>
      <c r="E52" s="5">
        <f>IF($I2="","",INDEX(Productos!$H:$H,$I2))</f>
        <v/>
      </c>
      <c r="F52" s="5">
        <f>IF($I2="","",INDEX(Productos!$I:$I,$I2))</f>
        <v/>
      </c>
      <c r="G52" s="135" t="n">
        <v>2</v>
      </c>
      <c r="H52" s="5">
        <f>IF($I2="","",INDEX(Productos!$AG:$AG,$I2))</f>
        <v/>
      </c>
      <c r="I52" s="136">
        <f>LET(_xlpm.r,Productos!$E$2:$E$1063,_xlpm.m,IFERROR(_xlfn.XMATCH(C52,_xlpm.r),IFERROR(_xlfn.XMATCH(VALUE(C52),_xlpm.r),0)),IF(_xlpm.m=0,"",_xlpm.m+1))</f>
        <v/>
      </c>
      <c r="J52" s="137" t="inlineStr">
        <is>
          <t>NetSuite</t>
        </is>
      </c>
    </row>
    <row r="53">
      <c r="A53" s="5" t="inlineStr">
        <is>
          <t>WB OUTLET LERMA</t>
        </is>
      </c>
      <c r="B53" s="5">
        <f>IF($I2="","",INDEX(Productos!$A:$A,$I2))</f>
        <v/>
      </c>
      <c r="C53" s="134" t="inlineStr">
        <is>
          <t>C49728-27-42</t>
        </is>
      </c>
      <c r="D53" s="5">
        <f>IF($I2="","",INDEX(Productos!$B:$B,$I2))</f>
        <v/>
      </c>
      <c r="E53" s="5">
        <f>IF($I2="","",INDEX(Productos!$H:$H,$I2))</f>
        <v/>
      </c>
      <c r="F53" s="5">
        <f>IF($I2="","",INDEX(Productos!$I:$I,$I2))</f>
        <v/>
      </c>
      <c r="G53" s="135" t="n">
        <v>2</v>
      </c>
      <c r="H53" s="5">
        <f>IF($I2="","",INDEX(Productos!$AG:$AG,$I2))</f>
        <v/>
      </c>
      <c r="I53" s="136">
        <f>LET(_xlpm.r,Productos!$E$2:$E$1063,_xlpm.m,IFERROR(_xlfn.XMATCH(C53,_xlpm.r),IFERROR(_xlfn.XMATCH(VALUE(C53),_xlpm.r),0)),IF(_xlpm.m=0,"",_xlpm.m+1))</f>
        <v/>
      </c>
      <c r="J53" s="137" t="inlineStr">
        <is>
          <t>NetSuite</t>
        </is>
      </c>
    </row>
    <row r="54">
      <c r="A54" s="5" t="inlineStr">
        <is>
          <t>WB OUTLET LERMA</t>
        </is>
      </c>
      <c r="B54" s="5">
        <f>IF($I2="","",INDEX(Productos!$A:$A,$I2))</f>
        <v/>
      </c>
      <c r="C54" s="134" t="inlineStr">
        <is>
          <t>C49728-27-44</t>
        </is>
      </c>
      <c r="D54" s="5">
        <f>IF($I2="","",INDEX(Productos!$B:$B,$I2))</f>
        <v/>
      </c>
      <c r="E54" s="5">
        <f>IF($I2="","",INDEX(Productos!$H:$H,$I2))</f>
        <v/>
      </c>
      <c r="F54" s="5">
        <f>IF($I2="","",INDEX(Productos!$I:$I,$I2))</f>
        <v/>
      </c>
      <c r="G54" s="135" t="n">
        <v>1</v>
      </c>
      <c r="H54" s="5">
        <f>IF($I2="","",INDEX(Productos!$AG:$AG,$I2))</f>
        <v/>
      </c>
      <c r="I54" s="136">
        <f>LET(_xlpm.r,Productos!$E$2:$E$1063,_xlpm.m,IFERROR(_xlfn.XMATCH(C54,_xlpm.r),IFERROR(_xlfn.XMATCH(VALUE(C54),_xlpm.r),0)),IF(_xlpm.m=0,"",_xlpm.m+1))</f>
        <v/>
      </c>
      <c r="J54" s="137" t="inlineStr">
        <is>
          <t>NetSuite</t>
        </is>
      </c>
    </row>
    <row r="55">
      <c r="A55" s="5" t="inlineStr">
        <is>
          <t>WB OUTLET LERMA</t>
        </is>
      </c>
      <c r="B55" s="5">
        <f>IF($I2="","",INDEX(Productos!$A:$A,$I2))</f>
        <v/>
      </c>
      <c r="C55" s="134" t="inlineStr">
        <is>
          <t>C49729-27-32</t>
        </is>
      </c>
      <c r="D55" s="5">
        <f>IF($I2="","",INDEX(Productos!$B:$B,$I2))</f>
        <v/>
      </c>
      <c r="E55" s="5">
        <f>IF($I2="","",INDEX(Productos!$H:$H,$I2))</f>
        <v/>
      </c>
      <c r="F55" s="5">
        <f>IF($I2="","",INDEX(Productos!$I:$I,$I2))</f>
        <v/>
      </c>
      <c r="G55" s="135" t="n">
        <v>1</v>
      </c>
      <c r="H55" s="5">
        <f>IF($I2="","",INDEX(Productos!$AG:$AG,$I2))</f>
        <v/>
      </c>
      <c r="I55" s="136">
        <f>LET(_xlpm.r,Productos!$E$2:$E$1063,_xlpm.m,IFERROR(_xlfn.XMATCH(C55,_xlpm.r),IFERROR(_xlfn.XMATCH(VALUE(C55),_xlpm.r),0)),IF(_xlpm.m=0,"",_xlpm.m+1))</f>
        <v/>
      </c>
      <c r="J55" s="137" t="inlineStr">
        <is>
          <t>NetSuite</t>
        </is>
      </c>
    </row>
    <row r="56">
      <c r="A56" s="5" t="inlineStr">
        <is>
          <t>WB OUTLET LERMA</t>
        </is>
      </c>
      <c r="B56" s="5">
        <f>IF($I2="","",INDEX(Productos!$A:$A,$I2))</f>
        <v/>
      </c>
      <c r="C56" s="134" t="inlineStr">
        <is>
          <t>C49729-27-34</t>
        </is>
      </c>
      <c r="D56" s="5">
        <f>IF($I2="","",INDEX(Productos!$B:$B,$I2))</f>
        <v/>
      </c>
      <c r="E56" s="5">
        <f>IF($I2="","",INDEX(Productos!$H:$H,$I2))</f>
        <v/>
      </c>
      <c r="F56" s="5">
        <f>IF($I2="","",INDEX(Productos!$I:$I,$I2))</f>
        <v/>
      </c>
      <c r="G56" s="135" t="n">
        <v>2</v>
      </c>
      <c r="H56" s="5">
        <f>IF($I2="","",INDEX(Productos!$AG:$AG,$I2))</f>
        <v/>
      </c>
      <c r="I56" s="136">
        <f>LET(_xlpm.r,Productos!$E$2:$E$1063,_xlpm.m,IFERROR(_xlfn.XMATCH(C56,_xlpm.r),IFERROR(_xlfn.XMATCH(VALUE(C56),_xlpm.r),0)),IF(_xlpm.m=0,"",_xlpm.m+1))</f>
        <v/>
      </c>
      <c r="J56" s="137" t="inlineStr">
        <is>
          <t>NetSuite</t>
        </is>
      </c>
    </row>
    <row r="57">
      <c r="A57" s="5" t="inlineStr">
        <is>
          <t>WB OUTLET LERMA</t>
        </is>
      </c>
      <c r="B57" s="5">
        <f>IF($I2="","",INDEX(Productos!$A:$A,$I2))</f>
        <v/>
      </c>
      <c r="C57" s="134" t="inlineStr">
        <is>
          <t>C49729-27-36</t>
        </is>
      </c>
      <c r="D57" s="5">
        <f>IF($I2="","",INDEX(Productos!$B:$B,$I2))</f>
        <v/>
      </c>
      <c r="E57" s="5">
        <f>IF($I2="","",INDEX(Productos!$H:$H,$I2))</f>
        <v/>
      </c>
      <c r="F57" s="5">
        <f>IF($I2="","",INDEX(Productos!$I:$I,$I2))</f>
        <v/>
      </c>
      <c r="G57" s="135" t="n">
        <v>2</v>
      </c>
      <c r="H57" s="5">
        <f>IF($I2="","",INDEX(Productos!$AG:$AG,$I2))</f>
        <v/>
      </c>
      <c r="I57" s="136">
        <f>LET(_xlpm.r,Productos!$E$2:$E$1063,_xlpm.m,IFERROR(_xlfn.XMATCH(C57,_xlpm.r),IFERROR(_xlfn.XMATCH(VALUE(C57),_xlpm.r),0)),IF(_xlpm.m=0,"",_xlpm.m+1))</f>
        <v/>
      </c>
      <c r="J57" s="137" t="inlineStr">
        <is>
          <t>NetSuite</t>
        </is>
      </c>
    </row>
    <row r="58">
      <c r="A58" s="5" t="inlineStr">
        <is>
          <t>WB OUTLET LERMA</t>
        </is>
      </c>
      <c r="B58" s="5">
        <f>IF($I2="","",INDEX(Productos!$A:$A,$I2))</f>
        <v/>
      </c>
      <c r="C58" s="134" t="inlineStr">
        <is>
          <t>C49729-27-38</t>
        </is>
      </c>
      <c r="D58" s="5">
        <f>IF($I2="","",INDEX(Productos!$B:$B,$I2))</f>
        <v/>
      </c>
      <c r="E58" s="5">
        <f>IF($I2="","",INDEX(Productos!$H:$H,$I2))</f>
        <v/>
      </c>
      <c r="F58" s="5">
        <f>IF($I2="","",INDEX(Productos!$I:$I,$I2))</f>
        <v/>
      </c>
      <c r="G58" s="135" t="n">
        <v>3</v>
      </c>
      <c r="H58" s="5">
        <f>IF($I2="","",INDEX(Productos!$AG:$AG,$I2))</f>
        <v/>
      </c>
      <c r="I58" s="136">
        <f>LET(_xlpm.r,Productos!$E$2:$E$1063,_xlpm.m,IFERROR(_xlfn.XMATCH(C58,_xlpm.r),IFERROR(_xlfn.XMATCH(VALUE(C58),_xlpm.r),0)),IF(_xlpm.m=0,"",_xlpm.m+1))</f>
        <v/>
      </c>
      <c r="J58" s="137" t="inlineStr">
        <is>
          <t>NetSuite</t>
        </is>
      </c>
    </row>
    <row r="59">
      <c r="A59" s="5" t="inlineStr">
        <is>
          <t>WB OUTLET LERMA</t>
        </is>
      </c>
      <c r="B59" s="5">
        <f>IF($I2="","",INDEX(Productos!$A:$A,$I2))</f>
        <v/>
      </c>
      <c r="C59" s="134" t="inlineStr">
        <is>
          <t>C49729-27-40</t>
        </is>
      </c>
      <c r="D59" s="5">
        <f>IF($I2="","",INDEX(Productos!$B:$B,$I2))</f>
        <v/>
      </c>
      <c r="E59" s="5">
        <f>IF($I2="","",INDEX(Productos!$H:$H,$I2))</f>
        <v/>
      </c>
      <c r="F59" s="5">
        <f>IF($I2="","",INDEX(Productos!$I:$I,$I2))</f>
        <v/>
      </c>
      <c r="G59" s="135" t="n">
        <v>1</v>
      </c>
      <c r="H59" s="5">
        <f>IF($I2="","",INDEX(Productos!$AG:$AG,$I2))</f>
        <v/>
      </c>
      <c r="I59" s="136">
        <f>LET(_xlpm.r,Productos!$E$2:$E$1063,_xlpm.m,IFERROR(_xlfn.XMATCH(C59,_xlpm.r),IFERROR(_xlfn.XMATCH(VALUE(C59),_xlpm.r),0)),IF(_xlpm.m=0,"",_xlpm.m+1))</f>
        <v/>
      </c>
      <c r="J59" s="137" t="inlineStr">
        <is>
          <t>NetSuite</t>
        </is>
      </c>
    </row>
    <row r="60">
      <c r="A60" s="5" t="inlineStr">
        <is>
          <t>WB OUTLET LERMA</t>
        </is>
      </c>
      <c r="B60" s="5">
        <f>IF($I2="","",INDEX(Productos!$A:$A,$I2))</f>
        <v/>
      </c>
      <c r="C60" s="134" t="inlineStr">
        <is>
          <t>C49729-27-42</t>
        </is>
      </c>
      <c r="D60" s="5">
        <f>IF($I2="","",INDEX(Productos!$B:$B,$I2))</f>
        <v/>
      </c>
      <c r="E60" s="5">
        <f>IF($I2="","",INDEX(Productos!$H:$H,$I2))</f>
        <v/>
      </c>
      <c r="F60" s="5">
        <f>IF($I2="","",INDEX(Productos!$I:$I,$I2))</f>
        <v/>
      </c>
      <c r="G60" s="135" t="n">
        <v>2</v>
      </c>
      <c r="H60" s="5">
        <f>IF($I2="","",INDEX(Productos!$AG:$AG,$I2))</f>
        <v/>
      </c>
      <c r="I60" s="136">
        <f>LET(_xlpm.r,Productos!$E$2:$E$1063,_xlpm.m,IFERROR(_xlfn.XMATCH(C60,_xlpm.r),IFERROR(_xlfn.XMATCH(VALUE(C60),_xlpm.r),0)),IF(_xlpm.m=0,"",_xlpm.m+1))</f>
        <v/>
      </c>
      <c r="J60" s="137" t="inlineStr">
        <is>
          <t>NetSuite</t>
        </is>
      </c>
    </row>
    <row r="61">
      <c r="A61" s="5" t="inlineStr">
        <is>
          <t>WB OUTLET LERMA</t>
        </is>
      </c>
      <c r="B61" s="5">
        <f>IF($I2="","",INDEX(Productos!$A:$A,$I2))</f>
        <v/>
      </c>
      <c r="C61" s="134" t="inlineStr">
        <is>
          <t>C49729-27-44</t>
        </is>
      </c>
      <c r="D61" s="5">
        <f>IF($I2="","",INDEX(Productos!$B:$B,$I2))</f>
        <v/>
      </c>
      <c r="E61" s="5">
        <f>IF($I2="","",INDEX(Productos!$H:$H,$I2))</f>
        <v/>
      </c>
      <c r="F61" s="5">
        <f>IF($I2="","",INDEX(Productos!$I:$I,$I2))</f>
        <v/>
      </c>
      <c r="G61" s="135" t="n">
        <v>1</v>
      </c>
      <c r="H61" s="5">
        <f>IF($I2="","",INDEX(Productos!$AG:$AG,$I2))</f>
        <v/>
      </c>
      <c r="I61" s="136">
        <f>LET(_xlpm.r,Productos!$E$2:$E$1063,_xlpm.m,IFERROR(_xlfn.XMATCH(C61,_xlpm.r),IFERROR(_xlfn.XMATCH(VALUE(C61),_xlpm.r),0)),IF(_xlpm.m=0,"",_xlpm.m+1))</f>
        <v/>
      </c>
      <c r="J61" s="137" t="inlineStr">
        <is>
          <t>NetSuite</t>
        </is>
      </c>
    </row>
    <row r="62">
      <c r="A62" s="5" t="inlineStr">
        <is>
          <t>WB OUTLET LERMA</t>
        </is>
      </c>
      <c r="B62" s="5">
        <f>IF($I2="","",INDEX(Productos!$A:$A,$I2))</f>
        <v/>
      </c>
      <c r="C62" s="134" t="inlineStr">
        <is>
          <t>C49730-27-32</t>
        </is>
      </c>
      <c r="D62" s="5">
        <f>IF($I2="","",INDEX(Productos!$B:$B,$I2))</f>
        <v/>
      </c>
      <c r="E62" s="5">
        <f>IF($I2="","",INDEX(Productos!$H:$H,$I2))</f>
        <v/>
      </c>
      <c r="F62" s="5">
        <f>IF($I2="","",INDEX(Productos!$I:$I,$I2))</f>
        <v/>
      </c>
      <c r="G62" s="135" t="n">
        <v>1</v>
      </c>
      <c r="H62" s="5">
        <f>IF($I2="","",INDEX(Productos!$AG:$AG,$I2))</f>
        <v/>
      </c>
      <c r="I62" s="136">
        <f>LET(_xlpm.r,Productos!$E$2:$E$1063,_xlpm.m,IFERROR(_xlfn.XMATCH(C62,_xlpm.r),IFERROR(_xlfn.XMATCH(VALUE(C62),_xlpm.r),0)),IF(_xlpm.m=0,"",_xlpm.m+1))</f>
        <v/>
      </c>
      <c r="J62" s="137" t="inlineStr">
        <is>
          <t>NetSuite</t>
        </is>
      </c>
    </row>
    <row r="63">
      <c r="A63" s="5" t="inlineStr">
        <is>
          <t>WB OUTLET LERMA</t>
        </is>
      </c>
      <c r="B63" s="5">
        <f>IF($I2="","",INDEX(Productos!$A:$A,$I2))</f>
        <v/>
      </c>
      <c r="C63" s="134" t="inlineStr">
        <is>
          <t>C49730-27-34</t>
        </is>
      </c>
      <c r="D63" s="5">
        <f>IF($I2="","",INDEX(Productos!$B:$B,$I2))</f>
        <v/>
      </c>
      <c r="E63" s="5">
        <f>IF($I2="","",INDEX(Productos!$H:$H,$I2))</f>
        <v/>
      </c>
      <c r="F63" s="5">
        <f>IF($I2="","",INDEX(Productos!$I:$I,$I2))</f>
        <v/>
      </c>
      <c r="G63" s="135" t="n">
        <v>2</v>
      </c>
      <c r="H63" s="5">
        <f>IF($I2="","",INDEX(Productos!$AG:$AG,$I2))</f>
        <v/>
      </c>
      <c r="I63" s="136">
        <f>LET(_xlpm.r,Productos!$E$2:$E$1063,_xlpm.m,IFERROR(_xlfn.XMATCH(C63,_xlpm.r),IFERROR(_xlfn.XMATCH(VALUE(C63),_xlpm.r),0)),IF(_xlpm.m=0,"",_xlpm.m+1))</f>
        <v/>
      </c>
      <c r="J63" s="137" t="inlineStr">
        <is>
          <t>NetSuite</t>
        </is>
      </c>
    </row>
    <row r="64">
      <c r="A64" s="5" t="inlineStr">
        <is>
          <t>WB OUTLET LERMA</t>
        </is>
      </c>
      <c r="B64" s="5">
        <f>IF($I2="","",INDEX(Productos!$A:$A,$I2))</f>
        <v/>
      </c>
      <c r="C64" s="134" t="inlineStr">
        <is>
          <t>C49730-27-36</t>
        </is>
      </c>
      <c r="D64" s="5">
        <f>IF($I2="","",INDEX(Productos!$B:$B,$I2))</f>
        <v/>
      </c>
      <c r="E64" s="5">
        <f>IF($I2="","",INDEX(Productos!$H:$H,$I2))</f>
        <v/>
      </c>
      <c r="F64" s="5">
        <f>IF($I2="","",INDEX(Productos!$I:$I,$I2))</f>
        <v/>
      </c>
      <c r="G64" s="135" t="n">
        <v>2</v>
      </c>
      <c r="H64" s="5">
        <f>IF($I2="","",INDEX(Productos!$AG:$AG,$I2))</f>
        <v/>
      </c>
      <c r="I64" s="136">
        <f>LET(_xlpm.r,Productos!$E$2:$E$1063,_xlpm.m,IFERROR(_xlfn.XMATCH(C64,_xlpm.r),IFERROR(_xlfn.XMATCH(VALUE(C64),_xlpm.r),0)),IF(_xlpm.m=0,"",_xlpm.m+1))</f>
        <v/>
      </c>
      <c r="J64" s="137" t="inlineStr">
        <is>
          <t>NetSuite</t>
        </is>
      </c>
    </row>
    <row r="65">
      <c r="A65" s="5" t="inlineStr">
        <is>
          <t>WB OUTLET LERMA</t>
        </is>
      </c>
      <c r="B65" s="5">
        <f>IF($I2="","",INDEX(Productos!$A:$A,$I2))</f>
        <v/>
      </c>
      <c r="C65" s="134" t="inlineStr">
        <is>
          <t>C49730-27-38</t>
        </is>
      </c>
      <c r="D65" s="5">
        <f>IF($I2="","",INDEX(Productos!$B:$B,$I2))</f>
        <v/>
      </c>
      <c r="E65" s="5">
        <f>IF($I2="","",INDEX(Productos!$H:$H,$I2))</f>
        <v/>
      </c>
      <c r="F65" s="5">
        <f>IF($I2="","",INDEX(Productos!$I:$I,$I2))</f>
        <v/>
      </c>
      <c r="G65" s="135" t="n">
        <v>3</v>
      </c>
      <c r="H65" s="5">
        <f>IF($I2="","",INDEX(Productos!$AG:$AG,$I2))</f>
        <v/>
      </c>
      <c r="I65" s="136">
        <f>LET(_xlpm.r,Productos!$E$2:$E$1063,_xlpm.m,IFERROR(_xlfn.XMATCH(C65,_xlpm.r),IFERROR(_xlfn.XMATCH(VALUE(C65),_xlpm.r),0)),IF(_xlpm.m=0,"",_xlpm.m+1))</f>
        <v/>
      </c>
      <c r="J65" s="137" t="inlineStr">
        <is>
          <t>NetSuite</t>
        </is>
      </c>
    </row>
    <row r="66">
      <c r="A66" s="5" t="inlineStr">
        <is>
          <t>WB OUTLET LERMA</t>
        </is>
      </c>
      <c r="B66" s="5">
        <f>IF($I2="","",INDEX(Productos!$A:$A,$I2))</f>
        <v/>
      </c>
      <c r="C66" s="134" t="inlineStr">
        <is>
          <t>C49730-27-40</t>
        </is>
      </c>
      <c r="D66" s="5">
        <f>IF($I2="","",INDEX(Productos!$B:$B,$I2))</f>
        <v/>
      </c>
      <c r="E66" s="5">
        <f>IF($I2="","",INDEX(Productos!$H:$H,$I2))</f>
        <v/>
      </c>
      <c r="F66" s="5">
        <f>IF($I2="","",INDEX(Productos!$I:$I,$I2))</f>
        <v/>
      </c>
      <c r="G66" s="135" t="n">
        <v>2</v>
      </c>
      <c r="H66" s="5">
        <f>IF($I2="","",INDEX(Productos!$AG:$AG,$I2))</f>
        <v/>
      </c>
      <c r="I66" s="136">
        <f>LET(_xlpm.r,Productos!$E$2:$E$1063,_xlpm.m,IFERROR(_xlfn.XMATCH(C66,_xlpm.r),IFERROR(_xlfn.XMATCH(VALUE(C66),_xlpm.r),0)),IF(_xlpm.m=0,"",_xlpm.m+1))</f>
        <v/>
      </c>
      <c r="J66" s="137" t="inlineStr">
        <is>
          <t>NetSuite</t>
        </is>
      </c>
    </row>
    <row r="67">
      <c r="A67" s="5" t="inlineStr">
        <is>
          <t>WB OUTLET LERMA</t>
        </is>
      </c>
      <c r="B67" s="5">
        <f>IF($I2="","",INDEX(Productos!$A:$A,$I2))</f>
        <v/>
      </c>
      <c r="C67" s="134" t="inlineStr">
        <is>
          <t>C49730-27-42</t>
        </is>
      </c>
      <c r="D67" s="5">
        <f>IF($I2="","",INDEX(Productos!$B:$B,$I2))</f>
        <v/>
      </c>
      <c r="E67" s="5">
        <f>IF($I2="","",INDEX(Productos!$H:$H,$I2))</f>
        <v/>
      </c>
      <c r="F67" s="5">
        <f>IF($I2="","",INDEX(Productos!$I:$I,$I2))</f>
        <v/>
      </c>
      <c r="G67" s="135" t="n">
        <v>2</v>
      </c>
      <c r="H67" s="5">
        <f>IF($I2="","",INDEX(Productos!$AG:$AG,$I2))</f>
        <v/>
      </c>
      <c r="I67" s="136">
        <f>LET(_xlpm.r,Productos!$E$2:$E$1063,_xlpm.m,IFERROR(_xlfn.XMATCH(C67,_xlpm.r),IFERROR(_xlfn.XMATCH(VALUE(C67),_xlpm.r),0)),IF(_xlpm.m=0,"",_xlpm.m+1))</f>
        <v/>
      </c>
      <c r="J67" s="137" t="inlineStr">
        <is>
          <t>NetSuite</t>
        </is>
      </c>
    </row>
    <row r="68">
      <c r="A68" s="5" t="inlineStr">
        <is>
          <t>WB OUTLET LERMA</t>
        </is>
      </c>
      <c r="B68" s="5">
        <f>IF($I2="","",INDEX(Productos!$A:$A,$I2))</f>
        <v/>
      </c>
      <c r="C68" s="134" t="inlineStr">
        <is>
          <t>C49730-27-44</t>
        </is>
      </c>
      <c r="D68" s="5">
        <f>IF($I2="","",INDEX(Productos!$B:$B,$I2))</f>
        <v/>
      </c>
      <c r="E68" s="5">
        <f>IF($I2="","",INDEX(Productos!$H:$H,$I2))</f>
        <v/>
      </c>
      <c r="F68" s="5">
        <f>IF($I2="","",INDEX(Productos!$I:$I,$I2))</f>
        <v/>
      </c>
      <c r="G68" s="135" t="n">
        <v>1</v>
      </c>
      <c r="H68" s="5">
        <f>IF($I2="","",INDEX(Productos!$AG:$AG,$I2))</f>
        <v/>
      </c>
      <c r="I68" s="136">
        <f>LET(_xlpm.r,Productos!$E$2:$E$1063,_xlpm.m,IFERROR(_xlfn.XMATCH(C68,_xlpm.r),IFERROR(_xlfn.XMATCH(VALUE(C68),_xlpm.r),0)),IF(_xlpm.m=0,"",_xlpm.m+1))</f>
        <v/>
      </c>
      <c r="J68" s="137" t="inlineStr">
        <is>
          <t>NetSuite</t>
        </is>
      </c>
    </row>
    <row r="69">
      <c r="A69" s="5" t="inlineStr">
        <is>
          <t>WB OUTLET LERMA</t>
        </is>
      </c>
      <c r="B69" s="5">
        <f>IF($I2="","",INDEX(Productos!$A:$A,$I2))</f>
        <v/>
      </c>
      <c r="C69" s="134" t="inlineStr">
        <is>
          <t>C49730-59-32</t>
        </is>
      </c>
      <c r="D69" s="5">
        <f>IF($I2="","",INDEX(Productos!$B:$B,$I2))</f>
        <v/>
      </c>
      <c r="E69" s="5">
        <f>IF($I2="","",INDEX(Productos!$H:$H,$I2))</f>
        <v/>
      </c>
      <c r="F69" s="5">
        <f>IF($I2="","",INDEX(Productos!$I:$I,$I2))</f>
        <v/>
      </c>
      <c r="G69" s="135" t="n">
        <v>1</v>
      </c>
      <c r="H69" s="5">
        <f>IF($I2="","",INDEX(Productos!$AG:$AG,$I2))</f>
        <v/>
      </c>
      <c r="I69" s="136">
        <f>LET(_xlpm.r,Productos!$E$2:$E$1063,_xlpm.m,IFERROR(_xlfn.XMATCH(C69,_xlpm.r),IFERROR(_xlfn.XMATCH(VALUE(C69),_xlpm.r),0)),IF(_xlpm.m=0,"",_xlpm.m+1))</f>
        <v/>
      </c>
      <c r="J69" s="137" t="inlineStr">
        <is>
          <t>NetSuite</t>
        </is>
      </c>
    </row>
    <row r="70">
      <c r="A70" s="5" t="inlineStr">
        <is>
          <t>WB OUTLET LERMA</t>
        </is>
      </c>
      <c r="B70" s="5">
        <f>IF($I2="","",INDEX(Productos!$A:$A,$I2))</f>
        <v/>
      </c>
      <c r="C70" s="134" t="inlineStr">
        <is>
          <t>C49730-59-34</t>
        </is>
      </c>
      <c r="D70" s="5">
        <f>IF($I2="","",INDEX(Productos!$B:$B,$I2))</f>
        <v/>
      </c>
      <c r="E70" s="5">
        <f>IF($I2="","",INDEX(Productos!$H:$H,$I2))</f>
        <v/>
      </c>
      <c r="F70" s="5">
        <f>IF($I2="","",INDEX(Productos!$I:$I,$I2))</f>
        <v/>
      </c>
      <c r="G70" s="135" t="n">
        <v>2</v>
      </c>
      <c r="H70" s="5">
        <f>IF($I2="","",INDEX(Productos!$AG:$AG,$I2))</f>
        <v/>
      </c>
      <c r="I70" s="136">
        <f>LET(_xlpm.r,Productos!$E$2:$E$1063,_xlpm.m,IFERROR(_xlfn.XMATCH(C70,_xlpm.r),IFERROR(_xlfn.XMATCH(VALUE(C70),_xlpm.r),0)),IF(_xlpm.m=0,"",_xlpm.m+1))</f>
        <v/>
      </c>
      <c r="J70" s="137" t="inlineStr">
        <is>
          <t>NetSuite</t>
        </is>
      </c>
    </row>
    <row r="71">
      <c r="A71" s="5" t="inlineStr">
        <is>
          <t>WB OUTLET LERMA</t>
        </is>
      </c>
      <c r="B71" s="5">
        <f>IF($I2="","",INDEX(Productos!$A:$A,$I2))</f>
        <v/>
      </c>
      <c r="C71" s="134" t="inlineStr">
        <is>
          <t>C49730-59-36</t>
        </is>
      </c>
      <c r="D71" s="5">
        <f>IF($I2="","",INDEX(Productos!$B:$B,$I2))</f>
        <v/>
      </c>
      <c r="E71" s="5">
        <f>IF($I2="","",INDEX(Productos!$H:$H,$I2))</f>
        <v/>
      </c>
      <c r="F71" s="5">
        <f>IF($I2="","",INDEX(Productos!$I:$I,$I2))</f>
        <v/>
      </c>
      <c r="G71" s="135" t="n">
        <v>2</v>
      </c>
      <c r="H71" s="5">
        <f>IF($I2="","",INDEX(Productos!$AG:$AG,$I2))</f>
        <v/>
      </c>
      <c r="I71" s="136">
        <f>LET(_xlpm.r,Productos!$E$2:$E$1063,_xlpm.m,IFERROR(_xlfn.XMATCH(C71,_xlpm.r),IFERROR(_xlfn.XMATCH(VALUE(C71),_xlpm.r),0)),IF(_xlpm.m=0,"",_xlpm.m+1))</f>
        <v/>
      </c>
      <c r="J71" s="137" t="inlineStr">
        <is>
          <t>NetSuite</t>
        </is>
      </c>
    </row>
    <row r="72">
      <c r="A72" s="5" t="inlineStr">
        <is>
          <t>WB OUTLET LERMA</t>
        </is>
      </c>
      <c r="B72" s="5">
        <f>IF($I2="","",INDEX(Productos!$A:$A,$I2))</f>
        <v/>
      </c>
      <c r="C72" s="134" t="inlineStr">
        <is>
          <t>C49730-59-38</t>
        </is>
      </c>
      <c r="D72" s="5">
        <f>IF($I2="","",INDEX(Productos!$B:$B,$I2))</f>
        <v/>
      </c>
      <c r="E72" s="5">
        <f>IF($I2="","",INDEX(Productos!$H:$H,$I2))</f>
        <v/>
      </c>
      <c r="F72" s="5">
        <f>IF($I2="","",INDEX(Productos!$I:$I,$I2))</f>
        <v/>
      </c>
      <c r="G72" s="135" t="n">
        <v>3</v>
      </c>
      <c r="H72" s="5">
        <f>IF($I2="","",INDEX(Productos!$AG:$AG,$I2))</f>
        <v/>
      </c>
      <c r="I72" s="136">
        <f>LET(_xlpm.r,Productos!$E$2:$E$1063,_xlpm.m,IFERROR(_xlfn.XMATCH(C72,_xlpm.r),IFERROR(_xlfn.XMATCH(VALUE(C72),_xlpm.r),0)),IF(_xlpm.m=0,"",_xlpm.m+1))</f>
        <v/>
      </c>
      <c r="J72" s="137" t="inlineStr">
        <is>
          <t>NetSuite</t>
        </is>
      </c>
    </row>
    <row r="73">
      <c r="A73" s="5" t="inlineStr">
        <is>
          <t>WB OUTLET LERMA</t>
        </is>
      </c>
      <c r="B73" s="5">
        <f>IF($I2="","",INDEX(Productos!$A:$A,$I2))</f>
        <v/>
      </c>
      <c r="C73" s="134" t="inlineStr">
        <is>
          <t>C49730-59-40</t>
        </is>
      </c>
      <c r="D73" s="5">
        <f>IF($I2="","",INDEX(Productos!$B:$B,$I2))</f>
        <v/>
      </c>
      <c r="E73" s="5">
        <f>IF($I2="","",INDEX(Productos!$H:$H,$I2))</f>
        <v/>
      </c>
      <c r="F73" s="5">
        <f>IF($I2="","",INDEX(Productos!$I:$I,$I2))</f>
        <v/>
      </c>
      <c r="G73" s="135" t="n">
        <v>2</v>
      </c>
      <c r="H73" s="5">
        <f>IF($I2="","",INDEX(Productos!$AG:$AG,$I2))</f>
        <v/>
      </c>
      <c r="I73" s="136">
        <f>LET(_xlpm.r,Productos!$E$2:$E$1063,_xlpm.m,IFERROR(_xlfn.XMATCH(C73,_xlpm.r),IFERROR(_xlfn.XMATCH(VALUE(C73),_xlpm.r),0)),IF(_xlpm.m=0,"",_xlpm.m+1))</f>
        <v/>
      </c>
      <c r="J73" s="137" t="inlineStr">
        <is>
          <t>NetSuite</t>
        </is>
      </c>
    </row>
    <row r="74">
      <c r="A74" s="5" t="inlineStr">
        <is>
          <t>WB OUTLET LERMA</t>
        </is>
      </c>
      <c r="B74" s="5">
        <f>IF($I2="","",INDEX(Productos!$A:$A,$I2))</f>
        <v/>
      </c>
      <c r="C74" s="134" t="inlineStr">
        <is>
          <t>C49730-59-42</t>
        </is>
      </c>
      <c r="D74" s="5">
        <f>IF($I2="","",INDEX(Productos!$B:$B,$I2))</f>
        <v/>
      </c>
      <c r="E74" s="5">
        <f>IF($I2="","",INDEX(Productos!$H:$H,$I2))</f>
        <v/>
      </c>
      <c r="F74" s="5">
        <f>IF($I2="","",INDEX(Productos!$I:$I,$I2))</f>
        <v/>
      </c>
      <c r="G74" s="135" t="n">
        <v>2</v>
      </c>
      <c r="H74" s="5">
        <f>IF($I2="","",INDEX(Productos!$AG:$AG,$I2))</f>
        <v/>
      </c>
      <c r="I74" s="136">
        <f>LET(_xlpm.r,Productos!$E$2:$E$1063,_xlpm.m,IFERROR(_xlfn.XMATCH(C74,_xlpm.r),IFERROR(_xlfn.XMATCH(VALUE(C74),_xlpm.r),0)),IF(_xlpm.m=0,"",_xlpm.m+1))</f>
        <v/>
      </c>
      <c r="J74" s="137" t="inlineStr">
        <is>
          <t>NetSuite</t>
        </is>
      </c>
    </row>
    <row r="75">
      <c r="A75" s="5" t="inlineStr">
        <is>
          <t>WB OUTLET LERMA</t>
        </is>
      </c>
      <c r="B75" s="5">
        <f>IF($I2="","",INDEX(Productos!$A:$A,$I2))</f>
        <v/>
      </c>
      <c r="C75" s="134" t="inlineStr">
        <is>
          <t>C49730-59-44</t>
        </is>
      </c>
      <c r="D75" s="5">
        <f>IF($I2="","",INDEX(Productos!$B:$B,$I2))</f>
        <v/>
      </c>
      <c r="E75" s="5">
        <f>IF($I2="","",INDEX(Productos!$H:$H,$I2))</f>
        <v/>
      </c>
      <c r="F75" s="5">
        <f>IF($I2="","",INDEX(Productos!$I:$I,$I2))</f>
        <v/>
      </c>
      <c r="G75" s="135" t="n">
        <v>1</v>
      </c>
      <c r="H75" s="5">
        <f>IF($I2="","",INDEX(Productos!$AG:$AG,$I2))</f>
        <v/>
      </c>
      <c r="I75" s="136">
        <f>LET(_xlpm.r,Productos!$E$2:$E$1063,_xlpm.m,IFERROR(_xlfn.XMATCH(C75,_xlpm.r),IFERROR(_xlfn.XMATCH(VALUE(C75),_xlpm.r),0)),IF(_xlpm.m=0,"",_xlpm.m+1))</f>
        <v/>
      </c>
      <c r="J75" s="137" t="inlineStr">
        <is>
          <t>NetSuite</t>
        </is>
      </c>
    </row>
    <row r="76">
      <c r="A76" s="5" t="inlineStr">
        <is>
          <t>WB OUTLET LERMA</t>
        </is>
      </c>
      <c r="B76" s="5">
        <f>IF($I2="","",INDEX(Productos!$A:$A,$I2))</f>
        <v/>
      </c>
      <c r="C76" s="134" t="inlineStr">
        <is>
          <t>C49731-59-32</t>
        </is>
      </c>
      <c r="D76" s="5">
        <f>IF($I2="","",INDEX(Productos!$B:$B,$I2))</f>
        <v/>
      </c>
      <c r="E76" s="5">
        <f>IF($I2="","",INDEX(Productos!$H:$H,$I2))</f>
        <v/>
      </c>
      <c r="F76" s="5">
        <f>IF($I2="","",INDEX(Productos!$I:$I,$I2))</f>
        <v/>
      </c>
      <c r="G76" s="135" t="n">
        <v>1</v>
      </c>
      <c r="H76" s="5">
        <f>IF($I2="","",INDEX(Productos!$AG:$AG,$I2))</f>
        <v/>
      </c>
      <c r="I76" s="136">
        <f>LET(_xlpm.r,Productos!$E$2:$E$1063,_xlpm.m,IFERROR(_xlfn.XMATCH(C76,_xlpm.r),IFERROR(_xlfn.XMATCH(VALUE(C76),_xlpm.r),0)),IF(_xlpm.m=0,"",_xlpm.m+1))</f>
        <v/>
      </c>
      <c r="J76" s="137" t="inlineStr">
        <is>
          <t>NetSuite</t>
        </is>
      </c>
    </row>
    <row r="77">
      <c r="A77" s="5" t="inlineStr">
        <is>
          <t>WB OUTLET LERMA</t>
        </is>
      </c>
      <c r="B77" s="5">
        <f>IF($I2="","",INDEX(Productos!$A:$A,$I2))</f>
        <v/>
      </c>
      <c r="C77" s="134" t="inlineStr">
        <is>
          <t>C49731-59-34</t>
        </is>
      </c>
      <c r="D77" s="5">
        <f>IF($I2="","",INDEX(Productos!$B:$B,$I2))</f>
        <v/>
      </c>
      <c r="E77" s="5">
        <f>IF($I2="","",INDEX(Productos!$H:$H,$I2))</f>
        <v/>
      </c>
      <c r="F77" s="5">
        <f>IF($I2="","",INDEX(Productos!$I:$I,$I2))</f>
        <v/>
      </c>
      <c r="G77" s="135" t="n">
        <v>2</v>
      </c>
      <c r="H77" s="5">
        <f>IF($I2="","",INDEX(Productos!$AG:$AG,$I2))</f>
        <v/>
      </c>
      <c r="I77" s="136">
        <f>LET(_xlpm.r,Productos!$E$2:$E$1063,_xlpm.m,IFERROR(_xlfn.XMATCH(C77,_xlpm.r),IFERROR(_xlfn.XMATCH(VALUE(C77),_xlpm.r),0)),IF(_xlpm.m=0,"",_xlpm.m+1))</f>
        <v/>
      </c>
      <c r="J77" s="137" t="inlineStr">
        <is>
          <t>NetSuite</t>
        </is>
      </c>
    </row>
    <row r="78">
      <c r="A78" s="5" t="inlineStr">
        <is>
          <t>WB OUTLET LERMA</t>
        </is>
      </c>
      <c r="B78" s="5">
        <f>IF($I2="","",INDEX(Productos!$A:$A,$I2))</f>
        <v/>
      </c>
      <c r="C78" s="134" t="inlineStr">
        <is>
          <t>C49731-59-36</t>
        </is>
      </c>
      <c r="D78" s="5">
        <f>IF($I2="","",INDEX(Productos!$B:$B,$I2))</f>
        <v/>
      </c>
      <c r="E78" s="5">
        <f>IF($I2="","",INDEX(Productos!$H:$H,$I2))</f>
        <v/>
      </c>
      <c r="F78" s="5">
        <f>IF($I2="","",INDEX(Productos!$I:$I,$I2))</f>
        <v/>
      </c>
      <c r="G78" s="135" t="n">
        <v>2</v>
      </c>
      <c r="H78" s="5">
        <f>IF($I2="","",INDEX(Productos!$AG:$AG,$I2))</f>
        <v/>
      </c>
      <c r="I78" s="136">
        <f>LET(_xlpm.r,Productos!$E$2:$E$1063,_xlpm.m,IFERROR(_xlfn.XMATCH(C78,_xlpm.r),IFERROR(_xlfn.XMATCH(VALUE(C78),_xlpm.r),0)),IF(_xlpm.m=0,"",_xlpm.m+1))</f>
        <v/>
      </c>
      <c r="J78" s="137" t="inlineStr">
        <is>
          <t>NetSuite</t>
        </is>
      </c>
    </row>
    <row r="79">
      <c r="A79" s="5" t="inlineStr">
        <is>
          <t>WB OUTLET LERMA</t>
        </is>
      </c>
      <c r="B79" s="5">
        <f>IF($I2="","",INDEX(Productos!$A:$A,$I2))</f>
        <v/>
      </c>
      <c r="C79" s="134" t="inlineStr">
        <is>
          <t>C49731-59-38</t>
        </is>
      </c>
      <c r="D79" s="5">
        <f>IF($I2="","",INDEX(Productos!$B:$B,$I2))</f>
        <v/>
      </c>
      <c r="E79" s="5">
        <f>IF($I2="","",INDEX(Productos!$H:$H,$I2))</f>
        <v/>
      </c>
      <c r="F79" s="5">
        <f>IF($I2="","",INDEX(Productos!$I:$I,$I2))</f>
        <v/>
      </c>
      <c r="G79" s="135" t="n">
        <v>3</v>
      </c>
      <c r="H79" s="5">
        <f>IF($I2="","",INDEX(Productos!$AG:$AG,$I2))</f>
        <v/>
      </c>
      <c r="I79" s="136">
        <f>LET(_xlpm.r,Productos!$E$2:$E$1063,_xlpm.m,IFERROR(_xlfn.XMATCH(C79,_xlpm.r),IFERROR(_xlfn.XMATCH(VALUE(C79),_xlpm.r),0)),IF(_xlpm.m=0,"",_xlpm.m+1))</f>
        <v/>
      </c>
      <c r="J79" s="137" t="inlineStr">
        <is>
          <t>NetSuite</t>
        </is>
      </c>
    </row>
    <row r="80">
      <c r="A80" s="5" t="inlineStr">
        <is>
          <t>WB OUTLET LERMA</t>
        </is>
      </c>
      <c r="B80" s="5">
        <f>IF($I2="","",INDEX(Productos!$A:$A,$I2))</f>
        <v/>
      </c>
      <c r="C80" s="134" t="inlineStr">
        <is>
          <t>C49731-59-40</t>
        </is>
      </c>
      <c r="D80" s="5">
        <f>IF($I2="","",INDEX(Productos!$B:$B,$I2))</f>
        <v/>
      </c>
      <c r="E80" s="5">
        <f>IF($I2="","",INDEX(Productos!$H:$H,$I2))</f>
        <v/>
      </c>
      <c r="F80" s="5">
        <f>IF($I2="","",INDEX(Productos!$I:$I,$I2))</f>
        <v/>
      </c>
      <c r="G80" s="135" t="n">
        <v>2</v>
      </c>
      <c r="H80" s="5">
        <f>IF($I2="","",INDEX(Productos!$AG:$AG,$I2))</f>
        <v/>
      </c>
      <c r="I80" s="136">
        <f>LET(_xlpm.r,Productos!$E$2:$E$1063,_xlpm.m,IFERROR(_xlfn.XMATCH(C80,_xlpm.r),IFERROR(_xlfn.XMATCH(VALUE(C80),_xlpm.r),0)),IF(_xlpm.m=0,"",_xlpm.m+1))</f>
        <v/>
      </c>
      <c r="J80" s="137" t="inlineStr">
        <is>
          <t>NetSuite</t>
        </is>
      </c>
    </row>
    <row r="81">
      <c r="A81" s="5" t="inlineStr">
        <is>
          <t>WB OUTLET LERMA</t>
        </is>
      </c>
      <c r="B81" s="5">
        <f>IF($I2="","",INDEX(Productos!$A:$A,$I2))</f>
        <v/>
      </c>
      <c r="C81" s="134" t="inlineStr">
        <is>
          <t>C49731-59-42</t>
        </is>
      </c>
      <c r="D81" s="5">
        <f>IF($I2="","",INDEX(Productos!$B:$B,$I2))</f>
        <v/>
      </c>
      <c r="E81" s="5">
        <f>IF($I2="","",INDEX(Productos!$H:$H,$I2))</f>
        <v/>
      </c>
      <c r="F81" s="5">
        <f>IF($I2="","",INDEX(Productos!$I:$I,$I2))</f>
        <v/>
      </c>
      <c r="G81" s="135" t="n">
        <v>2</v>
      </c>
      <c r="H81" s="5">
        <f>IF($I2="","",INDEX(Productos!$AG:$AG,$I2))</f>
        <v/>
      </c>
      <c r="I81" s="136">
        <f>LET(_xlpm.r,Productos!$E$2:$E$1063,_xlpm.m,IFERROR(_xlfn.XMATCH(C81,_xlpm.r),IFERROR(_xlfn.XMATCH(VALUE(C81),_xlpm.r),0)),IF(_xlpm.m=0,"",_xlpm.m+1))</f>
        <v/>
      </c>
      <c r="J81" s="137" t="inlineStr">
        <is>
          <t>NetSuite</t>
        </is>
      </c>
    </row>
    <row r="82">
      <c r="A82" s="5" t="inlineStr">
        <is>
          <t>WB OUTLET LERMA</t>
        </is>
      </c>
      <c r="B82" s="5">
        <f>IF($I2="","",INDEX(Productos!$A:$A,$I2))</f>
        <v/>
      </c>
      <c r="C82" s="134" t="inlineStr">
        <is>
          <t>C49731-59-44</t>
        </is>
      </c>
      <c r="D82" s="5">
        <f>IF($I2="","",INDEX(Productos!$B:$B,$I2))</f>
        <v/>
      </c>
      <c r="E82" s="5">
        <f>IF($I2="","",INDEX(Productos!$H:$H,$I2))</f>
        <v/>
      </c>
      <c r="F82" s="5">
        <f>IF($I2="","",INDEX(Productos!$I:$I,$I2))</f>
        <v/>
      </c>
      <c r="G82" s="135" t="n">
        <v>1</v>
      </c>
      <c r="H82" s="5">
        <f>IF($I2="","",INDEX(Productos!$AG:$AG,$I2))</f>
        <v/>
      </c>
      <c r="I82" s="136">
        <f>LET(_xlpm.r,Productos!$E$2:$E$1063,_xlpm.m,IFERROR(_xlfn.XMATCH(C82,_xlpm.r),IFERROR(_xlfn.XMATCH(VALUE(C82),_xlpm.r),0)),IF(_xlpm.m=0,"",_xlpm.m+1))</f>
        <v/>
      </c>
      <c r="J82" s="137" t="inlineStr">
        <is>
          <t>NetSuite</t>
        </is>
      </c>
    </row>
    <row r="83">
      <c r="A83" s="5" t="inlineStr">
        <is>
          <t>WB OUTLET LERMA</t>
        </is>
      </c>
      <c r="B83" s="5">
        <f>IF($I2="","",INDEX(Productos!$A:$A,$I2))</f>
        <v/>
      </c>
      <c r="C83" s="134" t="inlineStr">
        <is>
          <t>C49732-22-32</t>
        </is>
      </c>
      <c r="D83" s="5">
        <f>IF($I2="","",INDEX(Productos!$B:$B,$I2))</f>
        <v/>
      </c>
      <c r="E83" s="5">
        <f>IF($I2="","",INDEX(Productos!$H:$H,$I2))</f>
        <v/>
      </c>
      <c r="F83" s="5">
        <f>IF($I2="","",INDEX(Productos!$I:$I,$I2))</f>
        <v/>
      </c>
      <c r="G83" s="135" t="n">
        <v>1</v>
      </c>
      <c r="H83" s="5">
        <f>IF($I2="","",INDEX(Productos!$AG:$AG,$I2))</f>
        <v/>
      </c>
      <c r="I83" s="136">
        <f>LET(_xlpm.r,Productos!$E$2:$E$1063,_xlpm.m,IFERROR(_xlfn.XMATCH(C83,_xlpm.r),IFERROR(_xlfn.XMATCH(VALUE(C83),_xlpm.r),0)),IF(_xlpm.m=0,"",_xlpm.m+1))</f>
        <v/>
      </c>
      <c r="J83" s="137" t="inlineStr">
        <is>
          <t>NetSuite</t>
        </is>
      </c>
    </row>
    <row r="84">
      <c r="A84" s="5" t="inlineStr">
        <is>
          <t>WB OUTLET LERMA</t>
        </is>
      </c>
      <c r="B84" s="5">
        <f>IF($I2="","",INDEX(Productos!$A:$A,$I2))</f>
        <v/>
      </c>
      <c r="C84" s="134" t="inlineStr">
        <is>
          <t>C49732-22-34</t>
        </is>
      </c>
      <c r="D84" s="5">
        <f>IF($I2="","",INDEX(Productos!$B:$B,$I2))</f>
        <v/>
      </c>
      <c r="E84" s="5">
        <f>IF($I2="","",INDEX(Productos!$H:$H,$I2))</f>
        <v/>
      </c>
      <c r="F84" s="5">
        <f>IF($I2="","",INDEX(Productos!$I:$I,$I2))</f>
        <v/>
      </c>
      <c r="G84" s="135" t="n">
        <v>1</v>
      </c>
      <c r="H84" s="5">
        <f>IF($I2="","",INDEX(Productos!$AG:$AG,$I2))</f>
        <v/>
      </c>
      <c r="I84" s="136">
        <f>LET(_xlpm.r,Productos!$E$2:$E$1063,_xlpm.m,IFERROR(_xlfn.XMATCH(C84,_xlpm.r),IFERROR(_xlfn.XMATCH(VALUE(C84),_xlpm.r),0)),IF(_xlpm.m=0,"",_xlpm.m+1))</f>
        <v/>
      </c>
      <c r="J84" s="137" t="inlineStr">
        <is>
          <t>NetSuite</t>
        </is>
      </c>
    </row>
    <row r="85">
      <c r="A85" s="5" t="inlineStr">
        <is>
          <t>WB OUTLET LERMA</t>
        </is>
      </c>
      <c r="B85" s="5">
        <f>IF($I2="","",INDEX(Productos!$A:$A,$I2))</f>
        <v/>
      </c>
      <c r="C85" s="134" t="inlineStr">
        <is>
          <t>C49732-22-36</t>
        </is>
      </c>
      <c r="D85" s="5">
        <f>IF($I2="","",INDEX(Productos!$B:$B,$I2))</f>
        <v/>
      </c>
      <c r="E85" s="5">
        <f>IF($I2="","",INDEX(Productos!$H:$H,$I2))</f>
        <v/>
      </c>
      <c r="F85" s="5">
        <f>IF($I2="","",INDEX(Productos!$I:$I,$I2))</f>
        <v/>
      </c>
      <c r="G85" s="135" t="n">
        <v>2</v>
      </c>
      <c r="H85" s="5">
        <f>IF($I2="","",INDEX(Productos!$AG:$AG,$I2))</f>
        <v/>
      </c>
      <c r="I85" s="136">
        <f>LET(_xlpm.r,Productos!$E$2:$E$1063,_xlpm.m,IFERROR(_xlfn.XMATCH(C85,_xlpm.r),IFERROR(_xlfn.XMATCH(VALUE(C85),_xlpm.r),0)),IF(_xlpm.m=0,"",_xlpm.m+1))</f>
        <v/>
      </c>
      <c r="J85" s="137" t="inlineStr">
        <is>
          <t>NetSuite</t>
        </is>
      </c>
    </row>
    <row r="86">
      <c r="A86" s="5" t="inlineStr">
        <is>
          <t>WB OUTLET LERMA</t>
        </is>
      </c>
      <c r="B86" s="5">
        <f>IF($I2="","",INDEX(Productos!$A:$A,$I2))</f>
        <v/>
      </c>
      <c r="C86" s="134" t="inlineStr">
        <is>
          <t>C49732-22-38</t>
        </is>
      </c>
      <c r="D86" s="5">
        <f>IF($I2="","",INDEX(Productos!$B:$B,$I2))</f>
        <v/>
      </c>
      <c r="E86" s="5">
        <f>IF($I2="","",INDEX(Productos!$H:$H,$I2))</f>
        <v/>
      </c>
      <c r="F86" s="5">
        <f>IF($I2="","",INDEX(Productos!$I:$I,$I2))</f>
        <v/>
      </c>
      <c r="G86" s="135" t="n">
        <v>3</v>
      </c>
      <c r="H86" s="5">
        <f>IF($I2="","",INDEX(Productos!$AG:$AG,$I2))</f>
        <v/>
      </c>
      <c r="I86" s="136">
        <f>LET(_xlpm.r,Productos!$E$2:$E$1063,_xlpm.m,IFERROR(_xlfn.XMATCH(C86,_xlpm.r),IFERROR(_xlfn.XMATCH(VALUE(C86),_xlpm.r),0)),IF(_xlpm.m=0,"",_xlpm.m+1))</f>
        <v/>
      </c>
      <c r="J86" s="137" t="inlineStr">
        <is>
          <t>NetSuite</t>
        </is>
      </c>
    </row>
    <row r="87">
      <c r="A87" s="5" t="inlineStr">
        <is>
          <t>WB OUTLET LERMA</t>
        </is>
      </c>
      <c r="B87" s="5">
        <f>IF($I2="","",INDEX(Productos!$A:$A,$I2))</f>
        <v/>
      </c>
      <c r="C87" s="134" t="inlineStr">
        <is>
          <t>C49732-22-40</t>
        </is>
      </c>
      <c r="D87" s="5">
        <f>IF($I2="","",INDEX(Productos!$B:$B,$I2))</f>
        <v/>
      </c>
      <c r="E87" s="5">
        <f>IF($I2="","",INDEX(Productos!$H:$H,$I2))</f>
        <v/>
      </c>
      <c r="F87" s="5">
        <f>IF($I2="","",INDEX(Productos!$I:$I,$I2))</f>
        <v/>
      </c>
      <c r="G87" s="135" t="n">
        <v>2</v>
      </c>
      <c r="H87" s="5">
        <f>IF($I2="","",INDEX(Productos!$AG:$AG,$I2))</f>
        <v/>
      </c>
      <c r="I87" s="136">
        <f>LET(_xlpm.r,Productos!$E$2:$E$1063,_xlpm.m,IFERROR(_xlfn.XMATCH(C87,_xlpm.r),IFERROR(_xlfn.XMATCH(VALUE(C87),_xlpm.r),0)),IF(_xlpm.m=0,"",_xlpm.m+1))</f>
        <v/>
      </c>
      <c r="J87" s="137" t="inlineStr">
        <is>
          <t>NetSuite</t>
        </is>
      </c>
    </row>
    <row r="88">
      <c r="A88" s="5" t="inlineStr">
        <is>
          <t>WB OUTLET LERMA</t>
        </is>
      </c>
      <c r="B88" s="5">
        <f>IF($I2="","",INDEX(Productos!$A:$A,$I2))</f>
        <v/>
      </c>
      <c r="C88" s="134" t="inlineStr">
        <is>
          <t>C49732-22-42</t>
        </is>
      </c>
      <c r="D88" s="5">
        <f>IF($I2="","",INDEX(Productos!$B:$B,$I2))</f>
        <v/>
      </c>
      <c r="E88" s="5">
        <f>IF($I2="","",INDEX(Productos!$H:$H,$I2))</f>
        <v/>
      </c>
      <c r="F88" s="5">
        <f>IF($I2="","",INDEX(Productos!$I:$I,$I2))</f>
        <v/>
      </c>
      <c r="G88" s="135" t="n">
        <v>2</v>
      </c>
      <c r="H88" s="5">
        <f>IF($I2="","",INDEX(Productos!$AG:$AG,$I2))</f>
        <v/>
      </c>
      <c r="I88" s="136">
        <f>LET(_xlpm.r,Productos!$E$2:$E$1063,_xlpm.m,IFERROR(_xlfn.XMATCH(C88,_xlpm.r),IFERROR(_xlfn.XMATCH(VALUE(C88),_xlpm.r),0)),IF(_xlpm.m=0,"",_xlpm.m+1))</f>
        <v/>
      </c>
      <c r="J88" s="137" t="inlineStr">
        <is>
          <t>NetSuite</t>
        </is>
      </c>
    </row>
    <row r="89">
      <c r="A89" s="5" t="inlineStr">
        <is>
          <t>WB OUTLET LERMA</t>
        </is>
      </c>
      <c r="B89" s="5">
        <f>IF($I2="","",INDEX(Productos!$A:$A,$I2))</f>
        <v/>
      </c>
      <c r="C89" s="134" t="inlineStr">
        <is>
          <t>C49732-22-44</t>
        </is>
      </c>
      <c r="D89" s="5">
        <f>IF($I2="","",INDEX(Productos!$B:$B,$I2))</f>
        <v/>
      </c>
      <c r="E89" s="5">
        <f>IF($I2="","",INDEX(Productos!$H:$H,$I2))</f>
        <v/>
      </c>
      <c r="F89" s="5">
        <f>IF($I2="","",INDEX(Productos!$I:$I,$I2))</f>
        <v/>
      </c>
      <c r="G89" s="135" t="n">
        <v>1</v>
      </c>
      <c r="H89" s="5">
        <f>IF($I2="","",INDEX(Productos!$AG:$AG,$I2))</f>
        <v/>
      </c>
      <c r="I89" s="136">
        <f>LET(_xlpm.r,Productos!$E$2:$E$1063,_xlpm.m,IFERROR(_xlfn.XMATCH(C89,_xlpm.r),IFERROR(_xlfn.XMATCH(VALUE(C89),_xlpm.r),0)),IF(_xlpm.m=0,"",_xlpm.m+1))</f>
        <v/>
      </c>
      <c r="J89" s="137" t="inlineStr">
        <is>
          <t>NetSuite</t>
        </is>
      </c>
    </row>
    <row r="90">
      <c r="A90" s="5" t="inlineStr">
        <is>
          <t>WB OUTLET LERMA</t>
        </is>
      </c>
      <c r="B90" s="5">
        <f>IF($I2="","",INDEX(Productos!$A:$A,$I2))</f>
        <v/>
      </c>
      <c r="C90" s="134" t="inlineStr">
        <is>
          <t>C49733-27-32</t>
        </is>
      </c>
      <c r="D90" s="5">
        <f>IF($I2="","",INDEX(Productos!$B:$B,$I2))</f>
        <v/>
      </c>
      <c r="E90" s="5">
        <f>IF($I2="","",INDEX(Productos!$H:$H,$I2))</f>
        <v/>
      </c>
      <c r="F90" s="5">
        <f>IF($I2="","",INDEX(Productos!$I:$I,$I2))</f>
        <v/>
      </c>
      <c r="G90" s="135" t="n">
        <v>1</v>
      </c>
      <c r="H90" s="5">
        <f>IF($I2="","",INDEX(Productos!$AG:$AG,$I2))</f>
        <v/>
      </c>
      <c r="I90" s="136">
        <f>LET(_xlpm.r,Productos!$E$2:$E$1063,_xlpm.m,IFERROR(_xlfn.XMATCH(C90,_xlpm.r),IFERROR(_xlfn.XMATCH(VALUE(C90),_xlpm.r),0)),IF(_xlpm.m=0,"",_xlpm.m+1))</f>
        <v/>
      </c>
      <c r="J90" s="137" t="inlineStr">
        <is>
          <t>NetSuite</t>
        </is>
      </c>
    </row>
    <row r="91">
      <c r="A91" s="5" t="inlineStr">
        <is>
          <t>WB OUTLET LERMA</t>
        </is>
      </c>
      <c r="B91" s="5">
        <f>IF($I2="","",INDEX(Productos!$A:$A,$I2))</f>
        <v/>
      </c>
      <c r="C91" s="134" t="inlineStr">
        <is>
          <t>C49733-27-34</t>
        </is>
      </c>
      <c r="D91" s="5">
        <f>IF($I2="","",INDEX(Productos!$B:$B,$I2))</f>
        <v/>
      </c>
      <c r="E91" s="5">
        <f>IF($I2="","",INDEX(Productos!$H:$H,$I2))</f>
        <v/>
      </c>
      <c r="F91" s="5">
        <f>IF($I2="","",INDEX(Productos!$I:$I,$I2))</f>
        <v/>
      </c>
      <c r="G91" s="135" t="n">
        <v>2</v>
      </c>
      <c r="H91" s="5">
        <f>IF($I2="","",INDEX(Productos!$AG:$AG,$I2))</f>
        <v/>
      </c>
      <c r="I91" s="136">
        <f>LET(_xlpm.r,Productos!$E$2:$E$1063,_xlpm.m,IFERROR(_xlfn.XMATCH(C91,_xlpm.r),IFERROR(_xlfn.XMATCH(VALUE(C91),_xlpm.r),0)),IF(_xlpm.m=0,"",_xlpm.m+1))</f>
        <v/>
      </c>
      <c r="J91" s="137" t="inlineStr">
        <is>
          <t>NetSuite</t>
        </is>
      </c>
    </row>
    <row r="92">
      <c r="A92" s="5" t="inlineStr">
        <is>
          <t>WB OUTLET LERMA</t>
        </is>
      </c>
      <c r="B92" s="5">
        <f>IF($I2="","",INDEX(Productos!$A:$A,$I2))</f>
        <v/>
      </c>
      <c r="C92" s="134" t="inlineStr">
        <is>
          <t>C49733-27-36</t>
        </is>
      </c>
      <c r="D92" s="5">
        <f>IF($I2="","",INDEX(Productos!$B:$B,$I2))</f>
        <v/>
      </c>
      <c r="E92" s="5">
        <f>IF($I2="","",INDEX(Productos!$H:$H,$I2))</f>
        <v/>
      </c>
      <c r="F92" s="5">
        <f>IF($I2="","",INDEX(Productos!$I:$I,$I2))</f>
        <v/>
      </c>
      <c r="G92" s="135" t="n">
        <v>1</v>
      </c>
      <c r="H92" s="5">
        <f>IF($I2="","",INDEX(Productos!$AG:$AG,$I2))</f>
        <v/>
      </c>
      <c r="I92" s="136">
        <f>LET(_xlpm.r,Productos!$E$2:$E$1063,_xlpm.m,IFERROR(_xlfn.XMATCH(C92,_xlpm.r),IFERROR(_xlfn.XMATCH(VALUE(C92),_xlpm.r),0)),IF(_xlpm.m=0,"",_xlpm.m+1))</f>
        <v/>
      </c>
      <c r="J92" s="137" t="inlineStr">
        <is>
          <t>NetSuite</t>
        </is>
      </c>
    </row>
    <row r="93">
      <c r="A93" s="5" t="inlineStr">
        <is>
          <t>WB OUTLET LERMA</t>
        </is>
      </c>
      <c r="B93" s="5">
        <f>IF($I2="","",INDEX(Productos!$A:$A,$I2))</f>
        <v/>
      </c>
      <c r="C93" s="134" t="inlineStr">
        <is>
          <t>C49733-27-38</t>
        </is>
      </c>
      <c r="D93" s="5">
        <f>IF($I2="","",INDEX(Productos!$B:$B,$I2))</f>
        <v/>
      </c>
      <c r="E93" s="5">
        <f>IF($I2="","",INDEX(Productos!$H:$H,$I2))</f>
        <v/>
      </c>
      <c r="F93" s="5">
        <f>IF($I2="","",INDEX(Productos!$I:$I,$I2))</f>
        <v/>
      </c>
      <c r="G93" s="135" t="n">
        <v>3</v>
      </c>
      <c r="H93" s="5">
        <f>IF($I2="","",INDEX(Productos!$AG:$AG,$I2))</f>
        <v/>
      </c>
      <c r="I93" s="136">
        <f>LET(_xlpm.r,Productos!$E$2:$E$1063,_xlpm.m,IFERROR(_xlfn.XMATCH(C93,_xlpm.r),IFERROR(_xlfn.XMATCH(VALUE(C93),_xlpm.r),0)),IF(_xlpm.m=0,"",_xlpm.m+1))</f>
        <v/>
      </c>
      <c r="J93" s="137" t="inlineStr">
        <is>
          <t>NetSuite</t>
        </is>
      </c>
    </row>
    <row r="94">
      <c r="A94" s="5" t="inlineStr">
        <is>
          <t>WB OUTLET LERMA</t>
        </is>
      </c>
      <c r="B94" s="5">
        <f>IF($I2="","",INDEX(Productos!$A:$A,$I2))</f>
        <v/>
      </c>
      <c r="C94" s="134" t="inlineStr">
        <is>
          <t>C49733-27-40</t>
        </is>
      </c>
      <c r="D94" s="5">
        <f>IF($I2="","",INDEX(Productos!$B:$B,$I2))</f>
        <v/>
      </c>
      <c r="E94" s="5">
        <f>IF($I2="","",INDEX(Productos!$H:$H,$I2))</f>
        <v/>
      </c>
      <c r="F94" s="5">
        <f>IF($I2="","",INDEX(Productos!$I:$I,$I2))</f>
        <v/>
      </c>
      <c r="G94" s="135" t="n">
        <v>2</v>
      </c>
      <c r="H94" s="5">
        <f>IF($I2="","",INDEX(Productos!$AG:$AG,$I2))</f>
        <v/>
      </c>
      <c r="I94" s="136">
        <f>LET(_xlpm.r,Productos!$E$2:$E$1063,_xlpm.m,IFERROR(_xlfn.XMATCH(C94,_xlpm.r),IFERROR(_xlfn.XMATCH(VALUE(C94),_xlpm.r),0)),IF(_xlpm.m=0,"",_xlpm.m+1))</f>
        <v/>
      </c>
      <c r="J94" s="137" t="inlineStr">
        <is>
          <t>NetSuite</t>
        </is>
      </c>
    </row>
    <row r="95">
      <c r="A95" s="5" t="inlineStr">
        <is>
          <t>WB OUTLET LERMA</t>
        </is>
      </c>
      <c r="B95" s="5">
        <f>IF($I2="","",INDEX(Productos!$A:$A,$I2))</f>
        <v/>
      </c>
      <c r="C95" s="134" t="inlineStr">
        <is>
          <t>C49733-27-42</t>
        </is>
      </c>
      <c r="D95" s="5">
        <f>IF($I2="","",INDEX(Productos!$B:$B,$I2))</f>
        <v/>
      </c>
      <c r="E95" s="5">
        <f>IF($I2="","",INDEX(Productos!$H:$H,$I2))</f>
        <v/>
      </c>
      <c r="F95" s="5">
        <f>IF($I2="","",INDEX(Productos!$I:$I,$I2))</f>
        <v/>
      </c>
      <c r="G95" s="135" t="n">
        <v>2</v>
      </c>
      <c r="H95" s="5">
        <f>IF($I2="","",INDEX(Productos!$AG:$AG,$I2))</f>
        <v/>
      </c>
      <c r="I95" s="136">
        <f>LET(_xlpm.r,Productos!$E$2:$E$1063,_xlpm.m,IFERROR(_xlfn.XMATCH(C95,_xlpm.r),IFERROR(_xlfn.XMATCH(VALUE(C95),_xlpm.r),0)),IF(_xlpm.m=0,"",_xlpm.m+1))</f>
        <v/>
      </c>
      <c r="J95" s="137" t="inlineStr">
        <is>
          <t>NetSuite</t>
        </is>
      </c>
    </row>
    <row r="96">
      <c r="A96" s="5" t="inlineStr">
        <is>
          <t>WB OUTLET LERMA</t>
        </is>
      </c>
      <c r="B96" s="5">
        <f>IF($I2="","",INDEX(Productos!$A:$A,$I2))</f>
        <v/>
      </c>
      <c r="C96" s="134" t="inlineStr">
        <is>
          <t>C49733-27-44</t>
        </is>
      </c>
      <c r="D96" s="5">
        <f>IF($I2="","",INDEX(Productos!$B:$B,$I2))</f>
        <v/>
      </c>
      <c r="E96" s="5">
        <f>IF($I2="","",INDEX(Productos!$H:$H,$I2))</f>
        <v/>
      </c>
      <c r="F96" s="5">
        <f>IF($I2="","",INDEX(Productos!$I:$I,$I2))</f>
        <v/>
      </c>
      <c r="G96" s="135" t="n">
        <v>1</v>
      </c>
      <c r="H96" s="5">
        <f>IF($I2="","",INDEX(Productos!$AG:$AG,$I2))</f>
        <v/>
      </c>
      <c r="I96" s="136">
        <f>LET(_xlpm.r,Productos!$E$2:$E$1063,_xlpm.m,IFERROR(_xlfn.XMATCH(C96,_xlpm.r),IFERROR(_xlfn.XMATCH(VALUE(C96),_xlpm.r),0)),IF(_xlpm.m=0,"",_xlpm.m+1))</f>
        <v/>
      </c>
      <c r="J96" s="137" t="inlineStr">
        <is>
          <t>NetSuite</t>
        </is>
      </c>
    </row>
    <row r="97">
      <c r="A97" s="5" t="inlineStr">
        <is>
          <t>WB OUTLET LERMA</t>
        </is>
      </c>
      <c r="B97" s="5">
        <f>IF($I2="","",INDEX(Productos!$A:$A,$I2))</f>
        <v/>
      </c>
      <c r="C97" s="134" t="inlineStr">
        <is>
          <t>C49733-59-32</t>
        </is>
      </c>
      <c r="D97" s="5">
        <f>IF($I2="","",INDEX(Productos!$B:$B,$I2))</f>
        <v/>
      </c>
      <c r="E97" s="5">
        <f>IF($I2="","",INDEX(Productos!$H:$H,$I2))</f>
        <v/>
      </c>
      <c r="F97" s="5">
        <f>IF($I2="","",INDEX(Productos!$I:$I,$I2))</f>
        <v/>
      </c>
      <c r="G97" s="135" t="n">
        <v>1</v>
      </c>
      <c r="H97" s="5">
        <f>IF($I2="","",INDEX(Productos!$AG:$AG,$I2))</f>
        <v/>
      </c>
      <c r="I97" s="136">
        <f>LET(_xlpm.r,Productos!$E$2:$E$1063,_xlpm.m,IFERROR(_xlfn.XMATCH(C97,_xlpm.r),IFERROR(_xlfn.XMATCH(VALUE(C97),_xlpm.r),0)),IF(_xlpm.m=0,"",_xlpm.m+1))</f>
        <v/>
      </c>
      <c r="J97" s="137" t="inlineStr">
        <is>
          <t>NetSuite</t>
        </is>
      </c>
    </row>
    <row r="98">
      <c r="A98" s="5" t="inlineStr">
        <is>
          <t>WB OUTLET LERMA</t>
        </is>
      </c>
      <c r="B98" s="5">
        <f>IF($I2="","",INDEX(Productos!$A:$A,$I2))</f>
        <v/>
      </c>
      <c r="C98" s="134" t="inlineStr">
        <is>
          <t>C49733-59-34</t>
        </is>
      </c>
      <c r="D98" s="5">
        <f>IF($I2="","",INDEX(Productos!$B:$B,$I2))</f>
        <v/>
      </c>
      <c r="E98" s="5">
        <f>IF($I2="","",INDEX(Productos!$H:$H,$I2))</f>
        <v/>
      </c>
      <c r="F98" s="5">
        <f>IF($I2="","",INDEX(Productos!$I:$I,$I2))</f>
        <v/>
      </c>
      <c r="G98" s="135" t="n">
        <v>2</v>
      </c>
      <c r="H98" s="5">
        <f>IF($I2="","",INDEX(Productos!$AG:$AG,$I2))</f>
        <v/>
      </c>
      <c r="I98" s="136">
        <f>LET(_xlpm.r,Productos!$E$2:$E$1063,_xlpm.m,IFERROR(_xlfn.XMATCH(C98,_xlpm.r),IFERROR(_xlfn.XMATCH(VALUE(C98),_xlpm.r),0)),IF(_xlpm.m=0,"",_xlpm.m+1))</f>
        <v/>
      </c>
      <c r="J98" s="137" t="inlineStr">
        <is>
          <t>NetSuite</t>
        </is>
      </c>
    </row>
    <row r="99">
      <c r="A99" s="5" t="inlineStr">
        <is>
          <t>WB OUTLET LERMA</t>
        </is>
      </c>
      <c r="B99" s="5">
        <f>IF($I2="","",INDEX(Productos!$A:$A,$I2))</f>
        <v/>
      </c>
      <c r="C99" s="134" t="inlineStr">
        <is>
          <t>C49733-59-36</t>
        </is>
      </c>
      <c r="D99" s="5">
        <f>IF($I2="","",INDEX(Productos!$B:$B,$I2))</f>
        <v/>
      </c>
      <c r="E99" s="5">
        <f>IF($I2="","",INDEX(Productos!$H:$H,$I2))</f>
        <v/>
      </c>
      <c r="F99" s="5">
        <f>IF($I2="","",INDEX(Productos!$I:$I,$I2))</f>
        <v/>
      </c>
      <c r="G99" s="135" t="n">
        <v>2</v>
      </c>
      <c r="H99" s="5">
        <f>IF($I2="","",INDEX(Productos!$AG:$AG,$I2))</f>
        <v/>
      </c>
      <c r="I99" s="136">
        <f>LET(_xlpm.r,Productos!$E$2:$E$1063,_xlpm.m,IFERROR(_xlfn.XMATCH(C99,_xlpm.r),IFERROR(_xlfn.XMATCH(VALUE(C99),_xlpm.r),0)),IF(_xlpm.m=0,"",_xlpm.m+1))</f>
        <v/>
      </c>
      <c r="J99" s="137" t="inlineStr">
        <is>
          <t>NetSuite</t>
        </is>
      </c>
    </row>
    <row r="100">
      <c r="A100" s="5" t="inlineStr">
        <is>
          <t>WB OUTLET LERMA</t>
        </is>
      </c>
      <c r="B100" s="5">
        <f>IF($I2="","",INDEX(Productos!$A:$A,$I2))</f>
        <v/>
      </c>
      <c r="C100" s="134" t="inlineStr">
        <is>
          <t>C49733-59-38</t>
        </is>
      </c>
      <c r="D100" s="5">
        <f>IF($I2="","",INDEX(Productos!$B:$B,$I2))</f>
        <v/>
      </c>
      <c r="E100" s="5">
        <f>IF($I2="","",INDEX(Productos!$H:$H,$I2))</f>
        <v/>
      </c>
      <c r="F100" s="5">
        <f>IF($I2="","",INDEX(Productos!$I:$I,$I2))</f>
        <v/>
      </c>
      <c r="G100" s="135" t="n">
        <v>3</v>
      </c>
      <c r="H100" s="5">
        <f>IF($I2="","",INDEX(Productos!$AG:$AG,$I2))</f>
        <v/>
      </c>
      <c r="I100" s="136">
        <f>LET(_xlpm.r,Productos!$E$2:$E$1063,_xlpm.m,IFERROR(_xlfn.XMATCH(C100,_xlpm.r),IFERROR(_xlfn.XMATCH(VALUE(C100),_xlpm.r),0)),IF(_xlpm.m=0,"",_xlpm.m+1))</f>
        <v/>
      </c>
      <c r="J100" s="137" t="inlineStr">
        <is>
          <t>NetSuite</t>
        </is>
      </c>
    </row>
    <row r="101">
      <c r="A101" s="5" t="inlineStr">
        <is>
          <t>WB OUTLET LERMA</t>
        </is>
      </c>
      <c r="B101" s="5">
        <f>IF($I2="","",INDEX(Productos!$A:$A,$I2))</f>
        <v/>
      </c>
      <c r="C101" s="134" t="inlineStr">
        <is>
          <t>C49733-59-40</t>
        </is>
      </c>
      <c r="D101" s="5">
        <f>IF($I2="","",INDEX(Productos!$B:$B,$I2))</f>
        <v/>
      </c>
      <c r="E101" s="5">
        <f>IF($I2="","",INDEX(Productos!$H:$H,$I2))</f>
        <v/>
      </c>
      <c r="F101" s="5">
        <f>IF($I2="","",INDEX(Productos!$I:$I,$I2))</f>
        <v/>
      </c>
      <c r="G101" s="135" t="n">
        <v>2</v>
      </c>
      <c r="H101" s="5">
        <f>IF($I2="","",INDEX(Productos!$AG:$AG,$I2))</f>
        <v/>
      </c>
      <c r="I101" s="136">
        <f>LET(_xlpm.r,Productos!$E$2:$E$1063,_xlpm.m,IFERROR(_xlfn.XMATCH(C101,_xlpm.r),IFERROR(_xlfn.XMATCH(VALUE(C101),_xlpm.r),0)),IF(_xlpm.m=0,"",_xlpm.m+1))</f>
        <v/>
      </c>
      <c r="J101" s="137" t="inlineStr">
        <is>
          <t>NetSuite</t>
        </is>
      </c>
    </row>
    <row r="102">
      <c r="A102" s="5" t="inlineStr">
        <is>
          <t>WB OUTLET LERMA</t>
        </is>
      </c>
      <c r="B102" s="5">
        <f>IF($I2="","",INDEX(Productos!$A:$A,$I2))</f>
        <v/>
      </c>
      <c r="C102" s="134" t="inlineStr">
        <is>
          <t>C49733-59-42</t>
        </is>
      </c>
      <c r="D102" s="5">
        <f>IF($I2="","",INDEX(Productos!$B:$B,$I2))</f>
        <v/>
      </c>
      <c r="E102" s="5">
        <f>IF($I2="","",INDEX(Productos!$H:$H,$I2))</f>
        <v/>
      </c>
      <c r="F102" s="5">
        <f>IF($I2="","",INDEX(Productos!$I:$I,$I2))</f>
        <v/>
      </c>
      <c r="G102" s="135" t="n">
        <v>2</v>
      </c>
      <c r="H102" s="5">
        <f>IF($I2="","",INDEX(Productos!$AG:$AG,$I2))</f>
        <v/>
      </c>
      <c r="I102" s="136">
        <f>LET(_xlpm.r,Productos!$E$2:$E$1063,_xlpm.m,IFERROR(_xlfn.XMATCH(C102,_xlpm.r),IFERROR(_xlfn.XMATCH(VALUE(C102),_xlpm.r),0)),IF(_xlpm.m=0,"",_xlpm.m+1))</f>
        <v/>
      </c>
      <c r="J102" s="137" t="inlineStr">
        <is>
          <t>NetSuite</t>
        </is>
      </c>
    </row>
    <row r="103">
      <c r="A103" s="5" t="inlineStr">
        <is>
          <t>WB OUTLET LERMA</t>
        </is>
      </c>
      <c r="B103" s="5">
        <f>IF($I2="","",INDEX(Productos!$A:$A,$I2))</f>
        <v/>
      </c>
      <c r="C103" s="134" t="inlineStr">
        <is>
          <t>C49733-59-44</t>
        </is>
      </c>
      <c r="D103" s="5">
        <f>IF($I2="","",INDEX(Productos!$B:$B,$I2))</f>
        <v/>
      </c>
      <c r="E103" s="5">
        <f>IF($I2="","",INDEX(Productos!$H:$H,$I2))</f>
        <v/>
      </c>
      <c r="F103" s="5">
        <f>IF($I2="","",INDEX(Productos!$I:$I,$I2))</f>
        <v/>
      </c>
      <c r="G103" s="135" t="n">
        <v>1</v>
      </c>
      <c r="H103" s="5">
        <f>IF($I2="","",INDEX(Productos!$AG:$AG,$I2))</f>
        <v/>
      </c>
      <c r="I103" s="136">
        <f>LET(_xlpm.r,Productos!$E$2:$E$1063,_xlpm.m,IFERROR(_xlfn.XMATCH(C103,_xlpm.r),IFERROR(_xlfn.XMATCH(VALUE(C103),_xlpm.r),0)),IF(_xlpm.m=0,"",_xlpm.m+1))</f>
        <v/>
      </c>
      <c r="J103" s="137" t="inlineStr">
        <is>
          <t>NetSuite</t>
        </is>
      </c>
    </row>
    <row r="104">
      <c r="A104" s="5" t="inlineStr">
        <is>
          <t>WB OUTLET LERMA</t>
        </is>
      </c>
      <c r="B104" s="5">
        <f>IF($I2="","",INDEX(Productos!$A:$A,$I2))</f>
        <v/>
      </c>
      <c r="C104" s="134" t="inlineStr">
        <is>
          <t>MWBX-67-UNI</t>
        </is>
      </c>
      <c r="D104" s="5">
        <f>IF($I2="","",INDEX(Productos!$B:$B,$I2))</f>
        <v/>
      </c>
      <c r="E104" s="5">
        <f>IF($I2="","",INDEX(Productos!$H:$H,$I2))</f>
        <v/>
      </c>
      <c r="F104" s="5">
        <f>IF($I2="","",INDEX(Productos!$I:$I,$I2))</f>
        <v/>
      </c>
      <c r="G104" s="135" t="n">
        <v>24</v>
      </c>
      <c r="H104" s="5">
        <f>IF($I2="","",INDEX(Productos!$AG:$AG,$I2))</f>
        <v/>
      </c>
      <c r="I104" s="136">
        <f>LET(_xlpm.r,Productos!$E$2:$E$1063,_xlpm.m,IFERROR(_xlfn.XMATCH(C104,_xlpm.r),IFERROR(_xlfn.XMATCH(VALUE(C104),_xlpm.r),0)),IF(_xlpm.m=0,"",_xlpm.m+1))</f>
        <v/>
      </c>
      <c r="J104" s="137" t="inlineStr">
        <is>
          <t>NetSuite</t>
        </is>
      </c>
    </row>
    <row r="105">
      <c r="A105" s="5" t="inlineStr">
        <is>
          <t>WB OUTLET LERMA</t>
        </is>
      </c>
      <c r="B105" s="5">
        <f>IF($I2="","",INDEX(Productos!$A:$A,$I2))</f>
        <v/>
      </c>
      <c r="C105" s="134" t="inlineStr">
        <is>
          <t>WACA0038-28.5</t>
        </is>
      </c>
      <c r="D105" s="5">
        <f>IF($I2="","",INDEX(Productos!$B:$B,$I2))</f>
        <v/>
      </c>
      <c r="E105" s="5">
        <f>IF($I2="","",INDEX(Productos!$H:$H,$I2))</f>
        <v/>
      </c>
      <c r="F105" s="5">
        <f>IF($I2="","",INDEX(Productos!$I:$I,$I2))</f>
        <v/>
      </c>
      <c r="G105" s="135" t="n">
        <v>-1</v>
      </c>
      <c r="H105" s="5">
        <f>IF($I2="","",INDEX(Productos!$AG:$AG,$I2))</f>
        <v/>
      </c>
      <c r="I105" s="136">
        <f>LET(_xlpm.r,Productos!$E$2:$E$1063,_xlpm.m,IFERROR(_xlfn.XMATCH(C105,_xlpm.r),IFERROR(_xlfn.XMATCH(VALUE(C105),_xlpm.r),0)),IF(_xlpm.m=0,"",_xlpm.m+1))</f>
        <v/>
      </c>
      <c r="J105" s="137" t="inlineStr">
        <is>
          <t>NetSuite</t>
        </is>
      </c>
    </row>
    <row r="106">
      <c r="A106" s="5" t="inlineStr">
        <is>
          <t>WB OUTLET LERMA</t>
        </is>
      </c>
      <c r="B106" s="5">
        <f>IF($I2="","",INDEX(Productos!$A:$A,$I2))</f>
        <v/>
      </c>
      <c r="C106" s="134" t="inlineStr">
        <is>
          <t>WACA0211-1-28.5</t>
        </is>
      </c>
      <c r="D106" s="5">
        <f>IF($I2="","",INDEX(Productos!$B:$B,$I2))</f>
        <v/>
      </c>
      <c r="E106" s="5">
        <f>IF($I2="","",INDEX(Productos!$H:$H,$I2))</f>
        <v/>
      </c>
      <c r="F106" s="5">
        <f>IF($I2="","",INDEX(Productos!$I:$I,$I2))</f>
        <v/>
      </c>
      <c r="G106" s="135" t="n">
        <v>1</v>
      </c>
      <c r="H106" s="5">
        <f>IF($I2="","",INDEX(Productos!$AG:$AG,$I2))</f>
        <v/>
      </c>
      <c r="I106" s="136">
        <f>LET(_xlpm.r,Productos!$E$2:$E$1063,_xlpm.m,IFERROR(_xlfn.XMATCH(C106,_xlpm.r),IFERROR(_xlfn.XMATCH(VALUE(C106),_xlpm.r),0)),IF(_xlpm.m=0,"",_xlpm.m+1))</f>
        <v/>
      </c>
      <c r="J106" s="137" t="inlineStr">
        <is>
          <t>NetSuite</t>
        </is>
      </c>
    </row>
    <row r="107">
      <c r="A107" s="5" t="inlineStr">
        <is>
          <t>WB OUTLET LERMA</t>
        </is>
      </c>
      <c r="B107" s="5">
        <f>IF($I2="","",INDEX(Productos!$A:$A,$I2))</f>
        <v/>
      </c>
      <c r="C107" s="134" t="inlineStr">
        <is>
          <t>WACA0211-2-28.5</t>
        </is>
      </c>
      <c r="D107" s="5">
        <f>IF($I2="","",INDEX(Productos!$B:$B,$I2))</f>
        <v/>
      </c>
      <c r="E107" s="5">
        <f>IF($I2="","",INDEX(Productos!$H:$H,$I2))</f>
        <v/>
      </c>
      <c r="F107" s="5">
        <f>IF($I2="","",INDEX(Productos!$I:$I,$I2))</f>
        <v/>
      </c>
      <c r="G107" s="135" t="n">
        <v>-1</v>
      </c>
      <c r="H107" s="5">
        <f>IF($I2="","",INDEX(Productos!$AG:$AG,$I2))</f>
        <v/>
      </c>
      <c r="I107" s="136">
        <f>LET(_xlpm.r,Productos!$E$2:$E$1063,_xlpm.m,IFERROR(_xlfn.XMATCH(C107,_xlpm.r),IFERROR(_xlfn.XMATCH(VALUE(C107),_xlpm.r),0)),IF(_xlpm.m=0,"",_xlpm.m+1))</f>
        <v/>
      </c>
      <c r="J107" s="137" t="inlineStr">
        <is>
          <t>NetSuite</t>
        </is>
      </c>
    </row>
    <row r="108">
      <c r="A108" s="5" t="inlineStr">
        <is>
          <t>WB OUTLET LERMA</t>
        </is>
      </c>
      <c r="B108" s="5">
        <f>IF($I2="","",INDEX(Productos!$A:$A,$I2))</f>
        <v/>
      </c>
      <c r="C108" s="134" t="inlineStr">
        <is>
          <t>WACA0212-2-28.5</t>
        </is>
      </c>
      <c r="D108" s="5">
        <f>IF($I2="","",INDEX(Productos!$B:$B,$I2))</f>
        <v/>
      </c>
      <c r="E108" s="5">
        <f>IF($I2="","",INDEX(Productos!$H:$H,$I2))</f>
        <v/>
      </c>
      <c r="F108" s="5">
        <f>IF($I2="","",INDEX(Productos!$I:$I,$I2))</f>
        <v/>
      </c>
      <c r="G108" s="135" t="n">
        <v>1</v>
      </c>
      <c r="H108" s="5">
        <f>IF($I2="","",INDEX(Productos!$AG:$AG,$I2))</f>
        <v/>
      </c>
      <c r="I108" s="136">
        <f>LET(_xlpm.r,Productos!$E$2:$E$1063,_xlpm.m,IFERROR(_xlfn.XMATCH(C108,_xlpm.r),IFERROR(_xlfn.XMATCH(VALUE(C108),_xlpm.r),0)),IF(_xlpm.m=0,"",_xlpm.m+1))</f>
        <v/>
      </c>
      <c r="J108" s="137" t="inlineStr">
        <is>
          <t>NetSuite</t>
        </is>
      </c>
    </row>
    <row r="109">
      <c r="A109" s="5" t="inlineStr">
        <is>
          <t>WB OUTLET LERMA</t>
        </is>
      </c>
      <c r="B109" s="5">
        <f>IF($I2="","",INDEX(Productos!$A:$A,$I2))</f>
        <v/>
      </c>
      <c r="C109" s="134" t="inlineStr">
        <is>
          <t>WACA0213-28</t>
        </is>
      </c>
      <c r="D109" s="5">
        <f>IF($I2="","",INDEX(Productos!$B:$B,$I2))</f>
        <v/>
      </c>
      <c r="E109" s="5">
        <f>IF($I2="","",INDEX(Productos!$H:$H,$I2))</f>
        <v/>
      </c>
      <c r="F109" s="5">
        <f>IF($I2="","",INDEX(Productos!$I:$I,$I2))</f>
        <v/>
      </c>
      <c r="G109" s="135" t="n">
        <v>1</v>
      </c>
      <c r="H109" s="5">
        <f>IF($I2="","",INDEX(Productos!$AG:$AG,$I2))</f>
        <v/>
      </c>
      <c r="I109" s="136">
        <f>LET(_xlpm.r,Productos!$E$2:$E$1063,_xlpm.m,IFERROR(_xlfn.XMATCH(C109,_xlpm.r),IFERROR(_xlfn.XMATCH(VALUE(C109),_xlpm.r),0)),IF(_xlpm.m=0,"",_xlpm.m+1))</f>
        <v/>
      </c>
      <c r="J109" s="137" t="inlineStr">
        <is>
          <t>NetSuite</t>
        </is>
      </c>
    </row>
    <row r="110">
      <c r="A110" s="5" t="inlineStr">
        <is>
          <t>WB OUTLET LERMA</t>
        </is>
      </c>
      <c r="B110" s="5">
        <f>IF($I2="","",INDEX(Productos!$A:$A,$I2))</f>
        <v/>
      </c>
      <c r="C110" s="134" t="inlineStr">
        <is>
          <t>WACA0213-28.5</t>
        </is>
      </c>
      <c r="D110" s="5">
        <f>IF($I2="","",INDEX(Productos!$B:$B,$I2))</f>
        <v/>
      </c>
      <c r="E110" s="5">
        <f>IF($I2="","",INDEX(Productos!$H:$H,$I2))</f>
        <v/>
      </c>
      <c r="F110" s="5">
        <f>IF($I2="","",INDEX(Productos!$I:$I,$I2))</f>
        <v/>
      </c>
      <c r="G110" s="135" t="n">
        <v>1</v>
      </c>
      <c r="H110" s="5">
        <f>IF($I2="","",INDEX(Productos!$AG:$AG,$I2))</f>
        <v/>
      </c>
      <c r="I110" s="136">
        <f>LET(_xlpm.r,Productos!$E$2:$E$1063,_xlpm.m,IFERROR(_xlfn.XMATCH(C110,_xlpm.r),IFERROR(_xlfn.XMATCH(VALUE(C110),_xlpm.r),0)),IF(_xlpm.m=0,"",_xlpm.m+1))</f>
        <v/>
      </c>
      <c r="J110" s="137" t="inlineStr">
        <is>
          <t>NetSuite</t>
        </is>
      </c>
    </row>
    <row r="111">
      <c r="A111" s="5" t="inlineStr">
        <is>
          <t>WB OUTLET LERMA</t>
        </is>
      </c>
      <c r="B111" s="5">
        <f>IF($I2="","",INDEX(Productos!$A:$A,$I2))</f>
        <v/>
      </c>
      <c r="C111" s="134" t="inlineStr">
        <is>
          <t>WACB0108-27</t>
        </is>
      </c>
      <c r="D111" s="5">
        <f>IF($I2="","",INDEX(Productos!$B:$B,$I2))</f>
        <v/>
      </c>
      <c r="E111" s="5">
        <f>IF($I2="","",INDEX(Productos!$H:$H,$I2))</f>
        <v/>
      </c>
      <c r="F111" s="5">
        <f>IF($I2="","",INDEX(Productos!$I:$I,$I2))</f>
        <v/>
      </c>
      <c r="G111" s="135" t="n">
        <v>1</v>
      </c>
      <c r="H111" s="5">
        <f>IF($I2="","",INDEX(Productos!$AG:$AG,$I2))</f>
        <v/>
      </c>
      <c r="I111" s="136">
        <f>LET(_xlpm.r,Productos!$E$2:$E$1063,_xlpm.m,IFERROR(_xlfn.XMATCH(C111,_xlpm.r),IFERROR(_xlfn.XMATCH(VALUE(C111),_xlpm.r),0)),IF(_xlpm.m=0,"",_xlpm.m+1))</f>
        <v/>
      </c>
      <c r="J111" s="137" t="inlineStr">
        <is>
          <t>NetSuite</t>
        </is>
      </c>
    </row>
    <row r="112">
      <c r="A112" s="5" t="inlineStr">
        <is>
          <t>WB OUTLET LERMA</t>
        </is>
      </c>
      <c r="B112" s="5">
        <f>IF($I2="","",INDEX(Productos!$A:$A,$I2))</f>
        <v/>
      </c>
      <c r="C112" s="134" t="inlineStr">
        <is>
          <t>WACB0108-28</t>
        </is>
      </c>
      <c r="D112" s="5">
        <f>IF($I2="","",INDEX(Productos!$B:$B,$I2))</f>
        <v/>
      </c>
      <c r="E112" s="5">
        <f>IF($I2="","",INDEX(Productos!$H:$H,$I2))</f>
        <v/>
      </c>
      <c r="F112" s="5">
        <f>IF($I2="","",INDEX(Productos!$I:$I,$I2))</f>
        <v/>
      </c>
      <c r="G112" s="135" t="n">
        <v>2</v>
      </c>
      <c r="H112" s="5">
        <f>IF($I2="","",INDEX(Productos!$AG:$AG,$I2))</f>
        <v/>
      </c>
      <c r="I112" s="136">
        <f>LET(_xlpm.r,Productos!$E$2:$E$1063,_xlpm.m,IFERROR(_xlfn.XMATCH(C112,_xlpm.r),IFERROR(_xlfn.XMATCH(VALUE(C112),_xlpm.r),0)),IF(_xlpm.m=0,"",_xlpm.m+1))</f>
        <v/>
      </c>
      <c r="J112" s="137" t="inlineStr">
        <is>
          <t>NetSuite</t>
        </is>
      </c>
    </row>
    <row r="113">
      <c r="A113" s="5" t="inlineStr">
        <is>
          <t>WB OUTLET LERMA</t>
        </is>
      </c>
      <c r="B113" s="5">
        <f>IF($I2="","",INDEX(Productos!$A:$A,$I2))</f>
        <v/>
      </c>
      <c r="C113" s="134" t="inlineStr">
        <is>
          <t>WACB0108-28.5</t>
        </is>
      </c>
      <c r="D113" s="5">
        <f>IF($I2="","",INDEX(Productos!$B:$B,$I2))</f>
        <v/>
      </c>
      <c r="E113" s="5">
        <f>IF($I2="","",INDEX(Productos!$H:$H,$I2))</f>
        <v/>
      </c>
      <c r="F113" s="5">
        <f>IF($I2="","",INDEX(Productos!$I:$I,$I2))</f>
        <v/>
      </c>
      <c r="G113" s="135" t="n">
        <v>2</v>
      </c>
      <c r="H113" s="5">
        <f>IF($I2="","",INDEX(Productos!$AG:$AG,$I2))</f>
        <v/>
      </c>
      <c r="I113" s="136">
        <f>LET(_xlpm.r,Productos!$E$2:$E$1063,_xlpm.m,IFERROR(_xlfn.XMATCH(C113,_xlpm.r),IFERROR(_xlfn.XMATCH(VALUE(C113),_xlpm.r),0)),IF(_xlpm.m=0,"",_xlpm.m+1))</f>
        <v/>
      </c>
      <c r="J113" s="137" t="inlineStr">
        <is>
          <t>NetSuite</t>
        </is>
      </c>
    </row>
    <row r="114">
      <c r="A114" s="5" t="inlineStr">
        <is>
          <t>WB OUTLET LERMA</t>
        </is>
      </c>
      <c r="B114" s="5">
        <f>IF($I2="","",INDEX(Productos!$A:$A,$I2))</f>
        <v/>
      </c>
      <c r="C114" s="134" t="inlineStr">
        <is>
          <t>WADC0214-24</t>
        </is>
      </c>
      <c r="D114" s="5">
        <f>IF($I2="","",INDEX(Productos!$B:$B,$I2))</f>
        <v/>
      </c>
      <c r="E114" s="5">
        <f>IF($I2="","",INDEX(Productos!$H:$H,$I2))</f>
        <v/>
      </c>
      <c r="F114" s="5">
        <f>IF($I2="","",INDEX(Productos!$I:$I,$I2))</f>
        <v/>
      </c>
      <c r="G114" s="135" t="n">
        <v>1</v>
      </c>
      <c r="H114" s="5">
        <f>IF($I2="","",INDEX(Productos!$AG:$AG,$I2))</f>
        <v/>
      </c>
      <c r="I114" s="136">
        <f>LET(_xlpm.r,Productos!$E$2:$E$1063,_xlpm.m,IFERROR(_xlfn.XMATCH(C114,_xlpm.r),IFERROR(_xlfn.XMATCH(VALUE(C114),_xlpm.r),0)),IF(_xlpm.m=0,"",_xlpm.m+1))</f>
        <v/>
      </c>
      <c r="J114" s="137" t="inlineStr">
        <is>
          <t>NetSuite</t>
        </is>
      </c>
    </row>
    <row r="115">
      <c r="A115" s="5" t="inlineStr">
        <is>
          <t>WB OUTLET LERMA</t>
        </is>
      </c>
      <c r="B115" s="5">
        <f>IF($I2="","",INDEX(Productos!$A:$A,$I2))</f>
        <v/>
      </c>
      <c r="C115" s="134" t="inlineStr">
        <is>
          <t>WADC0214-24.5</t>
        </is>
      </c>
      <c r="D115" s="5">
        <f>IF($I2="","",INDEX(Productos!$B:$B,$I2))</f>
        <v/>
      </c>
      <c r="E115" s="5">
        <f>IF($I2="","",INDEX(Productos!$H:$H,$I2))</f>
        <v/>
      </c>
      <c r="F115" s="5">
        <f>IF($I2="","",INDEX(Productos!$I:$I,$I2))</f>
        <v/>
      </c>
      <c r="G115" s="135" t="n">
        <v>2</v>
      </c>
      <c r="H115" s="5">
        <f>IF($I2="","",INDEX(Productos!$AG:$AG,$I2))</f>
        <v/>
      </c>
      <c r="I115" s="136">
        <f>LET(_xlpm.r,Productos!$E$2:$E$1063,_xlpm.m,IFERROR(_xlfn.XMATCH(C115,_xlpm.r),IFERROR(_xlfn.XMATCH(VALUE(C115),_xlpm.r),0)),IF(_xlpm.m=0,"",_xlpm.m+1))</f>
        <v/>
      </c>
      <c r="J115" s="137" t="inlineStr">
        <is>
          <t>NetSuite</t>
        </is>
      </c>
    </row>
    <row r="116">
      <c r="A116" s="5" t="inlineStr">
        <is>
          <t>WB OUTLET LERMA</t>
        </is>
      </c>
      <c r="B116" s="5">
        <f>IF($I2="","",INDEX(Productos!$A:$A,$I2))</f>
        <v/>
      </c>
      <c r="C116" s="134" t="inlineStr">
        <is>
          <t>WADC0214-25</t>
        </is>
      </c>
      <c r="D116" s="5">
        <f>IF($I2="","",INDEX(Productos!$B:$B,$I2))</f>
        <v/>
      </c>
      <c r="E116" s="5">
        <f>IF($I2="","",INDEX(Productos!$H:$H,$I2))</f>
        <v/>
      </c>
      <c r="F116" s="5">
        <f>IF($I2="","",INDEX(Productos!$I:$I,$I2))</f>
        <v/>
      </c>
      <c r="G116" s="135" t="n">
        <v>1</v>
      </c>
      <c r="H116" s="5">
        <f>IF($I2="","",INDEX(Productos!$AG:$AG,$I2))</f>
        <v/>
      </c>
      <c r="I116" s="136">
        <f>LET(_xlpm.r,Productos!$E$2:$E$1063,_xlpm.m,IFERROR(_xlfn.XMATCH(C116,_xlpm.r),IFERROR(_xlfn.XMATCH(VALUE(C116),_xlpm.r),0)),IF(_xlpm.m=0,"",_xlpm.m+1))</f>
        <v/>
      </c>
      <c r="J116" s="137" t="inlineStr">
        <is>
          <t>NetSuite</t>
        </is>
      </c>
    </row>
    <row r="117">
      <c r="A117" s="5" t="inlineStr">
        <is>
          <t>WB OUTLET LERMA</t>
        </is>
      </c>
      <c r="B117" s="5">
        <f>IF($I2="","",INDEX(Productos!$A:$A,$I2))</f>
        <v/>
      </c>
      <c r="C117" s="134" t="inlineStr">
        <is>
          <t>WADC0215-1-24-112227</t>
        </is>
      </c>
      <c r="D117" s="5">
        <f>IF($I2="","",INDEX(Productos!$B:$B,$I2))</f>
        <v/>
      </c>
      <c r="E117" s="5">
        <f>IF($I2="","",INDEX(Productos!$H:$H,$I2))</f>
        <v/>
      </c>
      <c r="F117" s="5">
        <f>IF($I2="","",INDEX(Productos!$I:$I,$I2))</f>
        <v/>
      </c>
      <c r="G117" s="135" t="n">
        <v>1</v>
      </c>
      <c r="H117" s="5">
        <f>IF($I2="","",INDEX(Productos!$AG:$AG,$I2))</f>
        <v/>
      </c>
      <c r="I117" s="136">
        <f>LET(_xlpm.r,Productos!$E$2:$E$1063,_xlpm.m,IFERROR(_xlfn.XMATCH(C117,_xlpm.r),IFERROR(_xlfn.XMATCH(VALUE(C117),_xlpm.r),0)),IF(_xlpm.m=0,"",_xlpm.m+1))</f>
        <v/>
      </c>
      <c r="J117" s="137" t="inlineStr">
        <is>
          <t>NetSuite</t>
        </is>
      </c>
    </row>
    <row r="118">
      <c r="A118" s="5" t="inlineStr">
        <is>
          <t>WB OUTLET LERMA</t>
        </is>
      </c>
      <c r="B118" s="5">
        <f>IF($I2="","",INDEX(Productos!$A:$A,$I2))</f>
        <v/>
      </c>
      <c r="C118" s="134" t="inlineStr">
        <is>
          <t>WADC0215-1-24.5-112200</t>
        </is>
      </c>
      <c r="D118" s="5">
        <f>IF($I2="","",INDEX(Productos!$B:$B,$I2))</f>
        <v/>
      </c>
      <c r="E118" s="5">
        <f>IF($I2="","",INDEX(Productos!$H:$H,$I2))</f>
        <v/>
      </c>
      <c r="F118" s="5">
        <f>IF($I2="","",INDEX(Productos!$I:$I,$I2))</f>
        <v/>
      </c>
      <c r="G118" s="135" t="n">
        <v>1</v>
      </c>
      <c r="H118" s="5">
        <f>IF($I2="","",INDEX(Productos!$AG:$AG,$I2))</f>
        <v/>
      </c>
      <c r="I118" s="136">
        <f>LET(_xlpm.r,Productos!$E$2:$E$1063,_xlpm.m,IFERROR(_xlfn.XMATCH(C118,_xlpm.r),IFERROR(_xlfn.XMATCH(VALUE(C118),_xlpm.r),0)),IF(_xlpm.m=0,"",_xlpm.m+1))</f>
        <v/>
      </c>
      <c r="J118" s="137" t="inlineStr">
        <is>
          <t>NetSuite</t>
        </is>
      </c>
    </row>
    <row r="119">
      <c r="A119" s="5" t="inlineStr">
        <is>
          <t>WB OUTLET LERMA</t>
        </is>
      </c>
      <c r="B119" s="5">
        <f>IF($I2="","",INDEX(Productos!$A:$A,$I2))</f>
        <v/>
      </c>
      <c r="C119" s="134" t="inlineStr">
        <is>
          <t>WG195-W055BK-UNI</t>
        </is>
      </c>
      <c r="D119" s="5">
        <f>IF($I2="","",INDEX(Productos!$B:$B,$I2))</f>
        <v/>
      </c>
      <c r="E119" s="5">
        <f>IF($I2="","",INDEX(Productos!$H:$H,$I2))</f>
        <v/>
      </c>
      <c r="F119" s="5">
        <f>IF($I2="","",INDEX(Productos!$I:$I,$I2))</f>
        <v/>
      </c>
      <c r="G119" s="135" t="n">
        <v>-3</v>
      </c>
      <c r="H119" s="5">
        <f>IF($I2="","",INDEX(Productos!$AG:$AG,$I2))</f>
        <v/>
      </c>
      <c r="I119" s="136">
        <f>LET(_xlpm.r,Productos!$E$2:$E$1063,_xlpm.m,IFERROR(_xlfn.XMATCH(C119,_xlpm.r),IFERROR(_xlfn.XMATCH(VALUE(C119),_xlpm.r),0)),IF(_xlpm.m=0,"",_xlpm.m+1))</f>
        <v/>
      </c>
      <c r="J119" s="137" t="inlineStr">
        <is>
          <t>NetSuite</t>
        </is>
      </c>
    </row>
    <row r="120">
      <c r="A120" s="5" t="inlineStr">
        <is>
          <t>WB OUTLET LERMA</t>
        </is>
      </c>
      <c r="B120" s="5">
        <f>IF($I2="","",INDEX(Productos!$A:$A,$I2))</f>
        <v/>
      </c>
      <c r="C120" s="134" t="inlineStr">
        <is>
          <t>WG195-W055CF-UNI</t>
        </is>
      </c>
      <c r="D120" s="5">
        <f>IF($I2="","",INDEX(Productos!$B:$B,$I2))</f>
        <v/>
      </c>
      <c r="E120" s="5">
        <f>IF($I2="","",INDEX(Productos!$H:$H,$I2))</f>
        <v/>
      </c>
      <c r="F120" s="5">
        <f>IF($I2="","",INDEX(Productos!$I:$I,$I2))</f>
        <v/>
      </c>
      <c r="G120" s="135" t="n">
        <v>-1</v>
      </c>
      <c r="H120" s="5">
        <f>IF($I2="","",INDEX(Productos!$AG:$AG,$I2))</f>
        <v/>
      </c>
      <c r="I120" s="136">
        <f>LET(_xlpm.r,Productos!$E$2:$E$1063,_xlpm.m,IFERROR(_xlfn.XMATCH(C120,_xlpm.r),IFERROR(_xlfn.XMATCH(VALUE(C120),_xlpm.r),0)),IF(_xlpm.m=0,"",_xlpm.m+1))</f>
        <v/>
      </c>
      <c r="J120" s="137" t="inlineStr">
        <is>
          <t>NetSuite</t>
        </is>
      </c>
    </row>
    <row r="121">
      <c r="A121" s="5" t="inlineStr">
        <is>
          <t>WB OUTLET LERMA</t>
        </is>
      </c>
      <c r="B121" s="5">
        <f>IF($I2="","",INDEX(Productos!$A:$A,$I2))</f>
        <v/>
      </c>
      <c r="C121" s="134" t="inlineStr">
        <is>
          <t>WG195-W055KH-UNI</t>
        </is>
      </c>
      <c r="D121" s="5">
        <f>IF($I2="","",INDEX(Productos!$B:$B,$I2))</f>
        <v/>
      </c>
      <c r="E121" s="5">
        <f>IF($I2="","",INDEX(Productos!$H:$H,$I2))</f>
        <v/>
      </c>
      <c r="F121" s="5">
        <f>IF($I2="","",INDEX(Productos!$I:$I,$I2))</f>
        <v/>
      </c>
      <c r="G121" s="135" t="n">
        <v>-3</v>
      </c>
      <c r="H121" s="5">
        <f>IF($I2="","",INDEX(Productos!$AG:$AG,$I2))</f>
        <v/>
      </c>
      <c r="I121" s="136">
        <f>LET(_xlpm.r,Productos!$E$2:$E$1063,_xlpm.m,IFERROR(_xlfn.XMATCH(C121,_xlpm.r),IFERROR(_xlfn.XMATCH(VALUE(C121),_xlpm.r),0)),IF(_xlpm.m=0,"",_xlpm.m+1))</f>
        <v/>
      </c>
      <c r="J121" s="137" t="inlineStr">
        <is>
          <t>NetSuite</t>
        </is>
      </c>
    </row>
    <row r="122">
      <c r="A122" s="5" t="inlineStr">
        <is>
          <t>WB OUTLET LERMA</t>
        </is>
      </c>
      <c r="B122" s="5">
        <f>IF($I2="","",INDEX(Productos!$A:$A,$I2))</f>
        <v/>
      </c>
      <c r="C122" s="134" t="inlineStr">
        <is>
          <t>WG196-W056BR-UNI</t>
        </is>
      </c>
      <c r="D122" s="5">
        <f>IF($I2="","",INDEX(Productos!$B:$B,$I2))</f>
        <v/>
      </c>
      <c r="E122" s="5">
        <f>IF($I2="","",INDEX(Productos!$H:$H,$I2))</f>
        <v/>
      </c>
      <c r="F122" s="5">
        <f>IF($I2="","",INDEX(Productos!$I:$I,$I2))</f>
        <v/>
      </c>
      <c r="G122" s="135" t="n">
        <v>-2</v>
      </c>
      <c r="H122" s="5">
        <f>IF($I2="","",INDEX(Productos!$AG:$AG,$I2))</f>
        <v/>
      </c>
      <c r="I122" s="136">
        <f>LET(_xlpm.r,Productos!$E$2:$E$1063,_xlpm.m,IFERROR(_xlfn.XMATCH(C122,_xlpm.r),IFERROR(_xlfn.XMATCH(VALUE(C122),_xlpm.r),0)),IF(_xlpm.m=0,"",_xlpm.m+1))</f>
        <v/>
      </c>
      <c r="J122" s="137" t="inlineStr">
        <is>
          <t>NetSuite</t>
        </is>
      </c>
    </row>
    <row r="123">
      <c r="A123" s="5" t="inlineStr">
        <is>
          <t>WB OUTLET LERMA</t>
        </is>
      </c>
      <c r="B123" s="5">
        <f>IF($I2="","",INDEX(Productos!$A:$A,$I2))</f>
        <v/>
      </c>
      <c r="C123" s="134" t="inlineStr">
        <is>
          <t>WG211-8014BR-UNI</t>
        </is>
      </c>
      <c r="D123" s="5">
        <f>IF($I2="","",INDEX(Productos!$B:$B,$I2))</f>
        <v/>
      </c>
      <c r="E123" s="5">
        <f>IF($I2="","",INDEX(Productos!$H:$H,$I2))</f>
        <v/>
      </c>
      <c r="F123" s="5">
        <f>IF($I2="","",INDEX(Productos!$I:$I,$I2))</f>
        <v/>
      </c>
      <c r="G123" s="135" t="n">
        <v>-2</v>
      </c>
      <c r="H123" s="5">
        <f>IF($I2="","",INDEX(Productos!$AG:$AG,$I2))</f>
        <v/>
      </c>
      <c r="I123" s="136">
        <f>LET(_xlpm.r,Productos!$E$2:$E$1063,_xlpm.m,IFERROR(_xlfn.XMATCH(C123,_xlpm.r),IFERROR(_xlfn.XMATCH(VALUE(C123),_xlpm.r),0)),IF(_xlpm.m=0,"",_xlpm.m+1))</f>
        <v/>
      </c>
      <c r="J123" s="137" t="inlineStr">
        <is>
          <t>NetSuite</t>
        </is>
      </c>
    </row>
    <row r="124">
      <c r="A124" s="5" t="inlineStr">
        <is>
          <t>WB OUTLET LERMA</t>
        </is>
      </c>
      <c r="B124" s="5">
        <f>IF($I2="","",INDEX(Productos!$A:$A,$I2))</f>
        <v/>
      </c>
      <c r="C124" s="134" t="inlineStr">
        <is>
          <t>WG241-2022BR-UNI</t>
        </is>
      </c>
      <c r="D124" s="5">
        <f>IF($I2="","",INDEX(Productos!$B:$B,$I2))</f>
        <v/>
      </c>
      <c r="E124" s="5">
        <f>IF($I2="","",INDEX(Productos!$H:$H,$I2))</f>
        <v/>
      </c>
      <c r="F124" s="5">
        <f>IF($I2="","",INDEX(Productos!$I:$I,$I2))</f>
        <v/>
      </c>
      <c r="G124" s="135" t="n">
        <v>-5</v>
      </c>
      <c r="H124" s="5">
        <f>IF($I2="","",INDEX(Productos!$AG:$AG,$I2))</f>
        <v/>
      </c>
      <c r="I124" s="136">
        <f>LET(_xlpm.r,Productos!$E$2:$E$1063,_xlpm.m,IFERROR(_xlfn.XMATCH(C124,_xlpm.r),IFERROR(_xlfn.XMATCH(VALUE(C124),_xlpm.r),0)),IF(_xlpm.m=0,"",_xlpm.m+1))</f>
        <v/>
      </c>
      <c r="J124" s="137" t="inlineStr">
        <is>
          <t>NetSuite</t>
        </is>
      </c>
    </row>
    <row r="125">
      <c r="A125" s="5" t="inlineStr">
        <is>
          <t>WB OUTLET LERMA</t>
        </is>
      </c>
      <c r="B125" s="5">
        <f>IF($I2="","",INDEX(Productos!$A:$A,$I2))</f>
        <v/>
      </c>
      <c r="C125" s="134" t="inlineStr">
        <is>
          <t>WG331-2005PK-UNI</t>
        </is>
      </c>
      <c r="D125" s="5">
        <f>IF($I2="","",INDEX(Productos!$B:$B,$I2))</f>
        <v/>
      </c>
      <c r="E125" s="5">
        <f>IF($I2="","",INDEX(Productos!$H:$H,$I2))</f>
        <v/>
      </c>
      <c r="F125" s="5">
        <f>IF($I2="","",INDEX(Productos!$I:$I,$I2))</f>
        <v/>
      </c>
      <c r="G125" s="135" t="n">
        <v>-3</v>
      </c>
      <c r="H125" s="5">
        <f>IF($I2="","",INDEX(Productos!$AG:$AG,$I2))</f>
        <v/>
      </c>
      <c r="I125" s="136">
        <f>LET(_xlpm.r,Productos!$E$2:$E$1063,_xlpm.m,IFERROR(_xlfn.XMATCH(C125,_xlpm.r),IFERROR(_xlfn.XMATCH(VALUE(C125),_xlpm.r),0)),IF(_xlpm.m=0,"",_xlpm.m+1))</f>
        <v/>
      </c>
      <c r="J125" s="137" t="inlineStr">
        <is>
          <t>NetSuite</t>
        </is>
      </c>
    </row>
    <row r="126">
      <c r="A126" s="5" t="inlineStr">
        <is>
          <t>WB OUTLET LERMA</t>
        </is>
      </c>
      <c r="B126" s="5">
        <f>IF($I2="","",INDEX(Productos!$A:$A,$I2))</f>
        <v/>
      </c>
      <c r="C126" s="134" t="inlineStr">
        <is>
          <t>WG337-2003BK-UNI</t>
        </is>
      </c>
      <c r="D126" s="5">
        <f>IF($I2="","",INDEX(Productos!$B:$B,$I2))</f>
        <v/>
      </c>
      <c r="E126" s="5">
        <f>IF($I2="","",INDEX(Productos!$H:$H,$I2))</f>
        <v/>
      </c>
      <c r="F126" s="5">
        <f>IF($I2="","",INDEX(Productos!$I:$I,$I2))</f>
        <v/>
      </c>
      <c r="G126" s="135" t="n">
        <v>1</v>
      </c>
      <c r="H126" s="5">
        <f>IF($I2="","",INDEX(Productos!$AG:$AG,$I2))</f>
        <v/>
      </c>
      <c r="I126" s="136">
        <f>LET(_xlpm.r,Productos!$E$2:$E$1063,_xlpm.m,IFERROR(_xlfn.XMATCH(C126,_xlpm.r),IFERROR(_xlfn.XMATCH(VALUE(C126),_xlpm.r),0)),IF(_xlpm.m=0,"",_xlpm.m+1))</f>
        <v/>
      </c>
      <c r="J126" s="137" t="inlineStr">
        <is>
          <t>NetSuite</t>
        </is>
      </c>
    </row>
    <row r="127">
      <c r="A127" s="5" t="inlineStr">
        <is>
          <t>WB OUTLET LERMA</t>
        </is>
      </c>
      <c r="B127" s="5">
        <f>IF($I2="","",INDEX(Productos!$A:$A,$I2))</f>
        <v/>
      </c>
      <c r="C127" s="134" t="inlineStr">
        <is>
          <t>WG337-2003BR-UNI</t>
        </is>
      </c>
      <c r="D127" s="5">
        <f>IF($I2="","",INDEX(Productos!$B:$B,$I2))</f>
        <v/>
      </c>
      <c r="E127" s="5">
        <f>IF($I2="","",INDEX(Productos!$H:$H,$I2))</f>
        <v/>
      </c>
      <c r="F127" s="5">
        <f>IF($I2="","",INDEX(Productos!$I:$I,$I2))</f>
        <v/>
      </c>
      <c r="G127" s="135" t="n">
        <v>-3</v>
      </c>
      <c r="H127" s="5">
        <f>IF($I2="","",INDEX(Productos!$AG:$AG,$I2))</f>
        <v/>
      </c>
      <c r="I127" s="136">
        <f>LET(_xlpm.r,Productos!$E$2:$E$1063,_xlpm.m,IFERROR(_xlfn.XMATCH(C127,_xlpm.r),IFERROR(_xlfn.XMATCH(VALUE(C127),_xlpm.r),0)),IF(_xlpm.m=0,"",_xlpm.m+1))</f>
        <v/>
      </c>
      <c r="J127" s="137" t="inlineStr">
        <is>
          <t>NetSuite</t>
        </is>
      </c>
    </row>
    <row r="128">
      <c r="A128" s="5" t="inlineStr">
        <is>
          <t>WB OUTLET LERMA</t>
        </is>
      </c>
      <c r="B128" s="5">
        <f>IF($I2="","",INDEX(Productos!$A:$A,$I2))</f>
        <v/>
      </c>
      <c r="C128" s="134" t="inlineStr">
        <is>
          <t>WG389-8119CF-UNI</t>
        </is>
      </c>
      <c r="D128" s="5">
        <f>IF($I2="","",INDEX(Productos!$B:$B,$I2))</f>
        <v/>
      </c>
      <c r="E128" s="5">
        <f>IF($I2="","",INDEX(Productos!$H:$H,$I2))</f>
        <v/>
      </c>
      <c r="F128" s="5">
        <f>IF($I2="","",INDEX(Productos!$I:$I,$I2))</f>
        <v/>
      </c>
      <c r="G128" s="135" t="n">
        <v>-2</v>
      </c>
      <c r="H128" s="5">
        <f>IF($I2="","",INDEX(Productos!$AG:$AG,$I2))</f>
        <v/>
      </c>
      <c r="I128" s="136">
        <f>LET(_xlpm.r,Productos!$E$2:$E$1063,_xlpm.m,IFERROR(_xlfn.XMATCH(C128,_xlpm.r),IFERROR(_xlfn.XMATCH(VALUE(C128),_xlpm.r),0)),IF(_xlpm.m=0,"",_xlpm.m+1))</f>
        <v/>
      </c>
      <c r="J128" s="137" t="inlineStr">
        <is>
          <t>NetSuite</t>
        </is>
      </c>
    </row>
    <row r="129">
      <c r="A129" s="5" t="inlineStr">
        <is>
          <t>WB OUTLET LERMA</t>
        </is>
      </c>
      <c r="B129" s="5">
        <f>IF($I2="","",INDEX(Productos!$A:$A,$I2))</f>
        <v/>
      </c>
      <c r="C129" s="134" t="inlineStr">
        <is>
          <t>WG389-8119RD-UNI</t>
        </is>
      </c>
      <c r="D129" s="5">
        <f>IF($I2="","",INDEX(Productos!$B:$B,$I2))</f>
        <v/>
      </c>
      <c r="E129" s="5">
        <f>IF($I2="","",INDEX(Productos!$H:$H,$I2))</f>
        <v/>
      </c>
      <c r="F129" s="5">
        <f>IF($I2="","",INDEX(Productos!$I:$I,$I2))</f>
        <v/>
      </c>
      <c r="G129" s="135" t="n">
        <v>-2</v>
      </c>
      <c r="H129" s="5">
        <f>IF($I2="","",INDEX(Productos!$AG:$AG,$I2))</f>
        <v/>
      </c>
      <c r="I129" s="136">
        <f>LET(_xlpm.r,Productos!$E$2:$E$1063,_xlpm.m,IFERROR(_xlfn.XMATCH(C129,_xlpm.r),IFERROR(_xlfn.XMATCH(VALUE(C129),_xlpm.r),0)),IF(_xlpm.m=0,"",_xlpm.m+1))</f>
        <v/>
      </c>
      <c r="J129" s="137" t="inlineStr">
        <is>
          <t>NetSuite</t>
        </is>
      </c>
    </row>
    <row r="130">
      <c r="A130" s="5" t="inlineStr">
        <is>
          <t>WB OUTLET LERMA</t>
        </is>
      </c>
      <c r="B130" s="5">
        <f>IF($I2="","",INDEX(Productos!$A:$A,$I2))</f>
        <v/>
      </c>
      <c r="C130" s="134" t="inlineStr">
        <is>
          <t>WGH-1007BG-UNI</t>
        </is>
      </c>
      <c r="D130" s="5">
        <f>IF($I2="","",INDEX(Productos!$B:$B,$I2))</f>
        <v/>
      </c>
      <c r="E130" s="5">
        <f>IF($I2="","",INDEX(Productos!$H:$H,$I2))</f>
        <v/>
      </c>
      <c r="F130" s="5">
        <f>IF($I2="","",INDEX(Productos!$I:$I,$I2))</f>
        <v/>
      </c>
      <c r="G130" s="135" t="n">
        <v>14</v>
      </c>
      <c r="H130" s="5">
        <f>IF($I2="","",INDEX(Productos!$AG:$AG,$I2))</f>
        <v/>
      </c>
      <c r="I130" s="136">
        <f>LET(_xlpm.r,Productos!$E$2:$E$1063,_xlpm.m,IFERROR(_xlfn.XMATCH(C130,_xlpm.r),IFERROR(_xlfn.XMATCH(VALUE(C130),_xlpm.r),0)),IF(_xlpm.m=0,"",_xlpm.m+1))</f>
        <v/>
      </c>
      <c r="J130" s="137" t="inlineStr">
        <is>
          <t>NetSuite</t>
        </is>
      </c>
    </row>
    <row r="131">
      <c r="A131" s="5" t="inlineStr">
        <is>
          <t>WB OUTLET LERMA</t>
        </is>
      </c>
      <c r="B131" s="5">
        <f>IF($I2="","",INDEX(Productos!$A:$A,$I2))</f>
        <v/>
      </c>
      <c r="C131" s="134" t="inlineStr">
        <is>
          <t>WGH-1007BK-UNI</t>
        </is>
      </c>
      <c r="D131" s="5">
        <f>IF($I2="","",INDEX(Productos!$B:$B,$I2))</f>
        <v/>
      </c>
      <c r="E131" s="5">
        <f>IF($I2="","",INDEX(Productos!$H:$H,$I2))</f>
        <v/>
      </c>
      <c r="F131" s="5">
        <f>IF($I2="","",INDEX(Productos!$I:$I,$I2))</f>
        <v/>
      </c>
      <c r="G131" s="135" t="n">
        <v>13</v>
      </c>
      <c r="H131" s="5">
        <f>IF($I2="","",INDEX(Productos!$AG:$AG,$I2))</f>
        <v/>
      </c>
      <c r="I131" s="136">
        <f>LET(_xlpm.r,Productos!$E$2:$E$1063,_xlpm.m,IFERROR(_xlfn.XMATCH(C131,_xlpm.r),IFERROR(_xlfn.XMATCH(VALUE(C131),_xlpm.r),0)),IF(_xlpm.m=0,"",_xlpm.m+1))</f>
        <v/>
      </c>
      <c r="J131" s="137" t="inlineStr">
        <is>
          <t>NetSuite</t>
        </is>
      </c>
    </row>
    <row r="132">
      <c r="A132" s="5" t="inlineStr">
        <is>
          <t>WB OUTLET LERMA</t>
        </is>
      </c>
      <c r="B132" s="5">
        <f>IF($I2="","",INDEX(Productos!$A:$A,$I2))</f>
        <v/>
      </c>
      <c r="C132" s="134" t="inlineStr">
        <is>
          <t>WGH-1007BR-UNI</t>
        </is>
      </c>
      <c r="D132" s="5">
        <f>IF($I2="","",INDEX(Productos!$B:$B,$I2))</f>
        <v/>
      </c>
      <c r="E132" s="5">
        <f>IF($I2="","",INDEX(Productos!$H:$H,$I2))</f>
        <v/>
      </c>
      <c r="F132" s="5">
        <f>IF($I2="","",INDEX(Productos!$I:$I,$I2))</f>
        <v/>
      </c>
      <c r="G132" s="135" t="n">
        <v>13</v>
      </c>
      <c r="H132" s="5">
        <f>IF($I2="","",INDEX(Productos!$AG:$AG,$I2))</f>
        <v/>
      </c>
      <c r="I132" s="136">
        <f>LET(_xlpm.r,Productos!$E$2:$E$1063,_xlpm.m,IFERROR(_xlfn.XMATCH(C132,_xlpm.r),IFERROR(_xlfn.XMATCH(VALUE(C132),_xlpm.r),0)),IF(_xlpm.m=0,"",_xlpm.m+1))</f>
        <v/>
      </c>
      <c r="J132" s="137" t="inlineStr">
        <is>
          <t>NetSuite</t>
        </is>
      </c>
    </row>
    <row r="133">
      <c r="A133" s="5" t="inlineStr">
        <is>
          <t>WB OUTLET LERMA</t>
        </is>
      </c>
      <c r="B133" s="5">
        <f>IF($I2="","",INDEX(Productos!$A:$A,$I2))</f>
        <v/>
      </c>
      <c r="C133" s="134" t="inlineStr">
        <is>
          <t>WGH-1007CF-UNI</t>
        </is>
      </c>
      <c r="D133" s="5">
        <f>IF($I2="","",INDEX(Productos!$B:$B,$I2))</f>
        <v/>
      </c>
      <c r="E133" s="5">
        <f>IF($I2="","",INDEX(Productos!$H:$H,$I2))</f>
        <v/>
      </c>
      <c r="F133" s="5">
        <f>IF($I2="","",INDEX(Productos!$I:$I,$I2))</f>
        <v/>
      </c>
      <c r="G133" s="135" t="n">
        <v>15</v>
      </c>
      <c r="H133" s="5">
        <f>IF($I2="","",INDEX(Productos!$AG:$AG,$I2))</f>
        <v/>
      </c>
      <c r="I133" s="136">
        <f>LET(_xlpm.r,Productos!$E$2:$E$1063,_xlpm.m,IFERROR(_xlfn.XMATCH(C133,_xlpm.r),IFERROR(_xlfn.XMATCH(VALUE(C133),_xlpm.r),0)),IF(_xlpm.m=0,"",_xlpm.m+1))</f>
        <v/>
      </c>
      <c r="J133" s="137" t="inlineStr">
        <is>
          <t>NetSuite</t>
        </is>
      </c>
    </row>
    <row r="134">
      <c r="A134" s="5" t="inlineStr">
        <is>
          <t>WB OUTLET LERMA</t>
        </is>
      </c>
      <c r="B134" s="5">
        <f>IF($I2="","",INDEX(Productos!$A:$A,$I2))</f>
        <v/>
      </c>
      <c r="C134" s="134" t="inlineStr">
        <is>
          <t>WGH-1007PK-UNI</t>
        </is>
      </c>
      <c r="D134" s="5">
        <f>IF($I2="","",INDEX(Productos!$B:$B,$I2))</f>
        <v/>
      </c>
      <c r="E134" s="5">
        <f>IF($I2="","",INDEX(Productos!$H:$H,$I2))</f>
        <v/>
      </c>
      <c r="F134" s="5">
        <f>IF($I2="","",INDEX(Productos!$I:$I,$I2))</f>
        <v/>
      </c>
      <c r="G134" s="135" t="n">
        <v>9</v>
      </c>
      <c r="H134" s="5">
        <f>IF($I2="","",INDEX(Productos!$AG:$AG,$I2))</f>
        <v/>
      </c>
      <c r="I134" s="136">
        <f>LET(_xlpm.r,Productos!$E$2:$E$1063,_xlpm.m,IFERROR(_xlfn.XMATCH(C134,_xlpm.r),IFERROR(_xlfn.XMATCH(VALUE(C134),_xlpm.r),0)),IF(_xlpm.m=0,"",_xlpm.m+1))</f>
        <v/>
      </c>
      <c r="J134" s="137" t="inlineStr">
        <is>
          <t>NetSuite</t>
        </is>
      </c>
    </row>
    <row r="135">
      <c r="A135" s="5" t="inlineStr">
        <is>
          <t>WB OUTLET LERMA</t>
        </is>
      </c>
      <c r="B135" s="5">
        <f>IF($I2="","",INDEX(Productos!$A:$A,$I2))</f>
        <v/>
      </c>
      <c r="C135" s="134" t="inlineStr">
        <is>
          <t>WGH-1008BK-UNI</t>
        </is>
      </c>
      <c r="D135" s="5">
        <f>IF($I2="","",INDEX(Productos!$B:$B,$I2))</f>
        <v/>
      </c>
      <c r="E135" s="5">
        <f>IF($I2="","",INDEX(Productos!$H:$H,$I2))</f>
        <v/>
      </c>
      <c r="F135" s="5">
        <f>IF($I2="","",INDEX(Productos!$I:$I,$I2))</f>
        <v/>
      </c>
      <c r="G135" s="135" t="n">
        <v>13</v>
      </c>
      <c r="H135" s="5">
        <f>IF($I2="","",INDEX(Productos!$AG:$AG,$I2))</f>
        <v/>
      </c>
      <c r="I135" s="136">
        <f>LET(_xlpm.r,Productos!$E$2:$E$1063,_xlpm.m,IFERROR(_xlfn.XMATCH(C135,_xlpm.r),IFERROR(_xlfn.XMATCH(VALUE(C135),_xlpm.r),0)),IF(_xlpm.m=0,"",_xlpm.m+1))</f>
        <v/>
      </c>
      <c r="J135" s="137" t="inlineStr">
        <is>
          <t>NetSuite</t>
        </is>
      </c>
    </row>
    <row r="136">
      <c r="A136" s="5" t="inlineStr">
        <is>
          <t>WB OUTLET LERMA</t>
        </is>
      </c>
      <c r="B136" s="5">
        <f>IF($I2="","",INDEX(Productos!$A:$A,$I2))</f>
        <v/>
      </c>
      <c r="C136" s="134" t="inlineStr">
        <is>
          <t>WRBX-98-UNI</t>
        </is>
      </c>
      <c r="D136" s="5">
        <f>IF($I2="","",INDEX(Productos!$B:$B,$I2))</f>
        <v/>
      </c>
      <c r="E136" s="5">
        <f>IF($I2="","",INDEX(Productos!$H:$H,$I2))</f>
        <v/>
      </c>
      <c r="F136" s="5">
        <f>IF($I2="","",INDEX(Productos!$I:$I,$I2))</f>
        <v/>
      </c>
      <c r="G136" s="135" t="n">
        <v>15</v>
      </c>
      <c r="H136" s="5">
        <f>IF($I2="","",INDEX(Productos!$AG:$AG,$I2))</f>
        <v/>
      </c>
      <c r="I136" s="136">
        <f>LET(_xlpm.r,Productos!$E$2:$E$1063,_xlpm.m,IFERROR(_xlfn.XMATCH(C136,_xlpm.r),IFERROR(_xlfn.XMATCH(VALUE(C136),_xlpm.r),0)),IF(_xlpm.m=0,"",_xlpm.m+1))</f>
        <v/>
      </c>
      <c r="J136" s="137" t="inlineStr">
        <is>
          <t>NetSuite</t>
        </is>
      </c>
    </row>
    <row r="137">
      <c r="A137" s="5" t="inlineStr">
        <is>
          <t>Shopify Western Brothers › Western Brothers Outlet Lerma</t>
        </is>
      </c>
      <c r="B137" s="5">
        <f>IF($I2="","",INDEX(Productos!$A:$A,$I2))</f>
        <v/>
      </c>
      <c r="C137" s="134" t="inlineStr">
        <is>
          <t>1261-1085-10001-UNI</t>
        </is>
      </c>
      <c r="D137" s="5">
        <f>IF($I2="","",INDEX(Productos!$B:$B,$I2))</f>
        <v/>
      </c>
      <c r="E137" s="5">
        <f>IF($I2="","",INDEX(Productos!$H:$H,$I2))</f>
        <v/>
      </c>
      <c r="F137" s="5">
        <f>IF($I2="","",INDEX(Productos!$I:$I,$I2))</f>
        <v/>
      </c>
      <c r="G137" s="135" t="n">
        <v>9</v>
      </c>
      <c r="H137" s="5">
        <f>IF($I2="","",INDEX(Productos!$AG:$AG,$I2))</f>
        <v/>
      </c>
      <c r="I137" s="136">
        <f>LET(_xlpm.r,Productos!$E$2:$E$1063,_xlpm.m,IFERROR(_xlfn.XMATCH(C137,_xlpm.r),IFERROR(_xlfn.XMATCH(VALUE(C137),_xlpm.r),0)),IF(_xlpm.m=0,"",_xlpm.m+1))</f>
        <v/>
      </c>
      <c r="J137" s="137" t="inlineStr">
        <is>
          <t>Shopify</t>
        </is>
      </c>
    </row>
    <row r="138">
      <c r="A138" s="5" t="inlineStr">
        <is>
          <t>Shopify Western Brothers › Western Brothers Outlet Lerma</t>
        </is>
      </c>
      <c r="B138" s="5">
        <f>IF($I2="","",INDEX(Productos!$A:$A,$I2))</f>
        <v/>
      </c>
      <c r="C138" s="134" t="inlineStr">
        <is>
          <t>1261-1085-10003-UNI</t>
        </is>
      </c>
      <c r="D138" s="5">
        <f>IF($I2="","",INDEX(Productos!$B:$B,$I2))</f>
        <v/>
      </c>
      <c r="E138" s="5">
        <f>IF($I2="","",INDEX(Productos!$H:$H,$I2))</f>
        <v/>
      </c>
      <c r="F138" s="5">
        <f>IF($I2="","",INDEX(Productos!$I:$I,$I2))</f>
        <v/>
      </c>
      <c r="G138" s="135" t="n">
        <v>12</v>
      </c>
      <c r="H138" s="5">
        <f>IF($I2="","",INDEX(Productos!$AG:$AG,$I2))</f>
        <v/>
      </c>
      <c r="I138" s="136">
        <f>LET(_xlpm.r,Productos!$E$2:$E$1063,_xlpm.m,IFERROR(_xlfn.XMATCH(C138,_xlpm.r),IFERROR(_xlfn.XMATCH(VALUE(C138),_xlpm.r),0)),IF(_xlpm.m=0,"",_xlpm.m+1))</f>
        <v/>
      </c>
      <c r="J138" s="137" t="inlineStr">
        <is>
          <t>Shopify</t>
        </is>
      </c>
    </row>
    <row r="139">
      <c r="A139" s="5" t="inlineStr">
        <is>
          <t>Shopify Western Brothers › Western Brothers Outlet Lerma</t>
        </is>
      </c>
      <c r="B139" s="5">
        <f>IF($I2="","",INDEX(Productos!$A:$A,$I2))</f>
        <v/>
      </c>
      <c r="C139" s="134" t="inlineStr">
        <is>
          <t>1261-1085-10004</t>
        </is>
      </c>
      <c r="D139" s="5">
        <f>IF($I2="","",INDEX(Productos!$B:$B,$I2))</f>
        <v/>
      </c>
      <c r="E139" s="5">
        <f>IF($I2="","",INDEX(Productos!$H:$H,$I2))</f>
        <v/>
      </c>
      <c r="F139" s="5">
        <f>IF($I2="","",INDEX(Productos!$I:$I,$I2))</f>
        <v/>
      </c>
      <c r="G139" s="135" t="n">
        <v>8</v>
      </c>
      <c r="H139" s="5">
        <f>IF($I2="","",INDEX(Productos!$AG:$AG,$I2))</f>
        <v/>
      </c>
      <c r="I139" s="136">
        <f>LET(_xlpm.r,Productos!$E$2:$E$1063,_xlpm.m,IFERROR(_xlfn.XMATCH(C139,_xlpm.r),IFERROR(_xlfn.XMATCH(VALUE(C139),_xlpm.r),0)),IF(_xlpm.m=0,"",_xlpm.m+1))</f>
        <v/>
      </c>
      <c r="J139" s="137" t="inlineStr">
        <is>
          <t>Shopify</t>
        </is>
      </c>
    </row>
    <row r="140">
      <c r="A140" s="5" t="inlineStr">
        <is>
          <t>Shopify Western Brothers › Western Brothers Outlet Lerma</t>
        </is>
      </c>
      <c r="B140" s="5">
        <f>IF($I2="","",INDEX(Productos!$A:$A,$I2))</f>
        <v/>
      </c>
      <c r="C140" s="134" t="inlineStr">
        <is>
          <t>1261-1085-10005</t>
        </is>
      </c>
      <c r="D140" s="5">
        <f>IF($I2="","",INDEX(Productos!$B:$B,$I2))</f>
        <v/>
      </c>
      <c r="E140" s="5">
        <f>IF($I2="","",INDEX(Productos!$H:$H,$I2))</f>
        <v/>
      </c>
      <c r="F140" s="5">
        <f>IF($I2="","",INDEX(Productos!$I:$I,$I2))</f>
        <v/>
      </c>
      <c r="G140" s="135" t="n">
        <v>6</v>
      </c>
      <c r="H140" s="5">
        <f>IF($I2="","",INDEX(Productos!$AG:$AG,$I2))</f>
        <v/>
      </c>
      <c r="I140" s="136">
        <f>LET(_xlpm.r,Productos!$E$2:$E$1063,_xlpm.m,IFERROR(_xlfn.XMATCH(C140,_xlpm.r),IFERROR(_xlfn.XMATCH(VALUE(C140),_xlpm.r),0)),IF(_xlpm.m=0,"",_xlpm.m+1))</f>
        <v/>
      </c>
      <c r="J140" s="137" t="inlineStr">
        <is>
          <t>Shopify</t>
        </is>
      </c>
    </row>
    <row r="141">
      <c r="A141" s="5" t="inlineStr">
        <is>
          <t>Shopify Western Brothers › Western Brothers Outlet Lerma</t>
        </is>
      </c>
      <c r="B141" s="5">
        <f>IF($I2="","",INDEX(Productos!$A:$A,$I2))</f>
        <v/>
      </c>
      <c r="C141" s="134" t="inlineStr">
        <is>
          <t>1261-1085-10006</t>
        </is>
      </c>
      <c r="D141" s="5">
        <f>IF($I2="","",INDEX(Productos!$B:$B,$I2))</f>
        <v/>
      </c>
      <c r="E141" s="5">
        <f>IF($I2="","",INDEX(Productos!$H:$H,$I2))</f>
        <v/>
      </c>
      <c r="F141" s="5">
        <f>IF($I2="","",INDEX(Productos!$I:$I,$I2))</f>
        <v/>
      </c>
      <c r="G141" s="135" t="n">
        <v>6</v>
      </c>
      <c r="H141" s="5">
        <f>IF($I2="","",INDEX(Productos!$AG:$AG,$I2))</f>
        <v/>
      </c>
      <c r="I141" s="136">
        <f>LET(_xlpm.r,Productos!$E$2:$E$1063,_xlpm.m,IFERROR(_xlfn.XMATCH(C141,_xlpm.r),IFERROR(_xlfn.XMATCH(VALUE(C141),_xlpm.r),0)),IF(_xlpm.m=0,"",_xlpm.m+1))</f>
        <v/>
      </c>
      <c r="J141" s="137" t="inlineStr">
        <is>
          <t>Shopify</t>
        </is>
      </c>
    </row>
    <row r="142">
      <c r="A142" s="5" t="inlineStr">
        <is>
          <t>Shopify Western Brothers › Western Brothers Outlet Lerma</t>
        </is>
      </c>
      <c r="B142" s="5">
        <f>IF($I2="","",INDEX(Productos!$A:$A,$I2))</f>
        <v/>
      </c>
      <c r="C142" s="134" t="inlineStr">
        <is>
          <t>1261-1085-10007</t>
        </is>
      </c>
      <c r="D142" s="5">
        <f>IF($I2="","",INDEX(Productos!$B:$B,$I2))</f>
        <v/>
      </c>
      <c r="E142" s="5">
        <f>IF($I2="","",INDEX(Productos!$H:$H,$I2))</f>
        <v/>
      </c>
      <c r="F142" s="5">
        <f>IF($I2="","",INDEX(Productos!$I:$I,$I2))</f>
        <v/>
      </c>
      <c r="G142" s="135" t="n">
        <v>6</v>
      </c>
      <c r="H142" s="5">
        <f>IF($I2="","",INDEX(Productos!$AG:$AG,$I2))</f>
        <v/>
      </c>
      <c r="I142" s="136">
        <f>LET(_xlpm.r,Productos!$E$2:$E$1063,_xlpm.m,IFERROR(_xlfn.XMATCH(C142,_xlpm.r),IFERROR(_xlfn.XMATCH(VALUE(C142),_xlpm.r),0)),IF(_xlpm.m=0,"",_xlpm.m+1))</f>
        <v/>
      </c>
      <c r="J142" s="137" t="inlineStr">
        <is>
          <t>Shopify</t>
        </is>
      </c>
    </row>
    <row r="143">
      <c r="A143" s="5" t="inlineStr">
        <is>
          <t>Shopify Western Brothers › Western Brothers Outlet Lerma</t>
        </is>
      </c>
      <c r="B143" s="5">
        <f>IF($I2="","",INDEX(Productos!$A:$A,$I2))</f>
        <v/>
      </c>
      <c r="C143" s="134" t="inlineStr">
        <is>
          <t>1261-1085-10009</t>
        </is>
      </c>
      <c r="D143" s="5">
        <f>IF($I2="","",INDEX(Productos!$B:$B,$I2))</f>
        <v/>
      </c>
      <c r="E143" s="5">
        <f>IF($I2="","",INDEX(Productos!$H:$H,$I2))</f>
        <v/>
      </c>
      <c r="F143" s="5">
        <f>IF($I2="","",INDEX(Productos!$I:$I,$I2))</f>
        <v/>
      </c>
      <c r="G143" s="135" t="n">
        <v>5</v>
      </c>
      <c r="H143" s="5">
        <f>IF($I2="","",INDEX(Productos!$AG:$AG,$I2))</f>
        <v/>
      </c>
      <c r="I143" s="136">
        <f>LET(_xlpm.r,Productos!$E$2:$E$1063,_xlpm.m,IFERROR(_xlfn.XMATCH(C143,_xlpm.r),IFERROR(_xlfn.XMATCH(VALUE(C143),_xlpm.r),0)),IF(_xlpm.m=0,"",_xlpm.m+1))</f>
        <v/>
      </c>
      <c r="J143" s="137" t="inlineStr">
        <is>
          <t>Shopify</t>
        </is>
      </c>
    </row>
    <row r="144">
      <c r="A144" s="5" t="inlineStr">
        <is>
          <t>Shopify Western Brothers › Western Brothers Outlet Lerma</t>
        </is>
      </c>
      <c r="B144" s="5">
        <f>IF($I2="","",INDEX(Productos!$A:$A,$I2))</f>
        <v/>
      </c>
      <c r="C144" s="134" t="inlineStr">
        <is>
          <t>1261-1085-10010</t>
        </is>
      </c>
      <c r="D144" s="5">
        <f>IF($I2="","",INDEX(Productos!$B:$B,$I2))</f>
        <v/>
      </c>
      <c r="E144" s="5">
        <f>IF($I2="","",INDEX(Productos!$H:$H,$I2))</f>
        <v/>
      </c>
      <c r="F144" s="5">
        <f>IF($I2="","",INDEX(Productos!$I:$I,$I2))</f>
        <v/>
      </c>
      <c r="G144" s="135" t="n">
        <v>5</v>
      </c>
      <c r="H144" s="5">
        <f>IF($I2="","",INDEX(Productos!$AG:$AG,$I2))</f>
        <v/>
      </c>
      <c r="I144" s="136">
        <f>LET(_xlpm.r,Productos!$E$2:$E$1063,_xlpm.m,IFERROR(_xlfn.XMATCH(C144,_xlpm.r),IFERROR(_xlfn.XMATCH(VALUE(C144),_xlpm.r),0)),IF(_xlpm.m=0,"",_xlpm.m+1))</f>
        <v/>
      </c>
      <c r="J144" s="137" t="inlineStr">
        <is>
          <t>Shopify</t>
        </is>
      </c>
    </row>
    <row r="145">
      <c r="A145" s="5" t="inlineStr">
        <is>
          <t>Shopify Western Brothers › Western Brothers Outlet Lerma</t>
        </is>
      </c>
      <c r="B145" s="5">
        <f>IF($I2="","",INDEX(Productos!$A:$A,$I2))</f>
        <v/>
      </c>
      <c r="C145" s="134" t="inlineStr">
        <is>
          <t>1261-1085-10014</t>
        </is>
      </c>
      <c r="D145" s="5">
        <f>IF($I2="","",INDEX(Productos!$B:$B,$I2))</f>
        <v/>
      </c>
      <c r="E145" s="5">
        <f>IF($I2="","",INDEX(Productos!$H:$H,$I2))</f>
        <v/>
      </c>
      <c r="F145" s="5">
        <f>IF($I2="","",INDEX(Productos!$I:$I,$I2))</f>
        <v/>
      </c>
      <c r="G145" s="135" t="n">
        <v>9</v>
      </c>
      <c r="H145" s="5">
        <f>IF($I2="","",INDEX(Productos!$AG:$AG,$I2))</f>
        <v/>
      </c>
      <c r="I145" s="136">
        <f>LET(_xlpm.r,Productos!$E$2:$E$1063,_xlpm.m,IFERROR(_xlfn.XMATCH(C145,_xlpm.r),IFERROR(_xlfn.XMATCH(VALUE(C145),_xlpm.r),0)),IF(_xlpm.m=0,"",_xlpm.m+1))</f>
        <v/>
      </c>
      <c r="J145" s="137" t="inlineStr">
        <is>
          <t>Shopify</t>
        </is>
      </c>
    </row>
    <row r="146">
      <c r="A146" s="5" t="inlineStr">
        <is>
          <t>Shopify Western Brothers › Western Brothers Outlet Lerma</t>
        </is>
      </c>
      <c r="B146" s="5">
        <f>IF($I2="","",INDEX(Productos!$A:$A,$I2))</f>
        <v/>
      </c>
      <c r="C146" s="134" t="inlineStr">
        <is>
          <t>1261-1085-10015</t>
        </is>
      </c>
      <c r="D146" s="5">
        <f>IF($I2="","",INDEX(Productos!$B:$B,$I2))</f>
        <v/>
      </c>
      <c r="E146" s="5">
        <f>IF($I2="","",INDEX(Productos!$H:$H,$I2))</f>
        <v/>
      </c>
      <c r="F146" s="5">
        <f>IF($I2="","",INDEX(Productos!$I:$I,$I2))</f>
        <v/>
      </c>
      <c r="G146" s="135" t="n">
        <v>6</v>
      </c>
      <c r="H146" s="5">
        <f>IF($I2="","",INDEX(Productos!$AG:$AG,$I2))</f>
        <v/>
      </c>
      <c r="I146" s="136">
        <f>LET(_xlpm.r,Productos!$E$2:$E$1063,_xlpm.m,IFERROR(_xlfn.XMATCH(C146,_xlpm.r),IFERROR(_xlfn.XMATCH(VALUE(C146),_xlpm.r),0)),IF(_xlpm.m=0,"",_xlpm.m+1))</f>
        <v/>
      </c>
      <c r="J146" s="137" t="inlineStr">
        <is>
          <t>Shopify</t>
        </is>
      </c>
    </row>
    <row r="147">
      <c r="A147" s="5" t="inlineStr">
        <is>
          <t>Shopify Western Brothers › Western Brothers Outlet Lerma</t>
        </is>
      </c>
      <c r="B147" s="5">
        <f>IF($I2="","",INDEX(Productos!$A:$A,$I2))</f>
        <v/>
      </c>
      <c r="C147" s="134" t="inlineStr">
        <is>
          <t>1261-1085-10016</t>
        </is>
      </c>
      <c r="D147" s="5">
        <f>IF($I2="","",INDEX(Productos!$B:$B,$I2))</f>
        <v/>
      </c>
      <c r="E147" s="5">
        <f>IF($I2="","",INDEX(Productos!$H:$H,$I2))</f>
        <v/>
      </c>
      <c r="F147" s="5">
        <f>IF($I2="","",INDEX(Productos!$I:$I,$I2))</f>
        <v/>
      </c>
      <c r="G147" s="135" t="n">
        <v>8</v>
      </c>
      <c r="H147" s="5">
        <f>IF($I2="","",INDEX(Productos!$AG:$AG,$I2))</f>
        <v/>
      </c>
      <c r="I147" s="136">
        <f>LET(_xlpm.r,Productos!$E$2:$E$1063,_xlpm.m,IFERROR(_xlfn.XMATCH(C147,_xlpm.r),IFERROR(_xlfn.XMATCH(VALUE(C147),_xlpm.r),0)),IF(_xlpm.m=0,"",_xlpm.m+1))</f>
        <v/>
      </c>
      <c r="J147" s="137" t="inlineStr">
        <is>
          <t>Shopify</t>
        </is>
      </c>
    </row>
    <row r="148">
      <c r="A148" s="5" t="inlineStr">
        <is>
          <t>Shopify Western Brothers › Western Brothers Outlet Lerma</t>
        </is>
      </c>
      <c r="B148" s="5">
        <f>IF($I2="","",INDEX(Productos!$A:$A,$I2))</f>
        <v/>
      </c>
      <c r="C148" s="134" t="inlineStr">
        <is>
          <t>1261-1085-10018</t>
        </is>
      </c>
      <c r="D148" s="5">
        <f>IF($I2="","",INDEX(Productos!$B:$B,$I2))</f>
        <v/>
      </c>
      <c r="E148" s="5">
        <f>IF($I2="","",INDEX(Productos!$H:$H,$I2))</f>
        <v/>
      </c>
      <c r="F148" s="5">
        <f>IF($I2="","",INDEX(Productos!$I:$I,$I2))</f>
        <v/>
      </c>
      <c r="G148" s="135" t="n">
        <v>12</v>
      </c>
      <c r="H148" s="5">
        <f>IF($I2="","",INDEX(Productos!$AG:$AG,$I2))</f>
        <v/>
      </c>
      <c r="I148" s="136">
        <f>LET(_xlpm.r,Productos!$E$2:$E$1063,_xlpm.m,IFERROR(_xlfn.XMATCH(C148,_xlpm.r),IFERROR(_xlfn.XMATCH(VALUE(C148),_xlpm.r),0)),IF(_xlpm.m=0,"",_xlpm.m+1))</f>
        <v/>
      </c>
      <c r="J148" s="137" t="inlineStr">
        <is>
          <t>Shopify</t>
        </is>
      </c>
    </row>
    <row r="149">
      <c r="A149" s="5" t="inlineStr">
        <is>
          <t>Shopify Western Brothers › Western Brothers Outlet Lerma</t>
        </is>
      </c>
      <c r="B149" s="5">
        <f>IF($I2="","",INDEX(Productos!$A:$A,$I2))</f>
        <v/>
      </c>
      <c r="C149" s="134" t="inlineStr">
        <is>
          <t>1261-1085-10019</t>
        </is>
      </c>
      <c r="D149" s="5">
        <f>IF($I2="","",INDEX(Productos!$B:$B,$I2))</f>
        <v/>
      </c>
      <c r="E149" s="5">
        <f>IF($I2="","",INDEX(Productos!$H:$H,$I2))</f>
        <v/>
      </c>
      <c r="F149" s="5">
        <f>IF($I2="","",INDEX(Productos!$I:$I,$I2))</f>
        <v/>
      </c>
      <c r="G149" s="135" t="n">
        <v>12</v>
      </c>
      <c r="H149" s="5">
        <f>IF($I2="","",INDEX(Productos!$AG:$AG,$I2))</f>
        <v/>
      </c>
      <c r="I149" s="136">
        <f>LET(_xlpm.r,Productos!$E$2:$E$1063,_xlpm.m,IFERROR(_xlfn.XMATCH(C149,_xlpm.r),IFERROR(_xlfn.XMATCH(VALUE(C149),_xlpm.r),0)),IF(_xlpm.m=0,"",_xlpm.m+1))</f>
        <v/>
      </c>
      <c r="J149" s="137" t="inlineStr">
        <is>
          <t>Shopify</t>
        </is>
      </c>
    </row>
    <row r="150">
      <c r="A150" s="5" t="inlineStr">
        <is>
          <t>Shopify Western Brothers › Western Brothers Outlet Lerma</t>
        </is>
      </c>
      <c r="B150" s="5">
        <f>IF($I2="","",INDEX(Productos!$A:$A,$I2))</f>
        <v/>
      </c>
      <c r="C150" s="134" t="inlineStr">
        <is>
          <t>1261-1085-10021</t>
        </is>
      </c>
      <c r="D150" s="5">
        <f>IF($I2="","",INDEX(Productos!$B:$B,$I2))</f>
        <v/>
      </c>
      <c r="E150" s="5">
        <f>IF($I2="","",INDEX(Productos!$H:$H,$I2))</f>
        <v/>
      </c>
      <c r="F150" s="5">
        <f>IF($I2="","",INDEX(Productos!$I:$I,$I2))</f>
        <v/>
      </c>
      <c r="G150" s="135" t="n">
        <v>9</v>
      </c>
      <c r="H150" s="5">
        <f>IF($I2="","",INDEX(Productos!$AG:$AG,$I2))</f>
        <v/>
      </c>
      <c r="I150" s="136">
        <f>LET(_xlpm.r,Productos!$E$2:$E$1063,_xlpm.m,IFERROR(_xlfn.XMATCH(C150,_xlpm.r),IFERROR(_xlfn.XMATCH(VALUE(C150),_xlpm.r),0)),IF(_xlpm.m=0,"",_xlpm.m+1))</f>
        <v/>
      </c>
      <c r="J150" s="137" t="inlineStr">
        <is>
          <t>Shopify</t>
        </is>
      </c>
    </row>
    <row r="151">
      <c r="A151" s="5" t="inlineStr">
        <is>
          <t>Shopify Western Brothers › Western Brothers Outlet Lerma</t>
        </is>
      </c>
      <c r="B151" s="5">
        <f>IF($I2="","",INDEX(Productos!$A:$A,$I2))</f>
        <v/>
      </c>
      <c r="C151" s="134" t="inlineStr">
        <is>
          <t>1261-1085-10022</t>
        </is>
      </c>
      <c r="D151" s="5">
        <f>IF($I2="","",INDEX(Productos!$B:$B,$I2))</f>
        <v/>
      </c>
      <c r="E151" s="5">
        <f>IF($I2="","",INDEX(Productos!$H:$H,$I2))</f>
        <v/>
      </c>
      <c r="F151" s="5">
        <f>IF($I2="","",INDEX(Productos!$I:$I,$I2))</f>
        <v/>
      </c>
      <c r="G151" s="135" t="n">
        <v>6</v>
      </c>
      <c r="H151" s="5">
        <f>IF($I2="","",INDEX(Productos!$AG:$AG,$I2))</f>
        <v/>
      </c>
      <c r="I151" s="136">
        <f>LET(_xlpm.r,Productos!$E$2:$E$1063,_xlpm.m,IFERROR(_xlfn.XMATCH(C151,_xlpm.r),IFERROR(_xlfn.XMATCH(VALUE(C151),_xlpm.r),0)),IF(_xlpm.m=0,"",_xlpm.m+1))</f>
        <v/>
      </c>
      <c r="J151" s="137" t="inlineStr">
        <is>
          <t>Shopify</t>
        </is>
      </c>
    </row>
    <row r="152">
      <c r="A152" s="5" t="inlineStr">
        <is>
          <t>Shopify Western Brothers › Western Brothers Outlet Lerma</t>
        </is>
      </c>
      <c r="B152" s="5">
        <f>IF($I2="","",INDEX(Productos!$A:$A,$I2))</f>
        <v/>
      </c>
      <c r="C152" s="134" t="inlineStr">
        <is>
          <t>1261-1085-10023</t>
        </is>
      </c>
      <c r="D152" s="5">
        <f>IF($I2="","",INDEX(Productos!$B:$B,$I2))</f>
        <v/>
      </c>
      <c r="E152" s="5">
        <f>IF($I2="","",INDEX(Productos!$H:$H,$I2))</f>
        <v/>
      </c>
      <c r="F152" s="5">
        <f>IF($I2="","",INDEX(Productos!$I:$I,$I2))</f>
        <v/>
      </c>
      <c r="G152" s="135" t="n">
        <v>9</v>
      </c>
      <c r="H152" s="5">
        <f>IF($I2="","",INDEX(Productos!$AG:$AG,$I2))</f>
        <v/>
      </c>
      <c r="I152" s="136">
        <f>LET(_xlpm.r,Productos!$E$2:$E$1063,_xlpm.m,IFERROR(_xlfn.XMATCH(C152,_xlpm.r),IFERROR(_xlfn.XMATCH(VALUE(C152),_xlpm.r),0)),IF(_xlpm.m=0,"",_xlpm.m+1))</f>
        <v/>
      </c>
      <c r="J152" s="137" t="inlineStr">
        <is>
          <t>Shopify</t>
        </is>
      </c>
    </row>
    <row r="153">
      <c r="A153" s="5" t="inlineStr">
        <is>
          <t>Shopify Western Brothers › Western Brothers Outlet Lerma</t>
        </is>
      </c>
      <c r="B153" s="5">
        <f>IF($I2="","",INDEX(Productos!$A:$A,$I2))</f>
        <v/>
      </c>
      <c r="C153" s="134" t="inlineStr">
        <is>
          <t>1261-1085-10024</t>
        </is>
      </c>
      <c r="D153" s="5">
        <f>IF($I2="","",INDEX(Productos!$B:$B,$I2))</f>
        <v/>
      </c>
      <c r="E153" s="5">
        <f>IF($I2="","",INDEX(Productos!$H:$H,$I2))</f>
        <v/>
      </c>
      <c r="F153" s="5">
        <f>IF($I2="","",INDEX(Productos!$I:$I,$I2))</f>
        <v/>
      </c>
      <c r="G153" s="135" t="n">
        <v>9</v>
      </c>
      <c r="H153" s="5">
        <f>IF($I2="","",INDEX(Productos!$AG:$AG,$I2))</f>
        <v/>
      </c>
      <c r="I153" s="136">
        <f>LET(_xlpm.r,Productos!$E$2:$E$1063,_xlpm.m,IFERROR(_xlfn.XMATCH(C153,_xlpm.r),IFERROR(_xlfn.XMATCH(VALUE(C153),_xlpm.r),0)),IF(_xlpm.m=0,"",_xlpm.m+1))</f>
        <v/>
      </c>
      <c r="J153" s="137" t="inlineStr">
        <is>
          <t>Shopify</t>
        </is>
      </c>
    </row>
    <row r="154">
      <c r="A154" s="5" t="inlineStr">
        <is>
          <t>Shopify Western Brothers › Western Brothers Outlet Lerma</t>
        </is>
      </c>
      <c r="B154" s="5">
        <f>IF($I2="","",INDEX(Productos!$A:$A,$I2))</f>
        <v/>
      </c>
      <c r="C154" s="134" t="inlineStr">
        <is>
          <t>1261-1085-10030</t>
        </is>
      </c>
      <c r="D154" s="5">
        <f>IF($I2="","",INDEX(Productos!$B:$B,$I2))</f>
        <v/>
      </c>
      <c r="E154" s="5">
        <f>IF($I2="","",INDEX(Productos!$H:$H,$I2))</f>
        <v/>
      </c>
      <c r="F154" s="5">
        <f>IF($I2="","",INDEX(Productos!$I:$I,$I2))</f>
        <v/>
      </c>
      <c r="G154" s="135" t="n">
        <v>9</v>
      </c>
      <c r="H154" s="5">
        <f>IF($I2="","",INDEX(Productos!$AG:$AG,$I2))</f>
        <v/>
      </c>
      <c r="I154" s="136">
        <f>LET(_xlpm.r,Productos!$E$2:$E$1063,_xlpm.m,IFERROR(_xlfn.XMATCH(C154,_xlpm.r),IFERROR(_xlfn.XMATCH(VALUE(C154),_xlpm.r),0)),IF(_xlpm.m=0,"",_xlpm.m+1))</f>
        <v/>
      </c>
      <c r="J154" s="137" t="inlineStr">
        <is>
          <t>Shopify</t>
        </is>
      </c>
    </row>
    <row r="155">
      <c r="A155" s="5" t="inlineStr">
        <is>
          <t>Shopify Western Brothers › Western Brothers Outlet Lerma</t>
        </is>
      </c>
      <c r="B155" s="5">
        <f>IF($I2="","",INDEX(Productos!$A:$A,$I2))</f>
        <v/>
      </c>
      <c r="C155" s="134" t="inlineStr">
        <is>
          <t>1261-1085-10031</t>
        </is>
      </c>
      <c r="D155" s="5">
        <f>IF($I2="","",INDEX(Productos!$B:$B,$I2))</f>
        <v/>
      </c>
      <c r="E155" s="5">
        <f>IF($I2="","",INDEX(Productos!$H:$H,$I2))</f>
        <v/>
      </c>
      <c r="F155" s="5">
        <f>IF($I2="","",INDEX(Productos!$I:$I,$I2))</f>
        <v/>
      </c>
      <c r="G155" s="135" t="n">
        <v>9</v>
      </c>
      <c r="H155" s="5">
        <f>IF($I2="","",INDEX(Productos!$AG:$AG,$I2))</f>
        <v/>
      </c>
      <c r="I155" s="136">
        <f>LET(_xlpm.r,Productos!$E$2:$E$1063,_xlpm.m,IFERROR(_xlfn.XMATCH(C155,_xlpm.r),IFERROR(_xlfn.XMATCH(VALUE(C155),_xlpm.r),0)),IF(_xlpm.m=0,"",_xlpm.m+1))</f>
        <v/>
      </c>
      <c r="J155" s="137" t="inlineStr">
        <is>
          <t>Shopify</t>
        </is>
      </c>
    </row>
    <row r="156">
      <c r="A156" s="5" t="inlineStr">
        <is>
          <t>Shopify Western Brothers › Western Brothers Outlet Lerma</t>
        </is>
      </c>
      <c r="B156" s="5">
        <f>IF($I2="","",INDEX(Productos!$A:$A,$I2))</f>
        <v/>
      </c>
      <c r="C156" s="134" t="inlineStr">
        <is>
          <t>1261-1085-10032</t>
        </is>
      </c>
      <c r="D156" s="5">
        <f>IF($I2="","",INDEX(Productos!$B:$B,$I2))</f>
        <v/>
      </c>
      <c r="E156" s="5">
        <f>IF($I2="","",INDEX(Productos!$H:$H,$I2))</f>
        <v/>
      </c>
      <c r="F156" s="5">
        <f>IF($I2="","",INDEX(Productos!$I:$I,$I2))</f>
        <v/>
      </c>
      <c r="G156" s="135" t="n">
        <v>8</v>
      </c>
      <c r="H156" s="5">
        <f>IF($I2="","",INDEX(Productos!$AG:$AG,$I2))</f>
        <v/>
      </c>
      <c r="I156" s="136">
        <f>LET(_xlpm.r,Productos!$E$2:$E$1063,_xlpm.m,IFERROR(_xlfn.XMATCH(C156,_xlpm.r),IFERROR(_xlfn.XMATCH(VALUE(C156),_xlpm.r),0)),IF(_xlpm.m=0,"",_xlpm.m+1))</f>
        <v/>
      </c>
      <c r="J156" s="137" t="inlineStr">
        <is>
          <t>Shopify</t>
        </is>
      </c>
    </row>
    <row r="157">
      <c r="A157" s="5" t="inlineStr">
        <is>
          <t>Shopify Western Brothers › Western Brothers Outlet Lerma</t>
        </is>
      </c>
      <c r="B157" s="5">
        <f>IF($I2="","",INDEX(Productos!$A:$A,$I2))</f>
        <v/>
      </c>
      <c r="C157" s="134" t="inlineStr">
        <is>
          <t>1261-1085-10033</t>
        </is>
      </c>
      <c r="D157" s="5">
        <f>IF($I2="","",INDEX(Productos!$B:$B,$I2))</f>
        <v/>
      </c>
      <c r="E157" s="5">
        <f>IF($I2="","",INDEX(Productos!$H:$H,$I2))</f>
        <v/>
      </c>
      <c r="F157" s="5">
        <f>IF($I2="","",INDEX(Productos!$I:$I,$I2))</f>
        <v/>
      </c>
      <c r="G157" s="135" t="n">
        <v>7</v>
      </c>
      <c r="H157" s="5">
        <f>IF($I2="","",INDEX(Productos!$AG:$AG,$I2))</f>
        <v/>
      </c>
      <c r="I157" s="136">
        <f>LET(_xlpm.r,Productos!$E$2:$E$1063,_xlpm.m,IFERROR(_xlfn.XMATCH(C157,_xlpm.r),IFERROR(_xlfn.XMATCH(VALUE(C157),_xlpm.r),0)),IF(_xlpm.m=0,"",_xlpm.m+1))</f>
        <v/>
      </c>
      <c r="J157" s="137" t="inlineStr">
        <is>
          <t>Shopify</t>
        </is>
      </c>
    </row>
    <row r="158">
      <c r="A158" s="5" t="inlineStr">
        <is>
          <t>Shopify Western Brothers › Western Brothers Outlet Lerma</t>
        </is>
      </c>
      <c r="B158" s="5">
        <f>IF($I2="","",INDEX(Productos!$A:$A,$I2))</f>
        <v/>
      </c>
      <c r="C158" s="134" t="inlineStr">
        <is>
          <t>1261-1085-10034</t>
        </is>
      </c>
      <c r="D158" s="5">
        <f>IF($I2="","",INDEX(Productos!$B:$B,$I2))</f>
        <v/>
      </c>
      <c r="E158" s="5">
        <f>IF($I2="","",INDEX(Productos!$H:$H,$I2))</f>
        <v/>
      </c>
      <c r="F158" s="5">
        <f>IF($I2="","",INDEX(Productos!$I:$I,$I2))</f>
        <v/>
      </c>
      <c r="G158" s="135" t="n">
        <v>12</v>
      </c>
      <c r="H158" s="5">
        <f>IF($I2="","",INDEX(Productos!$AG:$AG,$I2))</f>
        <v/>
      </c>
      <c r="I158" s="136">
        <f>LET(_xlpm.r,Productos!$E$2:$E$1063,_xlpm.m,IFERROR(_xlfn.XMATCH(C158,_xlpm.r),IFERROR(_xlfn.XMATCH(VALUE(C158),_xlpm.r),0)),IF(_xlpm.m=0,"",_xlpm.m+1))</f>
        <v/>
      </c>
      <c r="J158" s="137" t="inlineStr">
        <is>
          <t>Shopify</t>
        </is>
      </c>
    </row>
    <row r="159">
      <c r="A159" s="5" t="inlineStr">
        <is>
          <t>Shopify Western Brothers › Western Brothers Outlet Lerma</t>
        </is>
      </c>
      <c r="B159" s="5">
        <f>IF($I2="","",INDEX(Productos!$A:$A,$I2))</f>
        <v/>
      </c>
      <c r="C159" s="134" t="inlineStr">
        <is>
          <t>1261-1085-10035</t>
        </is>
      </c>
      <c r="D159" s="5">
        <f>IF($I2="","",INDEX(Productos!$B:$B,$I2))</f>
        <v/>
      </c>
      <c r="E159" s="5">
        <f>IF($I2="","",INDEX(Productos!$H:$H,$I2))</f>
        <v/>
      </c>
      <c r="F159" s="5">
        <f>IF($I2="","",INDEX(Productos!$I:$I,$I2))</f>
        <v/>
      </c>
      <c r="G159" s="135" t="n">
        <v>6</v>
      </c>
      <c r="H159" s="5">
        <f>IF($I2="","",INDEX(Productos!$AG:$AG,$I2))</f>
        <v/>
      </c>
      <c r="I159" s="136">
        <f>LET(_xlpm.r,Productos!$E$2:$E$1063,_xlpm.m,IFERROR(_xlfn.XMATCH(C159,_xlpm.r),IFERROR(_xlfn.XMATCH(VALUE(C159),_xlpm.r),0)),IF(_xlpm.m=0,"",_xlpm.m+1))</f>
        <v/>
      </c>
      <c r="J159" s="137" t="inlineStr">
        <is>
          <t>Shopify</t>
        </is>
      </c>
    </row>
    <row r="160">
      <c r="A160" s="5" t="inlineStr">
        <is>
          <t>Shopify Western Brothers › Western Brothers Outlet Lerma</t>
        </is>
      </c>
      <c r="B160" s="5">
        <f>IF($I2="","",INDEX(Productos!$A:$A,$I2))</f>
        <v/>
      </c>
      <c r="C160" s="134" t="inlineStr">
        <is>
          <t>1261-1085-10036</t>
        </is>
      </c>
      <c r="D160" s="5">
        <f>IF($I2="","",INDEX(Productos!$B:$B,$I2))</f>
        <v/>
      </c>
      <c r="E160" s="5">
        <f>IF($I2="","",INDEX(Productos!$H:$H,$I2))</f>
        <v/>
      </c>
      <c r="F160" s="5">
        <f>IF($I2="","",INDEX(Productos!$I:$I,$I2))</f>
        <v/>
      </c>
      <c r="G160" s="135" t="n">
        <v>6</v>
      </c>
      <c r="H160" s="5">
        <f>IF($I2="","",INDEX(Productos!$AG:$AG,$I2))</f>
        <v/>
      </c>
      <c r="I160" s="136">
        <f>LET(_xlpm.r,Productos!$E$2:$E$1063,_xlpm.m,IFERROR(_xlfn.XMATCH(C160,_xlpm.r),IFERROR(_xlfn.XMATCH(VALUE(C160),_xlpm.r),0)),IF(_xlpm.m=0,"",_xlpm.m+1))</f>
        <v/>
      </c>
      <c r="J160" s="137" t="inlineStr">
        <is>
          <t>Shopify</t>
        </is>
      </c>
    </row>
    <row r="161">
      <c r="A161" s="5" t="inlineStr">
        <is>
          <t>Shopify Western Brothers › Western Brothers Outlet Lerma</t>
        </is>
      </c>
      <c r="B161" s="5">
        <f>IF($I2="","",INDEX(Productos!$A:$A,$I2))</f>
        <v/>
      </c>
      <c r="C161" s="134" t="inlineStr">
        <is>
          <t>1261-1085-10037</t>
        </is>
      </c>
      <c r="D161" s="5">
        <f>IF($I2="","",INDEX(Productos!$B:$B,$I2))</f>
        <v/>
      </c>
      <c r="E161" s="5">
        <f>IF($I2="","",INDEX(Productos!$H:$H,$I2))</f>
        <v/>
      </c>
      <c r="F161" s="5">
        <f>IF($I2="","",INDEX(Productos!$I:$I,$I2))</f>
        <v/>
      </c>
      <c r="G161" s="135" t="n">
        <v>9</v>
      </c>
      <c r="H161" s="5">
        <f>IF($I2="","",INDEX(Productos!$AG:$AG,$I2))</f>
        <v/>
      </c>
      <c r="I161" s="136">
        <f>LET(_xlpm.r,Productos!$E$2:$E$1063,_xlpm.m,IFERROR(_xlfn.XMATCH(C161,_xlpm.r),IFERROR(_xlfn.XMATCH(VALUE(C161),_xlpm.r),0)),IF(_xlpm.m=0,"",_xlpm.m+1))</f>
        <v/>
      </c>
      <c r="J161" s="137" t="inlineStr">
        <is>
          <t>Shopify</t>
        </is>
      </c>
    </row>
    <row r="162">
      <c r="A162" s="5" t="inlineStr">
        <is>
          <t>Shopify Western Brothers › Western Brothers Outlet Lerma</t>
        </is>
      </c>
      <c r="B162" s="5">
        <f>IF($I2="","",INDEX(Productos!$A:$A,$I2))</f>
        <v/>
      </c>
      <c r="C162" s="134" t="inlineStr">
        <is>
          <t>1261-1085-10038</t>
        </is>
      </c>
      <c r="D162" s="5">
        <f>IF($I2="","",INDEX(Productos!$B:$B,$I2))</f>
        <v/>
      </c>
      <c r="E162" s="5">
        <f>IF($I2="","",INDEX(Productos!$H:$H,$I2))</f>
        <v/>
      </c>
      <c r="F162" s="5">
        <f>IF($I2="","",INDEX(Productos!$I:$I,$I2))</f>
        <v/>
      </c>
      <c r="G162" s="135" t="n">
        <v>11</v>
      </c>
      <c r="H162" s="5">
        <f>IF($I2="","",INDEX(Productos!$AG:$AG,$I2))</f>
        <v/>
      </c>
      <c r="I162" s="136">
        <f>LET(_xlpm.r,Productos!$E$2:$E$1063,_xlpm.m,IFERROR(_xlfn.XMATCH(C162,_xlpm.r),IFERROR(_xlfn.XMATCH(VALUE(C162),_xlpm.r),0)),IF(_xlpm.m=0,"",_xlpm.m+1))</f>
        <v/>
      </c>
      <c r="J162" s="137" t="inlineStr">
        <is>
          <t>Shopify</t>
        </is>
      </c>
    </row>
    <row r="163">
      <c r="A163" s="5" t="inlineStr">
        <is>
          <t>Shopify Western Brothers › Western Brothers Outlet Lerma</t>
        </is>
      </c>
      <c r="B163" s="5">
        <f>IF($I2="","",INDEX(Productos!$A:$A,$I2))</f>
        <v/>
      </c>
      <c r="C163" s="134" t="inlineStr">
        <is>
          <t>1261-1085-10039</t>
        </is>
      </c>
      <c r="D163" s="5">
        <f>IF($I2="","",INDEX(Productos!$B:$B,$I2))</f>
        <v/>
      </c>
      <c r="E163" s="5">
        <f>IF($I2="","",INDEX(Productos!$H:$H,$I2))</f>
        <v/>
      </c>
      <c r="F163" s="5">
        <f>IF($I2="","",INDEX(Productos!$I:$I,$I2))</f>
        <v/>
      </c>
      <c r="G163" s="135" t="n">
        <v>12</v>
      </c>
      <c r="H163" s="5">
        <f>IF($I2="","",INDEX(Productos!$AG:$AG,$I2))</f>
        <v/>
      </c>
      <c r="I163" s="136">
        <f>LET(_xlpm.r,Productos!$E$2:$E$1063,_xlpm.m,IFERROR(_xlfn.XMATCH(C163,_xlpm.r),IFERROR(_xlfn.XMATCH(VALUE(C163),_xlpm.r),0)),IF(_xlpm.m=0,"",_xlpm.m+1))</f>
        <v/>
      </c>
      <c r="J163" s="137" t="inlineStr">
        <is>
          <t>Shopify</t>
        </is>
      </c>
    </row>
    <row r="164">
      <c r="A164" s="5" t="inlineStr">
        <is>
          <t>Shopify Western Brothers › Western Brothers Outlet Lerma</t>
        </is>
      </c>
      <c r="B164" s="5">
        <f>IF($I2="","",INDEX(Productos!$A:$A,$I2))</f>
        <v/>
      </c>
      <c r="C164" s="134" t="inlineStr">
        <is>
          <t>1261-1085-10040</t>
        </is>
      </c>
      <c r="D164" s="5">
        <f>IF($I2="","",INDEX(Productos!$B:$B,$I2))</f>
        <v/>
      </c>
      <c r="E164" s="5">
        <f>IF($I2="","",INDEX(Productos!$H:$H,$I2))</f>
        <v/>
      </c>
      <c r="F164" s="5">
        <f>IF($I2="","",INDEX(Productos!$I:$I,$I2))</f>
        <v/>
      </c>
      <c r="G164" s="135" t="n">
        <v>12</v>
      </c>
      <c r="H164" s="5">
        <f>IF($I2="","",INDEX(Productos!$AG:$AG,$I2))</f>
        <v/>
      </c>
      <c r="I164" s="136">
        <f>LET(_xlpm.r,Productos!$E$2:$E$1063,_xlpm.m,IFERROR(_xlfn.XMATCH(C164,_xlpm.r),IFERROR(_xlfn.XMATCH(VALUE(C164),_xlpm.r),0)),IF(_xlpm.m=0,"",_xlpm.m+1))</f>
        <v/>
      </c>
      <c r="J164" s="137" t="inlineStr">
        <is>
          <t>Shopify</t>
        </is>
      </c>
    </row>
    <row r="165">
      <c r="A165" s="5" t="inlineStr">
        <is>
          <t>Shopify Western Brothers › Western Brothers Outlet Lerma</t>
        </is>
      </c>
      <c r="B165" s="5">
        <f>IF($I2="","",INDEX(Productos!$A:$A,$I2))</f>
        <v/>
      </c>
      <c r="C165" s="134" t="inlineStr">
        <is>
          <t>1261-1085-10041</t>
        </is>
      </c>
      <c r="D165" s="5">
        <f>IF($I2="","",INDEX(Productos!$B:$B,$I2))</f>
        <v/>
      </c>
      <c r="E165" s="5">
        <f>IF($I2="","",INDEX(Productos!$H:$H,$I2))</f>
        <v/>
      </c>
      <c r="F165" s="5">
        <f>IF($I2="","",INDEX(Productos!$I:$I,$I2))</f>
        <v/>
      </c>
      <c r="G165" s="135" t="n">
        <v>4</v>
      </c>
      <c r="H165" s="5">
        <f>IF($I2="","",INDEX(Productos!$AG:$AG,$I2))</f>
        <v/>
      </c>
      <c r="I165" s="136">
        <f>LET(_xlpm.r,Productos!$E$2:$E$1063,_xlpm.m,IFERROR(_xlfn.XMATCH(C165,_xlpm.r),IFERROR(_xlfn.XMATCH(VALUE(C165),_xlpm.r),0)),IF(_xlpm.m=0,"",_xlpm.m+1))</f>
        <v/>
      </c>
      <c r="J165" s="137" t="inlineStr">
        <is>
          <t>Shopify</t>
        </is>
      </c>
    </row>
    <row r="166">
      <c r="A166" s="5" t="inlineStr">
        <is>
          <t>Shopify Western Brothers › Western Brothers Outlet Lerma</t>
        </is>
      </c>
      <c r="B166" s="5">
        <f>IF($I2="","",INDEX(Productos!$A:$A,$I2))</f>
        <v/>
      </c>
      <c r="C166" s="134" t="inlineStr">
        <is>
          <t>1261-1085-10042</t>
        </is>
      </c>
      <c r="D166" s="5">
        <f>IF($I2="","",INDEX(Productos!$B:$B,$I2))</f>
        <v/>
      </c>
      <c r="E166" s="5">
        <f>IF($I2="","",INDEX(Productos!$H:$H,$I2))</f>
        <v/>
      </c>
      <c r="F166" s="5">
        <f>IF($I2="","",INDEX(Productos!$I:$I,$I2))</f>
        <v/>
      </c>
      <c r="G166" s="135" t="n">
        <v>4</v>
      </c>
      <c r="H166" s="5">
        <f>IF($I2="","",INDEX(Productos!$AG:$AG,$I2))</f>
        <v/>
      </c>
      <c r="I166" s="136">
        <f>LET(_xlpm.r,Productos!$E$2:$E$1063,_xlpm.m,IFERROR(_xlfn.XMATCH(C166,_xlpm.r),IFERROR(_xlfn.XMATCH(VALUE(C166),_xlpm.r),0)),IF(_xlpm.m=0,"",_xlpm.m+1))</f>
        <v/>
      </c>
      <c r="J166" s="137" t="inlineStr">
        <is>
          <t>Shopify</t>
        </is>
      </c>
    </row>
    <row r="167">
      <c r="A167" s="5" t="inlineStr">
        <is>
          <t>Shopify Western Brothers › Western Brothers Outlet Lerma</t>
        </is>
      </c>
      <c r="B167" s="5">
        <f>IF($I2="","",INDEX(Productos!$A:$A,$I2))</f>
        <v/>
      </c>
      <c r="C167" s="134" t="inlineStr">
        <is>
          <t>1261-1085-10043</t>
        </is>
      </c>
      <c r="D167" s="5">
        <f>IF($I2="","",INDEX(Productos!$B:$B,$I2))</f>
        <v/>
      </c>
      <c r="E167" s="5">
        <f>IF($I2="","",INDEX(Productos!$H:$H,$I2))</f>
        <v/>
      </c>
      <c r="F167" s="5">
        <f>IF($I2="","",INDEX(Productos!$I:$I,$I2))</f>
        <v/>
      </c>
      <c r="G167" s="135" t="n">
        <v>7</v>
      </c>
      <c r="H167" s="5">
        <f>IF($I2="","",INDEX(Productos!$AG:$AG,$I2))</f>
        <v/>
      </c>
      <c r="I167" s="136">
        <f>LET(_xlpm.r,Productos!$E$2:$E$1063,_xlpm.m,IFERROR(_xlfn.XMATCH(C167,_xlpm.r),IFERROR(_xlfn.XMATCH(VALUE(C167),_xlpm.r),0)),IF(_xlpm.m=0,"",_xlpm.m+1))</f>
        <v/>
      </c>
      <c r="J167" s="137" t="inlineStr">
        <is>
          <t>Shopify</t>
        </is>
      </c>
    </row>
    <row r="168">
      <c r="A168" s="5" t="inlineStr">
        <is>
          <t>Shopify Western Brothers › Western Brothers Outlet Lerma</t>
        </is>
      </c>
      <c r="B168" s="5">
        <f>IF($I2="","",INDEX(Productos!$A:$A,$I2))</f>
        <v/>
      </c>
      <c r="C168" s="134" t="inlineStr">
        <is>
          <t>1261-1085-10044</t>
        </is>
      </c>
      <c r="D168" s="5">
        <f>IF($I2="","",INDEX(Productos!$B:$B,$I2))</f>
        <v/>
      </c>
      <c r="E168" s="5">
        <f>IF($I2="","",INDEX(Productos!$H:$H,$I2))</f>
        <v/>
      </c>
      <c r="F168" s="5">
        <f>IF($I2="","",INDEX(Productos!$I:$I,$I2))</f>
        <v/>
      </c>
      <c r="G168" s="135" t="n">
        <v>9</v>
      </c>
      <c r="H168" s="5">
        <f>IF($I2="","",INDEX(Productos!$AG:$AG,$I2))</f>
        <v/>
      </c>
      <c r="I168" s="136">
        <f>LET(_xlpm.r,Productos!$E$2:$E$1063,_xlpm.m,IFERROR(_xlfn.XMATCH(C168,_xlpm.r),IFERROR(_xlfn.XMATCH(VALUE(C168),_xlpm.r),0)),IF(_xlpm.m=0,"",_xlpm.m+1))</f>
        <v/>
      </c>
      <c r="J168" s="137" t="inlineStr">
        <is>
          <t>Shopify</t>
        </is>
      </c>
    </row>
    <row r="169">
      <c r="A169" s="5" t="inlineStr">
        <is>
          <t>Shopify Western Brothers › Western Brothers Outlet Lerma</t>
        </is>
      </c>
      <c r="B169" s="5">
        <f>IF($I2="","",INDEX(Productos!$A:$A,$I2))</f>
        <v/>
      </c>
      <c r="C169" s="134" t="inlineStr">
        <is>
          <t>1261-1085-10046</t>
        </is>
      </c>
      <c r="D169" s="5">
        <f>IF($I2="","",INDEX(Productos!$B:$B,$I2))</f>
        <v/>
      </c>
      <c r="E169" s="5">
        <f>IF($I2="","",INDEX(Productos!$H:$H,$I2))</f>
        <v/>
      </c>
      <c r="F169" s="5">
        <f>IF($I2="","",INDEX(Productos!$I:$I,$I2))</f>
        <v/>
      </c>
      <c r="G169" s="135" t="n">
        <v>6</v>
      </c>
      <c r="H169" s="5">
        <f>IF($I2="","",INDEX(Productos!$AG:$AG,$I2))</f>
        <v/>
      </c>
      <c r="I169" s="136">
        <f>LET(_xlpm.r,Productos!$E$2:$E$1063,_xlpm.m,IFERROR(_xlfn.XMATCH(C169,_xlpm.r),IFERROR(_xlfn.XMATCH(VALUE(C169),_xlpm.r),0)),IF(_xlpm.m=0,"",_xlpm.m+1))</f>
        <v/>
      </c>
      <c r="J169" s="137" t="inlineStr">
        <is>
          <t>Shopify</t>
        </is>
      </c>
    </row>
    <row r="170">
      <c r="A170" s="5" t="inlineStr">
        <is>
          <t>Shopify Western Brothers › Western Brothers Outlet Lerma</t>
        </is>
      </c>
      <c r="B170" s="5">
        <f>IF($I2="","",INDEX(Productos!$A:$A,$I2))</f>
        <v/>
      </c>
      <c r="C170" s="134" t="inlineStr">
        <is>
          <t>1261-1085-10047</t>
        </is>
      </c>
      <c r="D170" s="5">
        <f>IF($I2="","",INDEX(Productos!$B:$B,$I2))</f>
        <v/>
      </c>
      <c r="E170" s="5">
        <f>IF($I2="","",INDEX(Productos!$H:$H,$I2))</f>
        <v/>
      </c>
      <c r="F170" s="5">
        <f>IF($I2="","",INDEX(Productos!$I:$I,$I2))</f>
        <v/>
      </c>
      <c r="G170" s="135" t="n">
        <v>4</v>
      </c>
      <c r="H170" s="5">
        <f>IF($I2="","",INDEX(Productos!$AG:$AG,$I2))</f>
        <v/>
      </c>
      <c r="I170" s="136">
        <f>LET(_xlpm.r,Productos!$E$2:$E$1063,_xlpm.m,IFERROR(_xlfn.XMATCH(C170,_xlpm.r),IFERROR(_xlfn.XMATCH(VALUE(C170),_xlpm.r),0)),IF(_xlpm.m=0,"",_xlpm.m+1))</f>
        <v/>
      </c>
      <c r="J170" s="137" t="inlineStr">
        <is>
          <t>Shopify</t>
        </is>
      </c>
    </row>
    <row r="171">
      <c r="A171" s="5" t="inlineStr">
        <is>
          <t>Shopify Western Brothers › Western Brothers Outlet Lerma</t>
        </is>
      </c>
      <c r="B171" s="5">
        <f>IF($I2="","",INDEX(Productos!$A:$A,$I2))</f>
        <v/>
      </c>
      <c r="C171" s="134" t="inlineStr">
        <is>
          <t>1261-1085-10048</t>
        </is>
      </c>
      <c r="D171" s="5">
        <f>IF($I2="","",INDEX(Productos!$B:$B,$I2))</f>
        <v/>
      </c>
      <c r="E171" s="5">
        <f>IF($I2="","",INDEX(Productos!$H:$H,$I2))</f>
        <v/>
      </c>
      <c r="F171" s="5">
        <f>IF($I2="","",INDEX(Productos!$I:$I,$I2))</f>
        <v/>
      </c>
      <c r="G171" s="135" t="n">
        <v>9</v>
      </c>
      <c r="H171" s="5">
        <f>IF($I2="","",INDEX(Productos!$AG:$AG,$I2))</f>
        <v/>
      </c>
      <c r="I171" s="136">
        <f>LET(_xlpm.r,Productos!$E$2:$E$1063,_xlpm.m,IFERROR(_xlfn.XMATCH(C171,_xlpm.r),IFERROR(_xlfn.XMATCH(VALUE(C171),_xlpm.r),0)),IF(_xlpm.m=0,"",_xlpm.m+1))</f>
        <v/>
      </c>
      <c r="J171" s="137" t="inlineStr">
        <is>
          <t>Shopify</t>
        </is>
      </c>
    </row>
    <row r="172">
      <c r="A172" s="5" t="inlineStr">
        <is>
          <t>Shopify Western Brothers › Western Brothers Outlet Lerma</t>
        </is>
      </c>
      <c r="B172" s="5">
        <f>IF($I2="","",INDEX(Productos!$A:$A,$I2))</f>
        <v/>
      </c>
      <c r="C172" s="134" t="inlineStr">
        <is>
          <t>1261-1085-10049</t>
        </is>
      </c>
      <c r="D172" s="5">
        <f>IF($I2="","",INDEX(Productos!$B:$B,$I2))</f>
        <v/>
      </c>
      <c r="E172" s="5">
        <f>IF($I2="","",INDEX(Productos!$H:$H,$I2))</f>
        <v/>
      </c>
      <c r="F172" s="5">
        <f>IF($I2="","",INDEX(Productos!$I:$I,$I2))</f>
        <v/>
      </c>
      <c r="G172" s="135" t="n">
        <v>12</v>
      </c>
      <c r="H172" s="5">
        <f>IF($I2="","",INDEX(Productos!$AG:$AG,$I2))</f>
        <v/>
      </c>
      <c r="I172" s="136">
        <f>LET(_xlpm.r,Productos!$E$2:$E$1063,_xlpm.m,IFERROR(_xlfn.XMATCH(C172,_xlpm.r),IFERROR(_xlfn.XMATCH(VALUE(C172),_xlpm.r),0)),IF(_xlpm.m=0,"",_xlpm.m+1))</f>
        <v/>
      </c>
      <c r="J172" s="137" t="inlineStr">
        <is>
          <t>Shopify</t>
        </is>
      </c>
    </row>
    <row r="173">
      <c r="A173" s="5" t="inlineStr">
        <is>
          <t>Shopify Western Brothers › Western Brothers Outlet Lerma</t>
        </is>
      </c>
      <c r="B173" s="5">
        <f>IF($I2="","",INDEX(Productos!$A:$A,$I2))</f>
        <v/>
      </c>
      <c r="C173" s="134" t="inlineStr">
        <is>
          <t>1261-1085-10052</t>
        </is>
      </c>
      <c r="D173" s="5">
        <f>IF($I2="","",INDEX(Productos!$B:$B,$I2))</f>
        <v/>
      </c>
      <c r="E173" s="5">
        <f>IF($I2="","",INDEX(Productos!$H:$H,$I2))</f>
        <v/>
      </c>
      <c r="F173" s="5">
        <f>IF($I2="","",INDEX(Productos!$I:$I,$I2))</f>
        <v/>
      </c>
      <c r="G173" s="135" t="n">
        <v>12</v>
      </c>
      <c r="H173" s="5">
        <f>IF($I2="","",INDEX(Productos!$AG:$AG,$I2))</f>
        <v/>
      </c>
      <c r="I173" s="136">
        <f>LET(_xlpm.r,Productos!$E$2:$E$1063,_xlpm.m,IFERROR(_xlfn.XMATCH(C173,_xlpm.r),IFERROR(_xlfn.XMATCH(VALUE(C173),_xlpm.r),0)),IF(_xlpm.m=0,"",_xlpm.m+1))</f>
        <v/>
      </c>
      <c r="J173" s="137" t="inlineStr">
        <is>
          <t>Shopify</t>
        </is>
      </c>
    </row>
    <row r="174">
      <c r="A174" s="5" t="inlineStr">
        <is>
          <t>Shopify Western Brothers › Western Brothers Outlet Lerma</t>
        </is>
      </c>
      <c r="B174" s="5">
        <f>IF($I2="","",INDEX(Productos!$A:$A,$I2))</f>
        <v/>
      </c>
      <c r="C174" s="134" t="inlineStr">
        <is>
          <t>1261-1085-10053</t>
        </is>
      </c>
      <c r="D174" s="5">
        <f>IF($I2="","",INDEX(Productos!$B:$B,$I2))</f>
        <v/>
      </c>
      <c r="E174" s="5">
        <f>IF($I2="","",INDEX(Productos!$H:$H,$I2))</f>
        <v/>
      </c>
      <c r="F174" s="5">
        <f>IF($I2="","",INDEX(Productos!$I:$I,$I2))</f>
        <v/>
      </c>
      <c r="G174" s="135" t="n">
        <v>6</v>
      </c>
      <c r="H174" s="5">
        <f>IF($I2="","",INDEX(Productos!$AG:$AG,$I2))</f>
        <v/>
      </c>
      <c r="I174" s="136">
        <f>LET(_xlpm.r,Productos!$E$2:$E$1063,_xlpm.m,IFERROR(_xlfn.XMATCH(C174,_xlpm.r),IFERROR(_xlfn.XMATCH(VALUE(C174),_xlpm.r),0)),IF(_xlpm.m=0,"",_xlpm.m+1))</f>
        <v/>
      </c>
      <c r="J174" s="137" t="inlineStr">
        <is>
          <t>Shopify</t>
        </is>
      </c>
    </row>
    <row r="175">
      <c r="A175" s="5" t="inlineStr">
        <is>
          <t>Shopify Western Brothers › Western Brothers Outlet Lerma</t>
        </is>
      </c>
      <c r="B175" s="5">
        <f>IF($I2="","",INDEX(Productos!$A:$A,$I2))</f>
        <v/>
      </c>
      <c r="C175" s="134" t="inlineStr">
        <is>
          <t>1261-1085-10054</t>
        </is>
      </c>
      <c r="D175" s="5">
        <f>IF($I2="","",INDEX(Productos!$B:$B,$I2))</f>
        <v/>
      </c>
      <c r="E175" s="5">
        <f>IF($I2="","",INDEX(Productos!$H:$H,$I2))</f>
        <v/>
      </c>
      <c r="F175" s="5">
        <f>IF($I2="","",INDEX(Productos!$I:$I,$I2))</f>
        <v/>
      </c>
      <c r="G175" s="135" t="n">
        <v>9</v>
      </c>
      <c r="H175" s="5">
        <f>IF($I2="","",INDEX(Productos!$AG:$AG,$I2))</f>
        <v/>
      </c>
      <c r="I175" s="136">
        <f>LET(_xlpm.r,Productos!$E$2:$E$1063,_xlpm.m,IFERROR(_xlfn.XMATCH(C175,_xlpm.r),IFERROR(_xlfn.XMATCH(VALUE(C175),_xlpm.r),0)),IF(_xlpm.m=0,"",_xlpm.m+1))</f>
        <v/>
      </c>
      <c r="J175" s="137" t="inlineStr">
        <is>
          <t>Shopify</t>
        </is>
      </c>
    </row>
    <row r="176">
      <c r="A176" s="5" t="inlineStr">
        <is>
          <t>Shopify Western Brothers › Western Brothers Outlet Lerma</t>
        </is>
      </c>
      <c r="B176" s="5">
        <f>IF($I2="","",INDEX(Productos!$A:$A,$I2))</f>
        <v/>
      </c>
      <c r="C176" s="134" t="inlineStr">
        <is>
          <t>1261-1085-10055</t>
        </is>
      </c>
      <c r="D176" s="5">
        <f>IF($I2="","",INDEX(Productos!$B:$B,$I2))</f>
        <v/>
      </c>
      <c r="E176" s="5">
        <f>IF($I2="","",INDEX(Productos!$H:$H,$I2))</f>
        <v/>
      </c>
      <c r="F176" s="5">
        <f>IF($I2="","",INDEX(Productos!$I:$I,$I2))</f>
        <v/>
      </c>
      <c r="G176" s="135" t="n">
        <v>9</v>
      </c>
      <c r="H176" s="5">
        <f>IF($I2="","",INDEX(Productos!$AG:$AG,$I2))</f>
        <v/>
      </c>
      <c r="I176" s="136">
        <f>LET(_xlpm.r,Productos!$E$2:$E$1063,_xlpm.m,IFERROR(_xlfn.XMATCH(C176,_xlpm.r),IFERROR(_xlfn.XMATCH(VALUE(C176),_xlpm.r),0)),IF(_xlpm.m=0,"",_xlpm.m+1))</f>
        <v/>
      </c>
      <c r="J176" s="137" t="inlineStr">
        <is>
          <t>Shopify</t>
        </is>
      </c>
    </row>
    <row r="177">
      <c r="A177" s="5" t="inlineStr">
        <is>
          <t>Shopify Western Brothers › Western Brothers Outlet Lerma</t>
        </is>
      </c>
      <c r="B177" s="5">
        <f>IF($I2="","",INDEX(Productos!$A:$A,$I2))</f>
        <v/>
      </c>
      <c r="C177" s="134" t="inlineStr">
        <is>
          <t>1261-1085-10056</t>
        </is>
      </c>
      <c r="D177" s="5">
        <f>IF($I2="","",INDEX(Productos!$B:$B,$I2))</f>
        <v/>
      </c>
      <c r="E177" s="5">
        <f>IF($I2="","",INDEX(Productos!$H:$H,$I2))</f>
        <v/>
      </c>
      <c r="F177" s="5">
        <f>IF($I2="","",INDEX(Productos!$I:$I,$I2))</f>
        <v/>
      </c>
      <c r="G177" s="135" t="n">
        <v>11</v>
      </c>
      <c r="H177" s="5">
        <f>IF($I2="","",INDEX(Productos!$AG:$AG,$I2))</f>
        <v/>
      </c>
      <c r="I177" s="136">
        <f>LET(_xlpm.r,Productos!$E$2:$E$1063,_xlpm.m,IFERROR(_xlfn.XMATCH(C177,_xlpm.r),IFERROR(_xlfn.XMATCH(VALUE(C177),_xlpm.r),0)),IF(_xlpm.m=0,"",_xlpm.m+1))</f>
        <v/>
      </c>
      <c r="J177" s="137" t="inlineStr">
        <is>
          <t>Shopify</t>
        </is>
      </c>
    </row>
    <row r="178">
      <c r="A178" s="5" t="inlineStr">
        <is>
          <t>Shopify Western Brothers › Western Brothers Outlet Lerma</t>
        </is>
      </c>
      <c r="B178" s="5">
        <f>IF($I2="","",INDEX(Productos!$A:$A,$I2))</f>
        <v/>
      </c>
      <c r="C178" s="134" t="inlineStr">
        <is>
          <t>C47565-27-L</t>
        </is>
      </c>
      <c r="D178" s="5">
        <f>IF($I2="","",INDEX(Productos!$B:$B,$I2))</f>
        <v/>
      </c>
      <c r="E178" s="5">
        <f>IF($I2="","",INDEX(Productos!$H:$H,$I2))</f>
        <v/>
      </c>
      <c r="F178" s="5">
        <f>IF($I2="","",INDEX(Productos!$I:$I,$I2))</f>
        <v/>
      </c>
      <c r="G178" s="135" t="n">
        <v>2</v>
      </c>
      <c r="H178" s="5">
        <f>IF($I2="","",INDEX(Productos!$AG:$AG,$I2))</f>
        <v/>
      </c>
      <c r="I178" s="136">
        <f>LET(_xlpm.r,Productos!$E$2:$E$1063,_xlpm.m,IFERROR(_xlfn.XMATCH(C178,_xlpm.r),IFERROR(_xlfn.XMATCH(VALUE(C178),_xlpm.r),0)),IF(_xlpm.m=0,"",_xlpm.m+1))</f>
        <v/>
      </c>
      <c r="J178" s="137" t="inlineStr">
        <is>
          <t>Shopify</t>
        </is>
      </c>
    </row>
    <row r="179">
      <c r="A179" s="5" t="inlineStr">
        <is>
          <t>Shopify Western Brothers › Western Brothers Outlet Lerma</t>
        </is>
      </c>
      <c r="B179" s="5">
        <f>IF($I2="","",INDEX(Productos!$A:$A,$I2))</f>
        <v/>
      </c>
      <c r="C179" s="134" t="inlineStr">
        <is>
          <t>C47565-27-M</t>
        </is>
      </c>
      <c r="D179" s="5">
        <f>IF($I2="","",INDEX(Productos!$B:$B,$I2))</f>
        <v/>
      </c>
      <c r="E179" s="5">
        <f>IF($I2="","",INDEX(Productos!$H:$H,$I2))</f>
        <v/>
      </c>
      <c r="F179" s="5">
        <f>IF($I2="","",INDEX(Productos!$I:$I,$I2))</f>
        <v/>
      </c>
      <c r="G179" s="135" t="n">
        <v>3</v>
      </c>
      <c r="H179" s="5">
        <f>IF($I2="","",INDEX(Productos!$AG:$AG,$I2))</f>
        <v/>
      </c>
      <c r="I179" s="136">
        <f>LET(_xlpm.r,Productos!$E$2:$E$1063,_xlpm.m,IFERROR(_xlfn.XMATCH(C179,_xlpm.r),IFERROR(_xlfn.XMATCH(VALUE(C179),_xlpm.r),0)),IF(_xlpm.m=0,"",_xlpm.m+1))</f>
        <v/>
      </c>
      <c r="J179" s="137" t="inlineStr">
        <is>
          <t>Shopify</t>
        </is>
      </c>
    </row>
    <row r="180">
      <c r="A180" s="5" t="inlineStr">
        <is>
          <t>Shopify Western Brothers › Western Brothers Outlet Lerma</t>
        </is>
      </c>
      <c r="B180" s="5">
        <f>IF($I2="","",INDEX(Productos!$A:$A,$I2))</f>
        <v/>
      </c>
      <c r="C180" s="134" t="inlineStr">
        <is>
          <t>C47565-27-S</t>
        </is>
      </c>
      <c r="D180" s="5">
        <f>IF($I2="","",INDEX(Productos!$B:$B,$I2))</f>
        <v/>
      </c>
      <c r="E180" s="5">
        <f>IF($I2="","",INDEX(Productos!$H:$H,$I2))</f>
        <v/>
      </c>
      <c r="F180" s="5">
        <f>IF($I2="","",INDEX(Productos!$I:$I,$I2))</f>
        <v/>
      </c>
      <c r="G180" s="135" t="n">
        <v>2</v>
      </c>
      <c r="H180" s="5">
        <f>IF($I2="","",INDEX(Productos!$AG:$AG,$I2))</f>
        <v/>
      </c>
      <c r="I180" s="136">
        <f>LET(_xlpm.r,Productos!$E$2:$E$1063,_xlpm.m,IFERROR(_xlfn.XMATCH(C180,_xlpm.r),IFERROR(_xlfn.XMATCH(VALUE(C180),_xlpm.r),0)),IF(_xlpm.m=0,"",_xlpm.m+1))</f>
        <v/>
      </c>
      <c r="J180" s="137" t="inlineStr">
        <is>
          <t>Shopify</t>
        </is>
      </c>
    </row>
    <row r="181">
      <c r="A181" s="5" t="inlineStr">
        <is>
          <t>Shopify Western Brothers › Western Brothers Outlet Lerma</t>
        </is>
      </c>
      <c r="B181" s="5">
        <f>IF($I2="","",INDEX(Productos!$A:$A,$I2))</f>
        <v/>
      </c>
      <c r="C181" s="134" t="inlineStr">
        <is>
          <t>C47565-27-XL</t>
        </is>
      </c>
      <c r="D181" s="5">
        <f>IF($I2="","",INDEX(Productos!$B:$B,$I2))</f>
        <v/>
      </c>
      <c r="E181" s="5">
        <f>IF($I2="","",INDEX(Productos!$H:$H,$I2))</f>
        <v/>
      </c>
      <c r="F181" s="5">
        <f>IF($I2="","",INDEX(Productos!$I:$I,$I2))</f>
        <v/>
      </c>
      <c r="G181" s="135" t="n">
        <v>1</v>
      </c>
      <c r="H181" s="5">
        <f>IF($I2="","",INDEX(Productos!$AG:$AG,$I2))</f>
        <v/>
      </c>
      <c r="I181" s="136">
        <f>LET(_xlpm.r,Productos!$E$2:$E$1063,_xlpm.m,IFERROR(_xlfn.XMATCH(C181,_xlpm.r),IFERROR(_xlfn.XMATCH(VALUE(C181),_xlpm.r),0)),IF(_xlpm.m=0,"",_xlpm.m+1))</f>
        <v/>
      </c>
      <c r="J181" s="137" t="inlineStr">
        <is>
          <t>Shopify</t>
        </is>
      </c>
    </row>
    <row r="182">
      <c r="A182" s="5" t="inlineStr">
        <is>
          <t>Shopify Western Brothers › Western Brothers Outlet Lerma</t>
        </is>
      </c>
      <c r="B182" s="5">
        <f>IF($I2="","",INDEX(Productos!$A:$A,$I2))</f>
        <v/>
      </c>
      <c r="C182" s="134" t="inlineStr">
        <is>
          <t>C47572-27-34</t>
        </is>
      </c>
      <c r="D182" s="5">
        <f>IF($I2="","",INDEX(Productos!$B:$B,$I2))</f>
        <v/>
      </c>
      <c r="E182" s="5">
        <f>IF($I2="","",INDEX(Productos!$H:$H,$I2))</f>
        <v/>
      </c>
      <c r="F182" s="5">
        <f>IF($I2="","",INDEX(Productos!$I:$I,$I2))</f>
        <v/>
      </c>
      <c r="G182" s="135" t="n">
        <v>2</v>
      </c>
      <c r="H182" s="5">
        <f>IF($I2="","",INDEX(Productos!$AG:$AG,$I2))</f>
        <v/>
      </c>
      <c r="I182" s="136">
        <f>LET(_xlpm.r,Productos!$E$2:$E$1063,_xlpm.m,IFERROR(_xlfn.XMATCH(C182,_xlpm.r),IFERROR(_xlfn.XMATCH(VALUE(C182),_xlpm.r),0)),IF(_xlpm.m=0,"",_xlpm.m+1))</f>
        <v/>
      </c>
      <c r="J182" s="137" t="inlineStr">
        <is>
          <t>Shopify</t>
        </is>
      </c>
    </row>
    <row r="183">
      <c r="A183" s="5" t="inlineStr">
        <is>
          <t>Shopify Western Brothers › Western Brothers Outlet Lerma</t>
        </is>
      </c>
      <c r="B183" s="5">
        <f>IF($I2="","",INDEX(Productos!$A:$A,$I2))</f>
        <v/>
      </c>
      <c r="C183" s="134" t="inlineStr">
        <is>
          <t>C47572-27-36</t>
        </is>
      </c>
      <c r="D183" s="5">
        <f>IF($I2="","",INDEX(Productos!$B:$B,$I2))</f>
        <v/>
      </c>
      <c r="E183" s="5">
        <f>IF($I2="","",INDEX(Productos!$H:$H,$I2))</f>
        <v/>
      </c>
      <c r="F183" s="5">
        <f>IF($I2="","",INDEX(Productos!$I:$I,$I2))</f>
        <v/>
      </c>
      <c r="G183" s="135" t="n">
        <v>2</v>
      </c>
      <c r="H183" s="5">
        <f>IF($I2="","",INDEX(Productos!$AG:$AG,$I2))</f>
        <v/>
      </c>
      <c r="I183" s="136">
        <f>LET(_xlpm.r,Productos!$E$2:$E$1063,_xlpm.m,IFERROR(_xlfn.XMATCH(C183,_xlpm.r),IFERROR(_xlfn.XMATCH(VALUE(C183),_xlpm.r),0)),IF(_xlpm.m=0,"",_xlpm.m+1))</f>
        <v/>
      </c>
      <c r="J183" s="137" t="inlineStr">
        <is>
          <t>Shopify</t>
        </is>
      </c>
    </row>
    <row r="184">
      <c r="A184" s="5" t="inlineStr">
        <is>
          <t>Shopify Western Brothers › Western Brothers Outlet Lerma</t>
        </is>
      </c>
      <c r="B184" s="5">
        <f>IF($I2="","",INDEX(Productos!$A:$A,$I2))</f>
        <v/>
      </c>
      <c r="C184" s="134" t="inlineStr">
        <is>
          <t>C47572-27-38</t>
        </is>
      </c>
      <c r="D184" s="5">
        <f>IF($I2="","",INDEX(Productos!$B:$B,$I2))</f>
        <v/>
      </c>
      <c r="E184" s="5">
        <f>IF($I2="","",INDEX(Productos!$H:$H,$I2))</f>
        <v/>
      </c>
      <c r="F184" s="5">
        <f>IF($I2="","",INDEX(Productos!$I:$I,$I2))</f>
        <v/>
      </c>
      <c r="G184" s="135" t="n">
        <v>3</v>
      </c>
      <c r="H184" s="5">
        <f>IF($I2="","",INDEX(Productos!$AG:$AG,$I2))</f>
        <v/>
      </c>
      <c r="I184" s="136">
        <f>LET(_xlpm.r,Productos!$E$2:$E$1063,_xlpm.m,IFERROR(_xlfn.XMATCH(C184,_xlpm.r),IFERROR(_xlfn.XMATCH(VALUE(C184),_xlpm.r),0)),IF(_xlpm.m=0,"",_xlpm.m+1))</f>
        <v/>
      </c>
      <c r="J184" s="137" t="inlineStr">
        <is>
          <t>Shopify</t>
        </is>
      </c>
    </row>
    <row r="185">
      <c r="A185" s="5" t="inlineStr">
        <is>
          <t>Shopify Western Brothers › Western Brothers Outlet Lerma</t>
        </is>
      </c>
      <c r="B185" s="5">
        <f>IF($I2="","",INDEX(Productos!$A:$A,$I2))</f>
        <v/>
      </c>
      <c r="C185" s="134" t="inlineStr">
        <is>
          <t>C47572-27-40</t>
        </is>
      </c>
      <c r="D185" s="5">
        <f>IF($I2="","",INDEX(Productos!$B:$B,$I2))</f>
        <v/>
      </c>
      <c r="E185" s="5">
        <f>IF($I2="","",INDEX(Productos!$H:$H,$I2))</f>
        <v/>
      </c>
      <c r="F185" s="5">
        <f>IF($I2="","",INDEX(Productos!$I:$I,$I2))</f>
        <v/>
      </c>
      <c r="G185" s="135" t="n">
        <v>2</v>
      </c>
      <c r="H185" s="5">
        <f>IF($I2="","",INDEX(Productos!$AG:$AG,$I2))</f>
        <v/>
      </c>
      <c r="I185" s="136">
        <f>LET(_xlpm.r,Productos!$E$2:$E$1063,_xlpm.m,IFERROR(_xlfn.XMATCH(C185,_xlpm.r),IFERROR(_xlfn.XMATCH(VALUE(C185),_xlpm.r),0)),IF(_xlpm.m=0,"",_xlpm.m+1))</f>
        <v/>
      </c>
      <c r="J185" s="137" t="inlineStr">
        <is>
          <t>Shopify</t>
        </is>
      </c>
    </row>
    <row r="186">
      <c r="A186" s="5" t="inlineStr">
        <is>
          <t>Shopify Western Brothers › Western Brothers Outlet Lerma</t>
        </is>
      </c>
      <c r="B186" s="5">
        <f>IF($I2="","",INDEX(Productos!$A:$A,$I2))</f>
        <v/>
      </c>
      <c r="C186" s="134" t="inlineStr">
        <is>
          <t>C47572-27-42</t>
        </is>
      </c>
      <c r="D186" s="5">
        <f>IF($I2="","",INDEX(Productos!$B:$B,$I2))</f>
        <v/>
      </c>
      <c r="E186" s="5">
        <f>IF($I2="","",INDEX(Productos!$H:$H,$I2))</f>
        <v/>
      </c>
      <c r="F186" s="5">
        <f>IF($I2="","",INDEX(Productos!$I:$I,$I2))</f>
        <v/>
      </c>
      <c r="G186" s="135" t="n">
        <v>2</v>
      </c>
      <c r="H186" s="5">
        <f>IF($I2="","",INDEX(Productos!$AG:$AG,$I2))</f>
        <v/>
      </c>
      <c r="I186" s="136">
        <f>LET(_xlpm.r,Productos!$E$2:$E$1063,_xlpm.m,IFERROR(_xlfn.XMATCH(C186,_xlpm.r),IFERROR(_xlfn.XMATCH(VALUE(C186),_xlpm.r),0)),IF(_xlpm.m=0,"",_xlpm.m+1))</f>
        <v/>
      </c>
      <c r="J186" s="137" t="inlineStr">
        <is>
          <t>Shopify</t>
        </is>
      </c>
    </row>
    <row r="187">
      <c r="A187" s="5" t="inlineStr">
        <is>
          <t>Shopify Western Brothers › Western Brothers Outlet Lerma</t>
        </is>
      </c>
      <c r="B187" s="5">
        <f>IF($I2="","",INDEX(Productos!$A:$A,$I2))</f>
        <v/>
      </c>
      <c r="C187" s="134" t="inlineStr">
        <is>
          <t>C47572-27-44</t>
        </is>
      </c>
      <c r="D187" s="5">
        <f>IF($I2="","",INDEX(Productos!$B:$B,$I2))</f>
        <v/>
      </c>
      <c r="E187" s="5">
        <f>IF($I2="","",INDEX(Productos!$H:$H,$I2))</f>
        <v/>
      </c>
      <c r="F187" s="5">
        <f>IF($I2="","",INDEX(Productos!$I:$I,$I2))</f>
        <v/>
      </c>
      <c r="G187" s="135" t="n">
        <v>1</v>
      </c>
      <c r="H187" s="5">
        <f>IF($I2="","",INDEX(Productos!$AG:$AG,$I2))</f>
        <v/>
      </c>
      <c r="I187" s="136">
        <f>LET(_xlpm.r,Productos!$E$2:$E$1063,_xlpm.m,IFERROR(_xlfn.XMATCH(C187,_xlpm.r),IFERROR(_xlfn.XMATCH(VALUE(C187),_xlpm.r),0)),IF(_xlpm.m=0,"",_xlpm.m+1))</f>
        <v/>
      </c>
      <c r="J187" s="137" t="inlineStr">
        <is>
          <t>Shopify</t>
        </is>
      </c>
    </row>
    <row r="188">
      <c r="A188" s="5" t="inlineStr">
        <is>
          <t>Shopify Western Brothers › Western Brothers Outlet Lerma</t>
        </is>
      </c>
      <c r="B188" s="5">
        <f>IF($I2="","",INDEX(Productos!$A:$A,$I2))</f>
        <v/>
      </c>
      <c r="C188" s="134" t="inlineStr">
        <is>
          <t>C47574-26-L</t>
        </is>
      </c>
      <c r="D188" s="5">
        <f>IF($I2="","",INDEX(Productos!$B:$B,$I2))</f>
        <v/>
      </c>
      <c r="E188" s="5">
        <f>IF($I2="","",INDEX(Productos!$H:$H,$I2))</f>
        <v/>
      </c>
      <c r="F188" s="5">
        <f>IF($I2="","",INDEX(Productos!$I:$I,$I2))</f>
        <v/>
      </c>
      <c r="G188" s="135" t="n">
        <v>2</v>
      </c>
      <c r="H188" s="5">
        <f>IF($I2="","",INDEX(Productos!$AG:$AG,$I2))</f>
        <v/>
      </c>
      <c r="I188" s="136">
        <f>LET(_xlpm.r,Productos!$E$2:$E$1063,_xlpm.m,IFERROR(_xlfn.XMATCH(C188,_xlpm.r),IFERROR(_xlfn.XMATCH(VALUE(C188),_xlpm.r),0)),IF(_xlpm.m=0,"",_xlpm.m+1))</f>
        <v/>
      </c>
      <c r="J188" s="137" t="inlineStr">
        <is>
          <t>Shopify</t>
        </is>
      </c>
    </row>
    <row r="189">
      <c r="A189" s="5" t="inlineStr">
        <is>
          <t>Shopify Western Brothers › Western Brothers Outlet Lerma</t>
        </is>
      </c>
      <c r="B189" s="5">
        <f>IF($I2="","",INDEX(Productos!$A:$A,$I2))</f>
        <v/>
      </c>
      <c r="C189" s="134" t="inlineStr">
        <is>
          <t>C47574-26-M</t>
        </is>
      </c>
      <c r="D189" s="5">
        <f>IF($I2="","",INDEX(Productos!$B:$B,$I2))</f>
        <v/>
      </c>
      <c r="E189" s="5">
        <f>IF($I2="","",INDEX(Productos!$H:$H,$I2))</f>
        <v/>
      </c>
      <c r="F189" s="5">
        <f>IF($I2="","",INDEX(Productos!$I:$I,$I2))</f>
        <v/>
      </c>
      <c r="G189" s="135" t="n">
        <v>3</v>
      </c>
      <c r="H189" s="5">
        <f>IF($I2="","",INDEX(Productos!$AG:$AG,$I2))</f>
        <v/>
      </c>
      <c r="I189" s="136">
        <f>LET(_xlpm.r,Productos!$E$2:$E$1063,_xlpm.m,IFERROR(_xlfn.XMATCH(C189,_xlpm.r),IFERROR(_xlfn.XMATCH(VALUE(C189),_xlpm.r),0)),IF(_xlpm.m=0,"",_xlpm.m+1))</f>
        <v/>
      </c>
      <c r="J189" s="137" t="inlineStr">
        <is>
          <t>Shopify</t>
        </is>
      </c>
    </row>
    <row r="190">
      <c r="A190" s="5" t="inlineStr">
        <is>
          <t>Shopify Western Brothers › Western Brothers Outlet Lerma</t>
        </is>
      </c>
      <c r="B190" s="5">
        <f>IF($I2="","",INDEX(Productos!$A:$A,$I2))</f>
        <v/>
      </c>
      <c r="C190" s="134" t="inlineStr">
        <is>
          <t>C47574-26-S</t>
        </is>
      </c>
      <c r="D190" s="5">
        <f>IF($I2="","",INDEX(Productos!$B:$B,$I2))</f>
        <v/>
      </c>
      <c r="E190" s="5">
        <f>IF($I2="","",INDEX(Productos!$H:$H,$I2))</f>
        <v/>
      </c>
      <c r="F190" s="5">
        <f>IF($I2="","",INDEX(Productos!$I:$I,$I2))</f>
        <v/>
      </c>
      <c r="G190" s="135" t="n">
        <v>3</v>
      </c>
      <c r="H190" s="5">
        <f>IF($I2="","",INDEX(Productos!$AG:$AG,$I2))</f>
        <v/>
      </c>
      <c r="I190" s="136">
        <f>LET(_xlpm.r,Productos!$E$2:$E$1063,_xlpm.m,IFERROR(_xlfn.XMATCH(C190,_xlpm.r),IFERROR(_xlfn.XMATCH(VALUE(C190),_xlpm.r),0)),IF(_xlpm.m=0,"",_xlpm.m+1))</f>
        <v/>
      </c>
      <c r="J190" s="137" t="inlineStr">
        <is>
          <t>Shopify</t>
        </is>
      </c>
    </row>
    <row r="191">
      <c r="A191" s="5" t="inlineStr">
        <is>
          <t>Shopify Western Brothers › Western Brothers Outlet Lerma</t>
        </is>
      </c>
      <c r="B191" s="5">
        <f>IF($I2="","",INDEX(Productos!$A:$A,$I2))</f>
        <v/>
      </c>
      <c r="C191" s="134" t="inlineStr">
        <is>
          <t>C47574-26-XL</t>
        </is>
      </c>
      <c r="D191" s="5">
        <f>IF($I2="","",INDEX(Productos!$B:$B,$I2))</f>
        <v/>
      </c>
      <c r="E191" s="5">
        <f>IF($I2="","",INDEX(Productos!$H:$H,$I2))</f>
        <v/>
      </c>
      <c r="F191" s="5">
        <f>IF($I2="","",INDEX(Productos!$I:$I,$I2))</f>
        <v/>
      </c>
      <c r="G191" s="135" t="n">
        <v>1</v>
      </c>
      <c r="H191" s="5">
        <f>IF($I2="","",INDEX(Productos!$AG:$AG,$I2))</f>
        <v/>
      </c>
      <c r="I191" s="136">
        <f>LET(_xlpm.r,Productos!$E$2:$E$1063,_xlpm.m,IFERROR(_xlfn.XMATCH(C191,_xlpm.r),IFERROR(_xlfn.XMATCH(VALUE(C191),_xlpm.r),0)),IF(_xlpm.m=0,"",_xlpm.m+1))</f>
        <v/>
      </c>
      <c r="J191" s="137" t="inlineStr">
        <is>
          <t>Shopify</t>
        </is>
      </c>
    </row>
    <row r="192">
      <c r="A192" s="5" t="inlineStr">
        <is>
          <t>Shopify Western Brothers › Western Brothers Outlet Lerma</t>
        </is>
      </c>
      <c r="B192" s="5">
        <f>IF($I2="","",INDEX(Productos!$A:$A,$I2))</f>
        <v/>
      </c>
      <c r="C192" s="134" t="inlineStr">
        <is>
          <t>C47574-59-L</t>
        </is>
      </c>
      <c r="D192" s="5">
        <f>IF($I2="","",INDEX(Productos!$B:$B,$I2))</f>
        <v/>
      </c>
      <c r="E192" s="5">
        <f>IF($I2="","",INDEX(Productos!$H:$H,$I2))</f>
        <v/>
      </c>
      <c r="F192" s="5">
        <f>IF($I2="","",INDEX(Productos!$I:$I,$I2))</f>
        <v/>
      </c>
      <c r="G192" s="135" t="n">
        <v>2</v>
      </c>
      <c r="H192" s="5">
        <f>IF($I2="","",INDEX(Productos!$AG:$AG,$I2))</f>
        <v/>
      </c>
      <c r="I192" s="136">
        <f>LET(_xlpm.r,Productos!$E$2:$E$1063,_xlpm.m,IFERROR(_xlfn.XMATCH(C192,_xlpm.r),IFERROR(_xlfn.XMATCH(VALUE(C192),_xlpm.r),0)),IF(_xlpm.m=0,"",_xlpm.m+1))</f>
        <v/>
      </c>
      <c r="J192" s="137" t="inlineStr">
        <is>
          <t>Shopify</t>
        </is>
      </c>
    </row>
    <row r="193">
      <c r="A193" s="5" t="inlineStr">
        <is>
          <t>Shopify Western Brothers › Western Brothers Outlet Lerma</t>
        </is>
      </c>
      <c r="B193" s="5">
        <f>IF($I2="","",INDEX(Productos!$A:$A,$I2))</f>
        <v/>
      </c>
      <c r="C193" s="134" t="inlineStr">
        <is>
          <t>C47574-59-M</t>
        </is>
      </c>
      <c r="D193" s="5">
        <f>IF($I2="","",INDEX(Productos!$B:$B,$I2))</f>
        <v/>
      </c>
      <c r="E193" s="5">
        <f>IF($I2="","",INDEX(Productos!$H:$H,$I2))</f>
        <v/>
      </c>
      <c r="F193" s="5">
        <f>IF($I2="","",INDEX(Productos!$I:$I,$I2))</f>
        <v/>
      </c>
      <c r="G193" s="135" t="n">
        <v>3</v>
      </c>
      <c r="H193" s="5">
        <f>IF($I2="","",INDEX(Productos!$AG:$AG,$I2))</f>
        <v/>
      </c>
      <c r="I193" s="136">
        <f>LET(_xlpm.r,Productos!$E$2:$E$1063,_xlpm.m,IFERROR(_xlfn.XMATCH(C193,_xlpm.r),IFERROR(_xlfn.XMATCH(VALUE(C193),_xlpm.r),0)),IF(_xlpm.m=0,"",_xlpm.m+1))</f>
        <v/>
      </c>
      <c r="J193" s="137" t="inlineStr">
        <is>
          <t>Shopify</t>
        </is>
      </c>
    </row>
    <row r="194">
      <c r="A194" s="5" t="inlineStr">
        <is>
          <t>Shopify Western Brothers › Western Brothers Outlet Lerma</t>
        </is>
      </c>
      <c r="B194" s="5">
        <f>IF($I2="","",INDEX(Productos!$A:$A,$I2))</f>
        <v/>
      </c>
      <c r="C194" s="134" t="inlineStr">
        <is>
          <t>C47574-59-S</t>
        </is>
      </c>
      <c r="D194" s="5">
        <f>IF($I2="","",INDEX(Productos!$B:$B,$I2))</f>
        <v/>
      </c>
      <c r="E194" s="5">
        <f>IF($I2="","",INDEX(Productos!$H:$H,$I2))</f>
        <v/>
      </c>
      <c r="F194" s="5">
        <f>IF($I2="","",INDEX(Productos!$I:$I,$I2))</f>
        <v/>
      </c>
      <c r="G194" s="135" t="n">
        <v>3</v>
      </c>
      <c r="H194" s="5">
        <f>IF($I2="","",INDEX(Productos!$AG:$AG,$I2))</f>
        <v/>
      </c>
      <c r="I194" s="136">
        <f>LET(_xlpm.r,Productos!$E$2:$E$1063,_xlpm.m,IFERROR(_xlfn.XMATCH(C194,_xlpm.r),IFERROR(_xlfn.XMATCH(VALUE(C194),_xlpm.r),0)),IF(_xlpm.m=0,"",_xlpm.m+1))</f>
        <v/>
      </c>
      <c r="J194" s="137" t="inlineStr">
        <is>
          <t>Shopify</t>
        </is>
      </c>
    </row>
    <row r="195">
      <c r="A195" s="5" t="inlineStr">
        <is>
          <t>Shopify Western Brothers › Western Brothers Outlet Lerma</t>
        </is>
      </c>
      <c r="B195" s="5">
        <f>IF($I2="","",INDEX(Productos!$A:$A,$I2))</f>
        <v/>
      </c>
      <c r="C195" s="134" t="inlineStr">
        <is>
          <t>C47574-59-XL</t>
        </is>
      </c>
      <c r="D195" s="5">
        <f>IF($I2="","",INDEX(Productos!$B:$B,$I2))</f>
        <v/>
      </c>
      <c r="E195" s="5">
        <f>IF($I2="","",INDEX(Productos!$H:$H,$I2))</f>
        <v/>
      </c>
      <c r="F195" s="5">
        <f>IF($I2="","",INDEX(Productos!$I:$I,$I2))</f>
        <v/>
      </c>
      <c r="G195" s="135" t="n">
        <v>1</v>
      </c>
      <c r="H195" s="5">
        <f>IF($I2="","",INDEX(Productos!$AG:$AG,$I2))</f>
        <v/>
      </c>
      <c r="I195" s="136">
        <f>LET(_xlpm.r,Productos!$E$2:$E$1063,_xlpm.m,IFERROR(_xlfn.XMATCH(C195,_xlpm.r),IFERROR(_xlfn.XMATCH(VALUE(C195),_xlpm.r),0)),IF(_xlpm.m=0,"",_xlpm.m+1))</f>
        <v/>
      </c>
      <c r="J195" s="137" t="inlineStr">
        <is>
          <t>Shopify</t>
        </is>
      </c>
    </row>
    <row r="196">
      <c r="A196" s="5" t="inlineStr">
        <is>
          <t>Shopify Western Brothers › Western Brothers Outlet Lerma</t>
        </is>
      </c>
      <c r="B196" s="5">
        <f>IF($I2="","",INDEX(Productos!$A:$A,$I2))</f>
        <v/>
      </c>
      <c r="C196" s="134" t="inlineStr">
        <is>
          <t>C49628-27-32</t>
        </is>
      </c>
      <c r="D196" s="5">
        <f>IF($I2="","",INDEX(Productos!$B:$B,$I2))</f>
        <v/>
      </c>
      <c r="E196" s="5">
        <f>IF($I2="","",INDEX(Productos!$H:$H,$I2))</f>
        <v/>
      </c>
      <c r="F196" s="5">
        <f>IF($I2="","",INDEX(Productos!$I:$I,$I2))</f>
        <v/>
      </c>
      <c r="G196" s="135" t="n">
        <v>1</v>
      </c>
      <c r="H196" s="5">
        <f>IF($I2="","",INDEX(Productos!$AG:$AG,$I2))</f>
        <v/>
      </c>
      <c r="I196" s="136">
        <f>LET(_xlpm.r,Productos!$E$2:$E$1063,_xlpm.m,IFERROR(_xlfn.XMATCH(C196,_xlpm.r),IFERROR(_xlfn.XMATCH(VALUE(C196),_xlpm.r),0)),IF(_xlpm.m=0,"",_xlpm.m+1))</f>
        <v/>
      </c>
      <c r="J196" s="137" t="inlineStr">
        <is>
          <t>Shopify</t>
        </is>
      </c>
    </row>
    <row r="197">
      <c r="A197" s="5" t="inlineStr">
        <is>
          <t>Shopify Western Brothers › Western Brothers Outlet Lerma</t>
        </is>
      </c>
      <c r="B197" s="5">
        <f>IF($I2="","",INDEX(Productos!$A:$A,$I2))</f>
        <v/>
      </c>
      <c r="C197" s="134" t="inlineStr">
        <is>
          <t>C49628-27-34</t>
        </is>
      </c>
      <c r="D197" s="5">
        <f>IF($I2="","",INDEX(Productos!$B:$B,$I2))</f>
        <v/>
      </c>
      <c r="E197" s="5">
        <f>IF($I2="","",INDEX(Productos!$H:$H,$I2))</f>
        <v/>
      </c>
      <c r="F197" s="5">
        <f>IF($I2="","",INDEX(Productos!$I:$I,$I2))</f>
        <v/>
      </c>
      <c r="G197" s="135" t="n">
        <v>2</v>
      </c>
      <c r="H197" s="5">
        <f>IF($I2="","",INDEX(Productos!$AG:$AG,$I2))</f>
        <v/>
      </c>
      <c r="I197" s="136">
        <f>LET(_xlpm.r,Productos!$E$2:$E$1063,_xlpm.m,IFERROR(_xlfn.XMATCH(C197,_xlpm.r),IFERROR(_xlfn.XMATCH(VALUE(C197),_xlpm.r),0)),IF(_xlpm.m=0,"",_xlpm.m+1))</f>
        <v/>
      </c>
      <c r="J197" s="137" t="inlineStr">
        <is>
          <t>Shopify</t>
        </is>
      </c>
    </row>
    <row r="198">
      <c r="A198" s="5" t="inlineStr">
        <is>
          <t>Shopify Western Brothers › Western Brothers Outlet Lerma</t>
        </is>
      </c>
      <c r="B198" s="5">
        <f>IF($I2="","",INDEX(Productos!$A:$A,$I2))</f>
        <v/>
      </c>
      <c r="C198" s="134" t="inlineStr">
        <is>
          <t>C49628-27-36</t>
        </is>
      </c>
      <c r="D198" s="5">
        <f>IF($I2="","",INDEX(Productos!$B:$B,$I2))</f>
        <v/>
      </c>
      <c r="E198" s="5">
        <f>IF($I2="","",INDEX(Productos!$H:$H,$I2))</f>
        <v/>
      </c>
      <c r="F198" s="5">
        <f>IF($I2="","",INDEX(Productos!$I:$I,$I2))</f>
        <v/>
      </c>
      <c r="G198" s="135" t="n">
        <v>2</v>
      </c>
      <c r="H198" s="5">
        <f>IF($I2="","",INDEX(Productos!$AG:$AG,$I2))</f>
        <v/>
      </c>
      <c r="I198" s="136">
        <f>LET(_xlpm.r,Productos!$E$2:$E$1063,_xlpm.m,IFERROR(_xlfn.XMATCH(C198,_xlpm.r),IFERROR(_xlfn.XMATCH(VALUE(C198),_xlpm.r),0)),IF(_xlpm.m=0,"",_xlpm.m+1))</f>
        <v/>
      </c>
      <c r="J198" s="137" t="inlineStr">
        <is>
          <t>Shopify</t>
        </is>
      </c>
    </row>
    <row r="199">
      <c r="A199" s="5" t="inlineStr">
        <is>
          <t>Shopify Western Brothers › Western Brothers Outlet Lerma</t>
        </is>
      </c>
      <c r="B199" s="5">
        <f>IF($I2="","",INDEX(Productos!$A:$A,$I2))</f>
        <v/>
      </c>
      <c r="C199" s="134" t="inlineStr">
        <is>
          <t>C49628-27-38</t>
        </is>
      </c>
      <c r="D199" s="5">
        <f>IF($I2="","",INDEX(Productos!$B:$B,$I2))</f>
        <v/>
      </c>
      <c r="E199" s="5">
        <f>IF($I2="","",INDEX(Productos!$H:$H,$I2))</f>
        <v/>
      </c>
      <c r="F199" s="5">
        <f>IF($I2="","",INDEX(Productos!$I:$I,$I2))</f>
        <v/>
      </c>
      <c r="G199" s="135" t="n">
        <v>3</v>
      </c>
      <c r="H199" s="5">
        <f>IF($I2="","",INDEX(Productos!$AG:$AG,$I2))</f>
        <v/>
      </c>
      <c r="I199" s="136">
        <f>LET(_xlpm.r,Productos!$E$2:$E$1063,_xlpm.m,IFERROR(_xlfn.XMATCH(C199,_xlpm.r),IFERROR(_xlfn.XMATCH(VALUE(C199),_xlpm.r),0)),IF(_xlpm.m=0,"",_xlpm.m+1))</f>
        <v/>
      </c>
      <c r="J199" s="137" t="inlineStr">
        <is>
          <t>Shopify</t>
        </is>
      </c>
    </row>
    <row r="200">
      <c r="A200" s="5" t="inlineStr">
        <is>
          <t>Shopify Western Brothers › Western Brothers Outlet Lerma</t>
        </is>
      </c>
      <c r="B200" s="5">
        <f>IF($I2="","",INDEX(Productos!$A:$A,$I2))</f>
        <v/>
      </c>
      <c r="C200" s="134" t="inlineStr">
        <is>
          <t>C49628-27-40</t>
        </is>
      </c>
      <c r="D200" s="5">
        <f>IF($I2="","",INDEX(Productos!$B:$B,$I2))</f>
        <v/>
      </c>
      <c r="E200" s="5">
        <f>IF($I2="","",INDEX(Productos!$H:$H,$I2))</f>
        <v/>
      </c>
      <c r="F200" s="5">
        <f>IF($I2="","",INDEX(Productos!$I:$I,$I2))</f>
        <v/>
      </c>
      <c r="G200" s="135" t="n">
        <v>2</v>
      </c>
      <c r="H200" s="5">
        <f>IF($I2="","",INDEX(Productos!$AG:$AG,$I2))</f>
        <v/>
      </c>
      <c r="I200" s="136">
        <f>LET(_xlpm.r,Productos!$E$2:$E$1063,_xlpm.m,IFERROR(_xlfn.XMATCH(C200,_xlpm.r),IFERROR(_xlfn.XMATCH(VALUE(C200),_xlpm.r),0)),IF(_xlpm.m=0,"",_xlpm.m+1))</f>
        <v/>
      </c>
      <c r="J200" s="137" t="inlineStr">
        <is>
          <t>Shopify</t>
        </is>
      </c>
    </row>
    <row r="201">
      <c r="A201" s="5" t="inlineStr">
        <is>
          <t>Shopify Western Brothers › Western Brothers Outlet Lerma</t>
        </is>
      </c>
      <c r="B201" s="5">
        <f>IF($I2="","",INDEX(Productos!$A:$A,$I2))</f>
        <v/>
      </c>
      <c r="C201" s="134" t="inlineStr">
        <is>
          <t>C49628-27-42</t>
        </is>
      </c>
      <c r="D201" s="5">
        <f>IF($I2="","",INDEX(Productos!$B:$B,$I2))</f>
        <v/>
      </c>
      <c r="E201" s="5">
        <f>IF($I2="","",INDEX(Productos!$H:$H,$I2))</f>
        <v/>
      </c>
      <c r="F201" s="5">
        <f>IF($I2="","",INDEX(Productos!$I:$I,$I2))</f>
        <v/>
      </c>
      <c r="G201" s="135" t="n">
        <v>2</v>
      </c>
      <c r="H201" s="5">
        <f>IF($I2="","",INDEX(Productos!$AG:$AG,$I2))</f>
        <v/>
      </c>
      <c r="I201" s="136">
        <f>LET(_xlpm.r,Productos!$E$2:$E$1063,_xlpm.m,IFERROR(_xlfn.XMATCH(C201,_xlpm.r),IFERROR(_xlfn.XMATCH(VALUE(C201),_xlpm.r),0)),IF(_xlpm.m=0,"",_xlpm.m+1))</f>
        <v/>
      </c>
      <c r="J201" s="137" t="inlineStr">
        <is>
          <t>Shopify</t>
        </is>
      </c>
    </row>
    <row r="202">
      <c r="A202" s="5" t="inlineStr">
        <is>
          <t>Shopify Western Brothers › Western Brothers Outlet Lerma</t>
        </is>
      </c>
      <c r="B202" s="5">
        <f>IF($I2="","",INDEX(Productos!$A:$A,$I2))</f>
        <v/>
      </c>
      <c r="C202" s="134" t="inlineStr">
        <is>
          <t>C49628-27-44</t>
        </is>
      </c>
      <c r="D202" s="5">
        <f>IF($I2="","",INDEX(Productos!$B:$B,$I2))</f>
        <v/>
      </c>
      <c r="E202" s="5">
        <f>IF($I2="","",INDEX(Productos!$H:$H,$I2))</f>
        <v/>
      </c>
      <c r="F202" s="5">
        <f>IF($I2="","",INDEX(Productos!$I:$I,$I2))</f>
        <v/>
      </c>
      <c r="G202" s="135" t="n">
        <v>1</v>
      </c>
      <c r="H202" s="5">
        <f>IF($I2="","",INDEX(Productos!$AG:$AG,$I2))</f>
        <v/>
      </c>
      <c r="I202" s="136">
        <f>LET(_xlpm.r,Productos!$E$2:$E$1063,_xlpm.m,IFERROR(_xlfn.XMATCH(C202,_xlpm.r),IFERROR(_xlfn.XMATCH(VALUE(C202),_xlpm.r),0)),IF(_xlpm.m=0,"",_xlpm.m+1))</f>
        <v/>
      </c>
      <c r="J202" s="137" t="inlineStr">
        <is>
          <t>Shopify</t>
        </is>
      </c>
    </row>
    <row r="203">
      <c r="A203" s="5" t="inlineStr">
        <is>
          <t>Shopify Western Brothers › Western Brothers Outlet Lerma</t>
        </is>
      </c>
      <c r="B203" s="5">
        <f>IF($I2="","",INDEX(Productos!$A:$A,$I2))</f>
        <v/>
      </c>
      <c r="C203" s="134" t="inlineStr">
        <is>
          <t>C49727-26-32</t>
        </is>
      </c>
      <c r="D203" s="5">
        <f>IF($I2="","",INDEX(Productos!$B:$B,$I2))</f>
        <v/>
      </c>
      <c r="E203" s="5">
        <f>IF($I2="","",INDEX(Productos!$H:$H,$I2))</f>
        <v/>
      </c>
      <c r="F203" s="5">
        <f>IF($I2="","",INDEX(Productos!$I:$I,$I2))</f>
        <v/>
      </c>
      <c r="G203" s="135" t="n">
        <v>1</v>
      </c>
      <c r="H203" s="5">
        <f>IF($I2="","",INDEX(Productos!$AG:$AG,$I2))</f>
        <v/>
      </c>
      <c r="I203" s="136">
        <f>LET(_xlpm.r,Productos!$E$2:$E$1063,_xlpm.m,IFERROR(_xlfn.XMATCH(C203,_xlpm.r),IFERROR(_xlfn.XMATCH(VALUE(C203),_xlpm.r),0)),IF(_xlpm.m=0,"",_xlpm.m+1))</f>
        <v/>
      </c>
      <c r="J203" s="137" t="inlineStr">
        <is>
          <t>Shopify</t>
        </is>
      </c>
    </row>
    <row r="204">
      <c r="A204" s="5" t="inlineStr">
        <is>
          <t>Shopify Western Brothers › Western Brothers Outlet Lerma</t>
        </is>
      </c>
      <c r="B204" s="5">
        <f>IF($I2="","",INDEX(Productos!$A:$A,$I2))</f>
        <v/>
      </c>
      <c r="C204" s="134" t="inlineStr">
        <is>
          <t>C49727-26-34</t>
        </is>
      </c>
      <c r="D204" s="5">
        <f>IF($I2="","",INDEX(Productos!$B:$B,$I2))</f>
        <v/>
      </c>
      <c r="E204" s="5">
        <f>IF($I2="","",INDEX(Productos!$H:$H,$I2))</f>
        <v/>
      </c>
      <c r="F204" s="5">
        <f>IF($I2="","",INDEX(Productos!$I:$I,$I2))</f>
        <v/>
      </c>
      <c r="G204" s="135" t="n">
        <v>2</v>
      </c>
      <c r="H204" s="5">
        <f>IF($I2="","",INDEX(Productos!$AG:$AG,$I2))</f>
        <v/>
      </c>
      <c r="I204" s="136">
        <f>LET(_xlpm.r,Productos!$E$2:$E$1063,_xlpm.m,IFERROR(_xlfn.XMATCH(C204,_xlpm.r),IFERROR(_xlfn.XMATCH(VALUE(C204),_xlpm.r),0)),IF(_xlpm.m=0,"",_xlpm.m+1))</f>
        <v/>
      </c>
      <c r="J204" s="137" t="inlineStr">
        <is>
          <t>Shopify</t>
        </is>
      </c>
    </row>
    <row r="205">
      <c r="A205" s="5" t="inlineStr">
        <is>
          <t>Shopify Western Brothers › Western Brothers Outlet Lerma</t>
        </is>
      </c>
      <c r="B205" s="5">
        <f>IF($I2="","",INDEX(Productos!$A:$A,$I2))</f>
        <v/>
      </c>
      <c r="C205" s="134" t="inlineStr">
        <is>
          <t>C49727-26-36</t>
        </is>
      </c>
      <c r="D205" s="5">
        <f>IF($I2="","",INDEX(Productos!$B:$B,$I2))</f>
        <v/>
      </c>
      <c r="E205" s="5">
        <f>IF($I2="","",INDEX(Productos!$H:$H,$I2))</f>
        <v/>
      </c>
      <c r="F205" s="5">
        <f>IF($I2="","",INDEX(Productos!$I:$I,$I2))</f>
        <v/>
      </c>
      <c r="G205" s="135" t="n">
        <v>2</v>
      </c>
      <c r="H205" s="5">
        <f>IF($I2="","",INDEX(Productos!$AG:$AG,$I2))</f>
        <v/>
      </c>
      <c r="I205" s="136">
        <f>LET(_xlpm.r,Productos!$E$2:$E$1063,_xlpm.m,IFERROR(_xlfn.XMATCH(C205,_xlpm.r),IFERROR(_xlfn.XMATCH(VALUE(C205),_xlpm.r),0)),IF(_xlpm.m=0,"",_xlpm.m+1))</f>
        <v/>
      </c>
      <c r="J205" s="137" t="inlineStr">
        <is>
          <t>Shopify</t>
        </is>
      </c>
    </row>
    <row r="206">
      <c r="A206" s="5" t="inlineStr">
        <is>
          <t>Shopify Western Brothers › Western Brothers Outlet Lerma</t>
        </is>
      </c>
      <c r="B206" s="5">
        <f>IF($I2="","",INDEX(Productos!$A:$A,$I2))</f>
        <v/>
      </c>
      <c r="C206" s="134" t="inlineStr">
        <is>
          <t>C49727-26-38</t>
        </is>
      </c>
      <c r="D206" s="5">
        <f>IF($I2="","",INDEX(Productos!$B:$B,$I2))</f>
        <v/>
      </c>
      <c r="E206" s="5">
        <f>IF($I2="","",INDEX(Productos!$H:$H,$I2))</f>
        <v/>
      </c>
      <c r="F206" s="5">
        <f>IF($I2="","",INDEX(Productos!$I:$I,$I2))</f>
        <v/>
      </c>
      <c r="G206" s="135" t="n">
        <v>3</v>
      </c>
      <c r="H206" s="5">
        <f>IF($I2="","",INDEX(Productos!$AG:$AG,$I2))</f>
        <v/>
      </c>
      <c r="I206" s="136">
        <f>LET(_xlpm.r,Productos!$E$2:$E$1063,_xlpm.m,IFERROR(_xlfn.XMATCH(C206,_xlpm.r),IFERROR(_xlfn.XMATCH(VALUE(C206),_xlpm.r),0)),IF(_xlpm.m=0,"",_xlpm.m+1))</f>
        <v/>
      </c>
      <c r="J206" s="137" t="inlineStr">
        <is>
          <t>Shopify</t>
        </is>
      </c>
    </row>
    <row r="207">
      <c r="A207" s="5" t="inlineStr">
        <is>
          <t>Shopify Western Brothers › Western Brothers Outlet Lerma</t>
        </is>
      </c>
      <c r="B207" s="5">
        <f>IF($I2="","",INDEX(Productos!$A:$A,$I2))</f>
        <v/>
      </c>
      <c r="C207" s="134" t="inlineStr">
        <is>
          <t>C49727-26-40</t>
        </is>
      </c>
      <c r="D207" s="5">
        <f>IF($I2="","",INDEX(Productos!$B:$B,$I2))</f>
        <v/>
      </c>
      <c r="E207" s="5">
        <f>IF($I2="","",INDEX(Productos!$H:$H,$I2))</f>
        <v/>
      </c>
      <c r="F207" s="5">
        <f>IF($I2="","",INDEX(Productos!$I:$I,$I2))</f>
        <v/>
      </c>
      <c r="G207" s="135" t="n">
        <v>2</v>
      </c>
      <c r="H207" s="5">
        <f>IF($I2="","",INDEX(Productos!$AG:$AG,$I2))</f>
        <v/>
      </c>
      <c r="I207" s="136">
        <f>LET(_xlpm.r,Productos!$E$2:$E$1063,_xlpm.m,IFERROR(_xlfn.XMATCH(C207,_xlpm.r),IFERROR(_xlfn.XMATCH(VALUE(C207),_xlpm.r),0)),IF(_xlpm.m=0,"",_xlpm.m+1))</f>
        <v/>
      </c>
      <c r="J207" s="137" t="inlineStr">
        <is>
          <t>Shopify</t>
        </is>
      </c>
    </row>
    <row r="208">
      <c r="A208" s="5" t="inlineStr">
        <is>
          <t>Shopify Western Brothers › Western Brothers Outlet Lerma</t>
        </is>
      </c>
      <c r="B208" s="5">
        <f>IF($I2="","",INDEX(Productos!$A:$A,$I2))</f>
        <v/>
      </c>
      <c r="C208" s="134" t="inlineStr">
        <is>
          <t>C49727-26-42</t>
        </is>
      </c>
      <c r="D208" s="5">
        <f>IF($I2="","",INDEX(Productos!$B:$B,$I2))</f>
        <v/>
      </c>
      <c r="E208" s="5">
        <f>IF($I2="","",INDEX(Productos!$H:$H,$I2))</f>
        <v/>
      </c>
      <c r="F208" s="5">
        <f>IF($I2="","",INDEX(Productos!$I:$I,$I2))</f>
        <v/>
      </c>
      <c r="G208" s="135" t="n">
        <v>2</v>
      </c>
      <c r="H208" s="5">
        <f>IF($I2="","",INDEX(Productos!$AG:$AG,$I2))</f>
        <v/>
      </c>
      <c r="I208" s="136">
        <f>LET(_xlpm.r,Productos!$E$2:$E$1063,_xlpm.m,IFERROR(_xlfn.XMATCH(C208,_xlpm.r),IFERROR(_xlfn.XMATCH(VALUE(C208),_xlpm.r),0)),IF(_xlpm.m=0,"",_xlpm.m+1))</f>
        <v/>
      </c>
      <c r="J208" s="137" t="inlineStr">
        <is>
          <t>Shopify</t>
        </is>
      </c>
    </row>
    <row r="209">
      <c r="A209" s="5" t="inlineStr">
        <is>
          <t>Shopify Western Brothers › Western Brothers Outlet Lerma</t>
        </is>
      </c>
      <c r="B209" s="5">
        <f>IF($I2="","",INDEX(Productos!$A:$A,$I2))</f>
        <v/>
      </c>
      <c r="C209" s="134" t="inlineStr">
        <is>
          <t>C49727-26-44</t>
        </is>
      </c>
      <c r="D209" s="5">
        <f>IF($I2="","",INDEX(Productos!$B:$B,$I2))</f>
        <v/>
      </c>
      <c r="E209" s="5">
        <f>IF($I2="","",INDEX(Productos!$H:$H,$I2))</f>
        <v/>
      </c>
      <c r="F209" s="5">
        <f>IF($I2="","",INDEX(Productos!$I:$I,$I2))</f>
        <v/>
      </c>
      <c r="G209" s="135" t="n">
        <v>1</v>
      </c>
      <c r="H209" s="5">
        <f>IF($I2="","",INDEX(Productos!$AG:$AG,$I2))</f>
        <v/>
      </c>
      <c r="I209" s="136">
        <f>LET(_xlpm.r,Productos!$E$2:$E$1063,_xlpm.m,IFERROR(_xlfn.XMATCH(C209,_xlpm.r),IFERROR(_xlfn.XMATCH(VALUE(C209),_xlpm.r),0)),IF(_xlpm.m=0,"",_xlpm.m+1))</f>
        <v/>
      </c>
      <c r="J209" s="137" t="inlineStr">
        <is>
          <t>Shopify</t>
        </is>
      </c>
    </row>
    <row r="210">
      <c r="A210" s="5" t="inlineStr">
        <is>
          <t>Shopify Western Brothers › Western Brothers Outlet Lerma</t>
        </is>
      </c>
      <c r="B210" s="5">
        <f>IF($I2="","",INDEX(Productos!$A:$A,$I2))</f>
        <v/>
      </c>
      <c r="C210" s="134" t="inlineStr">
        <is>
          <t>C49728-27-32</t>
        </is>
      </c>
      <c r="D210" s="5">
        <f>IF($I2="","",INDEX(Productos!$B:$B,$I2))</f>
        <v/>
      </c>
      <c r="E210" s="5">
        <f>IF($I2="","",INDEX(Productos!$H:$H,$I2))</f>
        <v/>
      </c>
      <c r="F210" s="5">
        <f>IF($I2="","",INDEX(Productos!$I:$I,$I2))</f>
        <v/>
      </c>
      <c r="G210" s="135" t="n">
        <v>1</v>
      </c>
      <c r="H210" s="5">
        <f>IF($I2="","",INDEX(Productos!$AG:$AG,$I2))</f>
        <v/>
      </c>
      <c r="I210" s="136">
        <f>LET(_xlpm.r,Productos!$E$2:$E$1063,_xlpm.m,IFERROR(_xlfn.XMATCH(C210,_xlpm.r),IFERROR(_xlfn.XMATCH(VALUE(C210),_xlpm.r),0)),IF(_xlpm.m=0,"",_xlpm.m+1))</f>
        <v/>
      </c>
      <c r="J210" s="137" t="inlineStr">
        <is>
          <t>Shopify</t>
        </is>
      </c>
    </row>
    <row r="211">
      <c r="A211" s="5" t="inlineStr">
        <is>
          <t>Shopify Western Brothers › Western Brothers Outlet Lerma</t>
        </is>
      </c>
      <c r="B211" s="5">
        <f>IF($I2="","",INDEX(Productos!$A:$A,$I2))</f>
        <v/>
      </c>
      <c r="C211" s="134" t="inlineStr">
        <is>
          <t>C49728-27-34</t>
        </is>
      </c>
      <c r="D211" s="5">
        <f>IF($I2="","",INDEX(Productos!$B:$B,$I2))</f>
        <v/>
      </c>
      <c r="E211" s="5">
        <f>IF($I2="","",INDEX(Productos!$H:$H,$I2))</f>
        <v/>
      </c>
      <c r="F211" s="5">
        <f>IF($I2="","",INDEX(Productos!$I:$I,$I2))</f>
        <v/>
      </c>
      <c r="G211" s="135" t="n">
        <v>2</v>
      </c>
      <c r="H211" s="5">
        <f>IF($I2="","",INDEX(Productos!$AG:$AG,$I2))</f>
        <v/>
      </c>
      <c r="I211" s="136">
        <f>LET(_xlpm.r,Productos!$E$2:$E$1063,_xlpm.m,IFERROR(_xlfn.XMATCH(C211,_xlpm.r),IFERROR(_xlfn.XMATCH(VALUE(C211),_xlpm.r),0)),IF(_xlpm.m=0,"",_xlpm.m+1))</f>
        <v/>
      </c>
      <c r="J211" s="137" t="inlineStr">
        <is>
          <t>Shopify</t>
        </is>
      </c>
    </row>
    <row r="212">
      <c r="A212" s="5" t="inlineStr">
        <is>
          <t>Shopify Western Brothers › Western Brothers Outlet Lerma</t>
        </is>
      </c>
      <c r="B212" s="5">
        <f>IF($I2="","",INDEX(Productos!$A:$A,$I2))</f>
        <v/>
      </c>
      <c r="C212" s="134" t="inlineStr">
        <is>
          <t>C49728-27-36</t>
        </is>
      </c>
      <c r="D212" s="5">
        <f>IF($I2="","",INDEX(Productos!$B:$B,$I2))</f>
        <v/>
      </c>
      <c r="E212" s="5">
        <f>IF($I2="","",INDEX(Productos!$H:$H,$I2))</f>
        <v/>
      </c>
      <c r="F212" s="5">
        <f>IF($I2="","",INDEX(Productos!$I:$I,$I2))</f>
        <v/>
      </c>
      <c r="G212" s="135" t="n">
        <v>2</v>
      </c>
      <c r="H212" s="5">
        <f>IF($I2="","",INDEX(Productos!$AG:$AG,$I2))</f>
        <v/>
      </c>
      <c r="I212" s="136">
        <f>LET(_xlpm.r,Productos!$E$2:$E$1063,_xlpm.m,IFERROR(_xlfn.XMATCH(C212,_xlpm.r),IFERROR(_xlfn.XMATCH(VALUE(C212),_xlpm.r),0)),IF(_xlpm.m=0,"",_xlpm.m+1))</f>
        <v/>
      </c>
      <c r="J212" s="137" t="inlineStr">
        <is>
          <t>Shopify</t>
        </is>
      </c>
    </row>
    <row r="213">
      <c r="A213" s="5" t="inlineStr">
        <is>
          <t>Shopify Western Brothers › Western Brothers Outlet Lerma</t>
        </is>
      </c>
      <c r="B213" s="5">
        <f>IF($I2="","",INDEX(Productos!$A:$A,$I2))</f>
        <v/>
      </c>
      <c r="C213" s="134" t="inlineStr">
        <is>
          <t>C49728-27-38</t>
        </is>
      </c>
      <c r="D213" s="5">
        <f>IF($I2="","",INDEX(Productos!$B:$B,$I2))</f>
        <v/>
      </c>
      <c r="E213" s="5">
        <f>IF($I2="","",INDEX(Productos!$H:$H,$I2))</f>
        <v/>
      </c>
      <c r="F213" s="5">
        <f>IF($I2="","",INDEX(Productos!$I:$I,$I2))</f>
        <v/>
      </c>
      <c r="G213" s="135" t="n">
        <v>3</v>
      </c>
      <c r="H213" s="5">
        <f>IF($I2="","",INDEX(Productos!$AG:$AG,$I2))</f>
        <v/>
      </c>
      <c r="I213" s="136">
        <f>LET(_xlpm.r,Productos!$E$2:$E$1063,_xlpm.m,IFERROR(_xlfn.XMATCH(C213,_xlpm.r),IFERROR(_xlfn.XMATCH(VALUE(C213),_xlpm.r),0)),IF(_xlpm.m=0,"",_xlpm.m+1))</f>
        <v/>
      </c>
      <c r="J213" s="137" t="inlineStr">
        <is>
          <t>Shopify</t>
        </is>
      </c>
    </row>
    <row r="214">
      <c r="A214" s="5" t="inlineStr">
        <is>
          <t>Shopify Western Brothers › Western Brothers Outlet Lerma</t>
        </is>
      </c>
      <c r="B214" s="5">
        <f>IF($I2="","",INDEX(Productos!$A:$A,$I2))</f>
        <v/>
      </c>
      <c r="C214" s="134" t="inlineStr">
        <is>
          <t>C49728-27-40</t>
        </is>
      </c>
      <c r="D214" s="5">
        <f>IF($I2="","",INDEX(Productos!$B:$B,$I2))</f>
        <v/>
      </c>
      <c r="E214" s="5">
        <f>IF($I2="","",INDEX(Productos!$H:$H,$I2))</f>
        <v/>
      </c>
      <c r="F214" s="5">
        <f>IF($I2="","",INDEX(Productos!$I:$I,$I2))</f>
        <v/>
      </c>
      <c r="G214" s="135" t="n">
        <v>2</v>
      </c>
      <c r="H214" s="5">
        <f>IF($I2="","",INDEX(Productos!$AG:$AG,$I2))</f>
        <v/>
      </c>
      <c r="I214" s="136">
        <f>LET(_xlpm.r,Productos!$E$2:$E$1063,_xlpm.m,IFERROR(_xlfn.XMATCH(C214,_xlpm.r),IFERROR(_xlfn.XMATCH(VALUE(C214),_xlpm.r),0)),IF(_xlpm.m=0,"",_xlpm.m+1))</f>
        <v/>
      </c>
      <c r="J214" s="137" t="inlineStr">
        <is>
          <t>Shopify</t>
        </is>
      </c>
    </row>
    <row r="215">
      <c r="A215" s="5" t="inlineStr">
        <is>
          <t>Shopify Western Brothers › Western Brothers Outlet Lerma</t>
        </is>
      </c>
      <c r="B215" s="5">
        <f>IF($I2="","",INDEX(Productos!$A:$A,$I2))</f>
        <v/>
      </c>
      <c r="C215" s="134" t="inlineStr">
        <is>
          <t>C49728-27-42</t>
        </is>
      </c>
      <c r="D215" s="5">
        <f>IF($I2="","",INDEX(Productos!$B:$B,$I2))</f>
        <v/>
      </c>
      <c r="E215" s="5">
        <f>IF($I2="","",INDEX(Productos!$H:$H,$I2))</f>
        <v/>
      </c>
      <c r="F215" s="5">
        <f>IF($I2="","",INDEX(Productos!$I:$I,$I2))</f>
        <v/>
      </c>
      <c r="G215" s="135" t="n">
        <v>2</v>
      </c>
      <c r="H215" s="5">
        <f>IF($I2="","",INDEX(Productos!$AG:$AG,$I2))</f>
        <v/>
      </c>
      <c r="I215" s="136">
        <f>LET(_xlpm.r,Productos!$E$2:$E$1063,_xlpm.m,IFERROR(_xlfn.XMATCH(C215,_xlpm.r),IFERROR(_xlfn.XMATCH(VALUE(C215),_xlpm.r),0)),IF(_xlpm.m=0,"",_xlpm.m+1))</f>
        <v/>
      </c>
      <c r="J215" s="137" t="inlineStr">
        <is>
          <t>Shopify</t>
        </is>
      </c>
    </row>
    <row r="216">
      <c r="A216" s="5" t="inlineStr">
        <is>
          <t>Shopify Western Brothers › Western Brothers Outlet Lerma</t>
        </is>
      </c>
      <c r="B216" s="5">
        <f>IF($I2="","",INDEX(Productos!$A:$A,$I2))</f>
        <v/>
      </c>
      <c r="C216" s="134" t="inlineStr">
        <is>
          <t>C49728-27-44</t>
        </is>
      </c>
      <c r="D216" s="5">
        <f>IF($I2="","",INDEX(Productos!$B:$B,$I2))</f>
        <v/>
      </c>
      <c r="E216" s="5">
        <f>IF($I2="","",INDEX(Productos!$H:$H,$I2))</f>
        <v/>
      </c>
      <c r="F216" s="5">
        <f>IF($I2="","",INDEX(Productos!$I:$I,$I2))</f>
        <v/>
      </c>
      <c r="G216" s="135" t="n">
        <v>1</v>
      </c>
      <c r="H216" s="5">
        <f>IF($I2="","",INDEX(Productos!$AG:$AG,$I2))</f>
        <v/>
      </c>
      <c r="I216" s="136">
        <f>LET(_xlpm.r,Productos!$E$2:$E$1063,_xlpm.m,IFERROR(_xlfn.XMATCH(C216,_xlpm.r),IFERROR(_xlfn.XMATCH(VALUE(C216),_xlpm.r),0)),IF(_xlpm.m=0,"",_xlpm.m+1))</f>
        <v/>
      </c>
      <c r="J216" s="137" t="inlineStr">
        <is>
          <t>Shopify</t>
        </is>
      </c>
    </row>
    <row r="217">
      <c r="A217" s="5" t="inlineStr">
        <is>
          <t>Shopify Western Brothers › Western Brothers Outlet Lerma</t>
        </is>
      </c>
      <c r="B217" s="5">
        <f>IF($I2="","",INDEX(Productos!$A:$A,$I2))</f>
        <v/>
      </c>
      <c r="C217" s="134" t="inlineStr">
        <is>
          <t>C49729-27-32</t>
        </is>
      </c>
      <c r="D217" s="5">
        <f>IF($I2="","",INDEX(Productos!$B:$B,$I2))</f>
        <v/>
      </c>
      <c r="E217" s="5">
        <f>IF($I2="","",INDEX(Productos!$H:$H,$I2))</f>
        <v/>
      </c>
      <c r="F217" s="5">
        <f>IF($I2="","",INDEX(Productos!$I:$I,$I2))</f>
        <v/>
      </c>
      <c r="G217" s="135" t="n">
        <v>1</v>
      </c>
      <c r="H217" s="5">
        <f>IF($I2="","",INDEX(Productos!$AG:$AG,$I2))</f>
        <v/>
      </c>
      <c r="I217" s="136">
        <f>LET(_xlpm.r,Productos!$E$2:$E$1063,_xlpm.m,IFERROR(_xlfn.XMATCH(C217,_xlpm.r),IFERROR(_xlfn.XMATCH(VALUE(C217),_xlpm.r),0)),IF(_xlpm.m=0,"",_xlpm.m+1))</f>
        <v/>
      </c>
      <c r="J217" s="137" t="inlineStr">
        <is>
          <t>Shopify</t>
        </is>
      </c>
    </row>
    <row r="218">
      <c r="A218" s="5" t="inlineStr">
        <is>
          <t>Shopify Western Brothers › Western Brothers Outlet Lerma</t>
        </is>
      </c>
      <c r="B218" s="5">
        <f>IF($I2="","",INDEX(Productos!$A:$A,$I2))</f>
        <v/>
      </c>
      <c r="C218" s="134" t="inlineStr">
        <is>
          <t>C49729-27-34</t>
        </is>
      </c>
      <c r="D218" s="5">
        <f>IF($I2="","",INDEX(Productos!$B:$B,$I2))</f>
        <v/>
      </c>
      <c r="E218" s="5">
        <f>IF($I2="","",INDEX(Productos!$H:$H,$I2))</f>
        <v/>
      </c>
      <c r="F218" s="5">
        <f>IF($I2="","",INDEX(Productos!$I:$I,$I2))</f>
        <v/>
      </c>
      <c r="G218" s="135" t="n">
        <v>2</v>
      </c>
      <c r="H218" s="5">
        <f>IF($I2="","",INDEX(Productos!$AG:$AG,$I2))</f>
        <v/>
      </c>
      <c r="I218" s="136">
        <f>LET(_xlpm.r,Productos!$E$2:$E$1063,_xlpm.m,IFERROR(_xlfn.XMATCH(C218,_xlpm.r),IFERROR(_xlfn.XMATCH(VALUE(C218),_xlpm.r),0)),IF(_xlpm.m=0,"",_xlpm.m+1))</f>
        <v/>
      </c>
      <c r="J218" s="137" t="inlineStr">
        <is>
          <t>Shopify</t>
        </is>
      </c>
    </row>
    <row r="219">
      <c r="A219" s="5" t="inlineStr">
        <is>
          <t>Shopify Western Brothers › Western Brothers Outlet Lerma</t>
        </is>
      </c>
      <c r="B219" s="5">
        <f>IF($I2="","",INDEX(Productos!$A:$A,$I2))</f>
        <v/>
      </c>
      <c r="C219" s="134" t="inlineStr">
        <is>
          <t>C49729-27-36</t>
        </is>
      </c>
      <c r="D219" s="5">
        <f>IF($I2="","",INDEX(Productos!$B:$B,$I2))</f>
        <v/>
      </c>
      <c r="E219" s="5">
        <f>IF($I2="","",INDEX(Productos!$H:$H,$I2))</f>
        <v/>
      </c>
      <c r="F219" s="5">
        <f>IF($I2="","",INDEX(Productos!$I:$I,$I2))</f>
        <v/>
      </c>
      <c r="G219" s="135" t="n">
        <v>2</v>
      </c>
      <c r="H219" s="5">
        <f>IF($I2="","",INDEX(Productos!$AG:$AG,$I2))</f>
        <v/>
      </c>
      <c r="I219" s="136">
        <f>LET(_xlpm.r,Productos!$E$2:$E$1063,_xlpm.m,IFERROR(_xlfn.XMATCH(C219,_xlpm.r),IFERROR(_xlfn.XMATCH(VALUE(C219),_xlpm.r),0)),IF(_xlpm.m=0,"",_xlpm.m+1))</f>
        <v/>
      </c>
      <c r="J219" s="137" t="inlineStr">
        <is>
          <t>Shopify</t>
        </is>
      </c>
    </row>
    <row r="220">
      <c r="A220" s="5" t="inlineStr">
        <is>
          <t>Shopify Western Brothers › Western Brothers Outlet Lerma</t>
        </is>
      </c>
      <c r="B220" s="5">
        <f>IF($I2="","",INDEX(Productos!$A:$A,$I2))</f>
        <v/>
      </c>
      <c r="C220" s="134" t="inlineStr">
        <is>
          <t>C49729-27-38</t>
        </is>
      </c>
      <c r="D220" s="5">
        <f>IF($I2="","",INDEX(Productos!$B:$B,$I2))</f>
        <v/>
      </c>
      <c r="E220" s="5">
        <f>IF($I2="","",INDEX(Productos!$H:$H,$I2))</f>
        <v/>
      </c>
      <c r="F220" s="5">
        <f>IF($I2="","",INDEX(Productos!$I:$I,$I2))</f>
        <v/>
      </c>
      <c r="G220" s="135" t="n">
        <v>3</v>
      </c>
      <c r="H220" s="5">
        <f>IF($I2="","",INDEX(Productos!$AG:$AG,$I2))</f>
        <v/>
      </c>
      <c r="I220" s="136">
        <f>LET(_xlpm.r,Productos!$E$2:$E$1063,_xlpm.m,IFERROR(_xlfn.XMATCH(C220,_xlpm.r),IFERROR(_xlfn.XMATCH(VALUE(C220),_xlpm.r),0)),IF(_xlpm.m=0,"",_xlpm.m+1))</f>
        <v/>
      </c>
      <c r="J220" s="137" t="inlineStr">
        <is>
          <t>Shopify</t>
        </is>
      </c>
    </row>
    <row r="221">
      <c r="A221" s="5" t="inlineStr">
        <is>
          <t>Shopify Western Brothers › Western Brothers Outlet Lerma</t>
        </is>
      </c>
      <c r="B221" s="5">
        <f>IF($I2="","",INDEX(Productos!$A:$A,$I2))</f>
        <v/>
      </c>
      <c r="C221" s="134" t="inlineStr">
        <is>
          <t>C49729-27-40</t>
        </is>
      </c>
      <c r="D221" s="5">
        <f>IF($I2="","",INDEX(Productos!$B:$B,$I2))</f>
        <v/>
      </c>
      <c r="E221" s="5">
        <f>IF($I2="","",INDEX(Productos!$H:$H,$I2))</f>
        <v/>
      </c>
      <c r="F221" s="5">
        <f>IF($I2="","",INDEX(Productos!$I:$I,$I2))</f>
        <v/>
      </c>
      <c r="G221" s="135" t="n">
        <v>1</v>
      </c>
      <c r="H221" s="5">
        <f>IF($I2="","",INDEX(Productos!$AG:$AG,$I2))</f>
        <v/>
      </c>
      <c r="I221" s="136">
        <f>LET(_xlpm.r,Productos!$E$2:$E$1063,_xlpm.m,IFERROR(_xlfn.XMATCH(C221,_xlpm.r),IFERROR(_xlfn.XMATCH(VALUE(C221),_xlpm.r),0)),IF(_xlpm.m=0,"",_xlpm.m+1))</f>
        <v/>
      </c>
      <c r="J221" s="137" t="inlineStr">
        <is>
          <t>Shopify</t>
        </is>
      </c>
    </row>
    <row r="222">
      <c r="A222" s="5" t="inlineStr">
        <is>
          <t>Shopify Western Brothers › Western Brothers Outlet Lerma</t>
        </is>
      </c>
      <c r="B222" s="5">
        <f>IF($I2="","",INDEX(Productos!$A:$A,$I2))</f>
        <v/>
      </c>
      <c r="C222" s="134" t="inlineStr">
        <is>
          <t>C49729-27-42</t>
        </is>
      </c>
      <c r="D222" s="5">
        <f>IF($I2="","",INDEX(Productos!$B:$B,$I2))</f>
        <v/>
      </c>
      <c r="E222" s="5">
        <f>IF($I2="","",INDEX(Productos!$H:$H,$I2))</f>
        <v/>
      </c>
      <c r="F222" s="5">
        <f>IF($I2="","",INDEX(Productos!$I:$I,$I2))</f>
        <v/>
      </c>
      <c r="G222" s="135" t="n">
        <v>2</v>
      </c>
      <c r="H222" s="5">
        <f>IF($I2="","",INDEX(Productos!$AG:$AG,$I2))</f>
        <v/>
      </c>
      <c r="I222" s="136">
        <f>LET(_xlpm.r,Productos!$E$2:$E$1063,_xlpm.m,IFERROR(_xlfn.XMATCH(C222,_xlpm.r),IFERROR(_xlfn.XMATCH(VALUE(C222),_xlpm.r),0)),IF(_xlpm.m=0,"",_xlpm.m+1))</f>
        <v/>
      </c>
      <c r="J222" s="137" t="inlineStr">
        <is>
          <t>Shopify</t>
        </is>
      </c>
    </row>
    <row r="223">
      <c r="A223" s="5" t="inlineStr">
        <is>
          <t>Shopify Western Brothers › Western Brothers Outlet Lerma</t>
        </is>
      </c>
      <c r="B223" s="5">
        <f>IF($I2="","",INDEX(Productos!$A:$A,$I2))</f>
        <v/>
      </c>
      <c r="C223" s="134" t="inlineStr">
        <is>
          <t>C49729-27-44</t>
        </is>
      </c>
      <c r="D223" s="5">
        <f>IF($I2="","",INDEX(Productos!$B:$B,$I2))</f>
        <v/>
      </c>
      <c r="E223" s="5">
        <f>IF($I2="","",INDEX(Productos!$H:$H,$I2))</f>
        <v/>
      </c>
      <c r="F223" s="5">
        <f>IF($I2="","",INDEX(Productos!$I:$I,$I2))</f>
        <v/>
      </c>
      <c r="G223" s="135" t="n">
        <v>1</v>
      </c>
      <c r="H223" s="5">
        <f>IF($I2="","",INDEX(Productos!$AG:$AG,$I2))</f>
        <v/>
      </c>
      <c r="I223" s="136">
        <f>LET(_xlpm.r,Productos!$E$2:$E$1063,_xlpm.m,IFERROR(_xlfn.XMATCH(C223,_xlpm.r),IFERROR(_xlfn.XMATCH(VALUE(C223),_xlpm.r),0)),IF(_xlpm.m=0,"",_xlpm.m+1))</f>
        <v/>
      </c>
      <c r="J223" s="137" t="inlineStr">
        <is>
          <t>Shopify</t>
        </is>
      </c>
    </row>
    <row r="224">
      <c r="A224" s="5" t="inlineStr">
        <is>
          <t>Shopify Western Brothers › Western Brothers Outlet Lerma</t>
        </is>
      </c>
      <c r="B224" s="5">
        <f>IF($I2="","",INDEX(Productos!$A:$A,$I2))</f>
        <v/>
      </c>
      <c r="C224" s="134" t="inlineStr">
        <is>
          <t>C49730-27-32</t>
        </is>
      </c>
      <c r="D224" s="5">
        <f>IF($I2="","",INDEX(Productos!$B:$B,$I2))</f>
        <v/>
      </c>
      <c r="E224" s="5">
        <f>IF($I2="","",INDEX(Productos!$H:$H,$I2))</f>
        <v/>
      </c>
      <c r="F224" s="5">
        <f>IF($I2="","",INDEX(Productos!$I:$I,$I2))</f>
        <v/>
      </c>
      <c r="G224" s="135" t="n">
        <v>1</v>
      </c>
      <c r="H224" s="5">
        <f>IF($I2="","",INDEX(Productos!$AG:$AG,$I2))</f>
        <v/>
      </c>
      <c r="I224" s="136">
        <f>LET(_xlpm.r,Productos!$E$2:$E$1063,_xlpm.m,IFERROR(_xlfn.XMATCH(C224,_xlpm.r),IFERROR(_xlfn.XMATCH(VALUE(C224),_xlpm.r),0)),IF(_xlpm.m=0,"",_xlpm.m+1))</f>
        <v/>
      </c>
      <c r="J224" s="137" t="inlineStr">
        <is>
          <t>Shopify</t>
        </is>
      </c>
    </row>
    <row r="225">
      <c r="A225" s="5" t="inlineStr">
        <is>
          <t>Shopify Western Brothers › Western Brothers Outlet Lerma</t>
        </is>
      </c>
      <c r="B225" s="5">
        <f>IF($I2="","",INDEX(Productos!$A:$A,$I2))</f>
        <v/>
      </c>
      <c r="C225" s="134" t="inlineStr">
        <is>
          <t>C49730-27-34</t>
        </is>
      </c>
      <c r="D225" s="5">
        <f>IF($I2="","",INDEX(Productos!$B:$B,$I2))</f>
        <v/>
      </c>
      <c r="E225" s="5">
        <f>IF($I2="","",INDEX(Productos!$H:$H,$I2))</f>
        <v/>
      </c>
      <c r="F225" s="5">
        <f>IF($I2="","",INDEX(Productos!$I:$I,$I2))</f>
        <v/>
      </c>
      <c r="G225" s="135" t="n">
        <v>2</v>
      </c>
      <c r="H225" s="5">
        <f>IF($I2="","",INDEX(Productos!$AG:$AG,$I2))</f>
        <v/>
      </c>
      <c r="I225" s="136">
        <f>LET(_xlpm.r,Productos!$E$2:$E$1063,_xlpm.m,IFERROR(_xlfn.XMATCH(C225,_xlpm.r),IFERROR(_xlfn.XMATCH(VALUE(C225),_xlpm.r),0)),IF(_xlpm.m=0,"",_xlpm.m+1))</f>
        <v/>
      </c>
      <c r="J225" s="137" t="inlineStr">
        <is>
          <t>Shopify</t>
        </is>
      </c>
    </row>
    <row r="226">
      <c r="A226" s="5" t="inlineStr">
        <is>
          <t>Shopify Western Brothers › Western Brothers Outlet Lerma</t>
        </is>
      </c>
      <c r="B226" s="5">
        <f>IF($I2="","",INDEX(Productos!$A:$A,$I2))</f>
        <v/>
      </c>
      <c r="C226" s="134" t="inlineStr">
        <is>
          <t>C49730-27-36</t>
        </is>
      </c>
      <c r="D226" s="5">
        <f>IF($I2="","",INDEX(Productos!$B:$B,$I2))</f>
        <v/>
      </c>
      <c r="E226" s="5">
        <f>IF($I2="","",INDEX(Productos!$H:$H,$I2))</f>
        <v/>
      </c>
      <c r="F226" s="5">
        <f>IF($I2="","",INDEX(Productos!$I:$I,$I2))</f>
        <v/>
      </c>
      <c r="G226" s="135" t="n">
        <v>2</v>
      </c>
      <c r="H226" s="5">
        <f>IF($I2="","",INDEX(Productos!$AG:$AG,$I2))</f>
        <v/>
      </c>
      <c r="I226" s="136">
        <f>LET(_xlpm.r,Productos!$E$2:$E$1063,_xlpm.m,IFERROR(_xlfn.XMATCH(C226,_xlpm.r),IFERROR(_xlfn.XMATCH(VALUE(C226),_xlpm.r),0)),IF(_xlpm.m=0,"",_xlpm.m+1))</f>
        <v/>
      </c>
      <c r="J226" s="137" t="inlineStr">
        <is>
          <t>Shopify</t>
        </is>
      </c>
    </row>
    <row r="227">
      <c r="A227" s="5" t="inlineStr">
        <is>
          <t>Shopify Western Brothers › Western Brothers Outlet Lerma</t>
        </is>
      </c>
      <c r="B227" s="5">
        <f>IF($I2="","",INDEX(Productos!$A:$A,$I2))</f>
        <v/>
      </c>
      <c r="C227" s="134" t="inlineStr">
        <is>
          <t>C49730-27-38</t>
        </is>
      </c>
      <c r="D227" s="5">
        <f>IF($I2="","",INDEX(Productos!$B:$B,$I2))</f>
        <v/>
      </c>
      <c r="E227" s="5">
        <f>IF($I2="","",INDEX(Productos!$H:$H,$I2))</f>
        <v/>
      </c>
      <c r="F227" s="5">
        <f>IF($I2="","",INDEX(Productos!$I:$I,$I2))</f>
        <v/>
      </c>
      <c r="G227" s="135" t="n">
        <v>3</v>
      </c>
      <c r="H227" s="5">
        <f>IF($I2="","",INDEX(Productos!$AG:$AG,$I2))</f>
        <v/>
      </c>
      <c r="I227" s="136">
        <f>LET(_xlpm.r,Productos!$E$2:$E$1063,_xlpm.m,IFERROR(_xlfn.XMATCH(C227,_xlpm.r),IFERROR(_xlfn.XMATCH(VALUE(C227),_xlpm.r),0)),IF(_xlpm.m=0,"",_xlpm.m+1))</f>
        <v/>
      </c>
      <c r="J227" s="137" t="inlineStr">
        <is>
          <t>Shopify</t>
        </is>
      </c>
    </row>
    <row r="228">
      <c r="A228" s="5" t="inlineStr">
        <is>
          <t>Shopify Western Brothers › Western Brothers Outlet Lerma</t>
        </is>
      </c>
      <c r="B228" s="5">
        <f>IF($I2="","",INDEX(Productos!$A:$A,$I2))</f>
        <v/>
      </c>
      <c r="C228" s="134" t="inlineStr">
        <is>
          <t>C49730-27-40</t>
        </is>
      </c>
      <c r="D228" s="5">
        <f>IF($I2="","",INDEX(Productos!$B:$B,$I2))</f>
        <v/>
      </c>
      <c r="E228" s="5">
        <f>IF($I2="","",INDEX(Productos!$H:$H,$I2))</f>
        <v/>
      </c>
      <c r="F228" s="5">
        <f>IF($I2="","",INDEX(Productos!$I:$I,$I2))</f>
        <v/>
      </c>
      <c r="G228" s="135" t="n">
        <v>2</v>
      </c>
      <c r="H228" s="5">
        <f>IF($I2="","",INDEX(Productos!$AG:$AG,$I2))</f>
        <v/>
      </c>
      <c r="I228" s="136">
        <f>LET(_xlpm.r,Productos!$E$2:$E$1063,_xlpm.m,IFERROR(_xlfn.XMATCH(C228,_xlpm.r),IFERROR(_xlfn.XMATCH(VALUE(C228),_xlpm.r),0)),IF(_xlpm.m=0,"",_xlpm.m+1))</f>
        <v/>
      </c>
      <c r="J228" s="137" t="inlineStr">
        <is>
          <t>Shopify</t>
        </is>
      </c>
    </row>
    <row r="229">
      <c r="A229" s="5" t="inlineStr">
        <is>
          <t>Shopify Western Brothers › Western Brothers Outlet Lerma</t>
        </is>
      </c>
      <c r="B229" s="5">
        <f>IF($I2="","",INDEX(Productos!$A:$A,$I2))</f>
        <v/>
      </c>
      <c r="C229" s="134" t="inlineStr">
        <is>
          <t>C49730-27-42</t>
        </is>
      </c>
      <c r="D229" s="5">
        <f>IF($I2="","",INDEX(Productos!$B:$B,$I2))</f>
        <v/>
      </c>
      <c r="E229" s="5">
        <f>IF($I2="","",INDEX(Productos!$H:$H,$I2))</f>
        <v/>
      </c>
      <c r="F229" s="5">
        <f>IF($I2="","",INDEX(Productos!$I:$I,$I2))</f>
        <v/>
      </c>
      <c r="G229" s="135" t="n">
        <v>2</v>
      </c>
      <c r="H229" s="5">
        <f>IF($I2="","",INDEX(Productos!$AG:$AG,$I2))</f>
        <v/>
      </c>
      <c r="I229" s="136">
        <f>LET(_xlpm.r,Productos!$E$2:$E$1063,_xlpm.m,IFERROR(_xlfn.XMATCH(C229,_xlpm.r),IFERROR(_xlfn.XMATCH(VALUE(C229),_xlpm.r),0)),IF(_xlpm.m=0,"",_xlpm.m+1))</f>
        <v/>
      </c>
      <c r="J229" s="137" t="inlineStr">
        <is>
          <t>Shopify</t>
        </is>
      </c>
    </row>
    <row r="230">
      <c r="A230" s="5" t="inlineStr">
        <is>
          <t>Shopify Western Brothers › Western Brothers Outlet Lerma</t>
        </is>
      </c>
      <c r="B230" s="5">
        <f>IF($I2="","",INDEX(Productos!$A:$A,$I2))</f>
        <v/>
      </c>
      <c r="C230" s="134" t="inlineStr">
        <is>
          <t>C49730-27-44</t>
        </is>
      </c>
      <c r="D230" s="5">
        <f>IF($I2="","",INDEX(Productos!$B:$B,$I2))</f>
        <v/>
      </c>
      <c r="E230" s="5">
        <f>IF($I2="","",INDEX(Productos!$H:$H,$I2))</f>
        <v/>
      </c>
      <c r="F230" s="5">
        <f>IF($I2="","",INDEX(Productos!$I:$I,$I2))</f>
        <v/>
      </c>
      <c r="G230" s="135" t="n">
        <v>1</v>
      </c>
      <c r="H230" s="5">
        <f>IF($I2="","",INDEX(Productos!$AG:$AG,$I2))</f>
        <v/>
      </c>
      <c r="I230" s="136">
        <f>LET(_xlpm.r,Productos!$E$2:$E$1063,_xlpm.m,IFERROR(_xlfn.XMATCH(C230,_xlpm.r),IFERROR(_xlfn.XMATCH(VALUE(C230),_xlpm.r),0)),IF(_xlpm.m=0,"",_xlpm.m+1))</f>
        <v/>
      </c>
      <c r="J230" s="137" t="inlineStr">
        <is>
          <t>Shopify</t>
        </is>
      </c>
    </row>
    <row r="231">
      <c r="A231" s="5" t="inlineStr">
        <is>
          <t>Shopify Western Brothers › Western Brothers Outlet Lerma</t>
        </is>
      </c>
      <c r="B231" s="5">
        <f>IF($I2="","",INDEX(Productos!$A:$A,$I2))</f>
        <v/>
      </c>
      <c r="C231" s="134" t="inlineStr">
        <is>
          <t>C49730-59-32</t>
        </is>
      </c>
      <c r="D231" s="5">
        <f>IF($I2="","",INDEX(Productos!$B:$B,$I2))</f>
        <v/>
      </c>
      <c r="E231" s="5">
        <f>IF($I2="","",INDEX(Productos!$H:$H,$I2))</f>
        <v/>
      </c>
      <c r="F231" s="5">
        <f>IF($I2="","",INDEX(Productos!$I:$I,$I2))</f>
        <v/>
      </c>
      <c r="G231" s="135" t="n">
        <v>1</v>
      </c>
      <c r="H231" s="5">
        <f>IF($I2="","",INDEX(Productos!$AG:$AG,$I2))</f>
        <v/>
      </c>
      <c r="I231" s="136">
        <f>LET(_xlpm.r,Productos!$E$2:$E$1063,_xlpm.m,IFERROR(_xlfn.XMATCH(C231,_xlpm.r),IFERROR(_xlfn.XMATCH(VALUE(C231),_xlpm.r),0)),IF(_xlpm.m=0,"",_xlpm.m+1))</f>
        <v/>
      </c>
      <c r="J231" s="137" t="inlineStr">
        <is>
          <t>Shopify</t>
        </is>
      </c>
    </row>
    <row r="232">
      <c r="A232" s="5" t="inlineStr">
        <is>
          <t>Shopify Western Brothers › Western Brothers Outlet Lerma</t>
        </is>
      </c>
      <c r="B232" s="5">
        <f>IF($I2="","",INDEX(Productos!$A:$A,$I2))</f>
        <v/>
      </c>
      <c r="C232" s="134" t="inlineStr">
        <is>
          <t>C49730-59-34</t>
        </is>
      </c>
      <c r="D232" s="5">
        <f>IF($I2="","",INDEX(Productos!$B:$B,$I2))</f>
        <v/>
      </c>
      <c r="E232" s="5">
        <f>IF($I2="","",INDEX(Productos!$H:$H,$I2))</f>
        <v/>
      </c>
      <c r="F232" s="5">
        <f>IF($I2="","",INDEX(Productos!$I:$I,$I2))</f>
        <v/>
      </c>
      <c r="G232" s="135" t="n">
        <v>2</v>
      </c>
      <c r="H232" s="5">
        <f>IF($I2="","",INDEX(Productos!$AG:$AG,$I2))</f>
        <v/>
      </c>
      <c r="I232" s="136">
        <f>LET(_xlpm.r,Productos!$E$2:$E$1063,_xlpm.m,IFERROR(_xlfn.XMATCH(C232,_xlpm.r),IFERROR(_xlfn.XMATCH(VALUE(C232),_xlpm.r),0)),IF(_xlpm.m=0,"",_xlpm.m+1))</f>
        <v/>
      </c>
      <c r="J232" s="137" t="inlineStr">
        <is>
          <t>Shopify</t>
        </is>
      </c>
    </row>
    <row r="233">
      <c r="A233" s="5" t="inlineStr">
        <is>
          <t>Shopify Western Brothers › Western Brothers Outlet Lerma</t>
        </is>
      </c>
      <c r="B233" s="5">
        <f>IF($I2="","",INDEX(Productos!$A:$A,$I2))</f>
        <v/>
      </c>
      <c r="C233" s="134" t="inlineStr">
        <is>
          <t>C49730-59-36</t>
        </is>
      </c>
      <c r="D233" s="5">
        <f>IF($I2="","",INDEX(Productos!$B:$B,$I2))</f>
        <v/>
      </c>
      <c r="E233" s="5">
        <f>IF($I2="","",INDEX(Productos!$H:$H,$I2))</f>
        <v/>
      </c>
      <c r="F233" s="5">
        <f>IF($I2="","",INDEX(Productos!$I:$I,$I2))</f>
        <v/>
      </c>
      <c r="G233" s="135" t="n">
        <v>2</v>
      </c>
      <c r="H233" s="5">
        <f>IF($I2="","",INDEX(Productos!$AG:$AG,$I2))</f>
        <v/>
      </c>
      <c r="I233" s="136">
        <f>LET(_xlpm.r,Productos!$E$2:$E$1063,_xlpm.m,IFERROR(_xlfn.XMATCH(C233,_xlpm.r),IFERROR(_xlfn.XMATCH(VALUE(C233),_xlpm.r),0)),IF(_xlpm.m=0,"",_xlpm.m+1))</f>
        <v/>
      </c>
      <c r="J233" s="137" t="inlineStr">
        <is>
          <t>Shopify</t>
        </is>
      </c>
    </row>
    <row r="234">
      <c r="A234" s="5" t="inlineStr">
        <is>
          <t>Shopify Western Brothers › Western Brothers Outlet Lerma</t>
        </is>
      </c>
      <c r="B234" s="5">
        <f>IF($I2="","",INDEX(Productos!$A:$A,$I2))</f>
        <v/>
      </c>
      <c r="C234" s="134" t="inlineStr">
        <is>
          <t>C49730-59-38</t>
        </is>
      </c>
      <c r="D234" s="5">
        <f>IF($I2="","",INDEX(Productos!$B:$B,$I2))</f>
        <v/>
      </c>
      <c r="E234" s="5">
        <f>IF($I2="","",INDEX(Productos!$H:$H,$I2))</f>
        <v/>
      </c>
      <c r="F234" s="5">
        <f>IF($I2="","",INDEX(Productos!$I:$I,$I2))</f>
        <v/>
      </c>
      <c r="G234" s="135" t="n">
        <v>3</v>
      </c>
      <c r="H234" s="5">
        <f>IF($I2="","",INDEX(Productos!$AG:$AG,$I2))</f>
        <v/>
      </c>
      <c r="I234" s="136">
        <f>LET(_xlpm.r,Productos!$E$2:$E$1063,_xlpm.m,IFERROR(_xlfn.XMATCH(C234,_xlpm.r),IFERROR(_xlfn.XMATCH(VALUE(C234),_xlpm.r),0)),IF(_xlpm.m=0,"",_xlpm.m+1))</f>
        <v/>
      </c>
      <c r="J234" s="137" t="inlineStr">
        <is>
          <t>Shopify</t>
        </is>
      </c>
    </row>
    <row r="235">
      <c r="A235" s="5" t="inlineStr">
        <is>
          <t>Shopify Western Brothers › Western Brothers Outlet Lerma</t>
        </is>
      </c>
      <c r="B235" s="5">
        <f>IF($I2="","",INDEX(Productos!$A:$A,$I2))</f>
        <v/>
      </c>
      <c r="C235" s="134" t="inlineStr">
        <is>
          <t>C49730-59-40</t>
        </is>
      </c>
      <c r="D235" s="5">
        <f>IF($I2="","",INDEX(Productos!$B:$B,$I2))</f>
        <v/>
      </c>
      <c r="E235" s="5">
        <f>IF($I2="","",INDEX(Productos!$H:$H,$I2))</f>
        <v/>
      </c>
      <c r="F235" s="5">
        <f>IF($I2="","",INDEX(Productos!$I:$I,$I2))</f>
        <v/>
      </c>
      <c r="G235" s="135" t="n">
        <v>2</v>
      </c>
      <c r="H235" s="5">
        <f>IF($I2="","",INDEX(Productos!$AG:$AG,$I2))</f>
        <v/>
      </c>
      <c r="I235" s="136">
        <f>LET(_xlpm.r,Productos!$E$2:$E$1063,_xlpm.m,IFERROR(_xlfn.XMATCH(C235,_xlpm.r),IFERROR(_xlfn.XMATCH(VALUE(C235),_xlpm.r),0)),IF(_xlpm.m=0,"",_xlpm.m+1))</f>
        <v/>
      </c>
      <c r="J235" s="137" t="inlineStr">
        <is>
          <t>Shopify</t>
        </is>
      </c>
    </row>
    <row r="236">
      <c r="A236" s="5" t="inlineStr">
        <is>
          <t>Shopify Western Brothers › Western Brothers Outlet Lerma</t>
        </is>
      </c>
      <c r="B236" s="5">
        <f>IF($I2="","",INDEX(Productos!$A:$A,$I2))</f>
        <v/>
      </c>
      <c r="C236" s="134" t="inlineStr">
        <is>
          <t>C49730-59-42</t>
        </is>
      </c>
      <c r="D236" s="5">
        <f>IF($I2="","",INDEX(Productos!$B:$B,$I2))</f>
        <v/>
      </c>
      <c r="E236" s="5">
        <f>IF($I2="","",INDEX(Productos!$H:$H,$I2))</f>
        <v/>
      </c>
      <c r="F236" s="5">
        <f>IF($I2="","",INDEX(Productos!$I:$I,$I2))</f>
        <v/>
      </c>
      <c r="G236" s="135" t="n">
        <v>2</v>
      </c>
      <c r="H236" s="5">
        <f>IF($I2="","",INDEX(Productos!$AG:$AG,$I2))</f>
        <v/>
      </c>
      <c r="I236" s="136">
        <f>LET(_xlpm.r,Productos!$E$2:$E$1063,_xlpm.m,IFERROR(_xlfn.XMATCH(C236,_xlpm.r),IFERROR(_xlfn.XMATCH(VALUE(C236),_xlpm.r),0)),IF(_xlpm.m=0,"",_xlpm.m+1))</f>
        <v/>
      </c>
      <c r="J236" s="137" t="inlineStr">
        <is>
          <t>Shopify</t>
        </is>
      </c>
    </row>
    <row r="237">
      <c r="A237" s="5" t="inlineStr">
        <is>
          <t>Shopify Western Brothers › Western Brothers Outlet Lerma</t>
        </is>
      </c>
      <c r="B237" s="5">
        <f>IF($I2="","",INDEX(Productos!$A:$A,$I2))</f>
        <v/>
      </c>
      <c r="C237" s="134" t="inlineStr">
        <is>
          <t>C49730-59-44</t>
        </is>
      </c>
      <c r="D237" s="5">
        <f>IF($I2="","",INDEX(Productos!$B:$B,$I2))</f>
        <v/>
      </c>
      <c r="E237" s="5">
        <f>IF($I2="","",INDEX(Productos!$H:$H,$I2))</f>
        <v/>
      </c>
      <c r="F237" s="5">
        <f>IF($I2="","",INDEX(Productos!$I:$I,$I2))</f>
        <v/>
      </c>
      <c r="G237" s="135" t="n">
        <v>1</v>
      </c>
      <c r="H237" s="5">
        <f>IF($I2="","",INDEX(Productos!$AG:$AG,$I2))</f>
        <v/>
      </c>
      <c r="I237" s="136">
        <f>LET(_xlpm.r,Productos!$E$2:$E$1063,_xlpm.m,IFERROR(_xlfn.XMATCH(C237,_xlpm.r),IFERROR(_xlfn.XMATCH(VALUE(C237),_xlpm.r),0)),IF(_xlpm.m=0,"",_xlpm.m+1))</f>
        <v/>
      </c>
      <c r="J237" s="137" t="inlineStr">
        <is>
          <t>Shopify</t>
        </is>
      </c>
    </row>
    <row r="238">
      <c r="A238" s="5" t="inlineStr">
        <is>
          <t>Shopify Western Brothers › Western Brothers Outlet Lerma</t>
        </is>
      </c>
      <c r="B238" s="5">
        <f>IF($I2="","",INDEX(Productos!$A:$A,$I2))</f>
        <v/>
      </c>
      <c r="C238" s="134" t="inlineStr">
        <is>
          <t>C49731-59-32</t>
        </is>
      </c>
      <c r="D238" s="5">
        <f>IF($I2="","",INDEX(Productos!$B:$B,$I2))</f>
        <v/>
      </c>
      <c r="E238" s="5">
        <f>IF($I2="","",INDEX(Productos!$H:$H,$I2))</f>
        <v/>
      </c>
      <c r="F238" s="5">
        <f>IF($I2="","",INDEX(Productos!$I:$I,$I2))</f>
        <v/>
      </c>
      <c r="G238" s="135" t="n">
        <v>1</v>
      </c>
      <c r="H238" s="5">
        <f>IF($I2="","",INDEX(Productos!$AG:$AG,$I2))</f>
        <v/>
      </c>
      <c r="I238" s="136">
        <f>LET(_xlpm.r,Productos!$E$2:$E$1063,_xlpm.m,IFERROR(_xlfn.XMATCH(C238,_xlpm.r),IFERROR(_xlfn.XMATCH(VALUE(C238),_xlpm.r),0)),IF(_xlpm.m=0,"",_xlpm.m+1))</f>
        <v/>
      </c>
      <c r="J238" s="137" t="inlineStr">
        <is>
          <t>Shopify</t>
        </is>
      </c>
    </row>
    <row r="239">
      <c r="A239" s="5" t="inlineStr">
        <is>
          <t>Shopify Western Brothers › Western Brothers Outlet Lerma</t>
        </is>
      </c>
      <c r="B239" s="5">
        <f>IF($I2="","",INDEX(Productos!$A:$A,$I2))</f>
        <v/>
      </c>
      <c r="C239" s="134" t="inlineStr">
        <is>
          <t>C49731-59-34</t>
        </is>
      </c>
      <c r="D239" s="5">
        <f>IF($I2="","",INDEX(Productos!$B:$B,$I2))</f>
        <v/>
      </c>
      <c r="E239" s="5">
        <f>IF($I2="","",INDEX(Productos!$H:$H,$I2))</f>
        <v/>
      </c>
      <c r="F239" s="5">
        <f>IF($I2="","",INDEX(Productos!$I:$I,$I2))</f>
        <v/>
      </c>
      <c r="G239" s="135" t="n">
        <v>2</v>
      </c>
      <c r="H239" s="5">
        <f>IF($I2="","",INDEX(Productos!$AG:$AG,$I2))</f>
        <v/>
      </c>
      <c r="I239" s="136">
        <f>LET(_xlpm.r,Productos!$E$2:$E$1063,_xlpm.m,IFERROR(_xlfn.XMATCH(C239,_xlpm.r),IFERROR(_xlfn.XMATCH(VALUE(C239),_xlpm.r),0)),IF(_xlpm.m=0,"",_xlpm.m+1))</f>
        <v/>
      </c>
      <c r="J239" s="137" t="inlineStr">
        <is>
          <t>Shopify</t>
        </is>
      </c>
    </row>
    <row r="240">
      <c r="A240" s="5" t="inlineStr">
        <is>
          <t>Shopify Western Brothers › Western Brothers Outlet Lerma</t>
        </is>
      </c>
      <c r="B240" s="5">
        <f>IF($I2="","",INDEX(Productos!$A:$A,$I2))</f>
        <v/>
      </c>
      <c r="C240" s="134" t="inlineStr">
        <is>
          <t>C49731-59-36</t>
        </is>
      </c>
      <c r="D240" s="5">
        <f>IF($I2="","",INDEX(Productos!$B:$B,$I2))</f>
        <v/>
      </c>
      <c r="E240" s="5">
        <f>IF($I2="","",INDEX(Productos!$H:$H,$I2))</f>
        <v/>
      </c>
      <c r="F240" s="5">
        <f>IF($I2="","",INDEX(Productos!$I:$I,$I2))</f>
        <v/>
      </c>
      <c r="G240" s="135" t="n">
        <v>2</v>
      </c>
      <c r="H240" s="5">
        <f>IF($I2="","",INDEX(Productos!$AG:$AG,$I2))</f>
        <v/>
      </c>
      <c r="I240" s="136">
        <f>LET(_xlpm.r,Productos!$E$2:$E$1063,_xlpm.m,IFERROR(_xlfn.XMATCH(C240,_xlpm.r),IFERROR(_xlfn.XMATCH(VALUE(C240),_xlpm.r),0)),IF(_xlpm.m=0,"",_xlpm.m+1))</f>
        <v/>
      </c>
      <c r="J240" s="137" t="inlineStr">
        <is>
          <t>Shopify</t>
        </is>
      </c>
    </row>
    <row r="241">
      <c r="A241" s="5" t="inlineStr">
        <is>
          <t>Shopify Western Brothers › Western Brothers Outlet Lerma</t>
        </is>
      </c>
      <c r="B241" s="5">
        <f>IF($I2="","",INDEX(Productos!$A:$A,$I2))</f>
        <v/>
      </c>
      <c r="C241" s="134" t="inlineStr">
        <is>
          <t>C49731-59-38</t>
        </is>
      </c>
      <c r="D241" s="5">
        <f>IF($I2="","",INDEX(Productos!$B:$B,$I2))</f>
        <v/>
      </c>
      <c r="E241" s="5">
        <f>IF($I2="","",INDEX(Productos!$H:$H,$I2))</f>
        <v/>
      </c>
      <c r="F241" s="5">
        <f>IF($I2="","",INDEX(Productos!$I:$I,$I2))</f>
        <v/>
      </c>
      <c r="G241" s="135" t="n">
        <v>3</v>
      </c>
      <c r="H241" s="5">
        <f>IF($I2="","",INDEX(Productos!$AG:$AG,$I2))</f>
        <v/>
      </c>
      <c r="I241" s="136">
        <f>LET(_xlpm.r,Productos!$E$2:$E$1063,_xlpm.m,IFERROR(_xlfn.XMATCH(C241,_xlpm.r),IFERROR(_xlfn.XMATCH(VALUE(C241),_xlpm.r),0)),IF(_xlpm.m=0,"",_xlpm.m+1))</f>
        <v/>
      </c>
      <c r="J241" s="137" t="inlineStr">
        <is>
          <t>Shopify</t>
        </is>
      </c>
    </row>
    <row r="242">
      <c r="A242" s="5" t="inlineStr">
        <is>
          <t>Shopify Western Brothers › Western Brothers Outlet Lerma</t>
        </is>
      </c>
      <c r="B242" s="5">
        <f>IF($I2="","",INDEX(Productos!$A:$A,$I2))</f>
        <v/>
      </c>
      <c r="C242" s="134" t="inlineStr">
        <is>
          <t>C49731-59-40</t>
        </is>
      </c>
      <c r="D242" s="5">
        <f>IF($I2="","",INDEX(Productos!$B:$B,$I2))</f>
        <v/>
      </c>
      <c r="E242" s="5">
        <f>IF($I2="","",INDEX(Productos!$H:$H,$I2))</f>
        <v/>
      </c>
      <c r="F242" s="5">
        <f>IF($I2="","",INDEX(Productos!$I:$I,$I2))</f>
        <v/>
      </c>
      <c r="G242" s="135" t="n">
        <v>2</v>
      </c>
      <c r="H242" s="5">
        <f>IF($I2="","",INDEX(Productos!$AG:$AG,$I2))</f>
        <v/>
      </c>
      <c r="I242" s="136">
        <f>LET(_xlpm.r,Productos!$E$2:$E$1063,_xlpm.m,IFERROR(_xlfn.XMATCH(C242,_xlpm.r),IFERROR(_xlfn.XMATCH(VALUE(C242),_xlpm.r),0)),IF(_xlpm.m=0,"",_xlpm.m+1))</f>
        <v/>
      </c>
      <c r="J242" s="137" t="inlineStr">
        <is>
          <t>Shopify</t>
        </is>
      </c>
    </row>
    <row r="243">
      <c r="A243" s="5" t="inlineStr">
        <is>
          <t>Shopify Western Brothers › Western Brothers Outlet Lerma</t>
        </is>
      </c>
      <c r="B243" s="5">
        <f>IF($I2="","",INDEX(Productos!$A:$A,$I2))</f>
        <v/>
      </c>
      <c r="C243" s="134" t="inlineStr">
        <is>
          <t>C49731-59-42</t>
        </is>
      </c>
      <c r="D243" s="5">
        <f>IF($I2="","",INDEX(Productos!$B:$B,$I2))</f>
        <v/>
      </c>
      <c r="E243" s="5">
        <f>IF($I2="","",INDEX(Productos!$H:$H,$I2))</f>
        <v/>
      </c>
      <c r="F243" s="5">
        <f>IF($I2="","",INDEX(Productos!$I:$I,$I2))</f>
        <v/>
      </c>
      <c r="G243" s="135" t="n">
        <v>2</v>
      </c>
      <c r="H243" s="5">
        <f>IF($I2="","",INDEX(Productos!$AG:$AG,$I2))</f>
        <v/>
      </c>
      <c r="I243" s="136">
        <f>LET(_xlpm.r,Productos!$E$2:$E$1063,_xlpm.m,IFERROR(_xlfn.XMATCH(C243,_xlpm.r),IFERROR(_xlfn.XMATCH(VALUE(C243),_xlpm.r),0)),IF(_xlpm.m=0,"",_xlpm.m+1))</f>
        <v/>
      </c>
      <c r="J243" s="137" t="inlineStr">
        <is>
          <t>Shopify</t>
        </is>
      </c>
    </row>
    <row r="244">
      <c r="A244" s="5" t="inlineStr">
        <is>
          <t>Shopify Western Brothers › Western Brothers Outlet Lerma</t>
        </is>
      </c>
      <c r="B244" s="5">
        <f>IF($I2="","",INDEX(Productos!$A:$A,$I2))</f>
        <v/>
      </c>
      <c r="C244" s="134" t="inlineStr">
        <is>
          <t>C49731-59-44</t>
        </is>
      </c>
      <c r="D244" s="5">
        <f>IF($I2="","",INDEX(Productos!$B:$B,$I2))</f>
        <v/>
      </c>
      <c r="E244" s="5">
        <f>IF($I2="","",INDEX(Productos!$H:$H,$I2))</f>
        <v/>
      </c>
      <c r="F244" s="5">
        <f>IF($I2="","",INDEX(Productos!$I:$I,$I2))</f>
        <v/>
      </c>
      <c r="G244" s="135" t="n">
        <v>1</v>
      </c>
      <c r="H244" s="5">
        <f>IF($I2="","",INDEX(Productos!$AG:$AG,$I2))</f>
        <v/>
      </c>
      <c r="I244" s="136">
        <f>LET(_xlpm.r,Productos!$E$2:$E$1063,_xlpm.m,IFERROR(_xlfn.XMATCH(C244,_xlpm.r),IFERROR(_xlfn.XMATCH(VALUE(C244),_xlpm.r),0)),IF(_xlpm.m=0,"",_xlpm.m+1))</f>
        <v/>
      </c>
      <c r="J244" s="137" t="inlineStr">
        <is>
          <t>Shopify</t>
        </is>
      </c>
    </row>
    <row r="245">
      <c r="A245" s="5" t="inlineStr">
        <is>
          <t>Shopify Western Brothers › Western Brothers Outlet Lerma</t>
        </is>
      </c>
      <c r="B245" s="5">
        <f>IF($I2="","",INDEX(Productos!$A:$A,$I2))</f>
        <v/>
      </c>
      <c r="C245" s="134" t="inlineStr">
        <is>
          <t>C49732-22-32</t>
        </is>
      </c>
      <c r="D245" s="5">
        <f>IF($I2="","",INDEX(Productos!$B:$B,$I2))</f>
        <v/>
      </c>
      <c r="E245" s="5">
        <f>IF($I2="","",INDEX(Productos!$H:$H,$I2))</f>
        <v/>
      </c>
      <c r="F245" s="5">
        <f>IF($I2="","",INDEX(Productos!$I:$I,$I2))</f>
        <v/>
      </c>
      <c r="G245" s="135" t="n">
        <v>1</v>
      </c>
      <c r="H245" s="5">
        <f>IF($I2="","",INDEX(Productos!$AG:$AG,$I2))</f>
        <v/>
      </c>
      <c r="I245" s="136">
        <f>LET(_xlpm.r,Productos!$E$2:$E$1063,_xlpm.m,IFERROR(_xlfn.XMATCH(C245,_xlpm.r),IFERROR(_xlfn.XMATCH(VALUE(C245),_xlpm.r),0)),IF(_xlpm.m=0,"",_xlpm.m+1))</f>
        <v/>
      </c>
      <c r="J245" s="137" t="inlineStr">
        <is>
          <t>Shopify</t>
        </is>
      </c>
    </row>
    <row r="246">
      <c r="A246" s="5" t="inlineStr">
        <is>
          <t>Shopify Western Brothers › Western Brothers Outlet Lerma</t>
        </is>
      </c>
      <c r="B246" s="5">
        <f>IF($I2="","",INDEX(Productos!$A:$A,$I2))</f>
        <v/>
      </c>
      <c r="C246" s="134" t="inlineStr">
        <is>
          <t>C49732-22-34</t>
        </is>
      </c>
      <c r="D246" s="5">
        <f>IF($I2="","",INDEX(Productos!$B:$B,$I2))</f>
        <v/>
      </c>
      <c r="E246" s="5">
        <f>IF($I2="","",INDEX(Productos!$H:$H,$I2))</f>
        <v/>
      </c>
      <c r="F246" s="5">
        <f>IF($I2="","",INDEX(Productos!$I:$I,$I2))</f>
        <v/>
      </c>
      <c r="G246" s="135" t="n">
        <v>1</v>
      </c>
      <c r="H246" s="5">
        <f>IF($I2="","",INDEX(Productos!$AG:$AG,$I2))</f>
        <v/>
      </c>
      <c r="I246" s="136">
        <f>LET(_xlpm.r,Productos!$E$2:$E$1063,_xlpm.m,IFERROR(_xlfn.XMATCH(C246,_xlpm.r),IFERROR(_xlfn.XMATCH(VALUE(C246),_xlpm.r),0)),IF(_xlpm.m=0,"",_xlpm.m+1))</f>
        <v/>
      </c>
      <c r="J246" s="137" t="inlineStr">
        <is>
          <t>Shopify</t>
        </is>
      </c>
    </row>
    <row r="247">
      <c r="A247" s="5" t="inlineStr">
        <is>
          <t>Shopify Western Brothers › Western Brothers Outlet Lerma</t>
        </is>
      </c>
      <c r="B247" s="5">
        <f>IF($I2="","",INDEX(Productos!$A:$A,$I2))</f>
        <v/>
      </c>
      <c r="C247" s="134" t="inlineStr">
        <is>
          <t>C49732-22-36</t>
        </is>
      </c>
      <c r="D247" s="5">
        <f>IF($I2="","",INDEX(Productos!$B:$B,$I2))</f>
        <v/>
      </c>
      <c r="E247" s="5">
        <f>IF($I2="","",INDEX(Productos!$H:$H,$I2))</f>
        <v/>
      </c>
      <c r="F247" s="5">
        <f>IF($I2="","",INDEX(Productos!$I:$I,$I2))</f>
        <v/>
      </c>
      <c r="G247" s="135" t="n">
        <v>2</v>
      </c>
      <c r="H247" s="5">
        <f>IF($I2="","",INDEX(Productos!$AG:$AG,$I2))</f>
        <v/>
      </c>
      <c r="I247" s="136">
        <f>LET(_xlpm.r,Productos!$E$2:$E$1063,_xlpm.m,IFERROR(_xlfn.XMATCH(C247,_xlpm.r),IFERROR(_xlfn.XMATCH(VALUE(C247),_xlpm.r),0)),IF(_xlpm.m=0,"",_xlpm.m+1))</f>
        <v/>
      </c>
      <c r="J247" s="137" t="inlineStr">
        <is>
          <t>Shopify</t>
        </is>
      </c>
    </row>
    <row r="248">
      <c r="A248" s="5" t="inlineStr">
        <is>
          <t>Shopify Western Brothers › Western Brothers Outlet Lerma</t>
        </is>
      </c>
      <c r="B248" s="5">
        <f>IF($I2="","",INDEX(Productos!$A:$A,$I2))</f>
        <v/>
      </c>
      <c r="C248" s="134" t="inlineStr">
        <is>
          <t>C49732-22-38</t>
        </is>
      </c>
      <c r="D248" s="5">
        <f>IF($I2="","",INDEX(Productos!$B:$B,$I2))</f>
        <v/>
      </c>
      <c r="E248" s="5">
        <f>IF($I2="","",INDEX(Productos!$H:$H,$I2))</f>
        <v/>
      </c>
      <c r="F248" s="5">
        <f>IF($I2="","",INDEX(Productos!$I:$I,$I2))</f>
        <v/>
      </c>
      <c r="G248" s="135" t="n">
        <v>3</v>
      </c>
      <c r="H248" s="5">
        <f>IF($I2="","",INDEX(Productos!$AG:$AG,$I2))</f>
        <v/>
      </c>
      <c r="I248" s="136">
        <f>LET(_xlpm.r,Productos!$E$2:$E$1063,_xlpm.m,IFERROR(_xlfn.XMATCH(C248,_xlpm.r),IFERROR(_xlfn.XMATCH(VALUE(C248),_xlpm.r),0)),IF(_xlpm.m=0,"",_xlpm.m+1))</f>
        <v/>
      </c>
      <c r="J248" s="137" t="inlineStr">
        <is>
          <t>Shopify</t>
        </is>
      </c>
    </row>
    <row r="249">
      <c r="A249" s="5" t="inlineStr">
        <is>
          <t>Shopify Western Brothers › Western Brothers Outlet Lerma</t>
        </is>
      </c>
      <c r="B249" s="5">
        <f>IF($I2="","",INDEX(Productos!$A:$A,$I2))</f>
        <v/>
      </c>
      <c r="C249" s="134" t="inlineStr">
        <is>
          <t>C49732-22-40</t>
        </is>
      </c>
      <c r="D249" s="5">
        <f>IF($I2="","",INDEX(Productos!$B:$B,$I2))</f>
        <v/>
      </c>
      <c r="E249" s="5">
        <f>IF($I2="","",INDEX(Productos!$H:$H,$I2))</f>
        <v/>
      </c>
      <c r="F249" s="5">
        <f>IF($I2="","",INDEX(Productos!$I:$I,$I2))</f>
        <v/>
      </c>
      <c r="G249" s="135" t="n">
        <v>2</v>
      </c>
      <c r="H249" s="5">
        <f>IF($I2="","",INDEX(Productos!$AG:$AG,$I2))</f>
        <v/>
      </c>
      <c r="I249" s="136">
        <f>LET(_xlpm.r,Productos!$E$2:$E$1063,_xlpm.m,IFERROR(_xlfn.XMATCH(C249,_xlpm.r),IFERROR(_xlfn.XMATCH(VALUE(C249),_xlpm.r),0)),IF(_xlpm.m=0,"",_xlpm.m+1))</f>
        <v/>
      </c>
      <c r="J249" s="137" t="inlineStr">
        <is>
          <t>Shopify</t>
        </is>
      </c>
    </row>
    <row r="250">
      <c r="A250" s="5" t="inlineStr">
        <is>
          <t>Shopify Western Brothers › Western Brothers Outlet Lerma</t>
        </is>
      </c>
      <c r="B250" s="5">
        <f>IF($I2="","",INDEX(Productos!$A:$A,$I2))</f>
        <v/>
      </c>
      <c r="C250" s="134" t="inlineStr">
        <is>
          <t>C49732-22-42</t>
        </is>
      </c>
      <c r="D250" s="5">
        <f>IF($I2="","",INDEX(Productos!$B:$B,$I2))</f>
        <v/>
      </c>
      <c r="E250" s="5">
        <f>IF($I2="","",INDEX(Productos!$H:$H,$I2))</f>
        <v/>
      </c>
      <c r="F250" s="5">
        <f>IF($I2="","",INDEX(Productos!$I:$I,$I2))</f>
        <v/>
      </c>
      <c r="G250" s="135" t="n">
        <v>2</v>
      </c>
      <c r="H250" s="5">
        <f>IF($I2="","",INDEX(Productos!$AG:$AG,$I2))</f>
        <v/>
      </c>
      <c r="I250" s="136">
        <f>LET(_xlpm.r,Productos!$E$2:$E$1063,_xlpm.m,IFERROR(_xlfn.XMATCH(C250,_xlpm.r),IFERROR(_xlfn.XMATCH(VALUE(C250),_xlpm.r),0)),IF(_xlpm.m=0,"",_xlpm.m+1))</f>
        <v/>
      </c>
      <c r="J250" s="137" t="inlineStr">
        <is>
          <t>Shopify</t>
        </is>
      </c>
    </row>
    <row r="251">
      <c r="A251" s="5" t="inlineStr">
        <is>
          <t>Shopify Western Brothers › Western Brothers Outlet Lerma</t>
        </is>
      </c>
      <c r="B251" s="5">
        <f>IF($I2="","",INDEX(Productos!$A:$A,$I2))</f>
        <v/>
      </c>
      <c r="C251" s="134" t="inlineStr">
        <is>
          <t>C49732-22-44</t>
        </is>
      </c>
      <c r="D251" s="5">
        <f>IF($I2="","",INDEX(Productos!$B:$B,$I2))</f>
        <v/>
      </c>
      <c r="E251" s="5">
        <f>IF($I2="","",INDEX(Productos!$H:$H,$I2))</f>
        <v/>
      </c>
      <c r="F251" s="5">
        <f>IF($I2="","",INDEX(Productos!$I:$I,$I2))</f>
        <v/>
      </c>
      <c r="G251" s="135" t="n">
        <v>1</v>
      </c>
      <c r="H251" s="5">
        <f>IF($I2="","",INDEX(Productos!$AG:$AG,$I2))</f>
        <v/>
      </c>
      <c r="I251" s="136">
        <f>LET(_xlpm.r,Productos!$E$2:$E$1063,_xlpm.m,IFERROR(_xlfn.XMATCH(C251,_xlpm.r),IFERROR(_xlfn.XMATCH(VALUE(C251),_xlpm.r),0)),IF(_xlpm.m=0,"",_xlpm.m+1))</f>
        <v/>
      </c>
      <c r="J251" s="137" t="inlineStr">
        <is>
          <t>Shopify</t>
        </is>
      </c>
    </row>
    <row r="252">
      <c r="A252" s="5" t="inlineStr">
        <is>
          <t>Shopify Western Brothers › Western Brothers Outlet Lerma</t>
        </is>
      </c>
      <c r="B252" s="5">
        <f>IF($I2="","",INDEX(Productos!$A:$A,$I2))</f>
        <v/>
      </c>
      <c r="C252" s="134" t="inlineStr">
        <is>
          <t>C49733-27-32</t>
        </is>
      </c>
      <c r="D252" s="5">
        <f>IF($I2="","",INDEX(Productos!$B:$B,$I2))</f>
        <v/>
      </c>
      <c r="E252" s="5">
        <f>IF($I2="","",INDEX(Productos!$H:$H,$I2))</f>
        <v/>
      </c>
      <c r="F252" s="5">
        <f>IF($I2="","",INDEX(Productos!$I:$I,$I2))</f>
        <v/>
      </c>
      <c r="G252" s="135" t="n">
        <v>1</v>
      </c>
      <c r="H252" s="5">
        <f>IF($I2="","",INDEX(Productos!$AG:$AG,$I2))</f>
        <v/>
      </c>
      <c r="I252" s="136">
        <f>LET(_xlpm.r,Productos!$E$2:$E$1063,_xlpm.m,IFERROR(_xlfn.XMATCH(C252,_xlpm.r),IFERROR(_xlfn.XMATCH(VALUE(C252),_xlpm.r),0)),IF(_xlpm.m=0,"",_xlpm.m+1))</f>
        <v/>
      </c>
      <c r="J252" s="137" t="inlineStr">
        <is>
          <t>Shopify</t>
        </is>
      </c>
    </row>
    <row r="253">
      <c r="A253" s="5" t="inlineStr">
        <is>
          <t>Shopify Western Brothers › Western Brothers Outlet Lerma</t>
        </is>
      </c>
      <c r="B253" s="5">
        <f>IF($I2="","",INDEX(Productos!$A:$A,$I2))</f>
        <v/>
      </c>
      <c r="C253" s="134" t="inlineStr">
        <is>
          <t>C49733-27-34</t>
        </is>
      </c>
      <c r="D253" s="5">
        <f>IF($I2="","",INDEX(Productos!$B:$B,$I2))</f>
        <v/>
      </c>
      <c r="E253" s="5">
        <f>IF($I2="","",INDEX(Productos!$H:$H,$I2))</f>
        <v/>
      </c>
      <c r="F253" s="5">
        <f>IF($I2="","",INDEX(Productos!$I:$I,$I2))</f>
        <v/>
      </c>
      <c r="G253" s="135" t="n">
        <v>2</v>
      </c>
      <c r="H253" s="5">
        <f>IF($I2="","",INDEX(Productos!$AG:$AG,$I2))</f>
        <v/>
      </c>
      <c r="I253" s="136">
        <f>LET(_xlpm.r,Productos!$E$2:$E$1063,_xlpm.m,IFERROR(_xlfn.XMATCH(C253,_xlpm.r),IFERROR(_xlfn.XMATCH(VALUE(C253),_xlpm.r),0)),IF(_xlpm.m=0,"",_xlpm.m+1))</f>
        <v/>
      </c>
      <c r="J253" s="137" t="inlineStr">
        <is>
          <t>Shopify</t>
        </is>
      </c>
    </row>
    <row r="254">
      <c r="A254" s="5" t="inlineStr">
        <is>
          <t>Shopify Western Brothers › Western Brothers Outlet Lerma</t>
        </is>
      </c>
      <c r="B254" s="5">
        <f>IF($I2="","",INDEX(Productos!$A:$A,$I2))</f>
        <v/>
      </c>
      <c r="C254" s="134" t="inlineStr">
        <is>
          <t>C49733-27-36</t>
        </is>
      </c>
      <c r="D254" s="5">
        <f>IF($I2="","",INDEX(Productos!$B:$B,$I2))</f>
        <v/>
      </c>
      <c r="E254" s="5">
        <f>IF($I2="","",INDEX(Productos!$H:$H,$I2))</f>
        <v/>
      </c>
      <c r="F254" s="5">
        <f>IF($I2="","",INDEX(Productos!$I:$I,$I2))</f>
        <v/>
      </c>
      <c r="G254" s="135" t="n">
        <v>1</v>
      </c>
      <c r="H254" s="5">
        <f>IF($I2="","",INDEX(Productos!$AG:$AG,$I2))</f>
        <v/>
      </c>
      <c r="I254" s="136">
        <f>LET(_xlpm.r,Productos!$E$2:$E$1063,_xlpm.m,IFERROR(_xlfn.XMATCH(C254,_xlpm.r),IFERROR(_xlfn.XMATCH(VALUE(C254),_xlpm.r),0)),IF(_xlpm.m=0,"",_xlpm.m+1))</f>
        <v/>
      </c>
      <c r="J254" s="137" t="inlineStr">
        <is>
          <t>Shopify</t>
        </is>
      </c>
    </row>
    <row r="255">
      <c r="A255" s="5" t="inlineStr">
        <is>
          <t>Shopify Western Brothers › Western Brothers Outlet Lerma</t>
        </is>
      </c>
      <c r="B255" s="5">
        <f>IF($I2="","",INDEX(Productos!$A:$A,$I2))</f>
        <v/>
      </c>
      <c r="C255" s="134" t="inlineStr">
        <is>
          <t>C49733-27-38</t>
        </is>
      </c>
      <c r="D255" s="5">
        <f>IF($I2="","",INDEX(Productos!$B:$B,$I2))</f>
        <v/>
      </c>
      <c r="E255" s="5">
        <f>IF($I2="","",INDEX(Productos!$H:$H,$I2))</f>
        <v/>
      </c>
      <c r="F255" s="5">
        <f>IF($I2="","",INDEX(Productos!$I:$I,$I2))</f>
        <v/>
      </c>
      <c r="G255" s="135" t="n">
        <v>3</v>
      </c>
      <c r="H255" s="5">
        <f>IF($I2="","",INDEX(Productos!$AG:$AG,$I2))</f>
        <v/>
      </c>
      <c r="I255" s="136">
        <f>LET(_xlpm.r,Productos!$E$2:$E$1063,_xlpm.m,IFERROR(_xlfn.XMATCH(C255,_xlpm.r),IFERROR(_xlfn.XMATCH(VALUE(C255),_xlpm.r),0)),IF(_xlpm.m=0,"",_xlpm.m+1))</f>
        <v/>
      </c>
      <c r="J255" s="137" t="inlineStr">
        <is>
          <t>Shopify</t>
        </is>
      </c>
    </row>
    <row r="256">
      <c r="A256" s="5" t="inlineStr">
        <is>
          <t>Shopify Western Brothers › Western Brothers Outlet Lerma</t>
        </is>
      </c>
      <c r="B256" s="5">
        <f>IF($I2="","",INDEX(Productos!$A:$A,$I2))</f>
        <v/>
      </c>
      <c r="C256" s="134" t="inlineStr">
        <is>
          <t>C49733-27-40</t>
        </is>
      </c>
      <c r="D256" s="5">
        <f>IF($I2="","",INDEX(Productos!$B:$B,$I2))</f>
        <v/>
      </c>
      <c r="E256" s="5">
        <f>IF($I2="","",INDEX(Productos!$H:$H,$I2))</f>
        <v/>
      </c>
      <c r="F256" s="5">
        <f>IF($I2="","",INDEX(Productos!$I:$I,$I2))</f>
        <v/>
      </c>
      <c r="G256" s="135" t="n">
        <v>2</v>
      </c>
      <c r="H256" s="5">
        <f>IF($I2="","",INDEX(Productos!$AG:$AG,$I2))</f>
        <v/>
      </c>
      <c r="I256" s="136">
        <f>LET(_xlpm.r,Productos!$E$2:$E$1063,_xlpm.m,IFERROR(_xlfn.XMATCH(C256,_xlpm.r),IFERROR(_xlfn.XMATCH(VALUE(C256),_xlpm.r),0)),IF(_xlpm.m=0,"",_xlpm.m+1))</f>
        <v/>
      </c>
      <c r="J256" s="137" t="inlineStr">
        <is>
          <t>Shopify</t>
        </is>
      </c>
    </row>
    <row r="257">
      <c r="A257" s="5" t="inlineStr">
        <is>
          <t>Shopify Western Brothers › Western Brothers Outlet Lerma</t>
        </is>
      </c>
      <c r="B257" s="5">
        <f>IF($I2="","",INDEX(Productos!$A:$A,$I2))</f>
        <v/>
      </c>
      <c r="C257" s="134" t="inlineStr">
        <is>
          <t>C49733-27-42</t>
        </is>
      </c>
      <c r="D257" s="5">
        <f>IF($I2="","",INDEX(Productos!$B:$B,$I2))</f>
        <v/>
      </c>
      <c r="E257" s="5">
        <f>IF($I2="","",INDEX(Productos!$H:$H,$I2))</f>
        <v/>
      </c>
      <c r="F257" s="5">
        <f>IF($I2="","",INDEX(Productos!$I:$I,$I2))</f>
        <v/>
      </c>
      <c r="G257" s="135" t="n">
        <v>2</v>
      </c>
      <c r="H257" s="5">
        <f>IF($I2="","",INDEX(Productos!$AG:$AG,$I2))</f>
        <v/>
      </c>
      <c r="I257" s="136">
        <f>LET(_xlpm.r,Productos!$E$2:$E$1063,_xlpm.m,IFERROR(_xlfn.XMATCH(C257,_xlpm.r),IFERROR(_xlfn.XMATCH(VALUE(C257),_xlpm.r),0)),IF(_xlpm.m=0,"",_xlpm.m+1))</f>
        <v/>
      </c>
      <c r="J257" s="137" t="inlineStr">
        <is>
          <t>Shopify</t>
        </is>
      </c>
    </row>
    <row r="258">
      <c r="A258" s="5" t="inlineStr">
        <is>
          <t>Shopify Western Brothers › Western Brothers Outlet Lerma</t>
        </is>
      </c>
      <c r="B258" s="5">
        <f>IF($I2="","",INDEX(Productos!$A:$A,$I2))</f>
        <v/>
      </c>
      <c r="C258" s="134" t="inlineStr">
        <is>
          <t>C49733-27-44</t>
        </is>
      </c>
      <c r="D258" s="5">
        <f>IF($I2="","",INDEX(Productos!$B:$B,$I2))</f>
        <v/>
      </c>
      <c r="E258" s="5">
        <f>IF($I2="","",INDEX(Productos!$H:$H,$I2))</f>
        <v/>
      </c>
      <c r="F258" s="5">
        <f>IF($I2="","",INDEX(Productos!$I:$I,$I2))</f>
        <v/>
      </c>
      <c r="G258" s="135" t="n">
        <v>1</v>
      </c>
      <c r="H258" s="5">
        <f>IF($I2="","",INDEX(Productos!$AG:$AG,$I2))</f>
        <v/>
      </c>
      <c r="I258" s="136">
        <f>LET(_xlpm.r,Productos!$E$2:$E$1063,_xlpm.m,IFERROR(_xlfn.XMATCH(C258,_xlpm.r),IFERROR(_xlfn.XMATCH(VALUE(C258),_xlpm.r),0)),IF(_xlpm.m=0,"",_xlpm.m+1))</f>
        <v/>
      </c>
      <c r="J258" s="137" t="inlineStr">
        <is>
          <t>Shopify</t>
        </is>
      </c>
    </row>
    <row r="259">
      <c r="A259" s="5" t="inlineStr">
        <is>
          <t>Shopify Western Brothers › Western Brothers Outlet Lerma</t>
        </is>
      </c>
      <c r="B259" s="5">
        <f>IF($I2="","",INDEX(Productos!$A:$A,$I2))</f>
        <v/>
      </c>
      <c r="C259" s="134" t="inlineStr">
        <is>
          <t>C49733-59-32</t>
        </is>
      </c>
      <c r="D259" s="5">
        <f>IF($I2="","",INDEX(Productos!$B:$B,$I2))</f>
        <v/>
      </c>
      <c r="E259" s="5">
        <f>IF($I2="","",INDEX(Productos!$H:$H,$I2))</f>
        <v/>
      </c>
      <c r="F259" s="5">
        <f>IF($I2="","",INDEX(Productos!$I:$I,$I2))</f>
        <v/>
      </c>
      <c r="G259" s="135" t="n">
        <v>1</v>
      </c>
      <c r="H259" s="5">
        <f>IF($I2="","",INDEX(Productos!$AG:$AG,$I2))</f>
        <v/>
      </c>
      <c r="I259" s="136">
        <f>LET(_xlpm.r,Productos!$E$2:$E$1063,_xlpm.m,IFERROR(_xlfn.XMATCH(C259,_xlpm.r),IFERROR(_xlfn.XMATCH(VALUE(C259),_xlpm.r),0)),IF(_xlpm.m=0,"",_xlpm.m+1))</f>
        <v/>
      </c>
      <c r="J259" s="137" t="inlineStr">
        <is>
          <t>Shopify</t>
        </is>
      </c>
    </row>
    <row r="260">
      <c r="A260" s="5" t="inlineStr">
        <is>
          <t>Shopify Western Brothers › Western Brothers Outlet Lerma</t>
        </is>
      </c>
      <c r="B260" s="5">
        <f>IF($I2="","",INDEX(Productos!$A:$A,$I2))</f>
        <v/>
      </c>
      <c r="C260" s="134" t="inlineStr">
        <is>
          <t>C49733-59-34</t>
        </is>
      </c>
      <c r="D260" s="5">
        <f>IF($I2="","",INDEX(Productos!$B:$B,$I2))</f>
        <v/>
      </c>
      <c r="E260" s="5">
        <f>IF($I2="","",INDEX(Productos!$H:$H,$I2))</f>
        <v/>
      </c>
      <c r="F260" s="5">
        <f>IF($I2="","",INDEX(Productos!$I:$I,$I2))</f>
        <v/>
      </c>
      <c r="G260" s="135" t="n">
        <v>2</v>
      </c>
      <c r="H260" s="5">
        <f>IF($I2="","",INDEX(Productos!$AG:$AG,$I2))</f>
        <v/>
      </c>
      <c r="I260" s="136">
        <f>LET(_xlpm.r,Productos!$E$2:$E$1063,_xlpm.m,IFERROR(_xlfn.XMATCH(C260,_xlpm.r),IFERROR(_xlfn.XMATCH(VALUE(C260),_xlpm.r),0)),IF(_xlpm.m=0,"",_xlpm.m+1))</f>
        <v/>
      </c>
      <c r="J260" s="137" t="inlineStr">
        <is>
          <t>Shopify</t>
        </is>
      </c>
    </row>
    <row r="261">
      <c r="A261" s="5" t="inlineStr">
        <is>
          <t>Shopify Western Brothers › Western Brothers Outlet Lerma</t>
        </is>
      </c>
      <c r="B261" s="5">
        <f>IF($I2="","",INDEX(Productos!$A:$A,$I2))</f>
        <v/>
      </c>
      <c r="C261" s="134" t="inlineStr">
        <is>
          <t>C49733-59-36</t>
        </is>
      </c>
      <c r="D261" s="5">
        <f>IF($I2="","",INDEX(Productos!$B:$B,$I2))</f>
        <v/>
      </c>
      <c r="E261" s="5">
        <f>IF($I2="","",INDEX(Productos!$H:$H,$I2))</f>
        <v/>
      </c>
      <c r="F261" s="5">
        <f>IF($I2="","",INDEX(Productos!$I:$I,$I2))</f>
        <v/>
      </c>
      <c r="G261" s="135" t="n">
        <v>2</v>
      </c>
      <c r="H261" s="5">
        <f>IF($I2="","",INDEX(Productos!$AG:$AG,$I2))</f>
        <v/>
      </c>
      <c r="I261" s="136">
        <f>LET(_xlpm.r,Productos!$E$2:$E$1063,_xlpm.m,IFERROR(_xlfn.XMATCH(C261,_xlpm.r),IFERROR(_xlfn.XMATCH(VALUE(C261),_xlpm.r),0)),IF(_xlpm.m=0,"",_xlpm.m+1))</f>
        <v/>
      </c>
      <c r="J261" s="137" t="inlineStr">
        <is>
          <t>Shopify</t>
        </is>
      </c>
    </row>
    <row r="262">
      <c r="A262" s="5" t="inlineStr">
        <is>
          <t>Shopify Western Brothers › Western Brothers Outlet Lerma</t>
        </is>
      </c>
      <c r="B262" s="5">
        <f>IF($I2="","",INDEX(Productos!$A:$A,$I2))</f>
        <v/>
      </c>
      <c r="C262" s="134" t="inlineStr">
        <is>
          <t>C49733-59-38</t>
        </is>
      </c>
      <c r="D262" s="5">
        <f>IF($I2="","",INDEX(Productos!$B:$B,$I2))</f>
        <v/>
      </c>
      <c r="E262" s="5">
        <f>IF($I2="","",INDEX(Productos!$H:$H,$I2))</f>
        <v/>
      </c>
      <c r="F262" s="5">
        <f>IF($I2="","",INDEX(Productos!$I:$I,$I2))</f>
        <v/>
      </c>
      <c r="G262" s="135" t="n">
        <v>3</v>
      </c>
      <c r="H262" s="5">
        <f>IF($I2="","",INDEX(Productos!$AG:$AG,$I2))</f>
        <v/>
      </c>
      <c r="I262" s="136">
        <f>LET(_xlpm.r,Productos!$E$2:$E$1063,_xlpm.m,IFERROR(_xlfn.XMATCH(C262,_xlpm.r),IFERROR(_xlfn.XMATCH(VALUE(C262),_xlpm.r),0)),IF(_xlpm.m=0,"",_xlpm.m+1))</f>
        <v/>
      </c>
      <c r="J262" s="137" t="inlineStr">
        <is>
          <t>Shopify</t>
        </is>
      </c>
    </row>
    <row r="263">
      <c r="A263" s="5" t="inlineStr">
        <is>
          <t>Shopify Western Brothers › Western Brothers Outlet Lerma</t>
        </is>
      </c>
      <c r="B263" s="5">
        <f>IF($I2="","",INDEX(Productos!$A:$A,$I2))</f>
        <v/>
      </c>
      <c r="C263" s="134" t="inlineStr">
        <is>
          <t>C49733-59-40</t>
        </is>
      </c>
      <c r="D263" s="5">
        <f>IF($I2="","",INDEX(Productos!$B:$B,$I2))</f>
        <v/>
      </c>
      <c r="E263" s="5">
        <f>IF($I2="","",INDEX(Productos!$H:$H,$I2))</f>
        <v/>
      </c>
      <c r="F263" s="5">
        <f>IF($I2="","",INDEX(Productos!$I:$I,$I2))</f>
        <v/>
      </c>
      <c r="G263" s="135" t="n">
        <v>2</v>
      </c>
      <c r="H263" s="5">
        <f>IF($I2="","",INDEX(Productos!$AG:$AG,$I2))</f>
        <v/>
      </c>
      <c r="I263" s="136">
        <f>LET(_xlpm.r,Productos!$E$2:$E$1063,_xlpm.m,IFERROR(_xlfn.XMATCH(C263,_xlpm.r),IFERROR(_xlfn.XMATCH(VALUE(C263),_xlpm.r),0)),IF(_xlpm.m=0,"",_xlpm.m+1))</f>
        <v/>
      </c>
      <c r="J263" s="137" t="inlineStr">
        <is>
          <t>Shopify</t>
        </is>
      </c>
    </row>
    <row r="264">
      <c r="A264" s="5" t="inlineStr">
        <is>
          <t>Shopify Western Brothers › Western Brothers Outlet Lerma</t>
        </is>
      </c>
      <c r="B264" s="5">
        <f>IF($I2="","",INDEX(Productos!$A:$A,$I2))</f>
        <v/>
      </c>
      <c r="C264" s="134" t="inlineStr">
        <is>
          <t>C49733-59-42</t>
        </is>
      </c>
      <c r="D264" s="5">
        <f>IF($I2="","",INDEX(Productos!$B:$B,$I2))</f>
        <v/>
      </c>
      <c r="E264" s="5">
        <f>IF($I2="","",INDEX(Productos!$H:$H,$I2))</f>
        <v/>
      </c>
      <c r="F264" s="5">
        <f>IF($I2="","",INDEX(Productos!$I:$I,$I2))</f>
        <v/>
      </c>
      <c r="G264" s="135" t="n">
        <v>2</v>
      </c>
      <c r="H264" s="5">
        <f>IF($I2="","",INDEX(Productos!$AG:$AG,$I2))</f>
        <v/>
      </c>
      <c r="I264" s="136">
        <f>LET(_xlpm.r,Productos!$E$2:$E$1063,_xlpm.m,IFERROR(_xlfn.XMATCH(C264,_xlpm.r),IFERROR(_xlfn.XMATCH(VALUE(C264),_xlpm.r),0)),IF(_xlpm.m=0,"",_xlpm.m+1))</f>
        <v/>
      </c>
      <c r="J264" s="137" t="inlineStr">
        <is>
          <t>Shopify</t>
        </is>
      </c>
    </row>
    <row r="265">
      <c r="A265" s="5" t="inlineStr">
        <is>
          <t>Shopify Western Brothers › Western Brothers Outlet Lerma</t>
        </is>
      </c>
      <c r="B265" s="5">
        <f>IF($I2="","",INDEX(Productos!$A:$A,$I2))</f>
        <v/>
      </c>
      <c r="C265" s="134" t="inlineStr">
        <is>
          <t>C49733-59-44</t>
        </is>
      </c>
      <c r="D265" s="5">
        <f>IF($I2="","",INDEX(Productos!$B:$B,$I2))</f>
        <v/>
      </c>
      <c r="E265" s="5">
        <f>IF($I2="","",INDEX(Productos!$H:$H,$I2))</f>
        <v/>
      </c>
      <c r="F265" s="5">
        <f>IF($I2="","",INDEX(Productos!$I:$I,$I2))</f>
        <v/>
      </c>
      <c r="G265" s="135" t="n">
        <v>1</v>
      </c>
      <c r="H265" s="5">
        <f>IF($I2="","",INDEX(Productos!$AG:$AG,$I2))</f>
        <v/>
      </c>
      <c r="I265" s="136">
        <f>LET(_xlpm.r,Productos!$E$2:$E$1063,_xlpm.m,IFERROR(_xlfn.XMATCH(C265,_xlpm.r),IFERROR(_xlfn.XMATCH(VALUE(C265),_xlpm.r),0)),IF(_xlpm.m=0,"",_xlpm.m+1))</f>
        <v/>
      </c>
      <c r="J265" s="137" t="inlineStr">
        <is>
          <t>Shopify</t>
        </is>
      </c>
    </row>
    <row r="266">
      <c r="A266" s="5" t="inlineStr">
        <is>
          <t>Shopify Western Brothers › Western Brothers Outlet Lerma</t>
        </is>
      </c>
      <c r="B266" s="5">
        <f>IF($I2="","",INDEX(Productos!$A:$A,$I2))</f>
        <v/>
      </c>
      <c r="C266" s="134" t="inlineStr">
        <is>
          <t>MWBX-67-UNI</t>
        </is>
      </c>
      <c r="D266" s="5">
        <f>IF($I2="","",INDEX(Productos!$B:$B,$I2))</f>
        <v/>
      </c>
      <c r="E266" s="5">
        <f>IF($I2="","",INDEX(Productos!$H:$H,$I2))</f>
        <v/>
      </c>
      <c r="F266" s="5">
        <f>IF($I2="","",INDEX(Productos!$I:$I,$I2))</f>
        <v/>
      </c>
      <c r="G266" s="135" t="n">
        <v>24</v>
      </c>
      <c r="H266" s="5">
        <f>IF($I2="","",INDEX(Productos!$AG:$AG,$I2))</f>
        <v/>
      </c>
      <c r="I266" s="136">
        <f>LET(_xlpm.r,Productos!$E$2:$E$1063,_xlpm.m,IFERROR(_xlfn.XMATCH(C266,_xlpm.r),IFERROR(_xlfn.XMATCH(VALUE(C266),_xlpm.r),0)),IF(_xlpm.m=0,"",_xlpm.m+1))</f>
        <v/>
      </c>
      <c r="J266" s="137" t="inlineStr">
        <is>
          <t>Shopify</t>
        </is>
      </c>
    </row>
    <row r="267">
      <c r="A267" s="5" t="inlineStr">
        <is>
          <t>Shopify Western Brothers › Western Brothers Outlet Lerma</t>
        </is>
      </c>
      <c r="B267" s="5">
        <f>IF($I2="","",INDEX(Productos!$A:$A,$I2))</f>
        <v/>
      </c>
      <c r="C267" s="134" t="inlineStr">
        <is>
          <t>WACA0211-1-28.5</t>
        </is>
      </c>
      <c r="D267" s="5">
        <f>IF($I2="","",INDEX(Productos!$B:$B,$I2))</f>
        <v/>
      </c>
      <c r="E267" s="5">
        <f>IF($I2="","",INDEX(Productos!$H:$H,$I2))</f>
        <v/>
      </c>
      <c r="F267" s="5">
        <f>IF($I2="","",INDEX(Productos!$I:$I,$I2))</f>
        <v/>
      </c>
      <c r="G267" s="135" t="n">
        <v>1</v>
      </c>
      <c r="H267" s="5">
        <f>IF($I2="","",INDEX(Productos!$AG:$AG,$I2))</f>
        <v/>
      </c>
      <c r="I267" s="136">
        <f>LET(_xlpm.r,Productos!$E$2:$E$1063,_xlpm.m,IFERROR(_xlfn.XMATCH(C267,_xlpm.r),IFERROR(_xlfn.XMATCH(VALUE(C267),_xlpm.r),0)),IF(_xlpm.m=0,"",_xlpm.m+1))</f>
        <v/>
      </c>
      <c r="J267" s="137" t="inlineStr">
        <is>
          <t>Shopify</t>
        </is>
      </c>
    </row>
    <row r="268">
      <c r="A268" s="5" t="inlineStr">
        <is>
          <t>Shopify Western Brothers › Western Brothers Outlet Lerma</t>
        </is>
      </c>
      <c r="B268" s="5">
        <f>IF($I2="","",INDEX(Productos!$A:$A,$I2))</f>
        <v/>
      </c>
      <c r="C268" s="134" t="inlineStr">
        <is>
          <t>WACA0212-2-28.5</t>
        </is>
      </c>
      <c r="D268" s="5">
        <f>IF($I2="","",INDEX(Productos!$B:$B,$I2))</f>
        <v/>
      </c>
      <c r="E268" s="5">
        <f>IF($I2="","",INDEX(Productos!$H:$H,$I2))</f>
        <v/>
      </c>
      <c r="F268" s="5">
        <f>IF($I2="","",INDEX(Productos!$I:$I,$I2))</f>
        <v/>
      </c>
      <c r="G268" s="135" t="n">
        <v>1</v>
      </c>
      <c r="H268" s="5">
        <f>IF($I2="","",INDEX(Productos!$AG:$AG,$I2))</f>
        <v/>
      </c>
      <c r="I268" s="136">
        <f>LET(_xlpm.r,Productos!$E$2:$E$1063,_xlpm.m,IFERROR(_xlfn.XMATCH(C268,_xlpm.r),IFERROR(_xlfn.XMATCH(VALUE(C268),_xlpm.r),0)),IF(_xlpm.m=0,"",_xlpm.m+1))</f>
        <v/>
      </c>
      <c r="J268" s="137" t="inlineStr">
        <is>
          <t>Shopify</t>
        </is>
      </c>
    </row>
    <row r="269">
      <c r="A269" s="5" t="inlineStr">
        <is>
          <t>Shopify Western Brothers › Western Brothers Outlet Lerma</t>
        </is>
      </c>
      <c r="B269" s="5">
        <f>IF($I2="","",INDEX(Productos!$A:$A,$I2))</f>
        <v/>
      </c>
      <c r="C269" s="134" t="inlineStr">
        <is>
          <t>WACA0213-28.5</t>
        </is>
      </c>
      <c r="D269" s="5">
        <f>IF($I2="","",INDEX(Productos!$B:$B,$I2))</f>
        <v/>
      </c>
      <c r="E269" s="5">
        <f>IF($I2="","",INDEX(Productos!$H:$H,$I2))</f>
        <v/>
      </c>
      <c r="F269" s="5">
        <f>IF($I2="","",INDEX(Productos!$I:$I,$I2))</f>
        <v/>
      </c>
      <c r="G269" s="135" t="n">
        <v>1</v>
      </c>
      <c r="H269" s="5">
        <f>IF($I2="","",INDEX(Productos!$AG:$AG,$I2))</f>
        <v/>
      </c>
      <c r="I269" s="136">
        <f>LET(_xlpm.r,Productos!$E$2:$E$1063,_xlpm.m,IFERROR(_xlfn.XMATCH(C269,_xlpm.r),IFERROR(_xlfn.XMATCH(VALUE(C269),_xlpm.r),0)),IF(_xlpm.m=0,"",_xlpm.m+1))</f>
        <v/>
      </c>
      <c r="J269" s="137" t="inlineStr">
        <is>
          <t>Shopify</t>
        </is>
      </c>
    </row>
    <row r="270">
      <c r="A270" s="5" t="inlineStr">
        <is>
          <t>Shopify Western Brothers › Western Brothers Outlet Lerma</t>
        </is>
      </c>
      <c r="B270" s="5">
        <f>IF($I2="","",INDEX(Productos!$A:$A,$I2))</f>
        <v/>
      </c>
      <c r="C270" s="134" t="inlineStr">
        <is>
          <t>WACB0108-27</t>
        </is>
      </c>
      <c r="D270" s="5">
        <f>IF($I2="","",INDEX(Productos!$B:$B,$I2))</f>
        <v/>
      </c>
      <c r="E270" s="5">
        <f>IF($I2="","",INDEX(Productos!$H:$H,$I2))</f>
        <v/>
      </c>
      <c r="F270" s="5">
        <f>IF($I2="","",INDEX(Productos!$I:$I,$I2))</f>
        <v/>
      </c>
      <c r="G270" s="135" t="n">
        <v>1</v>
      </c>
      <c r="H270" s="5">
        <f>IF($I2="","",INDEX(Productos!$AG:$AG,$I2))</f>
        <v/>
      </c>
      <c r="I270" s="136">
        <f>LET(_xlpm.r,Productos!$E$2:$E$1063,_xlpm.m,IFERROR(_xlfn.XMATCH(C270,_xlpm.r),IFERROR(_xlfn.XMATCH(VALUE(C270),_xlpm.r),0)),IF(_xlpm.m=0,"",_xlpm.m+1))</f>
        <v/>
      </c>
      <c r="J270" s="137" t="inlineStr">
        <is>
          <t>Shopify</t>
        </is>
      </c>
    </row>
    <row r="271">
      <c r="A271" s="5" t="inlineStr">
        <is>
          <t>Shopify Western Brothers › Western Brothers Outlet Lerma</t>
        </is>
      </c>
      <c r="B271" s="5">
        <f>IF($I2="","",INDEX(Productos!$A:$A,$I2))</f>
        <v/>
      </c>
      <c r="C271" s="134" t="inlineStr">
        <is>
          <t>WACB0108-28</t>
        </is>
      </c>
      <c r="D271" s="5">
        <f>IF($I2="","",INDEX(Productos!$B:$B,$I2))</f>
        <v/>
      </c>
      <c r="E271" s="5">
        <f>IF($I2="","",INDEX(Productos!$H:$H,$I2))</f>
        <v/>
      </c>
      <c r="F271" s="5">
        <f>IF($I2="","",INDEX(Productos!$I:$I,$I2))</f>
        <v/>
      </c>
      <c r="G271" s="135" t="n">
        <v>2</v>
      </c>
      <c r="H271" s="5">
        <f>IF($I2="","",INDEX(Productos!$AG:$AG,$I2))</f>
        <v/>
      </c>
      <c r="I271" s="136">
        <f>LET(_xlpm.r,Productos!$E$2:$E$1063,_xlpm.m,IFERROR(_xlfn.XMATCH(C271,_xlpm.r),IFERROR(_xlfn.XMATCH(VALUE(C271),_xlpm.r),0)),IF(_xlpm.m=0,"",_xlpm.m+1))</f>
        <v/>
      </c>
      <c r="J271" s="137" t="inlineStr">
        <is>
          <t>Shopify</t>
        </is>
      </c>
    </row>
    <row r="272">
      <c r="A272" s="5" t="inlineStr">
        <is>
          <t>Shopify Western Brothers › Western Brothers Outlet Lerma</t>
        </is>
      </c>
      <c r="B272" s="5">
        <f>IF($I2="","",INDEX(Productos!$A:$A,$I2))</f>
        <v/>
      </c>
      <c r="C272" s="134" t="inlineStr">
        <is>
          <t>WACB0108-28.5</t>
        </is>
      </c>
      <c r="D272" s="5">
        <f>IF($I2="","",INDEX(Productos!$B:$B,$I2))</f>
        <v/>
      </c>
      <c r="E272" s="5">
        <f>IF($I2="","",INDEX(Productos!$H:$H,$I2))</f>
        <v/>
      </c>
      <c r="F272" s="5">
        <f>IF($I2="","",INDEX(Productos!$I:$I,$I2))</f>
        <v/>
      </c>
      <c r="G272" s="135" t="n">
        <v>2</v>
      </c>
      <c r="H272" s="5">
        <f>IF($I2="","",INDEX(Productos!$AG:$AG,$I2))</f>
        <v/>
      </c>
      <c r="I272" s="136">
        <f>LET(_xlpm.r,Productos!$E$2:$E$1063,_xlpm.m,IFERROR(_xlfn.XMATCH(C272,_xlpm.r),IFERROR(_xlfn.XMATCH(VALUE(C272),_xlpm.r),0)),IF(_xlpm.m=0,"",_xlpm.m+1))</f>
        <v/>
      </c>
      <c r="J272" s="137" t="inlineStr">
        <is>
          <t>Shopify</t>
        </is>
      </c>
    </row>
    <row r="273">
      <c r="A273" s="5" t="inlineStr">
        <is>
          <t>Shopify Western Brothers › Western Brothers Outlet Lerma</t>
        </is>
      </c>
      <c r="B273" s="5">
        <f>IF($I2="","",INDEX(Productos!$A:$A,$I2))</f>
        <v/>
      </c>
      <c r="C273" s="134" t="inlineStr">
        <is>
          <t>WADC0214-24</t>
        </is>
      </c>
      <c r="D273" s="5">
        <f>IF($I2="","",INDEX(Productos!$B:$B,$I2))</f>
        <v/>
      </c>
      <c r="E273" s="5">
        <f>IF($I2="","",INDEX(Productos!$H:$H,$I2))</f>
        <v/>
      </c>
      <c r="F273" s="5">
        <f>IF($I2="","",INDEX(Productos!$I:$I,$I2))</f>
        <v/>
      </c>
      <c r="G273" s="135" t="n">
        <v>1</v>
      </c>
      <c r="H273" s="5">
        <f>IF($I2="","",INDEX(Productos!$AG:$AG,$I2))</f>
        <v/>
      </c>
      <c r="I273" s="136">
        <f>LET(_xlpm.r,Productos!$E$2:$E$1063,_xlpm.m,IFERROR(_xlfn.XMATCH(C273,_xlpm.r),IFERROR(_xlfn.XMATCH(VALUE(C273),_xlpm.r),0)),IF(_xlpm.m=0,"",_xlpm.m+1))</f>
        <v/>
      </c>
      <c r="J273" s="137" t="inlineStr">
        <is>
          <t>Shopify</t>
        </is>
      </c>
    </row>
    <row r="274">
      <c r="A274" s="5" t="inlineStr">
        <is>
          <t>Shopify Western Brothers › Western Brothers Outlet Lerma</t>
        </is>
      </c>
      <c r="B274" s="5">
        <f>IF($I2="","",INDEX(Productos!$A:$A,$I2))</f>
        <v/>
      </c>
      <c r="C274" s="134" t="inlineStr">
        <is>
          <t>WADC0214-24.5</t>
        </is>
      </c>
      <c r="D274" s="5">
        <f>IF($I2="","",INDEX(Productos!$B:$B,$I2))</f>
        <v/>
      </c>
      <c r="E274" s="5">
        <f>IF($I2="","",INDEX(Productos!$H:$H,$I2))</f>
        <v/>
      </c>
      <c r="F274" s="5">
        <f>IF($I2="","",INDEX(Productos!$I:$I,$I2))</f>
        <v/>
      </c>
      <c r="G274" s="135" t="n">
        <v>2</v>
      </c>
      <c r="H274" s="5">
        <f>IF($I2="","",INDEX(Productos!$AG:$AG,$I2))</f>
        <v/>
      </c>
      <c r="I274" s="136">
        <f>LET(_xlpm.r,Productos!$E$2:$E$1063,_xlpm.m,IFERROR(_xlfn.XMATCH(C274,_xlpm.r),IFERROR(_xlfn.XMATCH(VALUE(C274),_xlpm.r),0)),IF(_xlpm.m=0,"",_xlpm.m+1))</f>
        <v/>
      </c>
      <c r="J274" s="137" t="inlineStr">
        <is>
          <t>Shopify</t>
        </is>
      </c>
    </row>
    <row r="275">
      <c r="A275" s="5" t="inlineStr">
        <is>
          <t>Shopify Western Brothers › Western Brothers Outlet Lerma</t>
        </is>
      </c>
      <c r="B275" s="5">
        <f>IF($I2="","",INDEX(Productos!$A:$A,$I2))</f>
        <v/>
      </c>
      <c r="C275" s="134" t="inlineStr">
        <is>
          <t>WADC0214-25</t>
        </is>
      </c>
      <c r="D275" s="5">
        <f>IF($I2="","",INDEX(Productos!$B:$B,$I2))</f>
        <v/>
      </c>
      <c r="E275" s="5">
        <f>IF($I2="","",INDEX(Productos!$H:$H,$I2))</f>
        <v/>
      </c>
      <c r="F275" s="5">
        <f>IF($I2="","",INDEX(Productos!$I:$I,$I2))</f>
        <v/>
      </c>
      <c r="G275" s="135" t="n">
        <v>1</v>
      </c>
      <c r="H275" s="5">
        <f>IF($I2="","",INDEX(Productos!$AG:$AG,$I2))</f>
        <v/>
      </c>
      <c r="I275" s="136">
        <f>LET(_xlpm.r,Productos!$E$2:$E$1063,_xlpm.m,IFERROR(_xlfn.XMATCH(C275,_xlpm.r),IFERROR(_xlfn.XMATCH(VALUE(C275),_xlpm.r),0)),IF(_xlpm.m=0,"",_xlpm.m+1))</f>
        <v/>
      </c>
      <c r="J275" s="137" t="inlineStr">
        <is>
          <t>Shopify</t>
        </is>
      </c>
    </row>
    <row r="276">
      <c r="A276" s="5" t="inlineStr">
        <is>
          <t>Shopify Western Brothers › Western Brothers Outlet Lerma</t>
        </is>
      </c>
      <c r="B276" s="5">
        <f>IF($I2="","",INDEX(Productos!$A:$A,$I2))</f>
        <v/>
      </c>
      <c r="C276" s="134" t="inlineStr">
        <is>
          <t>WG337-2003BK-UNI</t>
        </is>
      </c>
      <c r="D276" s="5">
        <f>IF($I2="","",INDEX(Productos!$B:$B,$I2))</f>
        <v/>
      </c>
      <c r="E276" s="5">
        <f>IF($I2="","",INDEX(Productos!$H:$H,$I2))</f>
        <v/>
      </c>
      <c r="F276" s="5">
        <f>IF($I2="","",INDEX(Productos!$I:$I,$I2))</f>
        <v/>
      </c>
      <c r="G276" s="135" t="n">
        <v>1</v>
      </c>
      <c r="H276" s="5">
        <f>IF($I2="","",INDEX(Productos!$AG:$AG,$I2))</f>
        <v/>
      </c>
      <c r="I276" s="136">
        <f>LET(_xlpm.r,Productos!$E$2:$E$1063,_xlpm.m,IFERROR(_xlfn.XMATCH(C276,_xlpm.r),IFERROR(_xlfn.XMATCH(VALUE(C276),_xlpm.r),0)),IF(_xlpm.m=0,"",_xlpm.m+1))</f>
        <v/>
      </c>
      <c r="J276" s="137" t="inlineStr">
        <is>
          <t>Shopify</t>
        </is>
      </c>
    </row>
    <row r="277">
      <c r="A277" s="5" t="inlineStr">
        <is>
          <t>Shopify Western Brothers › Western Brothers Outlet Lerma</t>
        </is>
      </c>
      <c r="B277" s="5">
        <f>IF($I2="","",INDEX(Productos!$A:$A,$I2))</f>
        <v/>
      </c>
      <c r="C277" s="134" t="inlineStr">
        <is>
          <t>WGH-1007BG-UNI</t>
        </is>
      </c>
      <c r="D277" s="5">
        <f>IF($I2="","",INDEX(Productos!$B:$B,$I2))</f>
        <v/>
      </c>
      <c r="E277" s="5">
        <f>IF($I2="","",INDEX(Productos!$H:$H,$I2))</f>
        <v/>
      </c>
      <c r="F277" s="5">
        <f>IF($I2="","",INDEX(Productos!$I:$I,$I2))</f>
        <v/>
      </c>
      <c r="G277" s="135" t="n">
        <v>14</v>
      </c>
      <c r="H277" s="5">
        <f>IF($I2="","",INDEX(Productos!$AG:$AG,$I2))</f>
        <v/>
      </c>
      <c r="I277" s="136">
        <f>LET(_xlpm.r,Productos!$E$2:$E$1063,_xlpm.m,IFERROR(_xlfn.XMATCH(C277,_xlpm.r),IFERROR(_xlfn.XMATCH(VALUE(C277),_xlpm.r),0)),IF(_xlpm.m=0,"",_xlpm.m+1))</f>
        <v/>
      </c>
      <c r="J277" s="137" t="inlineStr">
        <is>
          <t>Shopify</t>
        </is>
      </c>
    </row>
    <row r="278">
      <c r="A278" s="5" t="inlineStr">
        <is>
          <t>Shopify Western Brothers › Western Brothers Outlet Lerma</t>
        </is>
      </c>
      <c r="B278" s="5">
        <f>IF($I2="","",INDEX(Productos!$A:$A,$I2))</f>
        <v/>
      </c>
      <c r="C278" s="134" t="inlineStr">
        <is>
          <t>WGH-1007BK-UNI</t>
        </is>
      </c>
      <c r="D278" s="5">
        <f>IF($I2="","",INDEX(Productos!$B:$B,$I2))</f>
        <v/>
      </c>
      <c r="E278" s="5">
        <f>IF($I2="","",INDEX(Productos!$H:$H,$I2))</f>
        <v/>
      </c>
      <c r="F278" s="5">
        <f>IF($I2="","",INDEX(Productos!$I:$I,$I2))</f>
        <v/>
      </c>
      <c r="G278" s="135" t="n">
        <v>12</v>
      </c>
      <c r="H278" s="5">
        <f>IF($I2="","",INDEX(Productos!$AG:$AG,$I2))</f>
        <v/>
      </c>
      <c r="I278" s="136">
        <f>LET(_xlpm.r,Productos!$E$2:$E$1063,_xlpm.m,IFERROR(_xlfn.XMATCH(C278,_xlpm.r),IFERROR(_xlfn.XMATCH(VALUE(C278),_xlpm.r),0)),IF(_xlpm.m=0,"",_xlpm.m+1))</f>
        <v/>
      </c>
      <c r="J278" s="137" t="inlineStr">
        <is>
          <t>Shopify</t>
        </is>
      </c>
    </row>
    <row r="279">
      <c r="A279" s="5" t="inlineStr">
        <is>
          <t>Shopify Western Brothers › Western Brothers Outlet Lerma</t>
        </is>
      </c>
      <c r="B279" s="5">
        <f>IF($I2="","",INDEX(Productos!$A:$A,$I2))</f>
        <v/>
      </c>
      <c r="C279" s="134" t="inlineStr">
        <is>
          <t>WGH-1007BR-UNI</t>
        </is>
      </c>
      <c r="D279" s="5">
        <f>IF($I2="","",INDEX(Productos!$B:$B,$I2))</f>
        <v/>
      </c>
      <c r="E279" s="5">
        <f>IF($I2="","",INDEX(Productos!$H:$H,$I2))</f>
        <v/>
      </c>
      <c r="F279" s="5">
        <f>IF($I2="","",INDEX(Productos!$I:$I,$I2))</f>
        <v/>
      </c>
      <c r="G279" s="135" t="n">
        <v>13</v>
      </c>
      <c r="H279" s="5">
        <f>IF($I2="","",INDEX(Productos!$AG:$AG,$I2))</f>
        <v/>
      </c>
      <c r="I279" s="136">
        <f>LET(_xlpm.r,Productos!$E$2:$E$1063,_xlpm.m,IFERROR(_xlfn.XMATCH(C279,_xlpm.r),IFERROR(_xlfn.XMATCH(VALUE(C279),_xlpm.r),0)),IF(_xlpm.m=0,"",_xlpm.m+1))</f>
        <v/>
      </c>
      <c r="J279" s="137" t="inlineStr">
        <is>
          <t>Shopify</t>
        </is>
      </c>
    </row>
    <row r="280">
      <c r="A280" s="5" t="inlineStr">
        <is>
          <t>Shopify Western Brothers › Western Brothers Outlet Lerma</t>
        </is>
      </c>
      <c r="B280" s="5">
        <f>IF($I2="","",INDEX(Productos!$A:$A,$I2))</f>
        <v/>
      </c>
      <c r="C280" s="134" t="inlineStr">
        <is>
          <t>WGH-1007CF-UNI</t>
        </is>
      </c>
      <c r="D280" s="5">
        <f>IF($I2="","",INDEX(Productos!$B:$B,$I2))</f>
        <v/>
      </c>
      <c r="E280" s="5">
        <f>IF($I2="","",INDEX(Productos!$H:$H,$I2))</f>
        <v/>
      </c>
      <c r="F280" s="5">
        <f>IF($I2="","",INDEX(Productos!$I:$I,$I2))</f>
        <v/>
      </c>
      <c r="G280" s="135" t="n">
        <v>15</v>
      </c>
      <c r="H280" s="5">
        <f>IF($I2="","",INDEX(Productos!$AG:$AG,$I2))</f>
        <v/>
      </c>
      <c r="I280" s="136">
        <f>LET(_xlpm.r,Productos!$E$2:$E$1063,_xlpm.m,IFERROR(_xlfn.XMATCH(C280,_xlpm.r),IFERROR(_xlfn.XMATCH(VALUE(C280),_xlpm.r),0)),IF(_xlpm.m=0,"",_xlpm.m+1))</f>
        <v/>
      </c>
      <c r="J280" s="137" t="inlineStr">
        <is>
          <t>Shopify</t>
        </is>
      </c>
    </row>
    <row r="281">
      <c r="A281" s="5" t="inlineStr">
        <is>
          <t>Shopify Western Brothers › Western Brothers Outlet Lerma</t>
        </is>
      </c>
      <c r="B281" s="5">
        <f>IF($I2="","",INDEX(Productos!$A:$A,$I2))</f>
        <v/>
      </c>
      <c r="C281" s="134" t="inlineStr">
        <is>
          <t>WGH-1007PK-UNI</t>
        </is>
      </c>
      <c r="D281" s="5">
        <f>IF($I2="","",INDEX(Productos!$B:$B,$I2))</f>
        <v/>
      </c>
      <c r="E281" s="5">
        <f>IF($I2="","",INDEX(Productos!$H:$H,$I2))</f>
        <v/>
      </c>
      <c r="F281" s="5">
        <f>IF($I2="","",INDEX(Productos!$I:$I,$I2))</f>
        <v/>
      </c>
      <c r="G281" s="135" t="n">
        <v>10</v>
      </c>
      <c r="H281" s="5">
        <f>IF($I2="","",INDEX(Productos!$AG:$AG,$I2))</f>
        <v/>
      </c>
      <c r="I281" s="136">
        <f>LET(_xlpm.r,Productos!$E$2:$E$1063,_xlpm.m,IFERROR(_xlfn.XMATCH(C281,_xlpm.r),IFERROR(_xlfn.XMATCH(VALUE(C281),_xlpm.r),0)),IF(_xlpm.m=0,"",_xlpm.m+1))</f>
        <v/>
      </c>
      <c r="J281" s="137" t="inlineStr">
        <is>
          <t>Shopify</t>
        </is>
      </c>
    </row>
    <row r="282">
      <c r="A282" s="5" t="inlineStr">
        <is>
          <t>Shopify Western Brothers › Western Brothers Outlet Lerma</t>
        </is>
      </c>
      <c r="B282" s="5">
        <f>IF($I2="","",INDEX(Productos!$A:$A,$I2))</f>
        <v/>
      </c>
      <c r="C282" s="134" t="inlineStr">
        <is>
          <t>WGH-1008BK-UNI</t>
        </is>
      </c>
      <c r="D282" s="5">
        <f>IF($I2="","",INDEX(Productos!$B:$B,$I2))</f>
        <v/>
      </c>
      <c r="E282" s="5">
        <f>IF($I2="","",INDEX(Productos!$H:$H,$I2))</f>
        <v/>
      </c>
      <c r="F282" s="5">
        <f>IF($I2="","",INDEX(Productos!$I:$I,$I2))</f>
        <v/>
      </c>
      <c r="G282" s="135" t="n">
        <v>13</v>
      </c>
      <c r="H282" s="5">
        <f>IF($I2="","",INDEX(Productos!$AG:$AG,$I2))</f>
        <v/>
      </c>
      <c r="I282" s="136">
        <f>LET(_xlpm.r,Productos!$E$2:$E$1063,_xlpm.m,IFERROR(_xlfn.XMATCH(C282,_xlpm.r),IFERROR(_xlfn.XMATCH(VALUE(C282),_xlpm.r),0)),IF(_xlpm.m=0,"",_xlpm.m+1))</f>
        <v/>
      </c>
      <c r="J282" s="137" t="inlineStr">
        <is>
          <t>Shopify</t>
        </is>
      </c>
    </row>
    <row r="283">
      <c r="A283" s="5" t="inlineStr">
        <is>
          <t>Shopify Western Brothers › Western Brothers Outlet Lerma</t>
        </is>
      </c>
      <c r="B283" s="5">
        <f>IF($I2="","",INDEX(Productos!$A:$A,$I2))</f>
        <v/>
      </c>
      <c r="C283" s="134" t="inlineStr">
        <is>
          <t>WRBX-98-UNI</t>
        </is>
      </c>
      <c r="D283" s="5">
        <f>IF($I2="","",INDEX(Productos!$B:$B,$I2))</f>
        <v/>
      </c>
      <c r="E283" s="5">
        <f>IF($I2="","",INDEX(Productos!$H:$H,$I2))</f>
        <v/>
      </c>
      <c r="F283" s="5">
        <f>IF($I2="","",INDEX(Productos!$I:$I,$I2))</f>
        <v/>
      </c>
      <c r="G283" s="135" t="n">
        <v>33</v>
      </c>
      <c r="H283" s="5">
        <f>IF($I2="","",INDEX(Productos!$AG:$AG,$I2))</f>
        <v/>
      </c>
      <c r="I283" s="136">
        <f>LET(_xlpm.r,Productos!$E$2:$E$1063,_xlpm.m,IFERROR(_xlfn.XMATCH(C283,_xlpm.r),IFERROR(_xlfn.XMATCH(VALUE(C283),_xlpm.r),0)),IF(_xlpm.m=0,"",_xlpm.m+1))</f>
        <v/>
      </c>
      <c r="J283" s="137" t="inlineStr">
        <is>
          <t>Shopify</t>
        </is>
      </c>
    </row>
    <row r="284">
      <c r="A284" s="5" t="inlineStr">
        <is>
          <t>Odoo Universal Unique Brands › Bodega 25 › Bodega 25/General</t>
        </is>
      </c>
      <c r="B284" s="5">
        <f>IF($I2="","",INDEX(Productos!$A:$A,$I2))</f>
        <v/>
      </c>
      <c r="C284" s="134" t="inlineStr">
        <is>
          <t>1261-1085-10001-UNI</t>
        </is>
      </c>
      <c r="D284" s="5">
        <f>IF($I2="","",INDEX(Productos!$B:$B,$I2))</f>
        <v/>
      </c>
      <c r="E284" s="5">
        <f>IF($I2="","",INDEX(Productos!$H:$H,$I2))</f>
        <v/>
      </c>
      <c r="F284" s="5">
        <f>IF($I2="","",INDEX(Productos!$I:$I,$I2))</f>
        <v/>
      </c>
      <c r="G284" s="135" t="n">
        <v>183</v>
      </c>
      <c r="H284" s="5">
        <f>IF($I2="","",INDEX(Productos!$AG:$AG,$I2))</f>
        <v/>
      </c>
      <c r="I284" s="136">
        <f>LET(_xlpm.r,Productos!$E$2:$E$1063,_xlpm.m,IFERROR(_xlfn.XMATCH(C284,_xlpm.r),IFERROR(_xlfn.XMATCH(VALUE(C284),_xlpm.r),0)),IF(_xlpm.m=0,"",_xlpm.m+1))</f>
        <v/>
      </c>
      <c r="J284" s="137" t="inlineStr">
        <is>
          <t>Odoo</t>
        </is>
      </c>
    </row>
    <row r="285">
      <c r="A285" s="5" t="inlineStr">
        <is>
          <t>Odoo Universal Unique Brands › Bodega 25 › Bodega 25/General</t>
        </is>
      </c>
      <c r="B285" s="5">
        <f>IF($I2="","",INDEX(Productos!$A:$A,$I2))</f>
        <v/>
      </c>
      <c r="C285" s="134" t="inlineStr">
        <is>
          <t>1261-1085-10002</t>
        </is>
      </c>
      <c r="D285" s="5">
        <f>IF($I2="","",INDEX(Productos!$B:$B,$I2))</f>
        <v/>
      </c>
      <c r="E285" s="5">
        <f>IF($I2="","",INDEX(Productos!$H:$H,$I2))</f>
        <v/>
      </c>
      <c r="F285" s="5">
        <f>IF($I2="","",INDEX(Productos!$I:$I,$I2))</f>
        <v/>
      </c>
      <c r="G285" s="135" t="n">
        <v>87</v>
      </c>
      <c r="H285" s="5">
        <f>IF($I2="","",INDEX(Productos!$AG:$AG,$I2))</f>
        <v/>
      </c>
      <c r="I285" s="136">
        <f>LET(_xlpm.r,Productos!$E$2:$E$1063,_xlpm.m,IFERROR(_xlfn.XMATCH(C285,_xlpm.r),IFERROR(_xlfn.XMATCH(VALUE(C285),_xlpm.r),0)),IF(_xlpm.m=0,"",_xlpm.m+1))</f>
        <v/>
      </c>
      <c r="J285" s="137" t="inlineStr">
        <is>
          <t>Odoo</t>
        </is>
      </c>
    </row>
    <row r="286">
      <c r="A286" s="5" t="inlineStr">
        <is>
          <t>Odoo Universal Unique Brands › Bodega 25 › Bodega 25/General</t>
        </is>
      </c>
      <c r="B286" s="5">
        <f>IF($I2="","",INDEX(Productos!$A:$A,$I2))</f>
        <v/>
      </c>
      <c r="C286" s="134" t="inlineStr">
        <is>
          <t>1261-1085-10003-UNI</t>
        </is>
      </c>
      <c r="D286" s="5">
        <f>IF($I2="","",INDEX(Productos!$B:$B,$I2))</f>
        <v/>
      </c>
      <c r="E286" s="5">
        <f>IF($I2="","",INDEX(Productos!$H:$H,$I2))</f>
        <v/>
      </c>
      <c r="F286" s="5">
        <f>IF($I2="","",INDEX(Productos!$I:$I,$I2))</f>
        <v/>
      </c>
      <c r="G286" s="135" t="n">
        <v>142</v>
      </c>
      <c r="H286" s="5">
        <f>IF($I2="","",INDEX(Productos!$AG:$AG,$I2))</f>
        <v/>
      </c>
      <c r="I286" s="136">
        <f>LET(_xlpm.r,Productos!$E$2:$E$1063,_xlpm.m,IFERROR(_xlfn.XMATCH(C286,_xlpm.r),IFERROR(_xlfn.XMATCH(VALUE(C286),_xlpm.r),0)),IF(_xlpm.m=0,"",_xlpm.m+1))</f>
        <v/>
      </c>
      <c r="J286" s="137" t="inlineStr">
        <is>
          <t>Odoo</t>
        </is>
      </c>
    </row>
    <row r="287">
      <c r="A287" s="5" t="inlineStr">
        <is>
          <t>Odoo Universal Unique Brands › Bodega 25 › Bodega 25/General</t>
        </is>
      </c>
      <c r="B287" s="5">
        <f>IF($I2="","",INDEX(Productos!$A:$A,$I2))</f>
        <v/>
      </c>
      <c r="C287" s="134" t="inlineStr">
        <is>
          <t>1261-1085-10004</t>
        </is>
      </c>
      <c r="D287" s="5">
        <f>IF($I2="","",INDEX(Productos!$B:$B,$I2))</f>
        <v/>
      </c>
      <c r="E287" s="5">
        <f>IF($I2="","",INDEX(Productos!$H:$H,$I2))</f>
        <v/>
      </c>
      <c r="F287" s="5">
        <f>IF($I2="","",INDEX(Productos!$I:$I,$I2))</f>
        <v/>
      </c>
      <c r="G287" s="135" t="n">
        <v>146</v>
      </c>
      <c r="H287" s="5">
        <f>IF($I2="","",INDEX(Productos!$AG:$AG,$I2))</f>
        <v/>
      </c>
      <c r="I287" s="136">
        <f>LET(_xlpm.r,Productos!$E$2:$E$1063,_xlpm.m,IFERROR(_xlfn.XMATCH(C287,_xlpm.r),IFERROR(_xlfn.XMATCH(VALUE(C287),_xlpm.r),0)),IF(_xlpm.m=0,"",_xlpm.m+1))</f>
        <v/>
      </c>
      <c r="J287" s="137" t="inlineStr">
        <is>
          <t>Odoo</t>
        </is>
      </c>
    </row>
    <row r="288">
      <c r="A288" s="5" t="inlineStr">
        <is>
          <t>Odoo Universal Unique Brands › Bodega 25 › Bodega 25/General</t>
        </is>
      </c>
      <c r="B288" s="5">
        <f>IF($I2="","",INDEX(Productos!$A:$A,$I2))</f>
        <v/>
      </c>
      <c r="C288" s="134" t="inlineStr">
        <is>
          <t>1261-1085-10005</t>
        </is>
      </c>
      <c r="D288" s="5">
        <f>IF($I2="","",INDEX(Productos!$B:$B,$I2))</f>
        <v/>
      </c>
      <c r="E288" s="5">
        <f>IF($I2="","",INDEX(Productos!$H:$H,$I2))</f>
        <v/>
      </c>
      <c r="F288" s="5">
        <f>IF($I2="","",INDEX(Productos!$I:$I,$I2))</f>
        <v/>
      </c>
      <c r="G288" s="135" t="n">
        <v>64</v>
      </c>
      <c r="H288" s="5">
        <f>IF($I2="","",INDEX(Productos!$AG:$AG,$I2))</f>
        <v/>
      </c>
      <c r="I288" s="136">
        <f>LET(_xlpm.r,Productos!$E$2:$E$1063,_xlpm.m,IFERROR(_xlfn.XMATCH(C288,_xlpm.r),IFERROR(_xlfn.XMATCH(VALUE(C288),_xlpm.r),0)),IF(_xlpm.m=0,"",_xlpm.m+1))</f>
        <v/>
      </c>
      <c r="J288" s="137" t="inlineStr">
        <is>
          <t>Odoo</t>
        </is>
      </c>
    </row>
    <row r="289">
      <c r="A289" s="5" t="inlineStr">
        <is>
          <t>Odoo Universal Unique Brands › Bodega 25 › Bodega 25/General</t>
        </is>
      </c>
      <c r="B289" s="5">
        <f>IF($I2="","",INDEX(Productos!$A:$A,$I2))</f>
        <v/>
      </c>
      <c r="C289" s="134" t="inlineStr">
        <is>
          <t>1261-1085-10006</t>
        </is>
      </c>
      <c r="D289" s="5">
        <f>IF($I2="","",INDEX(Productos!$B:$B,$I2))</f>
        <v/>
      </c>
      <c r="E289" s="5">
        <f>IF($I2="","",INDEX(Productos!$H:$H,$I2))</f>
        <v/>
      </c>
      <c r="F289" s="5">
        <f>IF($I2="","",INDEX(Productos!$I:$I,$I2))</f>
        <v/>
      </c>
      <c r="G289" s="135" t="n">
        <v>79</v>
      </c>
      <c r="H289" s="5">
        <f>IF($I2="","",INDEX(Productos!$AG:$AG,$I2))</f>
        <v/>
      </c>
      <c r="I289" s="136">
        <f>LET(_xlpm.r,Productos!$E$2:$E$1063,_xlpm.m,IFERROR(_xlfn.XMATCH(C289,_xlpm.r),IFERROR(_xlfn.XMATCH(VALUE(C289),_xlpm.r),0)),IF(_xlpm.m=0,"",_xlpm.m+1))</f>
        <v/>
      </c>
      <c r="J289" s="137" t="inlineStr">
        <is>
          <t>Odoo</t>
        </is>
      </c>
    </row>
    <row r="290">
      <c r="A290" s="5" t="inlineStr">
        <is>
          <t>Odoo Universal Unique Brands › Bodega 25 › Bodega 25/General</t>
        </is>
      </c>
      <c r="B290" s="5">
        <f>IF($I2="","",INDEX(Productos!$A:$A,$I2))</f>
        <v/>
      </c>
      <c r="C290" s="134" t="inlineStr">
        <is>
          <t>1261-1085-10007</t>
        </is>
      </c>
      <c r="D290" s="5">
        <f>IF($I2="","",INDEX(Productos!$B:$B,$I2))</f>
        <v/>
      </c>
      <c r="E290" s="5">
        <f>IF($I2="","",INDEX(Productos!$H:$H,$I2))</f>
        <v/>
      </c>
      <c r="F290" s="5">
        <f>IF($I2="","",INDEX(Productos!$I:$I,$I2))</f>
        <v/>
      </c>
      <c r="G290" s="135" t="n">
        <v>176</v>
      </c>
      <c r="H290" s="5">
        <f>IF($I2="","",INDEX(Productos!$AG:$AG,$I2))</f>
        <v/>
      </c>
      <c r="I290" s="136">
        <f>LET(_xlpm.r,Productos!$E$2:$E$1063,_xlpm.m,IFERROR(_xlfn.XMATCH(C290,_xlpm.r),IFERROR(_xlfn.XMATCH(VALUE(C290),_xlpm.r),0)),IF(_xlpm.m=0,"",_xlpm.m+1))</f>
        <v/>
      </c>
      <c r="J290" s="137" t="inlineStr">
        <is>
          <t>Odoo</t>
        </is>
      </c>
    </row>
    <row r="291">
      <c r="A291" s="5" t="inlineStr">
        <is>
          <t>Odoo Universal Unique Brands › Bodega 25 › Bodega 25/General</t>
        </is>
      </c>
      <c r="B291" s="5">
        <f>IF($I2="","",INDEX(Productos!$A:$A,$I2))</f>
        <v/>
      </c>
      <c r="C291" s="134" t="inlineStr">
        <is>
          <t>1261-1085-10008</t>
        </is>
      </c>
      <c r="D291" s="5">
        <f>IF($I2="","",INDEX(Productos!$B:$B,$I2))</f>
        <v/>
      </c>
      <c r="E291" s="5">
        <f>IF($I2="","",INDEX(Productos!$H:$H,$I2))</f>
        <v/>
      </c>
      <c r="F291" s="5">
        <f>IF($I2="","",INDEX(Productos!$I:$I,$I2))</f>
        <v/>
      </c>
      <c r="G291" s="135" t="n">
        <v>91</v>
      </c>
      <c r="H291" s="5">
        <f>IF($I2="","",INDEX(Productos!$AG:$AG,$I2))</f>
        <v/>
      </c>
      <c r="I291" s="136">
        <f>LET(_xlpm.r,Productos!$E$2:$E$1063,_xlpm.m,IFERROR(_xlfn.XMATCH(C291,_xlpm.r),IFERROR(_xlfn.XMATCH(VALUE(C291),_xlpm.r),0)),IF(_xlpm.m=0,"",_xlpm.m+1))</f>
        <v/>
      </c>
      <c r="J291" s="137" t="inlineStr">
        <is>
          <t>Odoo</t>
        </is>
      </c>
    </row>
    <row r="292">
      <c r="A292" s="5" t="inlineStr">
        <is>
          <t>Odoo Universal Unique Brands › Bodega 25 › Bodega 25/General</t>
        </is>
      </c>
      <c r="B292" s="5">
        <f>IF($I2="","",INDEX(Productos!$A:$A,$I2))</f>
        <v/>
      </c>
      <c r="C292" s="134" t="inlineStr">
        <is>
          <t>1261-1085-10009</t>
        </is>
      </c>
      <c r="D292" s="5">
        <f>IF($I2="","",INDEX(Productos!$B:$B,$I2))</f>
        <v/>
      </c>
      <c r="E292" s="5">
        <f>IF($I2="","",INDEX(Productos!$H:$H,$I2))</f>
        <v/>
      </c>
      <c r="F292" s="5">
        <f>IF($I2="","",INDEX(Productos!$I:$I,$I2))</f>
        <v/>
      </c>
      <c r="G292" s="135" t="n">
        <v>66</v>
      </c>
      <c r="H292" s="5">
        <f>IF($I2="","",INDEX(Productos!$AG:$AG,$I2))</f>
        <v/>
      </c>
      <c r="I292" s="136">
        <f>LET(_xlpm.r,Productos!$E$2:$E$1063,_xlpm.m,IFERROR(_xlfn.XMATCH(C292,_xlpm.r),IFERROR(_xlfn.XMATCH(VALUE(C292),_xlpm.r),0)),IF(_xlpm.m=0,"",_xlpm.m+1))</f>
        <v/>
      </c>
      <c r="J292" s="137" t="inlineStr">
        <is>
          <t>Odoo</t>
        </is>
      </c>
    </row>
    <row r="293">
      <c r="A293" s="5" t="inlineStr">
        <is>
          <t>Odoo Universal Unique Brands › Bodega 25 › Bodega 25/General</t>
        </is>
      </c>
      <c r="B293" s="5">
        <f>IF($I2="","",INDEX(Productos!$A:$A,$I2))</f>
        <v/>
      </c>
      <c r="C293" s="134" t="inlineStr">
        <is>
          <t>1261-1085-10010</t>
        </is>
      </c>
      <c r="D293" s="5">
        <f>IF($I2="","",INDEX(Productos!$B:$B,$I2))</f>
        <v/>
      </c>
      <c r="E293" s="5">
        <f>IF($I2="","",INDEX(Productos!$H:$H,$I2))</f>
        <v/>
      </c>
      <c r="F293" s="5">
        <f>IF($I2="","",INDEX(Productos!$I:$I,$I2))</f>
        <v/>
      </c>
      <c r="G293" s="135" t="n">
        <v>87</v>
      </c>
      <c r="H293" s="5">
        <f>IF($I2="","",INDEX(Productos!$AG:$AG,$I2))</f>
        <v/>
      </c>
      <c r="I293" s="136">
        <f>LET(_xlpm.r,Productos!$E$2:$E$1063,_xlpm.m,IFERROR(_xlfn.XMATCH(C293,_xlpm.r),IFERROR(_xlfn.XMATCH(VALUE(C293),_xlpm.r),0)),IF(_xlpm.m=0,"",_xlpm.m+1))</f>
        <v/>
      </c>
      <c r="J293" s="137" t="inlineStr">
        <is>
          <t>Odoo</t>
        </is>
      </c>
    </row>
    <row r="294">
      <c r="A294" s="5" t="inlineStr">
        <is>
          <t>Odoo Universal Unique Brands › Bodega 25 › Bodega 25/General</t>
        </is>
      </c>
      <c r="B294" s="5">
        <f>IF($I2="","",INDEX(Productos!$A:$A,$I2))</f>
        <v/>
      </c>
      <c r="C294" s="134" t="inlineStr">
        <is>
          <t>1261-1085-10011</t>
        </is>
      </c>
      <c r="D294" s="5">
        <f>IF($I2="","",INDEX(Productos!$B:$B,$I2))</f>
        <v/>
      </c>
      <c r="E294" s="5">
        <f>IF($I2="","",INDEX(Productos!$H:$H,$I2))</f>
        <v/>
      </c>
      <c r="F294" s="5">
        <f>IF($I2="","",INDEX(Productos!$I:$I,$I2))</f>
        <v/>
      </c>
      <c r="G294" s="135" t="n">
        <v>94</v>
      </c>
      <c r="H294" s="5">
        <f>IF($I2="","",INDEX(Productos!$AG:$AG,$I2))</f>
        <v/>
      </c>
      <c r="I294" s="136">
        <f>LET(_xlpm.r,Productos!$E$2:$E$1063,_xlpm.m,IFERROR(_xlfn.XMATCH(C294,_xlpm.r),IFERROR(_xlfn.XMATCH(VALUE(C294),_xlpm.r),0)),IF(_xlpm.m=0,"",_xlpm.m+1))</f>
        <v/>
      </c>
      <c r="J294" s="137" t="inlineStr">
        <is>
          <t>Odoo</t>
        </is>
      </c>
    </row>
    <row r="295">
      <c r="A295" s="5" t="inlineStr">
        <is>
          <t>Odoo Universal Unique Brands › Bodega 25 › Bodega 25/General</t>
        </is>
      </c>
      <c r="B295" s="5">
        <f>IF($I2="","",INDEX(Productos!$A:$A,$I2))</f>
        <v/>
      </c>
      <c r="C295" s="134" t="inlineStr">
        <is>
          <t>1261-1085-10012</t>
        </is>
      </c>
      <c r="D295" s="5">
        <f>IF($I2="","",INDEX(Productos!$B:$B,$I2))</f>
        <v/>
      </c>
      <c r="E295" s="5">
        <f>IF($I2="","",INDEX(Productos!$H:$H,$I2))</f>
        <v/>
      </c>
      <c r="F295" s="5">
        <f>IF($I2="","",INDEX(Productos!$I:$I,$I2))</f>
        <v/>
      </c>
      <c r="G295" s="135" t="n">
        <v>99</v>
      </c>
      <c r="H295" s="5">
        <f>IF($I2="","",INDEX(Productos!$AG:$AG,$I2))</f>
        <v/>
      </c>
      <c r="I295" s="136">
        <f>LET(_xlpm.r,Productos!$E$2:$E$1063,_xlpm.m,IFERROR(_xlfn.XMATCH(C295,_xlpm.r),IFERROR(_xlfn.XMATCH(VALUE(C295),_xlpm.r),0)),IF(_xlpm.m=0,"",_xlpm.m+1))</f>
        <v/>
      </c>
      <c r="J295" s="137" t="inlineStr">
        <is>
          <t>Odoo</t>
        </is>
      </c>
    </row>
    <row r="296">
      <c r="A296" s="5" t="inlineStr">
        <is>
          <t>Odoo Universal Unique Brands › Bodega 25 › Bodega 25/General</t>
        </is>
      </c>
      <c r="B296" s="5">
        <f>IF($I2="","",INDEX(Productos!$A:$A,$I2))</f>
        <v/>
      </c>
      <c r="C296" s="134" t="inlineStr">
        <is>
          <t>1261-1085-10013</t>
        </is>
      </c>
      <c r="D296" s="5">
        <f>IF($I2="","",INDEX(Productos!$B:$B,$I2))</f>
        <v/>
      </c>
      <c r="E296" s="5">
        <f>IF($I2="","",INDEX(Productos!$H:$H,$I2))</f>
        <v/>
      </c>
      <c r="F296" s="5">
        <f>IF($I2="","",INDEX(Productos!$I:$I,$I2))</f>
        <v/>
      </c>
      <c r="G296" s="135" t="n">
        <v>72</v>
      </c>
      <c r="H296" s="5">
        <f>IF($I2="","",INDEX(Productos!$AG:$AG,$I2))</f>
        <v/>
      </c>
      <c r="I296" s="136">
        <f>LET(_xlpm.r,Productos!$E$2:$E$1063,_xlpm.m,IFERROR(_xlfn.XMATCH(C296,_xlpm.r),IFERROR(_xlfn.XMATCH(VALUE(C296),_xlpm.r),0)),IF(_xlpm.m=0,"",_xlpm.m+1))</f>
        <v/>
      </c>
      <c r="J296" s="137" t="inlineStr">
        <is>
          <t>Odoo</t>
        </is>
      </c>
    </row>
    <row r="297">
      <c r="A297" s="5" t="inlineStr">
        <is>
          <t>Odoo Universal Unique Brands › Bodega 25 › Bodega 25/General</t>
        </is>
      </c>
      <c r="B297" s="5">
        <f>IF($I2="","",INDEX(Productos!$A:$A,$I2))</f>
        <v/>
      </c>
      <c r="C297" s="134" t="inlineStr">
        <is>
          <t>1261-1085-10014</t>
        </is>
      </c>
      <c r="D297" s="5">
        <f>IF($I2="","",INDEX(Productos!$B:$B,$I2))</f>
        <v/>
      </c>
      <c r="E297" s="5">
        <f>IF($I2="","",INDEX(Productos!$H:$H,$I2))</f>
        <v/>
      </c>
      <c r="F297" s="5">
        <f>IF($I2="","",INDEX(Productos!$I:$I,$I2))</f>
        <v/>
      </c>
      <c r="G297" s="135" t="n">
        <v>104</v>
      </c>
      <c r="H297" s="5">
        <f>IF($I2="","",INDEX(Productos!$AG:$AG,$I2))</f>
        <v/>
      </c>
      <c r="I297" s="136">
        <f>LET(_xlpm.r,Productos!$E$2:$E$1063,_xlpm.m,IFERROR(_xlfn.XMATCH(C297,_xlpm.r),IFERROR(_xlfn.XMATCH(VALUE(C297),_xlpm.r),0)),IF(_xlpm.m=0,"",_xlpm.m+1))</f>
        <v/>
      </c>
      <c r="J297" s="137" t="inlineStr">
        <is>
          <t>Odoo</t>
        </is>
      </c>
    </row>
    <row r="298">
      <c r="A298" s="5" t="inlineStr">
        <is>
          <t>Odoo Universal Unique Brands › Bodega 25 › Bodega 25/General</t>
        </is>
      </c>
      <c r="B298" s="5">
        <f>IF($I2="","",INDEX(Productos!$A:$A,$I2))</f>
        <v/>
      </c>
      <c r="C298" s="134" t="inlineStr">
        <is>
          <t>1261-1085-10015</t>
        </is>
      </c>
      <c r="D298" s="5">
        <f>IF($I2="","",INDEX(Productos!$B:$B,$I2))</f>
        <v/>
      </c>
      <c r="E298" s="5">
        <f>IF($I2="","",INDEX(Productos!$H:$H,$I2))</f>
        <v/>
      </c>
      <c r="F298" s="5">
        <f>IF($I2="","",INDEX(Productos!$I:$I,$I2))</f>
        <v/>
      </c>
      <c r="G298" s="135" t="n">
        <v>100</v>
      </c>
      <c r="H298" s="5">
        <f>IF($I2="","",INDEX(Productos!$AG:$AG,$I2))</f>
        <v/>
      </c>
      <c r="I298" s="136">
        <f>LET(_xlpm.r,Productos!$E$2:$E$1063,_xlpm.m,IFERROR(_xlfn.XMATCH(C298,_xlpm.r),IFERROR(_xlfn.XMATCH(VALUE(C298),_xlpm.r),0)),IF(_xlpm.m=0,"",_xlpm.m+1))</f>
        <v/>
      </c>
      <c r="J298" s="137" t="inlineStr">
        <is>
          <t>Odoo</t>
        </is>
      </c>
    </row>
    <row r="299">
      <c r="A299" s="5" t="inlineStr">
        <is>
          <t>Odoo Universal Unique Brands › Bodega 25 › Bodega 25/General</t>
        </is>
      </c>
      <c r="B299" s="5">
        <f>IF($I2="","",INDEX(Productos!$A:$A,$I2))</f>
        <v/>
      </c>
      <c r="C299" s="134" t="inlineStr">
        <is>
          <t>1261-1085-10016</t>
        </is>
      </c>
      <c r="D299" s="5">
        <f>IF($I2="","",INDEX(Productos!$B:$B,$I2))</f>
        <v/>
      </c>
      <c r="E299" s="5">
        <f>IF($I2="","",INDEX(Productos!$H:$H,$I2))</f>
        <v/>
      </c>
      <c r="F299" s="5">
        <f>IF($I2="","",INDEX(Productos!$I:$I,$I2))</f>
        <v/>
      </c>
      <c r="G299" s="135" t="n">
        <v>94</v>
      </c>
      <c r="H299" s="5">
        <f>IF($I2="","",INDEX(Productos!$AG:$AG,$I2))</f>
        <v/>
      </c>
      <c r="I299" s="136">
        <f>LET(_xlpm.r,Productos!$E$2:$E$1063,_xlpm.m,IFERROR(_xlfn.XMATCH(C299,_xlpm.r),IFERROR(_xlfn.XMATCH(VALUE(C299),_xlpm.r),0)),IF(_xlpm.m=0,"",_xlpm.m+1))</f>
        <v/>
      </c>
      <c r="J299" s="137" t="inlineStr">
        <is>
          <t>Odoo</t>
        </is>
      </c>
    </row>
    <row r="300">
      <c r="A300" s="5" t="inlineStr">
        <is>
          <t>Odoo Universal Unique Brands › Bodega 25 › Bodega 25/General</t>
        </is>
      </c>
      <c r="B300" s="5">
        <f>IF($I2="","",INDEX(Productos!$A:$A,$I2))</f>
        <v/>
      </c>
      <c r="C300" s="134" t="inlineStr">
        <is>
          <t>1261-1085-10017</t>
        </is>
      </c>
      <c r="D300" s="5">
        <f>IF($I2="","",INDEX(Productos!$B:$B,$I2))</f>
        <v/>
      </c>
      <c r="E300" s="5">
        <f>IF($I2="","",INDEX(Productos!$H:$H,$I2))</f>
        <v/>
      </c>
      <c r="F300" s="5">
        <f>IF($I2="","",INDEX(Productos!$I:$I,$I2))</f>
        <v/>
      </c>
      <c r="G300" s="135" t="n">
        <v>91</v>
      </c>
      <c r="H300" s="5">
        <f>IF($I2="","",INDEX(Productos!$AG:$AG,$I2))</f>
        <v/>
      </c>
      <c r="I300" s="136">
        <f>LET(_xlpm.r,Productos!$E$2:$E$1063,_xlpm.m,IFERROR(_xlfn.XMATCH(C300,_xlpm.r),IFERROR(_xlfn.XMATCH(VALUE(C300),_xlpm.r),0)),IF(_xlpm.m=0,"",_xlpm.m+1))</f>
        <v/>
      </c>
      <c r="J300" s="137" t="inlineStr">
        <is>
          <t>Odoo</t>
        </is>
      </c>
    </row>
    <row r="301">
      <c r="A301" s="5" t="inlineStr">
        <is>
          <t>Odoo Universal Unique Brands › Bodega 25 › Bodega 25/General</t>
        </is>
      </c>
      <c r="B301" s="5">
        <f>IF($I2="","",INDEX(Productos!$A:$A,$I2))</f>
        <v/>
      </c>
      <c r="C301" s="134" t="inlineStr">
        <is>
          <t>1261-1085-10018</t>
        </is>
      </c>
      <c r="D301" s="5">
        <f>IF($I2="","",INDEX(Productos!$B:$B,$I2))</f>
        <v/>
      </c>
      <c r="E301" s="5">
        <f>IF($I2="","",INDEX(Productos!$H:$H,$I2))</f>
        <v/>
      </c>
      <c r="F301" s="5">
        <f>IF($I2="","",INDEX(Productos!$I:$I,$I2))</f>
        <v/>
      </c>
      <c r="G301" s="135" t="n">
        <v>75</v>
      </c>
      <c r="H301" s="5">
        <f>IF($I2="","",INDEX(Productos!$AG:$AG,$I2))</f>
        <v/>
      </c>
      <c r="I301" s="136">
        <f>LET(_xlpm.r,Productos!$E$2:$E$1063,_xlpm.m,IFERROR(_xlfn.XMATCH(C301,_xlpm.r),IFERROR(_xlfn.XMATCH(VALUE(C301),_xlpm.r),0)),IF(_xlpm.m=0,"",_xlpm.m+1))</f>
        <v/>
      </c>
      <c r="J301" s="137" t="inlineStr">
        <is>
          <t>Odoo</t>
        </is>
      </c>
    </row>
    <row r="302">
      <c r="A302" s="5" t="inlineStr">
        <is>
          <t>Odoo Universal Unique Brands › Bodega 25 › Bodega 25/General</t>
        </is>
      </c>
      <c r="B302" s="5">
        <f>IF($I2="","",INDEX(Productos!$A:$A,$I2))</f>
        <v/>
      </c>
      <c r="C302" s="134" t="inlineStr">
        <is>
          <t>1261-1085-10019</t>
        </is>
      </c>
      <c r="D302" s="5">
        <f>IF($I2="","",INDEX(Productos!$B:$B,$I2))</f>
        <v/>
      </c>
      <c r="E302" s="5">
        <f>IF($I2="","",INDEX(Productos!$H:$H,$I2))</f>
        <v/>
      </c>
      <c r="F302" s="5">
        <f>IF($I2="","",INDEX(Productos!$I:$I,$I2))</f>
        <v/>
      </c>
      <c r="G302" s="135" t="n">
        <v>133</v>
      </c>
      <c r="H302" s="5">
        <f>IF($I2="","",INDEX(Productos!$AG:$AG,$I2))</f>
        <v/>
      </c>
      <c r="I302" s="136">
        <f>LET(_xlpm.r,Productos!$E$2:$E$1063,_xlpm.m,IFERROR(_xlfn.XMATCH(C302,_xlpm.r),IFERROR(_xlfn.XMATCH(VALUE(C302),_xlpm.r),0)),IF(_xlpm.m=0,"",_xlpm.m+1))</f>
        <v/>
      </c>
      <c r="J302" s="137" t="inlineStr">
        <is>
          <t>Odoo</t>
        </is>
      </c>
    </row>
    <row r="303">
      <c r="A303" s="5" t="inlineStr">
        <is>
          <t>Odoo Universal Unique Brands › Bodega 25 › Bodega 25/General</t>
        </is>
      </c>
      <c r="B303" s="5">
        <f>IF($I2="","",INDEX(Productos!$A:$A,$I2))</f>
        <v/>
      </c>
      <c r="C303" s="134" t="inlineStr">
        <is>
          <t>1261-1085-10020</t>
        </is>
      </c>
      <c r="D303" s="5">
        <f>IF($I2="","",INDEX(Productos!$B:$B,$I2))</f>
        <v/>
      </c>
      <c r="E303" s="5">
        <f>IF($I2="","",INDEX(Productos!$H:$H,$I2))</f>
        <v/>
      </c>
      <c r="F303" s="5">
        <f>IF($I2="","",INDEX(Productos!$I:$I,$I2))</f>
        <v/>
      </c>
      <c r="G303" s="135" t="n">
        <v>11</v>
      </c>
      <c r="H303" s="5">
        <f>IF($I2="","",INDEX(Productos!$AG:$AG,$I2))</f>
        <v/>
      </c>
      <c r="I303" s="136">
        <f>LET(_xlpm.r,Productos!$E$2:$E$1063,_xlpm.m,IFERROR(_xlfn.XMATCH(C303,_xlpm.r),IFERROR(_xlfn.XMATCH(VALUE(C303),_xlpm.r),0)),IF(_xlpm.m=0,"",_xlpm.m+1))</f>
        <v/>
      </c>
      <c r="J303" s="137" t="inlineStr">
        <is>
          <t>Odoo</t>
        </is>
      </c>
    </row>
    <row r="304">
      <c r="A304" s="5" t="inlineStr">
        <is>
          <t>Odoo Universal Unique Brands › Bodega 25 › Bodega 25/General</t>
        </is>
      </c>
      <c r="B304" s="5">
        <f>IF($I2="","",INDEX(Productos!$A:$A,$I2))</f>
        <v/>
      </c>
      <c r="C304" s="134" t="inlineStr">
        <is>
          <t>1261-1085-10021</t>
        </is>
      </c>
      <c r="D304" s="5">
        <f>IF($I2="","",INDEX(Productos!$B:$B,$I2))</f>
        <v/>
      </c>
      <c r="E304" s="5">
        <f>IF($I2="","",INDEX(Productos!$H:$H,$I2))</f>
        <v/>
      </c>
      <c r="F304" s="5">
        <f>IF($I2="","",INDEX(Productos!$I:$I,$I2))</f>
        <v/>
      </c>
      <c r="G304" s="135" t="n">
        <v>119</v>
      </c>
      <c r="H304" s="5">
        <f>IF($I2="","",INDEX(Productos!$AG:$AG,$I2))</f>
        <v/>
      </c>
      <c r="I304" s="136">
        <f>LET(_xlpm.r,Productos!$E$2:$E$1063,_xlpm.m,IFERROR(_xlfn.XMATCH(C304,_xlpm.r),IFERROR(_xlfn.XMATCH(VALUE(C304),_xlpm.r),0)),IF(_xlpm.m=0,"",_xlpm.m+1))</f>
        <v/>
      </c>
      <c r="J304" s="137" t="inlineStr">
        <is>
          <t>Odoo</t>
        </is>
      </c>
    </row>
    <row r="305">
      <c r="A305" s="5" t="inlineStr">
        <is>
          <t>Odoo Universal Unique Brands › Bodega 25 › Bodega 25/General</t>
        </is>
      </c>
      <c r="B305" s="5">
        <f>IF($I2="","",INDEX(Productos!$A:$A,$I2))</f>
        <v/>
      </c>
      <c r="C305" s="134" t="inlineStr">
        <is>
          <t>1261-1085-10022</t>
        </is>
      </c>
      <c r="D305" s="5">
        <f>IF($I2="","",INDEX(Productos!$B:$B,$I2))</f>
        <v/>
      </c>
      <c r="E305" s="5">
        <f>IF($I2="","",INDEX(Productos!$H:$H,$I2))</f>
        <v/>
      </c>
      <c r="F305" s="5">
        <f>IF($I2="","",INDEX(Productos!$I:$I,$I2))</f>
        <v/>
      </c>
      <c r="G305" s="135" t="n">
        <v>99</v>
      </c>
      <c r="H305" s="5">
        <f>IF($I2="","",INDEX(Productos!$AG:$AG,$I2))</f>
        <v/>
      </c>
      <c r="I305" s="136">
        <f>LET(_xlpm.r,Productos!$E$2:$E$1063,_xlpm.m,IFERROR(_xlfn.XMATCH(C305,_xlpm.r),IFERROR(_xlfn.XMATCH(VALUE(C305),_xlpm.r),0)),IF(_xlpm.m=0,"",_xlpm.m+1))</f>
        <v/>
      </c>
      <c r="J305" s="137" t="inlineStr">
        <is>
          <t>Odoo</t>
        </is>
      </c>
    </row>
    <row r="306">
      <c r="A306" s="5" t="inlineStr">
        <is>
          <t>Odoo Universal Unique Brands › Bodega 25 › Bodega 25/General</t>
        </is>
      </c>
      <c r="B306" s="5">
        <f>IF($I2="","",INDEX(Productos!$A:$A,$I2))</f>
        <v/>
      </c>
      <c r="C306" s="134" t="inlineStr">
        <is>
          <t>1261-1085-10023</t>
        </is>
      </c>
      <c r="D306" s="5">
        <f>IF($I2="","",INDEX(Productos!$B:$B,$I2))</f>
        <v/>
      </c>
      <c r="E306" s="5">
        <f>IF($I2="","",INDEX(Productos!$H:$H,$I2))</f>
        <v/>
      </c>
      <c r="F306" s="5">
        <f>IF($I2="","",INDEX(Productos!$I:$I,$I2))</f>
        <v/>
      </c>
      <c r="G306" s="135" t="n">
        <v>81</v>
      </c>
      <c r="H306" s="5">
        <f>IF($I2="","",INDEX(Productos!$AG:$AG,$I2))</f>
        <v/>
      </c>
      <c r="I306" s="136">
        <f>LET(_xlpm.r,Productos!$E$2:$E$1063,_xlpm.m,IFERROR(_xlfn.XMATCH(C306,_xlpm.r),IFERROR(_xlfn.XMATCH(VALUE(C306),_xlpm.r),0)),IF(_xlpm.m=0,"",_xlpm.m+1))</f>
        <v/>
      </c>
      <c r="J306" s="137" t="inlineStr">
        <is>
          <t>Odoo</t>
        </is>
      </c>
    </row>
    <row r="307">
      <c r="A307" s="5" t="inlineStr">
        <is>
          <t>Odoo Universal Unique Brands › Bodega 25 › Bodega 25/General</t>
        </is>
      </c>
      <c r="B307" s="5">
        <f>IF($I2="","",INDEX(Productos!$A:$A,$I2))</f>
        <v/>
      </c>
      <c r="C307" s="134" t="inlineStr">
        <is>
          <t>1261-1085-10024</t>
        </is>
      </c>
      <c r="D307" s="5">
        <f>IF($I2="","",INDEX(Productos!$B:$B,$I2))</f>
        <v/>
      </c>
      <c r="E307" s="5">
        <f>IF($I2="","",INDEX(Productos!$H:$H,$I2))</f>
        <v/>
      </c>
      <c r="F307" s="5">
        <f>IF($I2="","",INDEX(Productos!$I:$I,$I2))</f>
        <v/>
      </c>
      <c r="G307" s="135" t="n">
        <v>85</v>
      </c>
      <c r="H307" s="5">
        <f>IF($I2="","",INDEX(Productos!$AG:$AG,$I2))</f>
        <v/>
      </c>
      <c r="I307" s="136">
        <f>LET(_xlpm.r,Productos!$E$2:$E$1063,_xlpm.m,IFERROR(_xlfn.XMATCH(C307,_xlpm.r),IFERROR(_xlfn.XMATCH(VALUE(C307),_xlpm.r),0)),IF(_xlpm.m=0,"",_xlpm.m+1))</f>
        <v/>
      </c>
      <c r="J307" s="137" t="inlineStr">
        <is>
          <t>Odoo</t>
        </is>
      </c>
    </row>
    <row r="308">
      <c r="A308" s="5" t="inlineStr">
        <is>
          <t>Odoo Universal Unique Brands › Bodega 25 › Bodega 25/General</t>
        </is>
      </c>
      <c r="B308" s="5">
        <f>IF($I2="","",INDEX(Productos!$A:$A,$I2))</f>
        <v/>
      </c>
      <c r="C308" s="134" t="inlineStr">
        <is>
          <t>1261-1085-10025</t>
        </is>
      </c>
      <c r="D308" s="5">
        <f>IF($I2="","",INDEX(Productos!$B:$B,$I2))</f>
        <v/>
      </c>
      <c r="E308" s="5">
        <f>IF($I2="","",INDEX(Productos!$H:$H,$I2))</f>
        <v/>
      </c>
      <c r="F308" s="5">
        <f>IF($I2="","",INDEX(Productos!$I:$I,$I2))</f>
        <v/>
      </c>
      <c r="G308" s="135" t="n">
        <v>109</v>
      </c>
      <c r="H308" s="5">
        <f>IF($I2="","",INDEX(Productos!$AG:$AG,$I2))</f>
        <v/>
      </c>
      <c r="I308" s="136">
        <f>LET(_xlpm.r,Productos!$E$2:$E$1063,_xlpm.m,IFERROR(_xlfn.XMATCH(C308,_xlpm.r),IFERROR(_xlfn.XMATCH(VALUE(C308),_xlpm.r),0)),IF(_xlpm.m=0,"",_xlpm.m+1))</f>
        <v/>
      </c>
      <c r="J308" s="137" t="inlineStr">
        <is>
          <t>Odoo</t>
        </is>
      </c>
    </row>
    <row r="309">
      <c r="A309" s="5" t="inlineStr">
        <is>
          <t>Odoo Universal Unique Brands › Bodega 25 › Bodega 25/General</t>
        </is>
      </c>
      <c r="B309" s="5">
        <f>IF($I2="","",INDEX(Productos!$A:$A,$I2))</f>
        <v/>
      </c>
      <c r="C309" s="134" t="inlineStr">
        <is>
          <t>1261-1085-10026</t>
        </is>
      </c>
      <c r="D309" s="5">
        <f>IF($I2="","",INDEX(Productos!$B:$B,$I2))</f>
        <v/>
      </c>
      <c r="E309" s="5">
        <f>IF($I2="","",INDEX(Productos!$H:$H,$I2))</f>
        <v/>
      </c>
      <c r="F309" s="5">
        <f>IF($I2="","",INDEX(Productos!$I:$I,$I2))</f>
        <v/>
      </c>
      <c r="G309" s="135" t="n">
        <v>98</v>
      </c>
      <c r="H309" s="5">
        <f>IF($I2="","",INDEX(Productos!$AG:$AG,$I2))</f>
        <v/>
      </c>
      <c r="I309" s="136">
        <f>LET(_xlpm.r,Productos!$E$2:$E$1063,_xlpm.m,IFERROR(_xlfn.XMATCH(C309,_xlpm.r),IFERROR(_xlfn.XMATCH(VALUE(C309),_xlpm.r),0)),IF(_xlpm.m=0,"",_xlpm.m+1))</f>
        <v/>
      </c>
      <c r="J309" s="137" t="inlineStr">
        <is>
          <t>Odoo</t>
        </is>
      </c>
    </row>
    <row r="310">
      <c r="A310" s="5" t="inlineStr">
        <is>
          <t>Odoo Universal Unique Brands › Bodega 25 › Bodega 25/General</t>
        </is>
      </c>
      <c r="B310" s="5">
        <f>IF($I2="","",INDEX(Productos!$A:$A,$I2))</f>
        <v/>
      </c>
      <c r="C310" s="134" t="inlineStr">
        <is>
          <t>1261-1085-10027</t>
        </is>
      </c>
      <c r="D310" s="5">
        <f>IF($I2="","",INDEX(Productos!$B:$B,$I2))</f>
        <v/>
      </c>
      <c r="E310" s="5">
        <f>IF($I2="","",INDEX(Productos!$H:$H,$I2))</f>
        <v/>
      </c>
      <c r="F310" s="5">
        <f>IF($I2="","",INDEX(Productos!$I:$I,$I2))</f>
        <v/>
      </c>
      <c r="G310" s="135" t="n">
        <v>192</v>
      </c>
      <c r="H310" s="5">
        <f>IF($I2="","",INDEX(Productos!$AG:$AG,$I2))</f>
        <v/>
      </c>
      <c r="I310" s="136">
        <f>LET(_xlpm.r,Productos!$E$2:$E$1063,_xlpm.m,IFERROR(_xlfn.XMATCH(C310,_xlpm.r),IFERROR(_xlfn.XMATCH(VALUE(C310),_xlpm.r),0)),IF(_xlpm.m=0,"",_xlpm.m+1))</f>
        <v/>
      </c>
      <c r="J310" s="137" t="inlineStr">
        <is>
          <t>Odoo</t>
        </is>
      </c>
    </row>
    <row r="311">
      <c r="A311" s="5" t="inlineStr">
        <is>
          <t>Odoo Universal Unique Brands › Bodega 25 › Bodega 25/General</t>
        </is>
      </c>
      <c r="B311" s="5">
        <f>IF($I2="","",INDEX(Productos!$A:$A,$I2))</f>
        <v/>
      </c>
      <c r="C311" s="134" t="inlineStr">
        <is>
          <t>1261-1085-10028</t>
        </is>
      </c>
      <c r="D311" s="5">
        <f>IF($I2="","",INDEX(Productos!$B:$B,$I2))</f>
        <v/>
      </c>
      <c r="E311" s="5">
        <f>IF($I2="","",INDEX(Productos!$H:$H,$I2))</f>
        <v/>
      </c>
      <c r="F311" s="5">
        <f>IF($I2="","",INDEX(Productos!$I:$I,$I2))</f>
        <v/>
      </c>
      <c r="G311" s="135" t="n">
        <v>180</v>
      </c>
      <c r="H311" s="5">
        <f>IF($I2="","",INDEX(Productos!$AG:$AG,$I2))</f>
        <v/>
      </c>
      <c r="I311" s="136">
        <f>LET(_xlpm.r,Productos!$E$2:$E$1063,_xlpm.m,IFERROR(_xlfn.XMATCH(C311,_xlpm.r),IFERROR(_xlfn.XMATCH(VALUE(C311),_xlpm.r),0)),IF(_xlpm.m=0,"",_xlpm.m+1))</f>
        <v/>
      </c>
      <c r="J311" s="137" t="inlineStr">
        <is>
          <t>Odoo</t>
        </is>
      </c>
    </row>
    <row r="312">
      <c r="A312" s="5" t="inlineStr">
        <is>
          <t>Odoo Universal Unique Brands › Bodega 25 › Bodega 25/General</t>
        </is>
      </c>
      <c r="B312" s="5">
        <f>IF($I2="","",INDEX(Productos!$A:$A,$I2))</f>
        <v/>
      </c>
      <c r="C312" s="134" t="inlineStr">
        <is>
          <t>1261-1085-10029</t>
        </is>
      </c>
      <c r="D312" s="5">
        <f>IF($I2="","",INDEX(Productos!$B:$B,$I2))</f>
        <v/>
      </c>
      <c r="E312" s="5">
        <f>IF($I2="","",INDEX(Productos!$H:$H,$I2))</f>
        <v/>
      </c>
      <c r="F312" s="5">
        <f>IF($I2="","",INDEX(Productos!$I:$I,$I2))</f>
        <v/>
      </c>
      <c r="G312" s="135" t="n">
        <v>187</v>
      </c>
      <c r="H312" s="5">
        <f>IF($I2="","",INDEX(Productos!$AG:$AG,$I2))</f>
        <v/>
      </c>
      <c r="I312" s="136">
        <f>LET(_xlpm.r,Productos!$E$2:$E$1063,_xlpm.m,IFERROR(_xlfn.XMATCH(C312,_xlpm.r),IFERROR(_xlfn.XMATCH(VALUE(C312),_xlpm.r),0)),IF(_xlpm.m=0,"",_xlpm.m+1))</f>
        <v/>
      </c>
      <c r="J312" s="137" t="inlineStr">
        <is>
          <t>Odoo</t>
        </is>
      </c>
    </row>
    <row r="313">
      <c r="A313" s="5" t="inlineStr">
        <is>
          <t>Odoo Universal Unique Brands › Bodega 25 › Bodega 25/General</t>
        </is>
      </c>
      <c r="B313" s="5">
        <f>IF($I2="","",INDEX(Productos!$A:$A,$I2))</f>
        <v/>
      </c>
      <c r="C313" s="134" t="inlineStr">
        <is>
          <t>1261-1085-10030</t>
        </is>
      </c>
      <c r="D313" s="5">
        <f>IF($I2="","",INDEX(Productos!$B:$B,$I2))</f>
        <v/>
      </c>
      <c r="E313" s="5">
        <f>IF($I2="","",INDEX(Productos!$H:$H,$I2))</f>
        <v/>
      </c>
      <c r="F313" s="5">
        <f>IF($I2="","",INDEX(Productos!$I:$I,$I2))</f>
        <v/>
      </c>
      <c r="G313" s="135" t="n">
        <v>197</v>
      </c>
      <c r="H313" s="5">
        <f>IF($I2="","",INDEX(Productos!$AG:$AG,$I2))</f>
        <v/>
      </c>
      <c r="I313" s="136">
        <f>LET(_xlpm.r,Productos!$E$2:$E$1063,_xlpm.m,IFERROR(_xlfn.XMATCH(C313,_xlpm.r),IFERROR(_xlfn.XMATCH(VALUE(C313),_xlpm.r),0)),IF(_xlpm.m=0,"",_xlpm.m+1))</f>
        <v/>
      </c>
      <c r="J313" s="137" t="inlineStr">
        <is>
          <t>Odoo</t>
        </is>
      </c>
    </row>
    <row r="314">
      <c r="A314" s="5" t="inlineStr">
        <is>
          <t>Odoo Universal Unique Brands › Bodega 25 › Bodega 25/General</t>
        </is>
      </c>
      <c r="B314" s="5">
        <f>IF($I2="","",INDEX(Productos!$A:$A,$I2))</f>
        <v/>
      </c>
      <c r="C314" s="134" t="inlineStr">
        <is>
          <t>1261-1085-10031</t>
        </is>
      </c>
      <c r="D314" s="5">
        <f>IF($I2="","",INDEX(Productos!$B:$B,$I2))</f>
        <v/>
      </c>
      <c r="E314" s="5">
        <f>IF($I2="","",INDEX(Productos!$H:$H,$I2))</f>
        <v/>
      </c>
      <c r="F314" s="5">
        <f>IF($I2="","",INDEX(Productos!$I:$I,$I2))</f>
        <v/>
      </c>
      <c r="G314" s="135" t="n">
        <v>181</v>
      </c>
      <c r="H314" s="5">
        <f>IF($I2="","",INDEX(Productos!$AG:$AG,$I2))</f>
        <v/>
      </c>
      <c r="I314" s="136">
        <f>LET(_xlpm.r,Productos!$E$2:$E$1063,_xlpm.m,IFERROR(_xlfn.XMATCH(C314,_xlpm.r),IFERROR(_xlfn.XMATCH(VALUE(C314),_xlpm.r),0)),IF(_xlpm.m=0,"",_xlpm.m+1))</f>
        <v/>
      </c>
      <c r="J314" s="137" t="inlineStr">
        <is>
          <t>Odoo</t>
        </is>
      </c>
    </row>
    <row r="315">
      <c r="A315" s="5" t="inlineStr">
        <is>
          <t>Odoo Universal Unique Brands › Bodega 25 › Bodega 25/General</t>
        </is>
      </c>
      <c r="B315" s="5">
        <f>IF($I2="","",INDEX(Productos!$A:$A,$I2))</f>
        <v/>
      </c>
      <c r="C315" s="134" t="inlineStr">
        <is>
          <t>1261-1085-10032</t>
        </is>
      </c>
      <c r="D315" s="5">
        <f>IF($I2="","",INDEX(Productos!$B:$B,$I2))</f>
        <v/>
      </c>
      <c r="E315" s="5">
        <f>IF($I2="","",INDEX(Productos!$H:$H,$I2))</f>
        <v/>
      </c>
      <c r="F315" s="5">
        <f>IF($I2="","",INDEX(Productos!$I:$I,$I2))</f>
        <v/>
      </c>
      <c r="G315" s="135" t="n">
        <v>130</v>
      </c>
      <c r="H315" s="5">
        <f>IF($I2="","",INDEX(Productos!$AG:$AG,$I2))</f>
        <v/>
      </c>
      <c r="I315" s="136">
        <f>LET(_xlpm.r,Productos!$E$2:$E$1063,_xlpm.m,IFERROR(_xlfn.XMATCH(C315,_xlpm.r),IFERROR(_xlfn.XMATCH(VALUE(C315),_xlpm.r),0)),IF(_xlpm.m=0,"",_xlpm.m+1))</f>
        <v/>
      </c>
      <c r="J315" s="137" t="inlineStr">
        <is>
          <t>Odoo</t>
        </is>
      </c>
    </row>
    <row r="316">
      <c r="A316" s="5" t="inlineStr">
        <is>
          <t>Odoo Universal Unique Brands › Bodega 25 › Bodega 25/General</t>
        </is>
      </c>
      <c r="B316" s="5">
        <f>IF($I2="","",INDEX(Productos!$A:$A,$I2))</f>
        <v/>
      </c>
      <c r="C316" s="134" t="inlineStr">
        <is>
          <t>1261-1085-10033</t>
        </is>
      </c>
      <c r="D316" s="5">
        <f>IF($I2="","",INDEX(Productos!$B:$B,$I2))</f>
        <v/>
      </c>
      <c r="E316" s="5">
        <f>IF($I2="","",INDEX(Productos!$H:$H,$I2))</f>
        <v/>
      </c>
      <c r="F316" s="5">
        <f>IF($I2="","",INDEX(Productos!$I:$I,$I2))</f>
        <v/>
      </c>
      <c r="G316" s="135" t="n">
        <v>162</v>
      </c>
      <c r="H316" s="5">
        <f>IF($I2="","",INDEX(Productos!$AG:$AG,$I2))</f>
        <v/>
      </c>
      <c r="I316" s="136">
        <f>LET(_xlpm.r,Productos!$E$2:$E$1063,_xlpm.m,IFERROR(_xlfn.XMATCH(C316,_xlpm.r),IFERROR(_xlfn.XMATCH(VALUE(C316),_xlpm.r),0)),IF(_xlpm.m=0,"",_xlpm.m+1))</f>
        <v/>
      </c>
      <c r="J316" s="137" t="inlineStr">
        <is>
          <t>Odoo</t>
        </is>
      </c>
    </row>
    <row r="317">
      <c r="A317" s="5" t="inlineStr">
        <is>
          <t>Odoo Universal Unique Brands › Bodega 25 › Bodega 25/General</t>
        </is>
      </c>
      <c r="B317" s="5">
        <f>IF($I2="","",INDEX(Productos!$A:$A,$I2))</f>
        <v/>
      </c>
      <c r="C317" s="134" t="inlineStr">
        <is>
          <t>1261-1085-10034</t>
        </is>
      </c>
      <c r="D317" s="5">
        <f>IF($I2="","",INDEX(Productos!$B:$B,$I2))</f>
        <v/>
      </c>
      <c r="E317" s="5">
        <f>IF($I2="","",INDEX(Productos!$H:$H,$I2))</f>
        <v/>
      </c>
      <c r="F317" s="5">
        <f>IF($I2="","",INDEX(Productos!$I:$I,$I2))</f>
        <v/>
      </c>
      <c r="G317" s="135" t="n">
        <v>151</v>
      </c>
      <c r="H317" s="5">
        <f>IF($I2="","",INDEX(Productos!$AG:$AG,$I2))</f>
        <v/>
      </c>
      <c r="I317" s="136">
        <f>LET(_xlpm.r,Productos!$E$2:$E$1063,_xlpm.m,IFERROR(_xlfn.XMATCH(C317,_xlpm.r),IFERROR(_xlfn.XMATCH(VALUE(C317),_xlpm.r),0)),IF(_xlpm.m=0,"",_xlpm.m+1))</f>
        <v/>
      </c>
      <c r="J317" s="137" t="inlineStr">
        <is>
          <t>Odoo</t>
        </is>
      </c>
    </row>
    <row r="318">
      <c r="A318" s="5" t="inlineStr">
        <is>
          <t>Odoo Universal Unique Brands › Bodega 25 › Bodega 25/General</t>
        </is>
      </c>
      <c r="B318" s="5">
        <f>IF($I2="","",INDEX(Productos!$A:$A,$I2))</f>
        <v/>
      </c>
      <c r="C318" s="134" t="inlineStr">
        <is>
          <t>1261-1085-10035</t>
        </is>
      </c>
      <c r="D318" s="5">
        <f>IF($I2="","",INDEX(Productos!$B:$B,$I2))</f>
        <v/>
      </c>
      <c r="E318" s="5">
        <f>IF($I2="","",INDEX(Productos!$H:$H,$I2))</f>
        <v/>
      </c>
      <c r="F318" s="5">
        <f>IF($I2="","",INDEX(Productos!$I:$I,$I2))</f>
        <v/>
      </c>
      <c r="G318" s="135" t="n">
        <v>95</v>
      </c>
      <c r="H318" s="5">
        <f>IF($I2="","",INDEX(Productos!$AG:$AG,$I2))</f>
        <v/>
      </c>
      <c r="I318" s="136">
        <f>LET(_xlpm.r,Productos!$E$2:$E$1063,_xlpm.m,IFERROR(_xlfn.XMATCH(C318,_xlpm.r),IFERROR(_xlfn.XMATCH(VALUE(C318),_xlpm.r),0)),IF(_xlpm.m=0,"",_xlpm.m+1))</f>
        <v/>
      </c>
      <c r="J318" s="137" t="inlineStr">
        <is>
          <t>Odoo</t>
        </is>
      </c>
    </row>
    <row r="319">
      <c r="A319" s="5" t="inlineStr">
        <is>
          <t>Odoo Universal Unique Brands › Bodega 25 › Bodega 25/General</t>
        </is>
      </c>
      <c r="B319" s="5">
        <f>IF($I2="","",INDEX(Productos!$A:$A,$I2))</f>
        <v/>
      </c>
      <c r="C319" s="134" t="inlineStr">
        <is>
          <t>1261-1085-10036</t>
        </is>
      </c>
      <c r="D319" s="5">
        <f>IF($I2="","",INDEX(Productos!$B:$B,$I2))</f>
        <v/>
      </c>
      <c r="E319" s="5">
        <f>IF($I2="","",INDEX(Productos!$H:$H,$I2))</f>
        <v/>
      </c>
      <c r="F319" s="5">
        <f>IF($I2="","",INDEX(Productos!$I:$I,$I2))</f>
        <v/>
      </c>
      <c r="G319" s="135" t="n">
        <v>81</v>
      </c>
      <c r="H319" s="5">
        <f>IF($I2="","",INDEX(Productos!$AG:$AG,$I2))</f>
        <v/>
      </c>
      <c r="I319" s="136">
        <f>LET(_xlpm.r,Productos!$E$2:$E$1063,_xlpm.m,IFERROR(_xlfn.XMATCH(C319,_xlpm.r),IFERROR(_xlfn.XMATCH(VALUE(C319),_xlpm.r),0)),IF(_xlpm.m=0,"",_xlpm.m+1))</f>
        <v/>
      </c>
      <c r="J319" s="137" t="inlineStr">
        <is>
          <t>Odoo</t>
        </is>
      </c>
    </row>
    <row r="320">
      <c r="A320" s="5" t="inlineStr">
        <is>
          <t>Odoo Universal Unique Brands › Bodega 25 › Bodega 25/General</t>
        </is>
      </c>
      <c r="B320" s="5">
        <f>IF($I2="","",INDEX(Productos!$A:$A,$I2))</f>
        <v/>
      </c>
      <c r="C320" s="134" t="inlineStr">
        <is>
          <t>1261-1085-10037</t>
        </is>
      </c>
      <c r="D320" s="5">
        <f>IF($I2="","",INDEX(Productos!$B:$B,$I2))</f>
        <v/>
      </c>
      <c r="E320" s="5">
        <f>IF($I2="","",INDEX(Productos!$H:$H,$I2))</f>
        <v/>
      </c>
      <c r="F320" s="5">
        <f>IF($I2="","",INDEX(Productos!$I:$I,$I2))</f>
        <v/>
      </c>
      <c r="G320" s="135" t="n">
        <v>276</v>
      </c>
      <c r="H320" s="5">
        <f>IF($I2="","",INDEX(Productos!$AG:$AG,$I2))</f>
        <v/>
      </c>
      <c r="I320" s="136">
        <f>LET(_xlpm.r,Productos!$E$2:$E$1063,_xlpm.m,IFERROR(_xlfn.XMATCH(C320,_xlpm.r),IFERROR(_xlfn.XMATCH(VALUE(C320),_xlpm.r),0)),IF(_xlpm.m=0,"",_xlpm.m+1))</f>
        <v/>
      </c>
      <c r="J320" s="137" t="inlineStr">
        <is>
          <t>Odoo</t>
        </is>
      </c>
    </row>
    <row r="321">
      <c r="A321" s="5" t="inlineStr">
        <is>
          <t>Odoo Universal Unique Brands › Bodega 25 › Bodega 25/General</t>
        </is>
      </c>
      <c r="B321" s="5">
        <f>IF($I2="","",INDEX(Productos!$A:$A,$I2))</f>
        <v/>
      </c>
      <c r="C321" s="134" t="inlineStr">
        <is>
          <t>1261-1085-10038</t>
        </is>
      </c>
      <c r="D321" s="5">
        <f>IF($I2="","",INDEX(Productos!$B:$B,$I2))</f>
        <v/>
      </c>
      <c r="E321" s="5">
        <f>IF($I2="","",INDEX(Productos!$H:$H,$I2))</f>
        <v/>
      </c>
      <c r="F321" s="5">
        <f>IF($I2="","",INDEX(Productos!$I:$I,$I2))</f>
        <v/>
      </c>
      <c r="G321" s="135" t="n">
        <v>190</v>
      </c>
      <c r="H321" s="5">
        <f>IF($I2="","",INDEX(Productos!$AG:$AG,$I2))</f>
        <v/>
      </c>
      <c r="I321" s="136">
        <f>LET(_xlpm.r,Productos!$E$2:$E$1063,_xlpm.m,IFERROR(_xlfn.XMATCH(C321,_xlpm.r),IFERROR(_xlfn.XMATCH(VALUE(C321),_xlpm.r),0)),IF(_xlpm.m=0,"",_xlpm.m+1))</f>
        <v/>
      </c>
      <c r="J321" s="137" t="inlineStr">
        <is>
          <t>Odoo</t>
        </is>
      </c>
    </row>
    <row r="322">
      <c r="A322" s="5" t="inlineStr">
        <is>
          <t>Odoo Universal Unique Brands › Bodega 25 › Bodega 25/General</t>
        </is>
      </c>
      <c r="B322" s="5">
        <f>IF($I2="","",INDEX(Productos!$A:$A,$I2))</f>
        <v/>
      </c>
      <c r="C322" s="134" t="inlineStr">
        <is>
          <t>1261-1085-10039</t>
        </is>
      </c>
      <c r="D322" s="5">
        <f>IF($I2="","",INDEX(Productos!$B:$B,$I2))</f>
        <v/>
      </c>
      <c r="E322" s="5">
        <f>IF($I2="","",INDEX(Productos!$H:$H,$I2))</f>
        <v/>
      </c>
      <c r="F322" s="5">
        <f>IF($I2="","",INDEX(Productos!$I:$I,$I2))</f>
        <v/>
      </c>
      <c r="G322" s="135" t="n">
        <v>329</v>
      </c>
      <c r="H322" s="5">
        <f>IF($I2="","",INDEX(Productos!$AG:$AG,$I2))</f>
        <v/>
      </c>
      <c r="I322" s="136">
        <f>LET(_xlpm.r,Productos!$E$2:$E$1063,_xlpm.m,IFERROR(_xlfn.XMATCH(C322,_xlpm.r),IFERROR(_xlfn.XMATCH(VALUE(C322),_xlpm.r),0)),IF(_xlpm.m=0,"",_xlpm.m+1))</f>
        <v/>
      </c>
      <c r="J322" s="137" t="inlineStr">
        <is>
          <t>Odoo</t>
        </is>
      </c>
    </row>
    <row r="323">
      <c r="A323" s="5" t="inlineStr">
        <is>
          <t>Odoo Universal Unique Brands › Bodega 25 › Bodega 25/General</t>
        </is>
      </c>
      <c r="B323" s="5">
        <f>IF($I2="","",INDEX(Productos!$A:$A,$I2))</f>
        <v/>
      </c>
      <c r="C323" s="134" t="inlineStr">
        <is>
          <t>1261-1085-10040</t>
        </is>
      </c>
      <c r="D323" s="5">
        <f>IF($I2="","",INDEX(Productos!$B:$B,$I2))</f>
        <v/>
      </c>
      <c r="E323" s="5">
        <f>IF($I2="","",INDEX(Productos!$H:$H,$I2))</f>
        <v/>
      </c>
      <c r="F323" s="5">
        <f>IF($I2="","",INDEX(Productos!$I:$I,$I2))</f>
        <v/>
      </c>
      <c r="G323" s="135" t="n">
        <v>117</v>
      </c>
      <c r="H323" s="5">
        <f>IF($I2="","",INDEX(Productos!$AG:$AG,$I2))</f>
        <v/>
      </c>
      <c r="I323" s="136">
        <f>LET(_xlpm.r,Productos!$E$2:$E$1063,_xlpm.m,IFERROR(_xlfn.XMATCH(C323,_xlpm.r),IFERROR(_xlfn.XMATCH(VALUE(C323),_xlpm.r),0)),IF(_xlpm.m=0,"",_xlpm.m+1))</f>
        <v/>
      </c>
      <c r="J323" s="137" t="inlineStr">
        <is>
          <t>Odoo</t>
        </is>
      </c>
    </row>
    <row r="324">
      <c r="A324" s="5" t="inlineStr">
        <is>
          <t>Odoo Universal Unique Brands › Bodega 25 › Bodega 25/General</t>
        </is>
      </c>
      <c r="B324" s="5">
        <f>IF($I2="","",INDEX(Productos!$A:$A,$I2))</f>
        <v/>
      </c>
      <c r="C324" s="134" t="inlineStr">
        <is>
          <t>1261-1085-10041</t>
        </is>
      </c>
      <c r="D324" s="5">
        <f>IF($I2="","",INDEX(Productos!$B:$B,$I2))</f>
        <v/>
      </c>
      <c r="E324" s="5">
        <f>IF($I2="","",INDEX(Productos!$H:$H,$I2))</f>
        <v/>
      </c>
      <c r="F324" s="5">
        <f>IF($I2="","",INDEX(Productos!$I:$I,$I2))</f>
        <v/>
      </c>
      <c r="G324" s="135" t="n">
        <v>182</v>
      </c>
      <c r="H324" s="5">
        <f>IF($I2="","",INDEX(Productos!$AG:$AG,$I2))</f>
        <v/>
      </c>
      <c r="I324" s="136">
        <f>LET(_xlpm.r,Productos!$E$2:$E$1063,_xlpm.m,IFERROR(_xlfn.XMATCH(C324,_xlpm.r),IFERROR(_xlfn.XMATCH(VALUE(C324),_xlpm.r),0)),IF(_xlpm.m=0,"",_xlpm.m+1))</f>
        <v/>
      </c>
      <c r="J324" s="137" t="inlineStr">
        <is>
          <t>Odoo</t>
        </is>
      </c>
    </row>
    <row r="325">
      <c r="A325" s="5" t="inlineStr">
        <is>
          <t>Odoo Universal Unique Brands › Bodega 25 › Bodega 25/General</t>
        </is>
      </c>
      <c r="B325" s="5">
        <f>IF($I2="","",INDEX(Productos!$A:$A,$I2))</f>
        <v/>
      </c>
      <c r="C325" s="134" t="inlineStr">
        <is>
          <t>1261-1085-10042</t>
        </is>
      </c>
      <c r="D325" s="5">
        <f>IF($I2="","",INDEX(Productos!$B:$B,$I2))</f>
        <v/>
      </c>
      <c r="E325" s="5">
        <f>IF($I2="","",INDEX(Productos!$H:$H,$I2))</f>
        <v/>
      </c>
      <c r="F325" s="5">
        <f>IF($I2="","",INDEX(Productos!$I:$I,$I2))</f>
        <v/>
      </c>
      <c r="G325" s="135" t="n">
        <v>212</v>
      </c>
      <c r="H325" s="5">
        <f>IF($I2="","",INDEX(Productos!$AG:$AG,$I2))</f>
        <v/>
      </c>
      <c r="I325" s="136">
        <f>LET(_xlpm.r,Productos!$E$2:$E$1063,_xlpm.m,IFERROR(_xlfn.XMATCH(C325,_xlpm.r),IFERROR(_xlfn.XMATCH(VALUE(C325),_xlpm.r),0)),IF(_xlpm.m=0,"",_xlpm.m+1))</f>
        <v/>
      </c>
      <c r="J325" s="137" t="inlineStr">
        <is>
          <t>Odoo</t>
        </is>
      </c>
    </row>
    <row r="326">
      <c r="A326" s="5" t="inlineStr">
        <is>
          <t>Odoo Universal Unique Brands › Bodega 25 › Bodega 25/General</t>
        </is>
      </c>
      <c r="B326" s="5">
        <f>IF($I2="","",INDEX(Productos!$A:$A,$I2))</f>
        <v/>
      </c>
      <c r="C326" s="134" t="inlineStr">
        <is>
          <t>1261-1085-10043</t>
        </is>
      </c>
      <c r="D326" s="5">
        <f>IF($I2="","",INDEX(Productos!$B:$B,$I2))</f>
        <v/>
      </c>
      <c r="E326" s="5">
        <f>IF($I2="","",INDEX(Productos!$H:$H,$I2))</f>
        <v/>
      </c>
      <c r="F326" s="5">
        <f>IF($I2="","",INDEX(Productos!$I:$I,$I2))</f>
        <v/>
      </c>
      <c r="G326" s="135" t="n">
        <v>161</v>
      </c>
      <c r="H326" s="5">
        <f>IF($I2="","",INDEX(Productos!$AG:$AG,$I2))</f>
        <v/>
      </c>
      <c r="I326" s="136">
        <f>LET(_xlpm.r,Productos!$E$2:$E$1063,_xlpm.m,IFERROR(_xlfn.XMATCH(C326,_xlpm.r),IFERROR(_xlfn.XMATCH(VALUE(C326),_xlpm.r),0)),IF(_xlpm.m=0,"",_xlpm.m+1))</f>
        <v/>
      </c>
      <c r="J326" s="137" t="inlineStr">
        <is>
          <t>Odoo</t>
        </is>
      </c>
    </row>
    <row r="327">
      <c r="A327" s="5" t="inlineStr">
        <is>
          <t>Odoo Universal Unique Brands › Bodega 25 › Bodega 25/General</t>
        </is>
      </c>
      <c r="B327" s="5">
        <f>IF($I2="","",INDEX(Productos!$A:$A,$I2))</f>
        <v/>
      </c>
      <c r="C327" s="134" t="inlineStr">
        <is>
          <t>1261-1085-10044</t>
        </is>
      </c>
      <c r="D327" s="5">
        <f>IF($I2="","",INDEX(Productos!$B:$B,$I2))</f>
        <v/>
      </c>
      <c r="E327" s="5">
        <f>IF($I2="","",INDEX(Productos!$H:$H,$I2))</f>
        <v/>
      </c>
      <c r="F327" s="5">
        <f>IF($I2="","",INDEX(Productos!$I:$I,$I2))</f>
        <v/>
      </c>
      <c r="G327" s="135" t="n">
        <v>53</v>
      </c>
      <c r="H327" s="5">
        <f>IF($I2="","",INDEX(Productos!$AG:$AG,$I2))</f>
        <v/>
      </c>
      <c r="I327" s="136">
        <f>LET(_xlpm.r,Productos!$E$2:$E$1063,_xlpm.m,IFERROR(_xlfn.XMATCH(C327,_xlpm.r),IFERROR(_xlfn.XMATCH(VALUE(C327),_xlpm.r),0)),IF(_xlpm.m=0,"",_xlpm.m+1))</f>
        <v/>
      </c>
      <c r="J327" s="137" t="inlineStr">
        <is>
          <t>Odoo</t>
        </is>
      </c>
    </row>
    <row r="328">
      <c r="A328" s="5" t="inlineStr">
        <is>
          <t>Odoo Universal Unique Brands › Bodega 25 › Bodega 25/General</t>
        </is>
      </c>
      <c r="B328" s="5">
        <f>IF($I2="","",INDEX(Productos!$A:$A,$I2))</f>
        <v/>
      </c>
      <c r="C328" s="134" t="inlineStr">
        <is>
          <t>1261-1085-10045</t>
        </is>
      </c>
      <c r="D328" s="5">
        <f>IF($I2="","",INDEX(Productos!$B:$B,$I2))</f>
        <v/>
      </c>
      <c r="E328" s="5">
        <f>IF($I2="","",INDEX(Productos!$H:$H,$I2))</f>
        <v/>
      </c>
      <c r="F328" s="5">
        <f>IF($I2="","",INDEX(Productos!$I:$I,$I2))</f>
        <v/>
      </c>
      <c r="G328" s="135" t="n">
        <v>82</v>
      </c>
      <c r="H328" s="5">
        <f>IF($I2="","",INDEX(Productos!$AG:$AG,$I2))</f>
        <v/>
      </c>
      <c r="I328" s="136">
        <f>LET(_xlpm.r,Productos!$E$2:$E$1063,_xlpm.m,IFERROR(_xlfn.XMATCH(C328,_xlpm.r),IFERROR(_xlfn.XMATCH(VALUE(C328),_xlpm.r),0)),IF(_xlpm.m=0,"",_xlpm.m+1))</f>
        <v/>
      </c>
      <c r="J328" s="137" t="inlineStr">
        <is>
          <t>Odoo</t>
        </is>
      </c>
    </row>
    <row r="329">
      <c r="A329" s="5" t="inlineStr">
        <is>
          <t>Odoo Universal Unique Brands › Bodega 25 › Bodega 25/General</t>
        </is>
      </c>
      <c r="B329" s="5">
        <f>IF($I2="","",INDEX(Productos!$A:$A,$I2))</f>
        <v/>
      </c>
      <c r="C329" s="134" t="inlineStr">
        <is>
          <t>1261-1085-10046</t>
        </is>
      </c>
      <c r="D329" s="5">
        <f>IF($I2="","",INDEX(Productos!$B:$B,$I2))</f>
        <v/>
      </c>
      <c r="E329" s="5">
        <f>IF($I2="","",INDEX(Productos!$H:$H,$I2))</f>
        <v/>
      </c>
      <c r="F329" s="5">
        <f>IF($I2="","",INDEX(Productos!$I:$I,$I2))</f>
        <v/>
      </c>
      <c r="G329" s="135" t="n">
        <v>279</v>
      </c>
      <c r="H329" s="5">
        <f>IF($I2="","",INDEX(Productos!$AG:$AG,$I2))</f>
        <v/>
      </c>
      <c r="I329" s="136">
        <f>LET(_xlpm.r,Productos!$E$2:$E$1063,_xlpm.m,IFERROR(_xlfn.XMATCH(C329,_xlpm.r),IFERROR(_xlfn.XMATCH(VALUE(C329),_xlpm.r),0)),IF(_xlpm.m=0,"",_xlpm.m+1))</f>
        <v/>
      </c>
      <c r="J329" s="137" t="inlineStr">
        <is>
          <t>Odoo</t>
        </is>
      </c>
    </row>
    <row r="330">
      <c r="A330" s="5" t="inlineStr">
        <is>
          <t>Odoo Universal Unique Brands › Bodega 25 › Bodega 25/General</t>
        </is>
      </c>
      <c r="B330" s="5">
        <f>IF($I2="","",INDEX(Productos!$A:$A,$I2))</f>
        <v/>
      </c>
      <c r="C330" s="134" t="inlineStr">
        <is>
          <t>1261-1085-10047</t>
        </is>
      </c>
      <c r="D330" s="5">
        <f>IF($I2="","",INDEX(Productos!$B:$B,$I2))</f>
        <v/>
      </c>
      <c r="E330" s="5">
        <f>IF($I2="","",INDEX(Productos!$H:$H,$I2))</f>
        <v/>
      </c>
      <c r="F330" s="5">
        <f>IF($I2="","",INDEX(Productos!$I:$I,$I2))</f>
        <v/>
      </c>
      <c r="G330" s="135" t="n">
        <v>54</v>
      </c>
      <c r="H330" s="5">
        <f>IF($I2="","",INDEX(Productos!$AG:$AG,$I2))</f>
        <v/>
      </c>
      <c r="I330" s="136">
        <f>LET(_xlpm.r,Productos!$E$2:$E$1063,_xlpm.m,IFERROR(_xlfn.XMATCH(C330,_xlpm.r),IFERROR(_xlfn.XMATCH(VALUE(C330),_xlpm.r),0)),IF(_xlpm.m=0,"",_xlpm.m+1))</f>
        <v/>
      </c>
      <c r="J330" s="137" t="inlineStr">
        <is>
          <t>Odoo</t>
        </is>
      </c>
    </row>
    <row r="331">
      <c r="A331" s="5" t="inlineStr">
        <is>
          <t>Odoo Universal Unique Brands › Bodega 25 › Bodega 25/General</t>
        </is>
      </c>
      <c r="B331" s="5">
        <f>IF($I2="","",INDEX(Productos!$A:$A,$I2))</f>
        <v/>
      </c>
      <c r="C331" s="134" t="inlineStr">
        <is>
          <t>1261-1085-10048</t>
        </is>
      </c>
      <c r="D331" s="5">
        <f>IF($I2="","",INDEX(Productos!$B:$B,$I2))</f>
        <v/>
      </c>
      <c r="E331" s="5">
        <f>IF($I2="","",INDEX(Productos!$H:$H,$I2))</f>
        <v/>
      </c>
      <c r="F331" s="5">
        <f>IF($I2="","",INDEX(Productos!$I:$I,$I2))</f>
        <v/>
      </c>
      <c r="G331" s="135" t="n">
        <v>94</v>
      </c>
      <c r="H331" s="5">
        <f>IF($I2="","",INDEX(Productos!$AG:$AG,$I2))</f>
        <v/>
      </c>
      <c r="I331" s="136">
        <f>LET(_xlpm.r,Productos!$E$2:$E$1063,_xlpm.m,IFERROR(_xlfn.XMATCH(C331,_xlpm.r),IFERROR(_xlfn.XMATCH(VALUE(C331),_xlpm.r),0)),IF(_xlpm.m=0,"",_xlpm.m+1))</f>
        <v/>
      </c>
      <c r="J331" s="137" t="inlineStr">
        <is>
          <t>Odoo</t>
        </is>
      </c>
    </row>
    <row r="332">
      <c r="A332" s="5" t="inlineStr">
        <is>
          <t>Odoo Universal Unique Brands › Bodega 25 › Bodega 25/General</t>
        </is>
      </c>
      <c r="B332" s="5">
        <f>IF($I2="","",INDEX(Productos!$A:$A,$I2))</f>
        <v/>
      </c>
      <c r="C332" s="134" t="inlineStr">
        <is>
          <t>1261-1085-10049</t>
        </is>
      </c>
      <c r="D332" s="5">
        <f>IF($I2="","",INDEX(Productos!$B:$B,$I2))</f>
        <v/>
      </c>
      <c r="E332" s="5">
        <f>IF($I2="","",INDEX(Productos!$H:$H,$I2))</f>
        <v/>
      </c>
      <c r="F332" s="5">
        <f>IF($I2="","",INDEX(Productos!$I:$I,$I2))</f>
        <v/>
      </c>
      <c r="G332" s="135" t="n">
        <v>87</v>
      </c>
      <c r="H332" s="5">
        <f>IF($I2="","",INDEX(Productos!$AG:$AG,$I2))</f>
        <v/>
      </c>
      <c r="I332" s="136">
        <f>LET(_xlpm.r,Productos!$E$2:$E$1063,_xlpm.m,IFERROR(_xlfn.XMATCH(C332,_xlpm.r),IFERROR(_xlfn.XMATCH(VALUE(C332),_xlpm.r),0)),IF(_xlpm.m=0,"",_xlpm.m+1))</f>
        <v/>
      </c>
      <c r="J332" s="137" t="inlineStr">
        <is>
          <t>Odoo</t>
        </is>
      </c>
    </row>
    <row r="333">
      <c r="A333" s="5" t="inlineStr">
        <is>
          <t>Odoo Universal Unique Brands › Bodega 25 › Bodega 25/General</t>
        </is>
      </c>
      <c r="B333" s="5">
        <f>IF($I2="","",INDEX(Productos!$A:$A,$I2))</f>
        <v/>
      </c>
      <c r="C333" s="134" t="inlineStr">
        <is>
          <t>1261-1085-10050</t>
        </is>
      </c>
      <c r="D333" s="5">
        <f>IF($I2="","",INDEX(Productos!$B:$B,$I2))</f>
        <v/>
      </c>
      <c r="E333" s="5">
        <f>IF($I2="","",INDEX(Productos!$H:$H,$I2))</f>
        <v/>
      </c>
      <c r="F333" s="5">
        <f>IF($I2="","",INDEX(Productos!$I:$I,$I2))</f>
        <v/>
      </c>
      <c r="G333" s="135" t="n">
        <v>84</v>
      </c>
      <c r="H333" s="5">
        <f>IF($I2="","",INDEX(Productos!$AG:$AG,$I2))</f>
        <v/>
      </c>
      <c r="I333" s="136">
        <f>LET(_xlpm.r,Productos!$E$2:$E$1063,_xlpm.m,IFERROR(_xlfn.XMATCH(C333,_xlpm.r),IFERROR(_xlfn.XMATCH(VALUE(C333),_xlpm.r),0)),IF(_xlpm.m=0,"",_xlpm.m+1))</f>
        <v/>
      </c>
      <c r="J333" s="137" t="inlineStr">
        <is>
          <t>Odoo</t>
        </is>
      </c>
    </row>
    <row r="334">
      <c r="A334" s="5" t="inlineStr">
        <is>
          <t>Odoo Universal Unique Brands › Bodega 25 › Bodega 25/General</t>
        </is>
      </c>
      <c r="B334" s="5">
        <f>IF($I2="","",INDEX(Productos!$A:$A,$I2))</f>
        <v/>
      </c>
      <c r="C334" s="134" t="inlineStr">
        <is>
          <t>1261-1085-10051</t>
        </is>
      </c>
      <c r="D334" s="5">
        <f>IF($I2="","",INDEX(Productos!$B:$B,$I2))</f>
        <v/>
      </c>
      <c r="E334" s="5">
        <f>IF($I2="","",INDEX(Productos!$H:$H,$I2))</f>
        <v/>
      </c>
      <c r="F334" s="5">
        <f>IF($I2="","",INDEX(Productos!$I:$I,$I2))</f>
        <v/>
      </c>
      <c r="G334" s="135" t="n">
        <v>172</v>
      </c>
      <c r="H334" s="5">
        <f>IF($I2="","",INDEX(Productos!$AG:$AG,$I2))</f>
        <v/>
      </c>
      <c r="I334" s="136">
        <f>LET(_xlpm.r,Productos!$E$2:$E$1063,_xlpm.m,IFERROR(_xlfn.XMATCH(C334,_xlpm.r),IFERROR(_xlfn.XMATCH(VALUE(C334),_xlpm.r),0)),IF(_xlpm.m=0,"",_xlpm.m+1))</f>
        <v/>
      </c>
      <c r="J334" s="137" t="inlineStr">
        <is>
          <t>Odoo</t>
        </is>
      </c>
    </row>
    <row r="335">
      <c r="A335" s="5" t="inlineStr">
        <is>
          <t>Odoo Universal Unique Brands › Bodega 25 › Bodega 25/General</t>
        </is>
      </c>
      <c r="B335" s="5">
        <f>IF($I2="","",INDEX(Productos!$A:$A,$I2))</f>
        <v/>
      </c>
      <c r="C335" s="134" t="inlineStr">
        <is>
          <t>1261-1085-10052</t>
        </is>
      </c>
      <c r="D335" s="5">
        <f>IF($I2="","",INDEX(Productos!$B:$B,$I2))</f>
        <v/>
      </c>
      <c r="E335" s="5">
        <f>IF($I2="","",INDEX(Productos!$H:$H,$I2))</f>
        <v/>
      </c>
      <c r="F335" s="5">
        <f>IF($I2="","",INDEX(Productos!$I:$I,$I2))</f>
        <v/>
      </c>
      <c r="G335" s="135" t="n">
        <v>122</v>
      </c>
      <c r="H335" s="5">
        <f>IF($I2="","",INDEX(Productos!$AG:$AG,$I2))</f>
        <v/>
      </c>
      <c r="I335" s="136">
        <f>LET(_xlpm.r,Productos!$E$2:$E$1063,_xlpm.m,IFERROR(_xlfn.XMATCH(C335,_xlpm.r),IFERROR(_xlfn.XMATCH(VALUE(C335),_xlpm.r),0)),IF(_xlpm.m=0,"",_xlpm.m+1))</f>
        <v/>
      </c>
      <c r="J335" s="137" t="inlineStr">
        <is>
          <t>Odoo</t>
        </is>
      </c>
    </row>
    <row r="336">
      <c r="A336" s="5" t="inlineStr">
        <is>
          <t>Odoo Universal Unique Brands › Bodega 25 › Bodega 25/General</t>
        </is>
      </c>
      <c r="B336" s="5">
        <f>IF($I2="","",INDEX(Productos!$A:$A,$I2))</f>
        <v/>
      </c>
      <c r="C336" s="134" t="inlineStr">
        <is>
          <t>1261-1085-10053</t>
        </is>
      </c>
      <c r="D336" s="5">
        <f>IF($I2="","",INDEX(Productos!$B:$B,$I2))</f>
        <v/>
      </c>
      <c r="E336" s="5">
        <f>IF($I2="","",INDEX(Productos!$H:$H,$I2))</f>
        <v/>
      </c>
      <c r="F336" s="5">
        <f>IF($I2="","",INDEX(Productos!$I:$I,$I2))</f>
        <v/>
      </c>
      <c r="G336" s="135" t="n">
        <v>213</v>
      </c>
      <c r="H336" s="5">
        <f>IF($I2="","",INDEX(Productos!$AG:$AG,$I2))</f>
        <v/>
      </c>
      <c r="I336" s="136">
        <f>LET(_xlpm.r,Productos!$E$2:$E$1063,_xlpm.m,IFERROR(_xlfn.XMATCH(C336,_xlpm.r),IFERROR(_xlfn.XMATCH(VALUE(C336),_xlpm.r),0)),IF(_xlpm.m=0,"",_xlpm.m+1))</f>
        <v/>
      </c>
      <c r="J336" s="137" t="inlineStr">
        <is>
          <t>Odoo</t>
        </is>
      </c>
    </row>
    <row r="337">
      <c r="A337" s="5" t="inlineStr">
        <is>
          <t>Odoo Universal Unique Brands › Bodega 25 › Bodega 25/General</t>
        </is>
      </c>
      <c r="B337" s="5">
        <f>IF($I2="","",INDEX(Productos!$A:$A,$I2))</f>
        <v/>
      </c>
      <c r="C337" s="134" t="inlineStr">
        <is>
          <t>1261-1085-10054</t>
        </is>
      </c>
      <c r="D337" s="5">
        <f>IF($I2="","",INDEX(Productos!$B:$B,$I2))</f>
        <v/>
      </c>
      <c r="E337" s="5">
        <f>IF($I2="","",INDEX(Productos!$H:$H,$I2))</f>
        <v/>
      </c>
      <c r="F337" s="5">
        <f>IF($I2="","",INDEX(Productos!$I:$I,$I2))</f>
        <v/>
      </c>
      <c r="G337" s="135" t="n">
        <v>300</v>
      </c>
      <c r="H337" s="5">
        <f>IF($I2="","",INDEX(Productos!$AG:$AG,$I2))</f>
        <v/>
      </c>
      <c r="I337" s="136">
        <f>LET(_xlpm.r,Productos!$E$2:$E$1063,_xlpm.m,IFERROR(_xlfn.XMATCH(C337,_xlpm.r),IFERROR(_xlfn.XMATCH(VALUE(C337),_xlpm.r),0)),IF(_xlpm.m=0,"",_xlpm.m+1))</f>
        <v/>
      </c>
      <c r="J337" s="137" t="inlineStr">
        <is>
          <t>Odoo</t>
        </is>
      </c>
    </row>
    <row r="338">
      <c r="A338" s="5" t="inlineStr">
        <is>
          <t>Odoo Universal Unique Brands › Bodega 25 › Bodega 25/General</t>
        </is>
      </c>
      <c r="B338" s="5">
        <f>IF($I2="","",INDEX(Productos!$A:$A,$I2))</f>
        <v/>
      </c>
      <c r="C338" s="134" t="inlineStr">
        <is>
          <t>1261-1085-10055</t>
        </is>
      </c>
      <c r="D338" s="5">
        <f>IF($I2="","",INDEX(Productos!$B:$B,$I2))</f>
        <v/>
      </c>
      <c r="E338" s="5">
        <f>IF($I2="","",INDEX(Productos!$H:$H,$I2))</f>
        <v/>
      </c>
      <c r="F338" s="5">
        <f>IF($I2="","",INDEX(Productos!$I:$I,$I2))</f>
        <v/>
      </c>
      <c r="G338" s="135" t="n">
        <v>260</v>
      </c>
      <c r="H338" s="5">
        <f>IF($I2="","",INDEX(Productos!$AG:$AG,$I2))</f>
        <v/>
      </c>
      <c r="I338" s="136">
        <f>LET(_xlpm.r,Productos!$E$2:$E$1063,_xlpm.m,IFERROR(_xlfn.XMATCH(C338,_xlpm.r),IFERROR(_xlfn.XMATCH(VALUE(C338),_xlpm.r),0)),IF(_xlpm.m=0,"",_xlpm.m+1))</f>
        <v/>
      </c>
      <c r="J338" s="137" t="inlineStr">
        <is>
          <t>Odoo</t>
        </is>
      </c>
    </row>
    <row r="339">
      <c r="A339" s="5" t="inlineStr">
        <is>
          <t>Odoo Universal Unique Brands › Bodega 25 › Bodega 25/General</t>
        </is>
      </c>
      <c r="B339" s="5">
        <f>IF($I2="","",INDEX(Productos!$A:$A,$I2))</f>
        <v/>
      </c>
      <c r="C339" s="134" t="inlineStr">
        <is>
          <t>1261-1085-10056</t>
        </is>
      </c>
      <c r="D339" s="5">
        <f>IF($I2="","",INDEX(Productos!$B:$B,$I2))</f>
        <v/>
      </c>
      <c r="E339" s="5">
        <f>IF($I2="","",INDEX(Productos!$H:$H,$I2))</f>
        <v/>
      </c>
      <c r="F339" s="5">
        <f>IF($I2="","",INDEX(Productos!$I:$I,$I2))</f>
        <v/>
      </c>
      <c r="G339" s="135" t="n">
        <v>63</v>
      </c>
      <c r="H339" s="5">
        <f>IF($I2="","",INDEX(Productos!$AG:$AG,$I2))</f>
        <v/>
      </c>
      <c r="I339" s="136">
        <f>LET(_xlpm.r,Productos!$E$2:$E$1063,_xlpm.m,IFERROR(_xlfn.XMATCH(C339,_xlpm.r),IFERROR(_xlfn.XMATCH(VALUE(C339),_xlpm.r),0)),IF(_xlpm.m=0,"",_xlpm.m+1))</f>
        <v/>
      </c>
      <c r="J339" s="137" t="inlineStr">
        <is>
          <t>Odoo</t>
        </is>
      </c>
    </row>
    <row r="340">
      <c r="A340" s="5" t="inlineStr">
        <is>
          <t>Odoo Universal Unique Brands › Bodega 25 › Bodega 25/General</t>
        </is>
      </c>
      <c r="B340" s="5">
        <f>IF($I2="","",INDEX(Productos!$A:$A,$I2))</f>
        <v/>
      </c>
      <c r="C340" s="134" t="inlineStr">
        <is>
          <t>C47565-27-L</t>
        </is>
      </c>
      <c r="D340" s="5">
        <f>IF($I2="","",INDEX(Productos!$B:$B,$I2))</f>
        <v/>
      </c>
      <c r="E340" s="5">
        <f>IF($I2="","",INDEX(Productos!$H:$H,$I2))</f>
        <v/>
      </c>
      <c r="F340" s="5">
        <f>IF($I2="","",INDEX(Productos!$I:$I,$I2))</f>
        <v/>
      </c>
      <c r="G340" s="135" t="n">
        <v>18</v>
      </c>
      <c r="H340" s="5">
        <f>IF($I2="","",INDEX(Productos!$AG:$AG,$I2))</f>
        <v/>
      </c>
      <c r="I340" s="136">
        <f>LET(_xlpm.r,Productos!$E$2:$E$1063,_xlpm.m,IFERROR(_xlfn.XMATCH(C340,_xlpm.r),IFERROR(_xlfn.XMATCH(VALUE(C340),_xlpm.r),0)),IF(_xlpm.m=0,"",_xlpm.m+1))</f>
        <v/>
      </c>
      <c r="J340" s="137" t="inlineStr">
        <is>
          <t>Odoo</t>
        </is>
      </c>
    </row>
    <row r="341">
      <c r="A341" s="5" t="inlineStr">
        <is>
          <t>Odoo Universal Unique Brands › Bodega 25 › Bodega 25/General</t>
        </is>
      </c>
      <c r="B341" s="5">
        <f>IF($I2="","",INDEX(Productos!$A:$A,$I2))</f>
        <v/>
      </c>
      <c r="C341" s="134" t="inlineStr">
        <is>
          <t>C47565-27-M</t>
        </is>
      </c>
      <c r="D341" s="5">
        <f>IF($I2="","",INDEX(Productos!$B:$B,$I2))</f>
        <v/>
      </c>
      <c r="E341" s="5">
        <f>IF($I2="","",INDEX(Productos!$H:$H,$I2))</f>
        <v/>
      </c>
      <c r="F341" s="5">
        <f>IF($I2="","",INDEX(Productos!$I:$I,$I2))</f>
        <v/>
      </c>
      <c r="G341" s="135" t="n">
        <v>31</v>
      </c>
      <c r="H341" s="5">
        <f>IF($I2="","",INDEX(Productos!$AG:$AG,$I2))</f>
        <v/>
      </c>
      <c r="I341" s="136">
        <f>LET(_xlpm.r,Productos!$E$2:$E$1063,_xlpm.m,IFERROR(_xlfn.XMATCH(C341,_xlpm.r),IFERROR(_xlfn.XMATCH(VALUE(C341),_xlpm.r),0)),IF(_xlpm.m=0,"",_xlpm.m+1))</f>
        <v/>
      </c>
      <c r="J341" s="137" t="inlineStr">
        <is>
          <t>Odoo</t>
        </is>
      </c>
    </row>
    <row r="342">
      <c r="A342" s="5" t="inlineStr">
        <is>
          <t>Odoo Universal Unique Brands › Bodega 25 › Bodega 25/General</t>
        </is>
      </c>
      <c r="B342" s="5">
        <f>IF($I2="","",INDEX(Productos!$A:$A,$I2))</f>
        <v/>
      </c>
      <c r="C342" s="134" t="inlineStr">
        <is>
          <t>C47565-27-S</t>
        </is>
      </c>
      <c r="D342" s="5">
        <f>IF($I2="","",INDEX(Productos!$B:$B,$I2))</f>
        <v/>
      </c>
      <c r="E342" s="5">
        <f>IF($I2="","",INDEX(Productos!$H:$H,$I2))</f>
        <v/>
      </c>
      <c r="F342" s="5">
        <f>IF($I2="","",INDEX(Productos!$I:$I,$I2))</f>
        <v/>
      </c>
      <c r="G342" s="135" t="n">
        <v>20</v>
      </c>
      <c r="H342" s="5">
        <f>IF($I2="","",INDEX(Productos!$AG:$AG,$I2))</f>
        <v/>
      </c>
      <c r="I342" s="136">
        <f>LET(_xlpm.r,Productos!$E$2:$E$1063,_xlpm.m,IFERROR(_xlfn.XMATCH(C342,_xlpm.r),IFERROR(_xlfn.XMATCH(VALUE(C342),_xlpm.r),0)),IF(_xlpm.m=0,"",_xlpm.m+1))</f>
        <v/>
      </c>
      <c r="J342" s="137" t="inlineStr">
        <is>
          <t>Odoo</t>
        </is>
      </c>
    </row>
    <row r="343">
      <c r="A343" s="5" t="inlineStr">
        <is>
          <t>Odoo Universal Unique Brands › Bodega 25 › Bodega 25/General</t>
        </is>
      </c>
      <c r="B343" s="5">
        <f>IF($I2="","",INDEX(Productos!$A:$A,$I2))</f>
        <v/>
      </c>
      <c r="C343" s="134" t="inlineStr">
        <is>
          <t>C47565-27-XL</t>
        </is>
      </c>
      <c r="D343" s="5">
        <f>IF($I2="","",INDEX(Productos!$B:$B,$I2))</f>
        <v/>
      </c>
      <c r="E343" s="5">
        <f>IF($I2="","",INDEX(Productos!$H:$H,$I2))</f>
        <v/>
      </c>
      <c r="F343" s="5">
        <f>IF($I2="","",INDEX(Productos!$I:$I,$I2))</f>
        <v/>
      </c>
      <c r="G343" s="135" t="n">
        <v>14</v>
      </c>
      <c r="H343" s="5">
        <f>IF($I2="","",INDEX(Productos!$AG:$AG,$I2))</f>
        <v/>
      </c>
      <c r="I343" s="136">
        <f>LET(_xlpm.r,Productos!$E$2:$E$1063,_xlpm.m,IFERROR(_xlfn.XMATCH(C343,_xlpm.r),IFERROR(_xlfn.XMATCH(VALUE(C343),_xlpm.r),0)),IF(_xlpm.m=0,"",_xlpm.m+1))</f>
        <v/>
      </c>
      <c r="J343" s="137" t="inlineStr">
        <is>
          <t>Odoo</t>
        </is>
      </c>
    </row>
    <row r="344">
      <c r="A344" s="5" t="inlineStr">
        <is>
          <t>Odoo Universal Unique Brands › Bodega 25 › Bodega 25/General</t>
        </is>
      </c>
      <c r="B344" s="5">
        <f>IF($I2="","",INDEX(Productos!$A:$A,$I2))</f>
        <v/>
      </c>
      <c r="C344" s="134" t="inlineStr">
        <is>
          <t>C47572-27-32</t>
        </is>
      </c>
      <c r="D344" s="5">
        <f>IF($I2="","",INDEX(Productos!$B:$B,$I2))</f>
        <v/>
      </c>
      <c r="E344" s="5">
        <f>IF($I2="","",INDEX(Productos!$H:$H,$I2))</f>
        <v/>
      </c>
      <c r="F344" s="5">
        <f>IF($I2="","",INDEX(Productos!$I:$I,$I2))</f>
        <v/>
      </c>
      <c r="G344" s="135" t="n">
        <v>5</v>
      </c>
      <c r="H344" s="5">
        <f>IF($I2="","",INDEX(Productos!$AG:$AG,$I2))</f>
        <v/>
      </c>
      <c r="I344" s="136">
        <f>LET(_xlpm.r,Productos!$E$2:$E$1063,_xlpm.m,IFERROR(_xlfn.XMATCH(C344,_xlpm.r),IFERROR(_xlfn.XMATCH(VALUE(C344),_xlpm.r),0)),IF(_xlpm.m=0,"",_xlpm.m+1))</f>
        <v/>
      </c>
      <c r="J344" s="137" t="inlineStr">
        <is>
          <t>Odoo</t>
        </is>
      </c>
    </row>
    <row r="345">
      <c r="A345" s="5" t="inlineStr">
        <is>
          <t>Odoo Universal Unique Brands › Bodega 25 › Bodega 25/General</t>
        </is>
      </c>
      <c r="B345" s="5">
        <f>IF($I2="","",INDEX(Productos!$A:$A,$I2))</f>
        <v/>
      </c>
      <c r="C345" s="134" t="inlineStr">
        <is>
          <t>C47572-27-34</t>
        </is>
      </c>
      <c r="D345" s="5">
        <f>IF($I2="","",INDEX(Productos!$B:$B,$I2))</f>
        <v/>
      </c>
      <c r="E345" s="5">
        <f>IF($I2="","",INDEX(Productos!$H:$H,$I2))</f>
        <v/>
      </c>
      <c r="F345" s="5">
        <f>IF($I2="","",INDEX(Productos!$I:$I,$I2))</f>
        <v/>
      </c>
      <c r="G345" s="135" t="n">
        <v>9</v>
      </c>
      <c r="H345" s="5">
        <f>IF($I2="","",INDEX(Productos!$AG:$AG,$I2))</f>
        <v/>
      </c>
      <c r="I345" s="136">
        <f>LET(_xlpm.r,Productos!$E$2:$E$1063,_xlpm.m,IFERROR(_xlfn.XMATCH(C345,_xlpm.r),IFERROR(_xlfn.XMATCH(VALUE(C345),_xlpm.r),0)),IF(_xlpm.m=0,"",_xlpm.m+1))</f>
        <v/>
      </c>
      <c r="J345" s="137" t="inlineStr">
        <is>
          <t>Odoo</t>
        </is>
      </c>
    </row>
    <row r="346">
      <c r="A346" s="5" t="inlineStr">
        <is>
          <t>Odoo Universal Unique Brands › Bodega 25 › Bodega 25/General</t>
        </is>
      </c>
      <c r="B346" s="5">
        <f>IF($I2="","",INDEX(Productos!$A:$A,$I2))</f>
        <v/>
      </c>
      <c r="C346" s="134" t="inlineStr">
        <is>
          <t>C47572-27-36</t>
        </is>
      </c>
      <c r="D346" s="5">
        <f>IF($I2="","",INDEX(Productos!$B:$B,$I2))</f>
        <v/>
      </c>
      <c r="E346" s="5">
        <f>IF($I2="","",INDEX(Productos!$H:$H,$I2))</f>
        <v/>
      </c>
      <c r="F346" s="5">
        <f>IF($I2="","",INDEX(Productos!$I:$I,$I2))</f>
        <v/>
      </c>
      <c r="G346" s="135" t="n">
        <v>9</v>
      </c>
      <c r="H346" s="5">
        <f>IF($I2="","",INDEX(Productos!$AG:$AG,$I2))</f>
        <v/>
      </c>
      <c r="I346" s="136">
        <f>LET(_xlpm.r,Productos!$E$2:$E$1063,_xlpm.m,IFERROR(_xlfn.XMATCH(C346,_xlpm.r),IFERROR(_xlfn.XMATCH(VALUE(C346),_xlpm.r),0)),IF(_xlpm.m=0,"",_xlpm.m+1))</f>
        <v/>
      </c>
      <c r="J346" s="137" t="inlineStr">
        <is>
          <t>Odoo</t>
        </is>
      </c>
    </row>
    <row r="347">
      <c r="A347" s="5" t="inlineStr">
        <is>
          <t>Odoo Universal Unique Brands › Bodega 25 › Bodega 25/General</t>
        </is>
      </c>
      <c r="B347" s="5">
        <f>IF($I2="","",INDEX(Productos!$A:$A,$I2))</f>
        <v/>
      </c>
      <c r="C347" s="134" t="inlineStr">
        <is>
          <t>C47572-27-38</t>
        </is>
      </c>
      <c r="D347" s="5">
        <f>IF($I2="","",INDEX(Productos!$B:$B,$I2))</f>
        <v/>
      </c>
      <c r="E347" s="5">
        <f>IF($I2="","",INDEX(Productos!$H:$H,$I2))</f>
        <v/>
      </c>
      <c r="F347" s="5">
        <f>IF($I2="","",INDEX(Productos!$I:$I,$I2))</f>
        <v/>
      </c>
      <c r="G347" s="135" t="n">
        <v>13</v>
      </c>
      <c r="H347" s="5">
        <f>IF($I2="","",INDEX(Productos!$AG:$AG,$I2))</f>
        <v/>
      </c>
      <c r="I347" s="136">
        <f>LET(_xlpm.r,Productos!$E$2:$E$1063,_xlpm.m,IFERROR(_xlfn.XMATCH(C347,_xlpm.r),IFERROR(_xlfn.XMATCH(VALUE(C347),_xlpm.r),0)),IF(_xlpm.m=0,"",_xlpm.m+1))</f>
        <v/>
      </c>
      <c r="J347" s="137" t="inlineStr">
        <is>
          <t>Odoo</t>
        </is>
      </c>
    </row>
    <row r="348">
      <c r="A348" s="5" t="inlineStr">
        <is>
          <t>Odoo Universal Unique Brands › Bodega 25 › Bodega 25/General</t>
        </is>
      </c>
      <c r="B348" s="5">
        <f>IF($I2="","",INDEX(Productos!$A:$A,$I2))</f>
        <v/>
      </c>
      <c r="C348" s="134" t="inlineStr">
        <is>
          <t>C47572-27-40</t>
        </is>
      </c>
      <c r="D348" s="5">
        <f>IF($I2="","",INDEX(Productos!$B:$B,$I2))</f>
        <v/>
      </c>
      <c r="E348" s="5">
        <f>IF($I2="","",INDEX(Productos!$H:$H,$I2))</f>
        <v/>
      </c>
      <c r="F348" s="5">
        <f>IF($I2="","",INDEX(Productos!$I:$I,$I2))</f>
        <v/>
      </c>
      <c r="G348" s="135" t="n">
        <v>19</v>
      </c>
      <c r="H348" s="5">
        <f>IF($I2="","",INDEX(Productos!$AG:$AG,$I2))</f>
        <v/>
      </c>
      <c r="I348" s="136">
        <f>LET(_xlpm.r,Productos!$E$2:$E$1063,_xlpm.m,IFERROR(_xlfn.XMATCH(C348,_xlpm.r),IFERROR(_xlfn.XMATCH(VALUE(C348),_xlpm.r),0)),IF(_xlpm.m=0,"",_xlpm.m+1))</f>
        <v/>
      </c>
      <c r="J348" s="137" t="inlineStr">
        <is>
          <t>Odoo</t>
        </is>
      </c>
    </row>
    <row r="349">
      <c r="A349" s="5" t="inlineStr">
        <is>
          <t>Odoo Universal Unique Brands › Bodega 25 › Bodega 25/General</t>
        </is>
      </c>
      <c r="B349" s="5">
        <f>IF($I2="","",INDEX(Productos!$A:$A,$I2))</f>
        <v/>
      </c>
      <c r="C349" s="134" t="inlineStr">
        <is>
          <t>C47572-27-42</t>
        </is>
      </c>
      <c r="D349" s="5">
        <f>IF($I2="","",INDEX(Productos!$B:$B,$I2))</f>
        <v/>
      </c>
      <c r="E349" s="5">
        <f>IF($I2="","",INDEX(Productos!$H:$H,$I2))</f>
        <v/>
      </c>
      <c r="F349" s="5">
        <f>IF($I2="","",INDEX(Productos!$I:$I,$I2))</f>
        <v/>
      </c>
      <c r="G349" s="135" t="n">
        <v>17</v>
      </c>
      <c r="H349" s="5">
        <f>IF($I2="","",INDEX(Productos!$AG:$AG,$I2))</f>
        <v/>
      </c>
      <c r="I349" s="136">
        <f>LET(_xlpm.r,Productos!$E$2:$E$1063,_xlpm.m,IFERROR(_xlfn.XMATCH(C349,_xlpm.r),IFERROR(_xlfn.XMATCH(VALUE(C349),_xlpm.r),0)),IF(_xlpm.m=0,"",_xlpm.m+1))</f>
        <v/>
      </c>
      <c r="J349" s="137" t="inlineStr">
        <is>
          <t>Odoo</t>
        </is>
      </c>
    </row>
    <row r="350">
      <c r="A350" s="5" t="inlineStr">
        <is>
          <t>Odoo Universal Unique Brands › Bodega 25 › Bodega 25/General</t>
        </is>
      </c>
      <c r="B350" s="5">
        <f>IF($I2="","",INDEX(Productos!$A:$A,$I2))</f>
        <v/>
      </c>
      <c r="C350" s="134" t="inlineStr">
        <is>
          <t>C47572-27-44</t>
        </is>
      </c>
      <c r="D350" s="5">
        <f>IF($I2="","",INDEX(Productos!$B:$B,$I2))</f>
        <v/>
      </c>
      <c r="E350" s="5">
        <f>IF($I2="","",INDEX(Productos!$H:$H,$I2))</f>
        <v/>
      </c>
      <c r="F350" s="5">
        <f>IF($I2="","",INDEX(Productos!$I:$I,$I2))</f>
        <v/>
      </c>
      <c r="G350" s="135" t="n">
        <v>15</v>
      </c>
      <c r="H350" s="5">
        <f>IF($I2="","",INDEX(Productos!$AG:$AG,$I2))</f>
        <v/>
      </c>
      <c r="I350" s="136">
        <f>LET(_xlpm.r,Productos!$E$2:$E$1063,_xlpm.m,IFERROR(_xlfn.XMATCH(C350,_xlpm.r),IFERROR(_xlfn.XMATCH(VALUE(C350),_xlpm.r),0)),IF(_xlpm.m=0,"",_xlpm.m+1))</f>
        <v/>
      </c>
      <c r="J350" s="137" t="inlineStr">
        <is>
          <t>Odoo</t>
        </is>
      </c>
    </row>
    <row r="351">
      <c r="A351" s="5" t="inlineStr">
        <is>
          <t>Odoo Universal Unique Brands › Bodega 25 › Bodega 25/General</t>
        </is>
      </c>
      <c r="B351" s="5">
        <f>IF($I2="","",INDEX(Productos!$A:$A,$I2))</f>
        <v/>
      </c>
      <c r="C351" s="134" t="inlineStr">
        <is>
          <t>C47574-26-L</t>
        </is>
      </c>
      <c r="D351" s="5">
        <f>IF($I2="","",INDEX(Productos!$B:$B,$I2))</f>
        <v/>
      </c>
      <c r="E351" s="5">
        <f>IF($I2="","",INDEX(Productos!$H:$H,$I2))</f>
        <v/>
      </c>
      <c r="F351" s="5">
        <f>IF($I2="","",INDEX(Productos!$I:$I,$I2))</f>
        <v/>
      </c>
      <c r="G351" s="135" t="n">
        <v>22</v>
      </c>
      <c r="H351" s="5">
        <f>IF($I2="","",INDEX(Productos!$AG:$AG,$I2))</f>
        <v/>
      </c>
      <c r="I351" s="136">
        <f>LET(_xlpm.r,Productos!$E$2:$E$1063,_xlpm.m,IFERROR(_xlfn.XMATCH(C351,_xlpm.r),IFERROR(_xlfn.XMATCH(VALUE(C351),_xlpm.r),0)),IF(_xlpm.m=0,"",_xlpm.m+1))</f>
        <v/>
      </c>
      <c r="J351" s="137" t="inlineStr">
        <is>
          <t>Odoo</t>
        </is>
      </c>
    </row>
    <row r="352">
      <c r="A352" s="5" t="inlineStr">
        <is>
          <t>Odoo Universal Unique Brands › Bodega 25 › Bodega 25/General</t>
        </is>
      </c>
      <c r="B352" s="5">
        <f>IF($I2="","",INDEX(Productos!$A:$A,$I2))</f>
        <v/>
      </c>
      <c r="C352" s="134" t="inlineStr">
        <is>
          <t>C47574-26-M</t>
        </is>
      </c>
      <c r="D352" s="5">
        <f>IF($I2="","",INDEX(Productos!$B:$B,$I2))</f>
        <v/>
      </c>
      <c r="E352" s="5">
        <f>IF($I2="","",INDEX(Productos!$H:$H,$I2))</f>
        <v/>
      </c>
      <c r="F352" s="5">
        <f>IF($I2="","",INDEX(Productos!$I:$I,$I2))</f>
        <v/>
      </c>
      <c r="G352" s="135" t="n">
        <v>33</v>
      </c>
      <c r="H352" s="5">
        <f>IF($I2="","",INDEX(Productos!$AG:$AG,$I2))</f>
        <v/>
      </c>
      <c r="I352" s="136">
        <f>LET(_xlpm.r,Productos!$E$2:$E$1063,_xlpm.m,IFERROR(_xlfn.XMATCH(C352,_xlpm.r),IFERROR(_xlfn.XMATCH(VALUE(C352),_xlpm.r),0)),IF(_xlpm.m=0,"",_xlpm.m+1))</f>
        <v/>
      </c>
      <c r="J352" s="137" t="inlineStr">
        <is>
          <t>Odoo</t>
        </is>
      </c>
    </row>
    <row r="353">
      <c r="A353" s="5" t="inlineStr">
        <is>
          <t>Odoo Universal Unique Brands › Bodega 25 › Bodega 25/General</t>
        </is>
      </c>
      <c r="B353" s="5">
        <f>IF($I2="","",INDEX(Productos!$A:$A,$I2))</f>
        <v/>
      </c>
      <c r="C353" s="134" t="inlineStr">
        <is>
          <t>C47574-26-S</t>
        </is>
      </c>
      <c r="D353" s="5">
        <f>IF($I2="","",INDEX(Productos!$B:$B,$I2))</f>
        <v/>
      </c>
      <c r="E353" s="5">
        <f>IF($I2="","",INDEX(Productos!$H:$H,$I2))</f>
        <v/>
      </c>
      <c r="F353" s="5">
        <f>IF($I2="","",INDEX(Productos!$I:$I,$I2))</f>
        <v/>
      </c>
      <c r="G353" s="135" t="n">
        <v>20</v>
      </c>
      <c r="H353" s="5">
        <f>IF($I2="","",INDEX(Productos!$AG:$AG,$I2))</f>
        <v/>
      </c>
      <c r="I353" s="136">
        <f>LET(_xlpm.r,Productos!$E$2:$E$1063,_xlpm.m,IFERROR(_xlfn.XMATCH(C353,_xlpm.r),IFERROR(_xlfn.XMATCH(VALUE(C353),_xlpm.r),0)),IF(_xlpm.m=0,"",_xlpm.m+1))</f>
        <v/>
      </c>
      <c r="J353" s="137" t="inlineStr">
        <is>
          <t>Odoo</t>
        </is>
      </c>
    </row>
    <row r="354">
      <c r="A354" s="5" t="inlineStr">
        <is>
          <t>Odoo Universal Unique Brands › Bodega 25 › Bodega 25/General</t>
        </is>
      </c>
      <c r="B354" s="5">
        <f>IF($I2="","",INDEX(Productos!$A:$A,$I2))</f>
        <v/>
      </c>
      <c r="C354" s="134" t="inlineStr">
        <is>
          <t>C47574-26-XL</t>
        </is>
      </c>
      <c r="D354" s="5">
        <f>IF($I2="","",INDEX(Productos!$B:$B,$I2))</f>
        <v/>
      </c>
      <c r="E354" s="5">
        <f>IF($I2="","",INDEX(Productos!$H:$H,$I2))</f>
        <v/>
      </c>
      <c r="F354" s="5">
        <f>IF($I2="","",INDEX(Productos!$I:$I,$I2))</f>
        <v/>
      </c>
      <c r="G354" s="135" t="n">
        <v>15</v>
      </c>
      <c r="H354" s="5">
        <f>IF($I2="","",INDEX(Productos!$AG:$AG,$I2))</f>
        <v/>
      </c>
      <c r="I354" s="136">
        <f>LET(_xlpm.r,Productos!$E$2:$E$1063,_xlpm.m,IFERROR(_xlfn.XMATCH(C354,_xlpm.r),IFERROR(_xlfn.XMATCH(VALUE(C354),_xlpm.r),0)),IF(_xlpm.m=0,"",_xlpm.m+1))</f>
        <v/>
      </c>
      <c r="J354" s="137" t="inlineStr">
        <is>
          <t>Odoo</t>
        </is>
      </c>
    </row>
    <row r="355">
      <c r="A355" s="5" t="inlineStr">
        <is>
          <t>Odoo Universal Unique Brands › Bodega 25 › Bodega 25/General</t>
        </is>
      </c>
      <c r="B355" s="5">
        <f>IF($I2="","",INDEX(Productos!$A:$A,$I2))</f>
        <v/>
      </c>
      <c r="C355" s="134" t="inlineStr">
        <is>
          <t>C47574-59-L</t>
        </is>
      </c>
      <c r="D355" s="5">
        <f>IF($I2="","",INDEX(Productos!$B:$B,$I2))</f>
        <v/>
      </c>
      <c r="E355" s="5">
        <f>IF($I2="","",INDEX(Productos!$H:$H,$I2))</f>
        <v/>
      </c>
      <c r="F355" s="5">
        <f>IF($I2="","",INDEX(Productos!$I:$I,$I2))</f>
        <v/>
      </c>
      <c r="G355" s="135" t="n">
        <v>22</v>
      </c>
      <c r="H355" s="5">
        <f>IF($I2="","",INDEX(Productos!$AG:$AG,$I2))</f>
        <v/>
      </c>
      <c r="I355" s="136">
        <f>LET(_xlpm.r,Productos!$E$2:$E$1063,_xlpm.m,IFERROR(_xlfn.XMATCH(C355,_xlpm.r),IFERROR(_xlfn.XMATCH(VALUE(C355),_xlpm.r),0)),IF(_xlpm.m=0,"",_xlpm.m+1))</f>
        <v/>
      </c>
      <c r="J355" s="137" t="inlineStr">
        <is>
          <t>Odoo</t>
        </is>
      </c>
    </row>
    <row r="356">
      <c r="A356" s="5" t="inlineStr">
        <is>
          <t>Odoo Universal Unique Brands › Bodega 25 › Bodega 25/General</t>
        </is>
      </c>
      <c r="B356" s="5">
        <f>IF($I2="","",INDEX(Productos!$A:$A,$I2))</f>
        <v/>
      </c>
      <c r="C356" s="134" t="inlineStr">
        <is>
          <t>C47574-59-M</t>
        </is>
      </c>
      <c r="D356" s="5">
        <f>IF($I2="","",INDEX(Productos!$B:$B,$I2))</f>
        <v/>
      </c>
      <c r="E356" s="5">
        <f>IF($I2="","",INDEX(Productos!$H:$H,$I2))</f>
        <v/>
      </c>
      <c r="F356" s="5">
        <f>IF($I2="","",INDEX(Productos!$I:$I,$I2))</f>
        <v/>
      </c>
      <c r="G356" s="135" t="n">
        <v>33</v>
      </c>
      <c r="H356" s="5">
        <f>IF($I2="","",INDEX(Productos!$AG:$AG,$I2))</f>
        <v/>
      </c>
      <c r="I356" s="136">
        <f>LET(_xlpm.r,Productos!$E$2:$E$1063,_xlpm.m,IFERROR(_xlfn.XMATCH(C356,_xlpm.r),IFERROR(_xlfn.XMATCH(VALUE(C356),_xlpm.r),0)),IF(_xlpm.m=0,"",_xlpm.m+1))</f>
        <v/>
      </c>
      <c r="J356" s="137" t="inlineStr">
        <is>
          <t>Odoo</t>
        </is>
      </c>
    </row>
    <row r="357">
      <c r="A357" s="5" t="inlineStr">
        <is>
          <t>Odoo Universal Unique Brands › Bodega 25 › Bodega 25/General</t>
        </is>
      </c>
      <c r="B357" s="5">
        <f>IF($I2="","",INDEX(Productos!$A:$A,$I2))</f>
        <v/>
      </c>
      <c r="C357" s="134" t="inlineStr">
        <is>
          <t>C47574-59-S</t>
        </is>
      </c>
      <c r="D357" s="5">
        <f>IF($I2="","",INDEX(Productos!$B:$B,$I2))</f>
        <v/>
      </c>
      <c r="E357" s="5">
        <f>IF($I2="","",INDEX(Productos!$H:$H,$I2))</f>
        <v/>
      </c>
      <c r="F357" s="5">
        <f>IF($I2="","",INDEX(Productos!$I:$I,$I2))</f>
        <v/>
      </c>
      <c r="G357" s="135" t="n">
        <v>20</v>
      </c>
      <c r="H357" s="5">
        <f>IF($I2="","",INDEX(Productos!$AG:$AG,$I2))</f>
        <v/>
      </c>
      <c r="I357" s="136">
        <f>LET(_xlpm.r,Productos!$E$2:$E$1063,_xlpm.m,IFERROR(_xlfn.XMATCH(C357,_xlpm.r),IFERROR(_xlfn.XMATCH(VALUE(C357),_xlpm.r),0)),IF(_xlpm.m=0,"",_xlpm.m+1))</f>
        <v/>
      </c>
      <c r="J357" s="137" t="inlineStr">
        <is>
          <t>Odoo</t>
        </is>
      </c>
    </row>
    <row r="358">
      <c r="A358" s="5" t="inlineStr">
        <is>
          <t>Odoo Universal Unique Brands › Bodega 25 › Bodega 25/General</t>
        </is>
      </c>
      <c r="B358" s="5">
        <f>IF($I2="","",INDEX(Productos!$A:$A,$I2))</f>
        <v/>
      </c>
      <c r="C358" s="134" t="inlineStr">
        <is>
          <t>C47574-59-XL</t>
        </is>
      </c>
      <c r="D358" s="5">
        <f>IF($I2="","",INDEX(Productos!$B:$B,$I2))</f>
        <v/>
      </c>
      <c r="E358" s="5">
        <f>IF($I2="","",INDEX(Productos!$H:$H,$I2))</f>
        <v/>
      </c>
      <c r="F358" s="5">
        <f>IF($I2="","",INDEX(Productos!$I:$I,$I2))</f>
        <v/>
      </c>
      <c r="G358" s="135" t="n">
        <v>15</v>
      </c>
      <c r="H358" s="5">
        <f>IF($I2="","",INDEX(Productos!$AG:$AG,$I2))</f>
        <v/>
      </c>
      <c r="I358" s="136">
        <f>LET(_xlpm.r,Productos!$E$2:$E$1063,_xlpm.m,IFERROR(_xlfn.XMATCH(C358,_xlpm.r),IFERROR(_xlfn.XMATCH(VALUE(C358),_xlpm.r),0)),IF(_xlpm.m=0,"",_xlpm.m+1))</f>
        <v/>
      </c>
      <c r="J358" s="137" t="inlineStr">
        <is>
          <t>Odoo</t>
        </is>
      </c>
    </row>
    <row r="359">
      <c r="A359" s="5" t="inlineStr">
        <is>
          <t>Odoo Universal Unique Brands › Bodega 25 › Bodega 25/General</t>
        </is>
      </c>
      <c r="B359" s="5">
        <f>IF($I2="","",INDEX(Productos!$A:$A,$I2))</f>
        <v/>
      </c>
      <c r="C359" s="134" t="inlineStr">
        <is>
          <t>C49628-27-32</t>
        </is>
      </c>
      <c r="D359" s="5">
        <f>IF($I2="","",INDEX(Productos!$B:$B,$I2))</f>
        <v/>
      </c>
      <c r="E359" s="5">
        <f>IF($I2="","",INDEX(Productos!$H:$H,$I2))</f>
        <v/>
      </c>
      <c r="F359" s="5">
        <f>IF($I2="","",INDEX(Productos!$I:$I,$I2))</f>
        <v/>
      </c>
      <c r="G359" s="135" t="n">
        <v>5</v>
      </c>
      <c r="H359" s="5">
        <f>IF($I2="","",INDEX(Productos!$AG:$AG,$I2))</f>
        <v/>
      </c>
      <c r="I359" s="136">
        <f>LET(_xlpm.r,Productos!$E$2:$E$1063,_xlpm.m,IFERROR(_xlfn.XMATCH(C359,_xlpm.r),IFERROR(_xlfn.XMATCH(VALUE(C359),_xlpm.r),0)),IF(_xlpm.m=0,"",_xlpm.m+1))</f>
        <v/>
      </c>
      <c r="J359" s="137" t="inlineStr">
        <is>
          <t>Odoo</t>
        </is>
      </c>
    </row>
    <row r="360">
      <c r="A360" s="5" t="inlineStr">
        <is>
          <t>Odoo Universal Unique Brands › Bodega 25 › Bodega 25/General</t>
        </is>
      </c>
      <c r="B360" s="5">
        <f>IF($I2="","",INDEX(Productos!$A:$A,$I2))</f>
        <v/>
      </c>
      <c r="C360" s="134" t="inlineStr">
        <is>
          <t>C49628-27-34</t>
        </is>
      </c>
      <c r="D360" s="5">
        <f>IF($I2="","",INDEX(Productos!$B:$B,$I2))</f>
        <v/>
      </c>
      <c r="E360" s="5">
        <f>IF($I2="","",INDEX(Productos!$H:$H,$I2))</f>
        <v/>
      </c>
      <c r="F360" s="5">
        <f>IF($I2="","",INDEX(Productos!$I:$I,$I2))</f>
        <v/>
      </c>
      <c r="G360" s="135" t="n">
        <v>10</v>
      </c>
      <c r="H360" s="5">
        <f>IF($I2="","",INDEX(Productos!$AG:$AG,$I2))</f>
        <v/>
      </c>
      <c r="I360" s="136">
        <f>LET(_xlpm.r,Productos!$E$2:$E$1063,_xlpm.m,IFERROR(_xlfn.XMATCH(C360,_xlpm.r),IFERROR(_xlfn.XMATCH(VALUE(C360),_xlpm.r),0)),IF(_xlpm.m=0,"",_xlpm.m+1))</f>
        <v/>
      </c>
      <c r="J360" s="137" t="inlineStr">
        <is>
          <t>Odoo</t>
        </is>
      </c>
    </row>
    <row r="361">
      <c r="A361" s="5" t="inlineStr">
        <is>
          <t>Odoo Universal Unique Brands › Bodega 25 › Bodega 25/General</t>
        </is>
      </c>
      <c r="B361" s="5">
        <f>IF($I2="","",INDEX(Productos!$A:$A,$I2))</f>
        <v/>
      </c>
      <c r="C361" s="134" t="inlineStr">
        <is>
          <t>C49628-27-36</t>
        </is>
      </c>
      <c r="D361" s="5">
        <f>IF($I2="","",INDEX(Productos!$B:$B,$I2))</f>
        <v/>
      </c>
      <c r="E361" s="5">
        <f>IF($I2="","",INDEX(Productos!$H:$H,$I2))</f>
        <v/>
      </c>
      <c r="F361" s="5">
        <f>IF($I2="","",INDEX(Productos!$I:$I,$I2))</f>
        <v/>
      </c>
      <c r="G361" s="135" t="n">
        <v>10</v>
      </c>
      <c r="H361" s="5">
        <f>IF($I2="","",INDEX(Productos!$AG:$AG,$I2))</f>
        <v/>
      </c>
      <c r="I361" s="136">
        <f>LET(_xlpm.r,Productos!$E$2:$E$1063,_xlpm.m,IFERROR(_xlfn.XMATCH(C361,_xlpm.r),IFERROR(_xlfn.XMATCH(VALUE(C361),_xlpm.r),0)),IF(_xlpm.m=0,"",_xlpm.m+1))</f>
        <v/>
      </c>
      <c r="J361" s="137" t="inlineStr">
        <is>
          <t>Odoo</t>
        </is>
      </c>
    </row>
    <row r="362">
      <c r="A362" s="5" t="inlineStr">
        <is>
          <t>Odoo Universal Unique Brands › Bodega 25 › Bodega 25/General</t>
        </is>
      </c>
      <c r="B362" s="5">
        <f>IF($I2="","",INDEX(Productos!$A:$A,$I2))</f>
        <v/>
      </c>
      <c r="C362" s="134" t="inlineStr">
        <is>
          <t>C49628-27-38</t>
        </is>
      </c>
      <c r="D362" s="5">
        <f>IF($I2="","",INDEX(Productos!$B:$B,$I2))</f>
        <v/>
      </c>
      <c r="E362" s="5">
        <f>IF($I2="","",INDEX(Productos!$H:$H,$I2))</f>
        <v/>
      </c>
      <c r="F362" s="5">
        <f>IF($I2="","",INDEX(Productos!$I:$I,$I2))</f>
        <v/>
      </c>
      <c r="G362" s="135" t="n">
        <v>15</v>
      </c>
      <c r="H362" s="5">
        <f>IF($I2="","",INDEX(Productos!$AG:$AG,$I2))</f>
        <v/>
      </c>
      <c r="I362" s="136">
        <f>LET(_xlpm.r,Productos!$E$2:$E$1063,_xlpm.m,IFERROR(_xlfn.XMATCH(C362,_xlpm.r),IFERROR(_xlfn.XMATCH(VALUE(C362),_xlpm.r),0)),IF(_xlpm.m=0,"",_xlpm.m+1))</f>
        <v/>
      </c>
      <c r="J362" s="137" t="inlineStr">
        <is>
          <t>Odoo</t>
        </is>
      </c>
    </row>
    <row r="363">
      <c r="A363" s="5" t="inlineStr">
        <is>
          <t>Odoo Universal Unique Brands › Bodega 25 › Bodega 25/General</t>
        </is>
      </c>
      <c r="B363" s="5">
        <f>IF($I2="","",INDEX(Productos!$A:$A,$I2))</f>
        <v/>
      </c>
      <c r="C363" s="134" t="inlineStr">
        <is>
          <t>C49628-27-40</t>
        </is>
      </c>
      <c r="D363" s="5">
        <f>IF($I2="","",INDEX(Productos!$B:$B,$I2))</f>
        <v/>
      </c>
      <c r="E363" s="5">
        <f>IF($I2="","",INDEX(Productos!$H:$H,$I2))</f>
        <v/>
      </c>
      <c r="F363" s="5">
        <f>IF($I2="","",INDEX(Productos!$I:$I,$I2))</f>
        <v/>
      </c>
      <c r="G363" s="135" t="n">
        <v>22</v>
      </c>
      <c r="H363" s="5">
        <f>IF($I2="","",INDEX(Productos!$AG:$AG,$I2))</f>
        <v/>
      </c>
      <c r="I363" s="136">
        <f>LET(_xlpm.r,Productos!$E$2:$E$1063,_xlpm.m,IFERROR(_xlfn.XMATCH(C363,_xlpm.r),IFERROR(_xlfn.XMATCH(VALUE(C363),_xlpm.r),0)),IF(_xlpm.m=0,"",_xlpm.m+1))</f>
        <v/>
      </c>
      <c r="J363" s="137" t="inlineStr">
        <is>
          <t>Odoo</t>
        </is>
      </c>
    </row>
    <row r="364">
      <c r="A364" s="5" t="inlineStr">
        <is>
          <t>Odoo Universal Unique Brands › Bodega 25 › Bodega 25/General</t>
        </is>
      </c>
      <c r="B364" s="5">
        <f>IF($I2="","",INDEX(Productos!$A:$A,$I2))</f>
        <v/>
      </c>
      <c r="C364" s="134" t="inlineStr">
        <is>
          <t>C49628-27-42</t>
        </is>
      </c>
      <c r="D364" s="5">
        <f>IF($I2="","",INDEX(Productos!$B:$B,$I2))</f>
        <v/>
      </c>
      <c r="E364" s="5">
        <f>IF($I2="","",INDEX(Productos!$H:$H,$I2))</f>
        <v/>
      </c>
      <c r="F364" s="5">
        <f>IF($I2="","",INDEX(Productos!$I:$I,$I2))</f>
        <v/>
      </c>
      <c r="G364" s="135" t="n">
        <v>22</v>
      </c>
      <c r="H364" s="5">
        <f>IF($I2="","",INDEX(Productos!$AG:$AG,$I2))</f>
        <v/>
      </c>
      <c r="I364" s="136">
        <f>LET(_xlpm.r,Productos!$E$2:$E$1063,_xlpm.m,IFERROR(_xlfn.XMATCH(C364,_xlpm.r),IFERROR(_xlfn.XMATCH(VALUE(C364),_xlpm.r),0)),IF(_xlpm.m=0,"",_xlpm.m+1))</f>
        <v/>
      </c>
      <c r="J364" s="137" t="inlineStr">
        <is>
          <t>Odoo</t>
        </is>
      </c>
    </row>
    <row r="365">
      <c r="A365" s="5" t="inlineStr">
        <is>
          <t>Odoo Universal Unique Brands › Bodega 25 › Bodega 25/General</t>
        </is>
      </c>
      <c r="B365" s="5">
        <f>IF($I2="","",INDEX(Productos!$A:$A,$I2))</f>
        <v/>
      </c>
      <c r="C365" s="134" t="inlineStr">
        <is>
          <t>C49628-27-44</t>
        </is>
      </c>
      <c r="D365" s="5">
        <f>IF($I2="","",INDEX(Productos!$B:$B,$I2))</f>
        <v/>
      </c>
      <c r="E365" s="5">
        <f>IF($I2="","",INDEX(Productos!$H:$H,$I2))</f>
        <v/>
      </c>
      <c r="F365" s="5">
        <f>IF($I2="","",INDEX(Productos!$I:$I,$I2))</f>
        <v/>
      </c>
      <c r="G365" s="135" t="n">
        <v>17</v>
      </c>
      <c r="H365" s="5">
        <f>IF($I2="","",INDEX(Productos!$AG:$AG,$I2))</f>
        <v/>
      </c>
      <c r="I365" s="136">
        <f>LET(_xlpm.r,Productos!$E$2:$E$1063,_xlpm.m,IFERROR(_xlfn.XMATCH(C365,_xlpm.r),IFERROR(_xlfn.XMATCH(VALUE(C365),_xlpm.r),0)),IF(_xlpm.m=0,"",_xlpm.m+1))</f>
        <v/>
      </c>
      <c r="J365" s="137" t="inlineStr">
        <is>
          <t>Odoo</t>
        </is>
      </c>
    </row>
    <row r="366">
      <c r="A366" s="5" t="inlineStr">
        <is>
          <t>Odoo Universal Unique Brands › Bodega 25 › Bodega 25/General</t>
        </is>
      </c>
      <c r="B366" s="5">
        <f>IF($I2="","",INDEX(Productos!$A:$A,$I2))</f>
        <v/>
      </c>
      <c r="C366" s="134" t="inlineStr">
        <is>
          <t>C49727-26-32</t>
        </is>
      </c>
      <c r="D366" s="5">
        <f>IF($I2="","",INDEX(Productos!$B:$B,$I2))</f>
        <v/>
      </c>
      <c r="E366" s="5">
        <f>IF($I2="","",INDEX(Productos!$H:$H,$I2))</f>
        <v/>
      </c>
      <c r="F366" s="5">
        <f>IF($I2="","",INDEX(Productos!$I:$I,$I2))</f>
        <v/>
      </c>
      <c r="G366" s="135" t="n">
        <v>1</v>
      </c>
      <c r="H366" s="5">
        <f>IF($I2="","",INDEX(Productos!$AG:$AG,$I2))</f>
        <v/>
      </c>
      <c r="I366" s="136">
        <f>LET(_xlpm.r,Productos!$E$2:$E$1063,_xlpm.m,IFERROR(_xlfn.XMATCH(C366,_xlpm.r),IFERROR(_xlfn.XMATCH(VALUE(C366),_xlpm.r),0)),IF(_xlpm.m=0,"",_xlpm.m+1))</f>
        <v/>
      </c>
      <c r="J366" s="137" t="inlineStr">
        <is>
          <t>Odoo</t>
        </is>
      </c>
    </row>
    <row r="367">
      <c r="A367" s="5" t="inlineStr">
        <is>
          <t>Odoo Universal Unique Brands › Bodega 25 › Bodega 25/General</t>
        </is>
      </c>
      <c r="B367" s="5">
        <f>IF($I2="","",INDEX(Productos!$A:$A,$I2))</f>
        <v/>
      </c>
      <c r="C367" s="134" t="inlineStr">
        <is>
          <t>C49727-26-34</t>
        </is>
      </c>
      <c r="D367" s="5">
        <f>IF($I2="","",INDEX(Productos!$B:$B,$I2))</f>
        <v/>
      </c>
      <c r="E367" s="5">
        <f>IF($I2="","",INDEX(Productos!$H:$H,$I2))</f>
        <v/>
      </c>
      <c r="F367" s="5">
        <f>IF($I2="","",INDEX(Productos!$I:$I,$I2))</f>
        <v/>
      </c>
      <c r="G367" s="135" t="n">
        <v>10</v>
      </c>
      <c r="H367" s="5">
        <f>IF($I2="","",INDEX(Productos!$AG:$AG,$I2))</f>
        <v/>
      </c>
      <c r="I367" s="136">
        <f>LET(_xlpm.r,Productos!$E$2:$E$1063,_xlpm.m,IFERROR(_xlfn.XMATCH(C367,_xlpm.r),IFERROR(_xlfn.XMATCH(VALUE(C367),_xlpm.r),0)),IF(_xlpm.m=0,"",_xlpm.m+1))</f>
        <v/>
      </c>
      <c r="J367" s="137" t="inlineStr">
        <is>
          <t>Odoo</t>
        </is>
      </c>
    </row>
    <row r="368">
      <c r="A368" s="5" t="inlineStr">
        <is>
          <t>Odoo Universal Unique Brands › Bodega 25 › Bodega 25/General</t>
        </is>
      </c>
      <c r="B368" s="5">
        <f>IF($I2="","",INDEX(Productos!$A:$A,$I2))</f>
        <v/>
      </c>
      <c r="C368" s="134" t="inlineStr">
        <is>
          <t>C49727-26-36</t>
        </is>
      </c>
      <c r="D368" s="5">
        <f>IF($I2="","",INDEX(Productos!$B:$B,$I2))</f>
        <v/>
      </c>
      <c r="E368" s="5">
        <f>IF($I2="","",INDEX(Productos!$H:$H,$I2))</f>
        <v/>
      </c>
      <c r="F368" s="5">
        <f>IF($I2="","",INDEX(Productos!$I:$I,$I2))</f>
        <v/>
      </c>
      <c r="G368" s="135" t="n">
        <v>9</v>
      </c>
      <c r="H368" s="5">
        <f>IF($I2="","",INDEX(Productos!$AG:$AG,$I2))</f>
        <v/>
      </c>
      <c r="I368" s="136">
        <f>LET(_xlpm.r,Productos!$E$2:$E$1063,_xlpm.m,IFERROR(_xlfn.XMATCH(C368,_xlpm.r),IFERROR(_xlfn.XMATCH(VALUE(C368),_xlpm.r),0)),IF(_xlpm.m=0,"",_xlpm.m+1))</f>
        <v/>
      </c>
      <c r="J368" s="137" t="inlineStr">
        <is>
          <t>Odoo</t>
        </is>
      </c>
    </row>
    <row r="369">
      <c r="A369" s="5" t="inlineStr">
        <is>
          <t>Odoo Universal Unique Brands › Bodega 25 › Bodega 25/General</t>
        </is>
      </c>
      <c r="B369" s="5">
        <f>IF($I2="","",INDEX(Productos!$A:$A,$I2))</f>
        <v/>
      </c>
      <c r="C369" s="134" t="inlineStr">
        <is>
          <t>C49727-26-38</t>
        </is>
      </c>
      <c r="D369" s="5">
        <f>IF($I2="","",INDEX(Productos!$B:$B,$I2))</f>
        <v/>
      </c>
      <c r="E369" s="5">
        <f>IF($I2="","",INDEX(Productos!$H:$H,$I2))</f>
        <v/>
      </c>
      <c r="F369" s="5">
        <f>IF($I2="","",INDEX(Productos!$I:$I,$I2))</f>
        <v/>
      </c>
      <c r="G369" s="135" t="n">
        <v>14</v>
      </c>
      <c r="H369" s="5">
        <f>IF($I2="","",INDEX(Productos!$AG:$AG,$I2))</f>
        <v/>
      </c>
      <c r="I369" s="136">
        <f>LET(_xlpm.r,Productos!$E$2:$E$1063,_xlpm.m,IFERROR(_xlfn.XMATCH(C369,_xlpm.r),IFERROR(_xlfn.XMATCH(VALUE(C369),_xlpm.r),0)),IF(_xlpm.m=0,"",_xlpm.m+1))</f>
        <v/>
      </c>
      <c r="J369" s="137" t="inlineStr">
        <is>
          <t>Odoo</t>
        </is>
      </c>
    </row>
    <row r="370">
      <c r="A370" s="5" t="inlineStr">
        <is>
          <t>Odoo Universal Unique Brands › Bodega 25 › Bodega 25/General</t>
        </is>
      </c>
      <c r="B370" s="5">
        <f>IF($I2="","",INDEX(Productos!$A:$A,$I2))</f>
        <v/>
      </c>
      <c r="C370" s="134" t="inlineStr">
        <is>
          <t>C49727-26-40</t>
        </is>
      </c>
      <c r="D370" s="5">
        <f>IF($I2="","",INDEX(Productos!$B:$B,$I2))</f>
        <v/>
      </c>
      <c r="E370" s="5">
        <f>IF($I2="","",INDEX(Productos!$H:$H,$I2))</f>
        <v/>
      </c>
      <c r="F370" s="5">
        <f>IF($I2="","",INDEX(Productos!$I:$I,$I2))</f>
        <v/>
      </c>
      <c r="G370" s="135" t="n">
        <v>13</v>
      </c>
      <c r="H370" s="5">
        <f>IF($I2="","",INDEX(Productos!$AG:$AG,$I2))</f>
        <v/>
      </c>
      <c r="I370" s="136">
        <f>LET(_xlpm.r,Productos!$E$2:$E$1063,_xlpm.m,IFERROR(_xlfn.XMATCH(C370,_xlpm.r),IFERROR(_xlfn.XMATCH(VALUE(C370),_xlpm.r),0)),IF(_xlpm.m=0,"",_xlpm.m+1))</f>
        <v/>
      </c>
      <c r="J370" s="137" t="inlineStr">
        <is>
          <t>Odoo</t>
        </is>
      </c>
    </row>
    <row r="371">
      <c r="A371" s="5" t="inlineStr">
        <is>
          <t>Odoo Universal Unique Brands › Bodega 25 › Bodega 25/General</t>
        </is>
      </c>
      <c r="B371" s="5">
        <f>IF($I2="","",INDEX(Productos!$A:$A,$I2))</f>
        <v/>
      </c>
      <c r="C371" s="134" t="inlineStr">
        <is>
          <t>C49727-26-42</t>
        </is>
      </c>
      <c r="D371" s="5">
        <f>IF($I2="","",INDEX(Productos!$B:$B,$I2))</f>
        <v/>
      </c>
      <c r="E371" s="5">
        <f>IF($I2="","",INDEX(Productos!$H:$H,$I2))</f>
        <v/>
      </c>
      <c r="F371" s="5">
        <f>IF($I2="","",INDEX(Productos!$I:$I,$I2))</f>
        <v/>
      </c>
      <c r="G371" s="135" t="n">
        <v>10</v>
      </c>
      <c r="H371" s="5">
        <f>IF($I2="","",INDEX(Productos!$AG:$AG,$I2))</f>
        <v/>
      </c>
      <c r="I371" s="136">
        <f>LET(_xlpm.r,Productos!$E$2:$E$1063,_xlpm.m,IFERROR(_xlfn.XMATCH(C371,_xlpm.r),IFERROR(_xlfn.XMATCH(VALUE(C371),_xlpm.r),0)),IF(_xlpm.m=0,"",_xlpm.m+1))</f>
        <v/>
      </c>
      <c r="J371" s="137" t="inlineStr">
        <is>
          <t>Odoo</t>
        </is>
      </c>
    </row>
    <row r="372">
      <c r="A372" s="5" t="inlineStr">
        <is>
          <t>Odoo Universal Unique Brands › Bodega 25 › Bodega 25/General</t>
        </is>
      </c>
      <c r="B372" s="5">
        <f>IF($I2="","",INDEX(Productos!$A:$A,$I2))</f>
        <v/>
      </c>
      <c r="C372" s="134" t="inlineStr">
        <is>
          <t>C49727-26-44</t>
        </is>
      </c>
      <c r="D372" s="5">
        <f>IF($I2="","",INDEX(Productos!$B:$B,$I2))</f>
        <v/>
      </c>
      <c r="E372" s="5">
        <f>IF($I2="","",INDEX(Productos!$H:$H,$I2))</f>
        <v/>
      </c>
      <c r="F372" s="5">
        <f>IF($I2="","",INDEX(Productos!$I:$I,$I2))</f>
        <v/>
      </c>
      <c r="G372" s="135" t="n">
        <v>11</v>
      </c>
      <c r="H372" s="5">
        <f>IF($I2="","",INDEX(Productos!$AG:$AG,$I2))</f>
        <v/>
      </c>
      <c r="I372" s="136">
        <f>LET(_xlpm.r,Productos!$E$2:$E$1063,_xlpm.m,IFERROR(_xlfn.XMATCH(C372,_xlpm.r),IFERROR(_xlfn.XMATCH(VALUE(C372),_xlpm.r),0)),IF(_xlpm.m=0,"",_xlpm.m+1))</f>
        <v/>
      </c>
      <c r="J372" s="137" t="inlineStr">
        <is>
          <t>Odoo</t>
        </is>
      </c>
    </row>
    <row r="373">
      <c r="A373" s="5" t="inlineStr">
        <is>
          <t>Odoo Universal Unique Brands › Bodega 25 › Bodega 25/General</t>
        </is>
      </c>
      <c r="B373" s="5">
        <f>IF($I2="","",INDEX(Productos!$A:$A,$I2))</f>
        <v/>
      </c>
      <c r="C373" s="134" t="inlineStr">
        <is>
          <t>C49728-27-32</t>
        </is>
      </c>
      <c r="D373" s="5">
        <f>IF($I2="","",INDEX(Productos!$B:$B,$I2))</f>
        <v/>
      </c>
      <c r="E373" s="5">
        <f>IF($I2="","",INDEX(Productos!$H:$H,$I2))</f>
        <v/>
      </c>
      <c r="F373" s="5">
        <f>IF($I2="","",INDEX(Productos!$I:$I,$I2))</f>
        <v/>
      </c>
      <c r="G373" s="135" t="n">
        <v>5</v>
      </c>
      <c r="H373" s="5">
        <f>IF($I2="","",INDEX(Productos!$AG:$AG,$I2))</f>
        <v/>
      </c>
      <c r="I373" s="136">
        <f>LET(_xlpm.r,Productos!$E$2:$E$1063,_xlpm.m,IFERROR(_xlfn.XMATCH(C373,_xlpm.r),IFERROR(_xlfn.XMATCH(VALUE(C373),_xlpm.r),0)),IF(_xlpm.m=0,"",_xlpm.m+1))</f>
        <v/>
      </c>
      <c r="J373" s="137" t="inlineStr">
        <is>
          <t>Odoo</t>
        </is>
      </c>
    </row>
    <row r="374">
      <c r="A374" s="5" t="inlineStr">
        <is>
          <t>Odoo Universal Unique Brands › Bodega 25 › Bodega 25/General</t>
        </is>
      </c>
      <c r="B374" s="5">
        <f>IF($I2="","",INDEX(Productos!$A:$A,$I2))</f>
        <v/>
      </c>
      <c r="C374" s="134" t="inlineStr">
        <is>
          <t>C49728-27-34</t>
        </is>
      </c>
      <c r="D374" s="5">
        <f>IF($I2="","",INDEX(Productos!$B:$B,$I2))</f>
        <v/>
      </c>
      <c r="E374" s="5">
        <f>IF($I2="","",INDEX(Productos!$H:$H,$I2))</f>
        <v/>
      </c>
      <c r="F374" s="5">
        <f>IF($I2="","",INDEX(Productos!$I:$I,$I2))</f>
        <v/>
      </c>
      <c r="G374" s="135" t="n">
        <v>10</v>
      </c>
      <c r="H374" s="5">
        <f>IF($I2="","",INDEX(Productos!$AG:$AG,$I2))</f>
        <v/>
      </c>
      <c r="I374" s="136">
        <f>LET(_xlpm.r,Productos!$E$2:$E$1063,_xlpm.m,IFERROR(_xlfn.XMATCH(C374,_xlpm.r),IFERROR(_xlfn.XMATCH(VALUE(C374),_xlpm.r),0)),IF(_xlpm.m=0,"",_xlpm.m+1))</f>
        <v/>
      </c>
      <c r="J374" s="137" t="inlineStr">
        <is>
          <t>Odoo</t>
        </is>
      </c>
    </row>
    <row r="375">
      <c r="A375" s="5" t="inlineStr">
        <is>
          <t>Odoo Universal Unique Brands › Bodega 25 › Bodega 25/General</t>
        </is>
      </c>
      <c r="B375" s="5">
        <f>IF($I2="","",INDEX(Productos!$A:$A,$I2))</f>
        <v/>
      </c>
      <c r="C375" s="134" t="inlineStr">
        <is>
          <t>C49728-27-36</t>
        </is>
      </c>
      <c r="D375" s="5">
        <f>IF($I2="","",INDEX(Productos!$B:$B,$I2))</f>
        <v/>
      </c>
      <c r="E375" s="5">
        <f>IF($I2="","",INDEX(Productos!$H:$H,$I2))</f>
        <v/>
      </c>
      <c r="F375" s="5">
        <f>IF($I2="","",INDEX(Productos!$I:$I,$I2))</f>
        <v/>
      </c>
      <c r="G375" s="135" t="n">
        <v>10</v>
      </c>
      <c r="H375" s="5">
        <f>IF($I2="","",INDEX(Productos!$AG:$AG,$I2))</f>
        <v/>
      </c>
      <c r="I375" s="136">
        <f>LET(_xlpm.r,Productos!$E$2:$E$1063,_xlpm.m,IFERROR(_xlfn.XMATCH(C375,_xlpm.r),IFERROR(_xlfn.XMATCH(VALUE(C375),_xlpm.r),0)),IF(_xlpm.m=0,"",_xlpm.m+1))</f>
        <v/>
      </c>
      <c r="J375" s="137" t="inlineStr">
        <is>
          <t>Odoo</t>
        </is>
      </c>
    </row>
    <row r="376">
      <c r="A376" s="5" t="inlineStr">
        <is>
          <t>Odoo Universal Unique Brands › Bodega 25 › Bodega 25/General</t>
        </is>
      </c>
      <c r="B376" s="5">
        <f>IF($I2="","",INDEX(Productos!$A:$A,$I2))</f>
        <v/>
      </c>
      <c r="C376" s="134" t="inlineStr">
        <is>
          <t>C49728-27-38</t>
        </is>
      </c>
      <c r="D376" s="5">
        <f>IF($I2="","",INDEX(Productos!$B:$B,$I2))</f>
        <v/>
      </c>
      <c r="E376" s="5">
        <f>IF($I2="","",INDEX(Productos!$H:$H,$I2))</f>
        <v/>
      </c>
      <c r="F376" s="5">
        <f>IF($I2="","",INDEX(Productos!$I:$I,$I2))</f>
        <v/>
      </c>
      <c r="G376" s="135" t="n">
        <v>15</v>
      </c>
      <c r="H376" s="5">
        <f>IF($I2="","",INDEX(Productos!$AG:$AG,$I2))</f>
        <v/>
      </c>
      <c r="I376" s="136">
        <f>LET(_xlpm.r,Productos!$E$2:$E$1063,_xlpm.m,IFERROR(_xlfn.XMATCH(C376,_xlpm.r),IFERROR(_xlfn.XMATCH(VALUE(C376),_xlpm.r),0)),IF(_xlpm.m=0,"",_xlpm.m+1))</f>
        <v/>
      </c>
      <c r="J376" s="137" t="inlineStr">
        <is>
          <t>Odoo</t>
        </is>
      </c>
    </row>
    <row r="377">
      <c r="A377" s="5" t="inlineStr">
        <is>
          <t>Odoo Universal Unique Brands › Bodega 25 › Bodega 25/General</t>
        </is>
      </c>
      <c r="B377" s="5">
        <f>IF($I2="","",INDEX(Productos!$A:$A,$I2))</f>
        <v/>
      </c>
      <c r="C377" s="134" t="inlineStr">
        <is>
          <t>C49728-27-40</t>
        </is>
      </c>
      <c r="D377" s="5">
        <f>IF($I2="","",INDEX(Productos!$B:$B,$I2))</f>
        <v/>
      </c>
      <c r="E377" s="5">
        <f>IF($I2="","",INDEX(Productos!$H:$H,$I2))</f>
        <v/>
      </c>
      <c r="F377" s="5">
        <f>IF($I2="","",INDEX(Productos!$I:$I,$I2))</f>
        <v/>
      </c>
      <c r="G377" s="135" t="n">
        <v>22</v>
      </c>
      <c r="H377" s="5">
        <f>IF($I2="","",INDEX(Productos!$AG:$AG,$I2))</f>
        <v/>
      </c>
      <c r="I377" s="136">
        <f>LET(_xlpm.r,Productos!$E$2:$E$1063,_xlpm.m,IFERROR(_xlfn.XMATCH(C377,_xlpm.r),IFERROR(_xlfn.XMATCH(VALUE(C377),_xlpm.r),0)),IF(_xlpm.m=0,"",_xlpm.m+1))</f>
        <v/>
      </c>
      <c r="J377" s="137" t="inlineStr">
        <is>
          <t>Odoo</t>
        </is>
      </c>
    </row>
    <row r="378">
      <c r="A378" s="5" t="inlineStr">
        <is>
          <t>Odoo Universal Unique Brands › Bodega 25 › Bodega 25/General</t>
        </is>
      </c>
      <c r="B378" s="5">
        <f>IF($I2="","",INDEX(Productos!$A:$A,$I2))</f>
        <v/>
      </c>
      <c r="C378" s="134" t="inlineStr">
        <is>
          <t>C49728-27-42</t>
        </is>
      </c>
      <c r="D378" s="5">
        <f>IF($I2="","",INDEX(Productos!$B:$B,$I2))</f>
        <v/>
      </c>
      <c r="E378" s="5">
        <f>IF($I2="","",INDEX(Productos!$H:$H,$I2))</f>
        <v/>
      </c>
      <c r="F378" s="5">
        <f>IF($I2="","",INDEX(Productos!$I:$I,$I2))</f>
        <v/>
      </c>
      <c r="G378" s="135" t="n">
        <v>22</v>
      </c>
      <c r="H378" s="5">
        <f>IF($I2="","",INDEX(Productos!$AG:$AG,$I2))</f>
        <v/>
      </c>
      <c r="I378" s="136">
        <f>LET(_xlpm.r,Productos!$E$2:$E$1063,_xlpm.m,IFERROR(_xlfn.XMATCH(C378,_xlpm.r),IFERROR(_xlfn.XMATCH(VALUE(C378),_xlpm.r),0)),IF(_xlpm.m=0,"",_xlpm.m+1))</f>
        <v/>
      </c>
      <c r="J378" s="137" t="inlineStr">
        <is>
          <t>Odoo</t>
        </is>
      </c>
    </row>
    <row r="379">
      <c r="A379" s="5" t="inlineStr">
        <is>
          <t>Odoo Universal Unique Brands › Bodega 25 › Bodega 25/General</t>
        </is>
      </c>
      <c r="B379" s="5">
        <f>IF($I2="","",INDEX(Productos!$A:$A,$I2))</f>
        <v/>
      </c>
      <c r="C379" s="134" t="inlineStr">
        <is>
          <t>C49728-27-44</t>
        </is>
      </c>
      <c r="D379" s="5">
        <f>IF($I2="","",INDEX(Productos!$B:$B,$I2))</f>
        <v/>
      </c>
      <c r="E379" s="5">
        <f>IF($I2="","",INDEX(Productos!$H:$H,$I2))</f>
        <v/>
      </c>
      <c r="F379" s="5">
        <f>IF($I2="","",INDEX(Productos!$I:$I,$I2))</f>
        <v/>
      </c>
      <c r="G379" s="135" t="n">
        <v>17</v>
      </c>
      <c r="H379" s="5">
        <f>IF($I2="","",INDEX(Productos!$AG:$AG,$I2))</f>
        <v/>
      </c>
      <c r="I379" s="136">
        <f>LET(_xlpm.r,Productos!$E$2:$E$1063,_xlpm.m,IFERROR(_xlfn.XMATCH(C379,_xlpm.r),IFERROR(_xlfn.XMATCH(VALUE(C379),_xlpm.r),0)),IF(_xlpm.m=0,"",_xlpm.m+1))</f>
        <v/>
      </c>
      <c r="J379" s="137" t="inlineStr">
        <is>
          <t>Odoo</t>
        </is>
      </c>
    </row>
    <row r="380">
      <c r="A380" s="5" t="inlineStr">
        <is>
          <t>Odoo Universal Unique Brands › Bodega 25 › Bodega 25/General</t>
        </is>
      </c>
      <c r="B380" s="5">
        <f>IF($I2="","",INDEX(Productos!$A:$A,$I2))</f>
        <v/>
      </c>
      <c r="C380" s="134" t="inlineStr">
        <is>
          <t>C49729-27-32</t>
        </is>
      </c>
      <c r="D380" s="5">
        <f>IF($I2="","",INDEX(Productos!$B:$B,$I2))</f>
        <v/>
      </c>
      <c r="E380" s="5">
        <f>IF($I2="","",INDEX(Productos!$H:$H,$I2))</f>
        <v/>
      </c>
      <c r="F380" s="5">
        <f>IF($I2="","",INDEX(Productos!$I:$I,$I2))</f>
        <v/>
      </c>
      <c r="G380" s="135" t="n">
        <v>3</v>
      </c>
      <c r="H380" s="5">
        <f>IF($I2="","",INDEX(Productos!$AG:$AG,$I2))</f>
        <v/>
      </c>
      <c r="I380" s="136">
        <f>LET(_xlpm.r,Productos!$E$2:$E$1063,_xlpm.m,IFERROR(_xlfn.XMATCH(C380,_xlpm.r),IFERROR(_xlfn.XMATCH(VALUE(C380),_xlpm.r),0)),IF(_xlpm.m=0,"",_xlpm.m+1))</f>
        <v/>
      </c>
      <c r="J380" s="137" t="inlineStr">
        <is>
          <t>Odoo</t>
        </is>
      </c>
    </row>
    <row r="381">
      <c r="A381" s="5" t="inlineStr">
        <is>
          <t>Odoo Universal Unique Brands › Bodega 25 › Bodega 25/General</t>
        </is>
      </c>
      <c r="B381" s="5">
        <f>IF($I2="","",INDEX(Productos!$A:$A,$I2))</f>
        <v/>
      </c>
      <c r="C381" s="134" t="inlineStr">
        <is>
          <t>C49729-27-34</t>
        </is>
      </c>
      <c r="D381" s="5">
        <f>IF($I2="","",INDEX(Productos!$B:$B,$I2))</f>
        <v/>
      </c>
      <c r="E381" s="5">
        <f>IF($I2="","",INDEX(Productos!$H:$H,$I2))</f>
        <v/>
      </c>
      <c r="F381" s="5">
        <f>IF($I2="","",INDEX(Productos!$I:$I,$I2))</f>
        <v/>
      </c>
      <c r="G381" s="135" t="n">
        <v>10</v>
      </c>
      <c r="H381" s="5">
        <f>IF($I2="","",INDEX(Productos!$AG:$AG,$I2))</f>
        <v/>
      </c>
      <c r="I381" s="136">
        <f>LET(_xlpm.r,Productos!$E$2:$E$1063,_xlpm.m,IFERROR(_xlfn.XMATCH(C381,_xlpm.r),IFERROR(_xlfn.XMATCH(VALUE(C381),_xlpm.r),0)),IF(_xlpm.m=0,"",_xlpm.m+1))</f>
        <v/>
      </c>
      <c r="J381" s="137" t="inlineStr">
        <is>
          <t>Odoo</t>
        </is>
      </c>
    </row>
    <row r="382">
      <c r="A382" s="5" t="inlineStr">
        <is>
          <t>Odoo Universal Unique Brands › Bodega 25 › Bodega 25/General</t>
        </is>
      </c>
      <c r="B382" s="5">
        <f>IF($I2="","",INDEX(Productos!$A:$A,$I2))</f>
        <v/>
      </c>
      <c r="C382" s="134" t="inlineStr">
        <is>
          <t>C49729-27-36</t>
        </is>
      </c>
      <c r="D382" s="5">
        <f>IF($I2="","",INDEX(Productos!$B:$B,$I2))</f>
        <v/>
      </c>
      <c r="E382" s="5">
        <f>IF($I2="","",INDEX(Productos!$H:$H,$I2))</f>
        <v/>
      </c>
      <c r="F382" s="5">
        <f>IF($I2="","",INDEX(Productos!$I:$I,$I2))</f>
        <v/>
      </c>
      <c r="G382" s="135" t="n">
        <v>9</v>
      </c>
      <c r="H382" s="5">
        <f>IF($I2="","",INDEX(Productos!$AG:$AG,$I2))</f>
        <v/>
      </c>
      <c r="I382" s="136">
        <f>LET(_xlpm.r,Productos!$E$2:$E$1063,_xlpm.m,IFERROR(_xlfn.XMATCH(C382,_xlpm.r),IFERROR(_xlfn.XMATCH(VALUE(C382),_xlpm.r),0)),IF(_xlpm.m=0,"",_xlpm.m+1))</f>
        <v/>
      </c>
      <c r="J382" s="137" t="inlineStr">
        <is>
          <t>Odoo</t>
        </is>
      </c>
    </row>
    <row r="383">
      <c r="A383" s="5" t="inlineStr">
        <is>
          <t>Odoo Universal Unique Brands › Bodega 25 › Bodega 25/General</t>
        </is>
      </c>
      <c r="B383" s="5">
        <f>IF($I2="","",INDEX(Productos!$A:$A,$I2))</f>
        <v/>
      </c>
      <c r="C383" s="134" t="inlineStr">
        <is>
          <t>C49729-27-38</t>
        </is>
      </c>
      <c r="D383" s="5">
        <f>IF($I2="","",INDEX(Productos!$B:$B,$I2))</f>
        <v/>
      </c>
      <c r="E383" s="5">
        <f>IF($I2="","",INDEX(Productos!$H:$H,$I2))</f>
        <v/>
      </c>
      <c r="F383" s="5">
        <f>IF($I2="","",INDEX(Productos!$I:$I,$I2))</f>
        <v/>
      </c>
      <c r="G383" s="135" t="n">
        <v>14</v>
      </c>
      <c r="H383" s="5">
        <f>IF($I2="","",INDEX(Productos!$AG:$AG,$I2))</f>
        <v/>
      </c>
      <c r="I383" s="136">
        <f>LET(_xlpm.r,Productos!$E$2:$E$1063,_xlpm.m,IFERROR(_xlfn.XMATCH(C383,_xlpm.r),IFERROR(_xlfn.XMATCH(VALUE(C383),_xlpm.r),0)),IF(_xlpm.m=0,"",_xlpm.m+1))</f>
        <v/>
      </c>
      <c r="J383" s="137" t="inlineStr">
        <is>
          <t>Odoo</t>
        </is>
      </c>
    </row>
    <row r="384">
      <c r="A384" s="5" t="inlineStr">
        <is>
          <t>Odoo Universal Unique Brands › Bodega 25 › Bodega 25/General</t>
        </is>
      </c>
      <c r="B384" s="5">
        <f>IF($I2="","",INDEX(Productos!$A:$A,$I2))</f>
        <v/>
      </c>
      <c r="C384" s="134" t="inlineStr">
        <is>
          <t>C49729-27-40</t>
        </is>
      </c>
      <c r="D384" s="5">
        <f>IF($I2="","",INDEX(Productos!$B:$B,$I2))</f>
        <v/>
      </c>
      <c r="E384" s="5">
        <f>IF($I2="","",INDEX(Productos!$H:$H,$I2))</f>
        <v/>
      </c>
      <c r="F384" s="5">
        <f>IF($I2="","",INDEX(Productos!$I:$I,$I2))</f>
        <v/>
      </c>
      <c r="G384" s="135" t="n">
        <v>22</v>
      </c>
      <c r="H384" s="5">
        <f>IF($I2="","",INDEX(Productos!$AG:$AG,$I2))</f>
        <v/>
      </c>
      <c r="I384" s="136">
        <f>LET(_xlpm.r,Productos!$E$2:$E$1063,_xlpm.m,IFERROR(_xlfn.XMATCH(C384,_xlpm.r),IFERROR(_xlfn.XMATCH(VALUE(C384),_xlpm.r),0)),IF(_xlpm.m=0,"",_xlpm.m+1))</f>
        <v/>
      </c>
      <c r="J384" s="137" t="inlineStr">
        <is>
          <t>Odoo</t>
        </is>
      </c>
    </row>
    <row r="385">
      <c r="A385" s="5" t="inlineStr">
        <is>
          <t>Odoo Universal Unique Brands › Bodega 25 › Bodega 25/General</t>
        </is>
      </c>
      <c r="B385" s="5">
        <f>IF($I2="","",INDEX(Productos!$A:$A,$I2))</f>
        <v/>
      </c>
      <c r="C385" s="134" t="inlineStr">
        <is>
          <t>C49729-27-42</t>
        </is>
      </c>
      <c r="D385" s="5">
        <f>IF($I2="","",INDEX(Productos!$B:$B,$I2))</f>
        <v/>
      </c>
      <c r="E385" s="5">
        <f>IF($I2="","",INDEX(Productos!$H:$H,$I2))</f>
        <v/>
      </c>
      <c r="F385" s="5">
        <f>IF($I2="","",INDEX(Productos!$I:$I,$I2))</f>
        <v/>
      </c>
      <c r="G385" s="135" t="n">
        <v>22</v>
      </c>
      <c r="H385" s="5">
        <f>IF($I2="","",INDEX(Productos!$AG:$AG,$I2))</f>
        <v/>
      </c>
      <c r="I385" s="136">
        <f>LET(_xlpm.r,Productos!$E$2:$E$1063,_xlpm.m,IFERROR(_xlfn.XMATCH(C385,_xlpm.r),IFERROR(_xlfn.XMATCH(VALUE(C385),_xlpm.r),0)),IF(_xlpm.m=0,"",_xlpm.m+1))</f>
        <v/>
      </c>
      <c r="J385" s="137" t="inlineStr">
        <is>
          <t>Odoo</t>
        </is>
      </c>
    </row>
    <row r="386">
      <c r="A386" s="5" t="inlineStr">
        <is>
          <t>Odoo Universal Unique Brands › Bodega 25 › Bodega 25/General</t>
        </is>
      </c>
      <c r="B386" s="5">
        <f>IF($I2="","",INDEX(Productos!$A:$A,$I2))</f>
        <v/>
      </c>
      <c r="C386" s="134" t="inlineStr">
        <is>
          <t>C49729-27-44</t>
        </is>
      </c>
      <c r="D386" s="5">
        <f>IF($I2="","",INDEX(Productos!$B:$B,$I2))</f>
        <v/>
      </c>
      <c r="E386" s="5">
        <f>IF($I2="","",INDEX(Productos!$H:$H,$I2))</f>
        <v/>
      </c>
      <c r="F386" s="5">
        <f>IF($I2="","",INDEX(Productos!$I:$I,$I2))</f>
        <v/>
      </c>
      <c r="G386" s="135" t="n">
        <v>17</v>
      </c>
      <c r="H386" s="5">
        <f>IF($I2="","",INDEX(Productos!$AG:$AG,$I2))</f>
        <v/>
      </c>
      <c r="I386" s="136">
        <f>LET(_xlpm.r,Productos!$E$2:$E$1063,_xlpm.m,IFERROR(_xlfn.XMATCH(C386,_xlpm.r),IFERROR(_xlfn.XMATCH(VALUE(C386),_xlpm.r),0)),IF(_xlpm.m=0,"",_xlpm.m+1))</f>
        <v/>
      </c>
      <c r="J386" s="137" t="inlineStr">
        <is>
          <t>Odoo</t>
        </is>
      </c>
    </row>
    <row r="387">
      <c r="A387" s="5" t="inlineStr">
        <is>
          <t>Odoo Universal Unique Brands › Bodega 25 › Bodega 25/General</t>
        </is>
      </c>
      <c r="B387" s="5">
        <f>IF($I2="","",INDEX(Productos!$A:$A,$I2))</f>
        <v/>
      </c>
      <c r="C387" s="134" t="inlineStr">
        <is>
          <t>C49730-27-32</t>
        </is>
      </c>
      <c r="D387" s="5">
        <f>IF($I2="","",INDEX(Productos!$B:$B,$I2))</f>
        <v/>
      </c>
      <c r="E387" s="5">
        <f>IF($I2="","",INDEX(Productos!$H:$H,$I2))</f>
        <v/>
      </c>
      <c r="F387" s="5">
        <f>IF($I2="","",INDEX(Productos!$I:$I,$I2))</f>
        <v/>
      </c>
      <c r="G387" s="135" t="n">
        <v>5</v>
      </c>
      <c r="H387" s="5">
        <f>IF($I2="","",INDEX(Productos!$AG:$AG,$I2))</f>
        <v/>
      </c>
      <c r="I387" s="136">
        <f>LET(_xlpm.r,Productos!$E$2:$E$1063,_xlpm.m,IFERROR(_xlfn.XMATCH(C387,_xlpm.r),IFERROR(_xlfn.XMATCH(VALUE(C387),_xlpm.r),0)),IF(_xlpm.m=0,"",_xlpm.m+1))</f>
        <v/>
      </c>
      <c r="J387" s="137" t="inlineStr">
        <is>
          <t>Odoo</t>
        </is>
      </c>
    </row>
    <row r="388">
      <c r="A388" s="5" t="inlineStr">
        <is>
          <t>Odoo Universal Unique Brands › Bodega 25 › Bodega 25/General</t>
        </is>
      </c>
      <c r="B388" s="5">
        <f>IF($I2="","",INDEX(Productos!$A:$A,$I2))</f>
        <v/>
      </c>
      <c r="C388" s="134" t="inlineStr">
        <is>
          <t>C49730-27-34</t>
        </is>
      </c>
      <c r="D388" s="5">
        <f>IF($I2="","",INDEX(Productos!$B:$B,$I2))</f>
        <v/>
      </c>
      <c r="E388" s="5">
        <f>IF($I2="","",INDEX(Productos!$H:$H,$I2))</f>
        <v/>
      </c>
      <c r="F388" s="5">
        <f>IF($I2="","",INDEX(Productos!$I:$I,$I2))</f>
        <v/>
      </c>
      <c r="G388" s="135" t="n">
        <v>10</v>
      </c>
      <c r="H388" s="5">
        <f>IF($I2="","",INDEX(Productos!$AG:$AG,$I2))</f>
        <v/>
      </c>
      <c r="I388" s="136">
        <f>LET(_xlpm.r,Productos!$E$2:$E$1063,_xlpm.m,IFERROR(_xlfn.XMATCH(C388,_xlpm.r),IFERROR(_xlfn.XMATCH(VALUE(C388),_xlpm.r),0)),IF(_xlpm.m=0,"",_xlpm.m+1))</f>
        <v/>
      </c>
      <c r="J388" s="137" t="inlineStr">
        <is>
          <t>Odoo</t>
        </is>
      </c>
    </row>
    <row r="389">
      <c r="A389" s="5" t="inlineStr">
        <is>
          <t>Odoo Universal Unique Brands › Bodega 25 › Bodega 25/General</t>
        </is>
      </c>
      <c r="B389" s="5">
        <f>IF($I2="","",INDEX(Productos!$A:$A,$I2))</f>
        <v/>
      </c>
      <c r="C389" s="134" t="inlineStr">
        <is>
          <t>C49730-27-36</t>
        </is>
      </c>
      <c r="D389" s="5">
        <f>IF($I2="","",INDEX(Productos!$B:$B,$I2))</f>
        <v/>
      </c>
      <c r="E389" s="5">
        <f>IF($I2="","",INDEX(Productos!$H:$H,$I2))</f>
        <v/>
      </c>
      <c r="F389" s="5">
        <f>IF($I2="","",INDEX(Productos!$I:$I,$I2))</f>
        <v/>
      </c>
      <c r="G389" s="135" t="n">
        <v>10</v>
      </c>
      <c r="H389" s="5">
        <f>IF($I2="","",INDEX(Productos!$AG:$AG,$I2))</f>
        <v/>
      </c>
      <c r="I389" s="136">
        <f>LET(_xlpm.r,Productos!$E$2:$E$1063,_xlpm.m,IFERROR(_xlfn.XMATCH(C389,_xlpm.r),IFERROR(_xlfn.XMATCH(VALUE(C389),_xlpm.r),0)),IF(_xlpm.m=0,"",_xlpm.m+1))</f>
        <v/>
      </c>
      <c r="J389" s="137" t="inlineStr">
        <is>
          <t>Odoo</t>
        </is>
      </c>
    </row>
    <row r="390">
      <c r="A390" s="5" t="inlineStr">
        <is>
          <t>Odoo Universal Unique Brands › Bodega 25 › Bodega 25/General</t>
        </is>
      </c>
      <c r="B390" s="5">
        <f>IF($I2="","",INDEX(Productos!$A:$A,$I2))</f>
        <v/>
      </c>
      <c r="C390" s="134" t="inlineStr">
        <is>
          <t>C49730-27-38</t>
        </is>
      </c>
      <c r="D390" s="5">
        <f>IF($I2="","",INDEX(Productos!$B:$B,$I2))</f>
        <v/>
      </c>
      <c r="E390" s="5">
        <f>IF($I2="","",INDEX(Productos!$H:$H,$I2))</f>
        <v/>
      </c>
      <c r="F390" s="5">
        <f>IF($I2="","",INDEX(Productos!$I:$I,$I2))</f>
        <v/>
      </c>
      <c r="G390" s="135" t="n">
        <v>15</v>
      </c>
      <c r="H390" s="5">
        <f>IF($I2="","",INDEX(Productos!$AG:$AG,$I2))</f>
        <v/>
      </c>
      <c r="I390" s="136">
        <f>LET(_xlpm.r,Productos!$E$2:$E$1063,_xlpm.m,IFERROR(_xlfn.XMATCH(C390,_xlpm.r),IFERROR(_xlfn.XMATCH(VALUE(C390),_xlpm.r),0)),IF(_xlpm.m=0,"",_xlpm.m+1))</f>
        <v/>
      </c>
      <c r="J390" s="137" t="inlineStr">
        <is>
          <t>Odoo</t>
        </is>
      </c>
    </row>
    <row r="391">
      <c r="A391" s="5" t="inlineStr">
        <is>
          <t>Odoo Universal Unique Brands › Bodega 25 › Bodega 25/General</t>
        </is>
      </c>
      <c r="B391" s="5">
        <f>IF($I2="","",INDEX(Productos!$A:$A,$I2))</f>
        <v/>
      </c>
      <c r="C391" s="134" t="inlineStr">
        <is>
          <t>C49730-27-40</t>
        </is>
      </c>
      <c r="D391" s="5">
        <f>IF($I2="","",INDEX(Productos!$B:$B,$I2))</f>
        <v/>
      </c>
      <c r="E391" s="5">
        <f>IF($I2="","",INDEX(Productos!$H:$H,$I2))</f>
        <v/>
      </c>
      <c r="F391" s="5">
        <f>IF($I2="","",INDEX(Productos!$I:$I,$I2))</f>
        <v/>
      </c>
      <c r="G391" s="135" t="n">
        <v>22</v>
      </c>
      <c r="H391" s="5">
        <f>IF($I2="","",INDEX(Productos!$AG:$AG,$I2))</f>
        <v/>
      </c>
      <c r="I391" s="136">
        <f>LET(_xlpm.r,Productos!$E$2:$E$1063,_xlpm.m,IFERROR(_xlfn.XMATCH(C391,_xlpm.r),IFERROR(_xlfn.XMATCH(VALUE(C391),_xlpm.r),0)),IF(_xlpm.m=0,"",_xlpm.m+1))</f>
        <v/>
      </c>
      <c r="J391" s="137" t="inlineStr">
        <is>
          <t>Odoo</t>
        </is>
      </c>
    </row>
    <row r="392">
      <c r="A392" s="5" t="inlineStr">
        <is>
          <t>Odoo Universal Unique Brands › Bodega 25 › Bodega 25/General</t>
        </is>
      </c>
      <c r="B392" s="5">
        <f>IF($I2="","",INDEX(Productos!$A:$A,$I2))</f>
        <v/>
      </c>
      <c r="C392" s="134" t="inlineStr">
        <is>
          <t>C49730-27-42</t>
        </is>
      </c>
      <c r="D392" s="5">
        <f>IF($I2="","",INDEX(Productos!$B:$B,$I2))</f>
        <v/>
      </c>
      <c r="E392" s="5">
        <f>IF($I2="","",INDEX(Productos!$H:$H,$I2))</f>
        <v/>
      </c>
      <c r="F392" s="5">
        <f>IF($I2="","",INDEX(Productos!$I:$I,$I2))</f>
        <v/>
      </c>
      <c r="G392" s="135" t="n">
        <v>22</v>
      </c>
      <c r="H392" s="5">
        <f>IF($I2="","",INDEX(Productos!$AG:$AG,$I2))</f>
        <v/>
      </c>
      <c r="I392" s="136">
        <f>LET(_xlpm.r,Productos!$E$2:$E$1063,_xlpm.m,IFERROR(_xlfn.XMATCH(C392,_xlpm.r),IFERROR(_xlfn.XMATCH(VALUE(C392),_xlpm.r),0)),IF(_xlpm.m=0,"",_xlpm.m+1))</f>
        <v/>
      </c>
      <c r="J392" s="137" t="inlineStr">
        <is>
          <t>Odoo</t>
        </is>
      </c>
    </row>
    <row r="393">
      <c r="A393" s="5" t="inlineStr">
        <is>
          <t>Odoo Universal Unique Brands › Bodega 25 › Bodega 25/General</t>
        </is>
      </c>
      <c r="B393" s="5">
        <f>IF($I2="","",INDEX(Productos!$A:$A,$I2))</f>
        <v/>
      </c>
      <c r="C393" s="134" t="inlineStr">
        <is>
          <t>C49730-27-44</t>
        </is>
      </c>
      <c r="D393" s="5">
        <f>IF($I2="","",INDEX(Productos!$B:$B,$I2))</f>
        <v/>
      </c>
      <c r="E393" s="5">
        <f>IF($I2="","",INDEX(Productos!$H:$H,$I2))</f>
        <v/>
      </c>
      <c r="F393" s="5">
        <f>IF($I2="","",INDEX(Productos!$I:$I,$I2))</f>
        <v/>
      </c>
      <c r="G393" s="135" t="n">
        <v>17</v>
      </c>
      <c r="H393" s="5">
        <f>IF($I2="","",INDEX(Productos!$AG:$AG,$I2))</f>
        <v/>
      </c>
      <c r="I393" s="136">
        <f>LET(_xlpm.r,Productos!$E$2:$E$1063,_xlpm.m,IFERROR(_xlfn.XMATCH(C393,_xlpm.r),IFERROR(_xlfn.XMATCH(VALUE(C393),_xlpm.r),0)),IF(_xlpm.m=0,"",_xlpm.m+1))</f>
        <v/>
      </c>
      <c r="J393" s="137" t="inlineStr">
        <is>
          <t>Odoo</t>
        </is>
      </c>
    </row>
    <row r="394">
      <c r="A394" s="5" t="inlineStr">
        <is>
          <t>Odoo Universal Unique Brands › Bodega 25 › Bodega 25/General</t>
        </is>
      </c>
      <c r="B394" s="5">
        <f>IF($I2="","",INDEX(Productos!$A:$A,$I2))</f>
        <v/>
      </c>
      <c r="C394" s="134" t="inlineStr">
        <is>
          <t>C49730-59-32</t>
        </is>
      </c>
      <c r="D394" s="5">
        <f>IF($I2="","",INDEX(Productos!$B:$B,$I2))</f>
        <v/>
      </c>
      <c r="E394" s="5">
        <f>IF($I2="","",INDEX(Productos!$H:$H,$I2))</f>
        <v/>
      </c>
      <c r="F394" s="5">
        <f>IF($I2="","",INDEX(Productos!$I:$I,$I2))</f>
        <v/>
      </c>
      <c r="G394" s="135" t="n">
        <v>5</v>
      </c>
      <c r="H394" s="5">
        <f>IF($I2="","",INDEX(Productos!$AG:$AG,$I2))</f>
        <v/>
      </c>
      <c r="I394" s="136">
        <f>LET(_xlpm.r,Productos!$E$2:$E$1063,_xlpm.m,IFERROR(_xlfn.XMATCH(C394,_xlpm.r),IFERROR(_xlfn.XMATCH(VALUE(C394),_xlpm.r),0)),IF(_xlpm.m=0,"",_xlpm.m+1))</f>
        <v/>
      </c>
      <c r="J394" s="137" t="inlineStr">
        <is>
          <t>Odoo</t>
        </is>
      </c>
    </row>
    <row r="395">
      <c r="A395" s="5" t="inlineStr">
        <is>
          <t>Odoo Universal Unique Brands › Bodega 25 › Bodega 25/General</t>
        </is>
      </c>
      <c r="B395" s="5">
        <f>IF($I2="","",INDEX(Productos!$A:$A,$I2))</f>
        <v/>
      </c>
      <c r="C395" s="134" t="inlineStr">
        <is>
          <t>C49730-59-34</t>
        </is>
      </c>
      <c r="D395" s="5">
        <f>IF($I2="","",INDEX(Productos!$B:$B,$I2))</f>
        <v/>
      </c>
      <c r="E395" s="5">
        <f>IF($I2="","",INDEX(Productos!$H:$H,$I2))</f>
        <v/>
      </c>
      <c r="F395" s="5">
        <f>IF($I2="","",INDEX(Productos!$I:$I,$I2))</f>
        <v/>
      </c>
      <c r="G395" s="135" t="n">
        <v>10</v>
      </c>
      <c r="H395" s="5">
        <f>IF($I2="","",INDEX(Productos!$AG:$AG,$I2))</f>
        <v/>
      </c>
      <c r="I395" s="136">
        <f>LET(_xlpm.r,Productos!$E$2:$E$1063,_xlpm.m,IFERROR(_xlfn.XMATCH(C395,_xlpm.r),IFERROR(_xlfn.XMATCH(VALUE(C395),_xlpm.r),0)),IF(_xlpm.m=0,"",_xlpm.m+1))</f>
        <v/>
      </c>
      <c r="J395" s="137" t="inlineStr">
        <is>
          <t>Odoo</t>
        </is>
      </c>
    </row>
    <row r="396">
      <c r="A396" s="5" t="inlineStr">
        <is>
          <t>Odoo Universal Unique Brands › Bodega 25 › Bodega 25/General</t>
        </is>
      </c>
      <c r="B396" s="5">
        <f>IF($I2="","",INDEX(Productos!$A:$A,$I2))</f>
        <v/>
      </c>
      <c r="C396" s="134" t="inlineStr">
        <is>
          <t>C49730-59-36</t>
        </is>
      </c>
      <c r="D396" s="5">
        <f>IF($I2="","",INDEX(Productos!$B:$B,$I2))</f>
        <v/>
      </c>
      <c r="E396" s="5">
        <f>IF($I2="","",INDEX(Productos!$H:$H,$I2))</f>
        <v/>
      </c>
      <c r="F396" s="5">
        <f>IF($I2="","",INDEX(Productos!$I:$I,$I2))</f>
        <v/>
      </c>
      <c r="G396" s="135" t="n">
        <v>10</v>
      </c>
      <c r="H396" s="5">
        <f>IF($I2="","",INDEX(Productos!$AG:$AG,$I2))</f>
        <v/>
      </c>
      <c r="I396" s="136">
        <f>LET(_xlpm.r,Productos!$E$2:$E$1063,_xlpm.m,IFERROR(_xlfn.XMATCH(C396,_xlpm.r),IFERROR(_xlfn.XMATCH(VALUE(C396),_xlpm.r),0)),IF(_xlpm.m=0,"",_xlpm.m+1))</f>
        <v/>
      </c>
      <c r="J396" s="137" t="inlineStr">
        <is>
          <t>Odoo</t>
        </is>
      </c>
    </row>
    <row r="397">
      <c r="A397" s="5" t="inlineStr">
        <is>
          <t>Odoo Universal Unique Brands › Bodega 25 › Bodega 25/General</t>
        </is>
      </c>
      <c r="B397" s="5">
        <f>IF($I2="","",INDEX(Productos!$A:$A,$I2))</f>
        <v/>
      </c>
      <c r="C397" s="134" t="inlineStr">
        <is>
          <t>C49730-59-38</t>
        </is>
      </c>
      <c r="D397" s="5">
        <f>IF($I2="","",INDEX(Productos!$B:$B,$I2))</f>
        <v/>
      </c>
      <c r="E397" s="5">
        <f>IF($I2="","",INDEX(Productos!$H:$H,$I2))</f>
        <v/>
      </c>
      <c r="F397" s="5">
        <f>IF($I2="","",INDEX(Productos!$I:$I,$I2))</f>
        <v/>
      </c>
      <c r="G397" s="135" t="n">
        <v>15</v>
      </c>
      <c r="H397" s="5">
        <f>IF($I2="","",INDEX(Productos!$AG:$AG,$I2))</f>
        <v/>
      </c>
      <c r="I397" s="136">
        <f>LET(_xlpm.r,Productos!$E$2:$E$1063,_xlpm.m,IFERROR(_xlfn.XMATCH(C397,_xlpm.r),IFERROR(_xlfn.XMATCH(VALUE(C397),_xlpm.r),0)),IF(_xlpm.m=0,"",_xlpm.m+1))</f>
        <v/>
      </c>
      <c r="J397" s="137" t="inlineStr">
        <is>
          <t>Odoo</t>
        </is>
      </c>
    </row>
    <row r="398">
      <c r="A398" s="5" t="inlineStr">
        <is>
          <t>Odoo Universal Unique Brands › Bodega 25 › Bodega 25/General</t>
        </is>
      </c>
      <c r="B398" s="5">
        <f>IF($I2="","",INDEX(Productos!$A:$A,$I2))</f>
        <v/>
      </c>
      <c r="C398" s="134" t="inlineStr">
        <is>
          <t>C49730-59-40</t>
        </is>
      </c>
      <c r="D398" s="5">
        <f>IF($I2="","",INDEX(Productos!$B:$B,$I2))</f>
        <v/>
      </c>
      <c r="E398" s="5">
        <f>IF($I2="","",INDEX(Productos!$H:$H,$I2))</f>
        <v/>
      </c>
      <c r="F398" s="5">
        <f>IF($I2="","",INDEX(Productos!$I:$I,$I2))</f>
        <v/>
      </c>
      <c r="G398" s="135" t="n">
        <v>22</v>
      </c>
      <c r="H398" s="5">
        <f>IF($I2="","",INDEX(Productos!$AG:$AG,$I2))</f>
        <v/>
      </c>
      <c r="I398" s="136">
        <f>LET(_xlpm.r,Productos!$E$2:$E$1063,_xlpm.m,IFERROR(_xlfn.XMATCH(C398,_xlpm.r),IFERROR(_xlfn.XMATCH(VALUE(C398),_xlpm.r),0)),IF(_xlpm.m=0,"",_xlpm.m+1))</f>
        <v/>
      </c>
      <c r="J398" s="137" t="inlineStr">
        <is>
          <t>Odoo</t>
        </is>
      </c>
    </row>
    <row r="399">
      <c r="A399" s="5" t="inlineStr">
        <is>
          <t>Odoo Universal Unique Brands › Bodega 25 › Bodega 25/General</t>
        </is>
      </c>
      <c r="B399" s="5">
        <f>IF($I2="","",INDEX(Productos!$A:$A,$I2))</f>
        <v/>
      </c>
      <c r="C399" s="134" t="inlineStr">
        <is>
          <t>C49730-59-42</t>
        </is>
      </c>
      <c r="D399" s="5">
        <f>IF($I2="","",INDEX(Productos!$B:$B,$I2))</f>
        <v/>
      </c>
      <c r="E399" s="5">
        <f>IF($I2="","",INDEX(Productos!$H:$H,$I2))</f>
        <v/>
      </c>
      <c r="F399" s="5">
        <f>IF($I2="","",INDEX(Productos!$I:$I,$I2))</f>
        <v/>
      </c>
      <c r="G399" s="135" t="n">
        <v>22</v>
      </c>
      <c r="H399" s="5">
        <f>IF($I2="","",INDEX(Productos!$AG:$AG,$I2))</f>
        <v/>
      </c>
      <c r="I399" s="136">
        <f>LET(_xlpm.r,Productos!$E$2:$E$1063,_xlpm.m,IFERROR(_xlfn.XMATCH(C399,_xlpm.r),IFERROR(_xlfn.XMATCH(VALUE(C399),_xlpm.r),0)),IF(_xlpm.m=0,"",_xlpm.m+1))</f>
        <v/>
      </c>
      <c r="J399" s="137" t="inlineStr">
        <is>
          <t>Odoo</t>
        </is>
      </c>
    </row>
    <row r="400">
      <c r="A400" s="5" t="inlineStr">
        <is>
          <t>Odoo Universal Unique Brands › Bodega 25 › Bodega 25/General</t>
        </is>
      </c>
      <c r="B400" s="5">
        <f>IF($I2="","",INDEX(Productos!$A:$A,$I2))</f>
        <v/>
      </c>
      <c r="C400" s="134" t="inlineStr">
        <is>
          <t>C49730-59-44</t>
        </is>
      </c>
      <c r="D400" s="5">
        <f>IF($I2="","",INDEX(Productos!$B:$B,$I2))</f>
        <v/>
      </c>
      <c r="E400" s="5">
        <f>IF($I2="","",INDEX(Productos!$H:$H,$I2))</f>
        <v/>
      </c>
      <c r="F400" s="5">
        <f>IF($I2="","",INDEX(Productos!$I:$I,$I2))</f>
        <v/>
      </c>
      <c r="G400" s="135" t="n">
        <v>17</v>
      </c>
      <c r="H400" s="5">
        <f>IF($I2="","",INDEX(Productos!$AG:$AG,$I2))</f>
        <v/>
      </c>
      <c r="I400" s="136">
        <f>LET(_xlpm.r,Productos!$E$2:$E$1063,_xlpm.m,IFERROR(_xlfn.XMATCH(C400,_xlpm.r),IFERROR(_xlfn.XMATCH(VALUE(C400),_xlpm.r),0)),IF(_xlpm.m=0,"",_xlpm.m+1))</f>
        <v/>
      </c>
      <c r="J400" s="137" t="inlineStr">
        <is>
          <t>Odoo</t>
        </is>
      </c>
    </row>
    <row r="401">
      <c r="A401" s="5" t="inlineStr">
        <is>
          <t>Odoo Universal Unique Brands › Bodega 25 › Bodega 25/General</t>
        </is>
      </c>
      <c r="B401" s="5">
        <f>IF($I2="","",INDEX(Productos!$A:$A,$I2))</f>
        <v/>
      </c>
      <c r="C401" s="134" t="inlineStr">
        <is>
          <t>C49731-59-32</t>
        </is>
      </c>
      <c r="D401" s="5">
        <f>IF($I2="","",INDEX(Productos!$B:$B,$I2))</f>
        <v/>
      </c>
      <c r="E401" s="5">
        <f>IF($I2="","",INDEX(Productos!$H:$H,$I2))</f>
        <v/>
      </c>
      <c r="F401" s="5">
        <f>IF($I2="","",INDEX(Productos!$I:$I,$I2))</f>
        <v/>
      </c>
      <c r="G401" s="135" t="n">
        <v>5</v>
      </c>
      <c r="H401" s="5">
        <f>IF($I2="","",INDEX(Productos!$AG:$AG,$I2))</f>
        <v/>
      </c>
      <c r="I401" s="136">
        <f>LET(_xlpm.r,Productos!$E$2:$E$1063,_xlpm.m,IFERROR(_xlfn.XMATCH(C401,_xlpm.r),IFERROR(_xlfn.XMATCH(VALUE(C401),_xlpm.r),0)),IF(_xlpm.m=0,"",_xlpm.m+1))</f>
        <v/>
      </c>
      <c r="J401" s="137" t="inlineStr">
        <is>
          <t>Odoo</t>
        </is>
      </c>
    </row>
    <row r="402">
      <c r="A402" s="5" t="inlineStr">
        <is>
          <t>Odoo Universal Unique Brands › Bodega 25 › Bodega 25/General</t>
        </is>
      </c>
      <c r="B402" s="5">
        <f>IF($I2="","",INDEX(Productos!$A:$A,$I2))</f>
        <v/>
      </c>
      <c r="C402" s="134" t="inlineStr">
        <is>
          <t>C49731-59-34</t>
        </is>
      </c>
      <c r="D402" s="5">
        <f>IF($I2="","",INDEX(Productos!$B:$B,$I2))</f>
        <v/>
      </c>
      <c r="E402" s="5">
        <f>IF($I2="","",INDEX(Productos!$H:$H,$I2))</f>
        <v/>
      </c>
      <c r="F402" s="5">
        <f>IF($I2="","",INDEX(Productos!$I:$I,$I2))</f>
        <v/>
      </c>
      <c r="G402" s="135" t="n">
        <v>10</v>
      </c>
      <c r="H402" s="5">
        <f>IF($I2="","",INDEX(Productos!$AG:$AG,$I2))</f>
        <v/>
      </c>
      <c r="I402" s="136">
        <f>LET(_xlpm.r,Productos!$E$2:$E$1063,_xlpm.m,IFERROR(_xlfn.XMATCH(C402,_xlpm.r),IFERROR(_xlfn.XMATCH(VALUE(C402),_xlpm.r),0)),IF(_xlpm.m=0,"",_xlpm.m+1))</f>
        <v/>
      </c>
      <c r="J402" s="137" t="inlineStr">
        <is>
          <t>Odoo</t>
        </is>
      </c>
    </row>
    <row r="403">
      <c r="A403" s="5" t="inlineStr">
        <is>
          <t>Odoo Universal Unique Brands › Bodega 25 › Bodega 25/General</t>
        </is>
      </c>
      <c r="B403" s="5">
        <f>IF($I2="","",INDEX(Productos!$A:$A,$I2))</f>
        <v/>
      </c>
      <c r="C403" s="134" t="inlineStr">
        <is>
          <t>C49731-59-36</t>
        </is>
      </c>
      <c r="D403" s="5">
        <f>IF($I2="","",INDEX(Productos!$B:$B,$I2))</f>
        <v/>
      </c>
      <c r="E403" s="5">
        <f>IF($I2="","",INDEX(Productos!$H:$H,$I2))</f>
        <v/>
      </c>
      <c r="F403" s="5">
        <f>IF($I2="","",INDEX(Productos!$I:$I,$I2))</f>
        <v/>
      </c>
      <c r="G403" s="135" t="n">
        <v>10</v>
      </c>
      <c r="H403" s="5">
        <f>IF($I2="","",INDEX(Productos!$AG:$AG,$I2))</f>
        <v/>
      </c>
      <c r="I403" s="136">
        <f>LET(_xlpm.r,Productos!$E$2:$E$1063,_xlpm.m,IFERROR(_xlfn.XMATCH(C403,_xlpm.r),IFERROR(_xlfn.XMATCH(VALUE(C403),_xlpm.r),0)),IF(_xlpm.m=0,"",_xlpm.m+1))</f>
        <v/>
      </c>
      <c r="J403" s="137" t="inlineStr">
        <is>
          <t>Odoo</t>
        </is>
      </c>
    </row>
    <row r="404">
      <c r="A404" s="5" t="inlineStr">
        <is>
          <t>Odoo Universal Unique Brands › Bodega 25 › Bodega 25/General</t>
        </is>
      </c>
      <c r="B404" s="5">
        <f>IF($I2="","",INDEX(Productos!$A:$A,$I2))</f>
        <v/>
      </c>
      <c r="C404" s="134" t="inlineStr">
        <is>
          <t>C49731-59-38</t>
        </is>
      </c>
      <c r="D404" s="5">
        <f>IF($I2="","",INDEX(Productos!$B:$B,$I2))</f>
        <v/>
      </c>
      <c r="E404" s="5">
        <f>IF($I2="","",INDEX(Productos!$H:$H,$I2))</f>
        <v/>
      </c>
      <c r="F404" s="5">
        <f>IF($I2="","",INDEX(Productos!$I:$I,$I2))</f>
        <v/>
      </c>
      <c r="G404" s="135" t="n">
        <v>15</v>
      </c>
      <c r="H404" s="5">
        <f>IF($I2="","",INDEX(Productos!$AG:$AG,$I2))</f>
        <v/>
      </c>
      <c r="I404" s="136">
        <f>LET(_xlpm.r,Productos!$E$2:$E$1063,_xlpm.m,IFERROR(_xlfn.XMATCH(C404,_xlpm.r),IFERROR(_xlfn.XMATCH(VALUE(C404),_xlpm.r),0)),IF(_xlpm.m=0,"",_xlpm.m+1))</f>
        <v/>
      </c>
      <c r="J404" s="137" t="inlineStr">
        <is>
          <t>Odoo</t>
        </is>
      </c>
    </row>
    <row r="405">
      <c r="A405" s="5" t="inlineStr">
        <is>
          <t>Odoo Universal Unique Brands › Bodega 25 › Bodega 25/General</t>
        </is>
      </c>
      <c r="B405" s="5">
        <f>IF($I2="","",INDEX(Productos!$A:$A,$I2))</f>
        <v/>
      </c>
      <c r="C405" s="134" t="inlineStr">
        <is>
          <t>C49731-59-40</t>
        </is>
      </c>
      <c r="D405" s="5">
        <f>IF($I2="","",INDEX(Productos!$B:$B,$I2))</f>
        <v/>
      </c>
      <c r="E405" s="5">
        <f>IF($I2="","",INDEX(Productos!$H:$H,$I2))</f>
        <v/>
      </c>
      <c r="F405" s="5">
        <f>IF($I2="","",INDEX(Productos!$I:$I,$I2))</f>
        <v/>
      </c>
      <c r="G405" s="135" t="n">
        <v>22</v>
      </c>
      <c r="H405" s="5">
        <f>IF($I2="","",INDEX(Productos!$AG:$AG,$I2))</f>
        <v/>
      </c>
      <c r="I405" s="136">
        <f>LET(_xlpm.r,Productos!$E$2:$E$1063,_xlpm.m,IFERROR(_xlfn.XMATCH(C405,_xlpm.r),IFERROR(_xlfn.XMATCH(VALUE(C405),_xlpm.r),0)),IF(_xlpm.m=0,"",_xlpm.m+1))</f>
        <v/>
      </c>
      <c r="J405" s="137" t="inlineStr">
        <is>
          <t>Odoo</t>
        </is>
      </c>
    </row>
    <row r="406">
      <c r="A406" s="5" t="inlineStr">
        <is>
          <t>Odoo Universal Unique Brands › Bodega 25 › Bodega 25/General</t>
        </is>
      </c>
      <c r="B406" s="5">
        <f>IF($I2="","",INDEX(Productos!$A:$A,$I2))</f>
        <v/>
      </c>
      <c r="C406" s="134" t="inlineStr">
        <is>
          <t>C49731-59-42</t>
        </is>
      </c>
      <c r="D406" s="5">
        <f>IF($I2="","",INDEX(Productos!$B:$B,$I2))</f>
        <v/>
      </c>
      <c r="E406" s="5">
        <f>IF($I2="","",INDEX(Productos!$H:$H,$I2))</f>
        <v/>
      </c>
      <c r="F406" s="5">
        <f>IF($I2="","",INDEX(Productos!$I:$I,$I2))</f>
        <v/>
      </c>
      <c r="G406" s="135" t="n">
        <v>22</v>
      </c>
      <c r="H406" s="5">
        <f>IF($I2="","",INDEX(Productos!$AG:$AG,$I2))</f>
        <v/>
      </c>
      <c r="I406" s="136">
        <f>LET(_xlpm.r,Productos!$E$2:$E$1063,_xlpm.m,IFERROR(_xlfn.XMATCH(C406,_xlpm.r),IFERROR(_xlfn.XMATCH(VALUE(C406),_xlpm.r),0)),IF(_xlpm.m=0,"",_xlpm.m+1))</f>
        <v/>
      </c>
      <c r="J406" s="137" t="inlineStr">
        <is>
          <t>Odoo</t>
        </is>
      </c>
    </row>
    <row r="407">
      <c r="A407" s="5" t="inlineStr">
        <is>
          <t>Odoo Universal Unique Brands › Bodega 25 › Bodega 25/General</t>
        </is>
      </c>
      <c r="B407" s="5">
        <f>IF($I2="","",INDEX(Productos!$A:$A,$I2))</f>
        <v/>
      </c>
      <c r="C407" s="134" t="inlineStr">
        <is>
          <t>C49731-59-44</t>
        </is>
      </c>
      <c r="D407" s="5">
        <f>IF($I2="","",INDEX(Productos!$B:$B,$I2))</f>
        <v/>
      </c>
      <c r="E407" s="5">
        <f>IF($I2="","",INDEX(Productos!$H:$H,$I2))</f>
        <v/>
      </c>
      <c r="F407" s="5">
        <f>IF($I2="","",INDEX(Productos!$I:$I,$I2))</f>
        <v/>
      </c>
      <c r="G407" s="135" t="n">
        <v>17</v>
      </c>
      <c r="H407" s="5">
        <f>IF($I2="","",INDEX(Productos!$AG:$AG,$I2))</f>
        <v/>
      </c>
      <c r="I407" s="136">
        <f>LET(_xlpm.r,Productos!$E$2:$E$1063,_xlpm.m,IFERROR(_xlfn.XMATCH(C407,_xlpm.r),IFERROR(_xlfn.XMATCH(VALUE(C407),_xlpm.r),0)),IF(_xlpm.m=0,"",_xlpm.m+1))</f>
        <v/>
      </c>
      <c r="J407" s="137" t="inlineStr">
        <is>
          <t>Odoo</t>
        </is>
      </c>
    </row>
    <row r="408">
      <c r="A408" s="5" t="inlineStr">
        <is>
          <t>Odoo Universal Unique Brands › Bodega 25 › Bodega 25/General</t>
        </is>
      </c>
      <c r="B408" s="5">
        <f>IF($I2="","",INDEX(Productos!$A:$A,$I2))</f>
        <v/>
      </c>
      <c r="C408" s="134" t="inlineStr">
        <is>
          <t>C49732-22-32</t>
        </is>
      </c>
      <c r="D408" s="5">
        <f>IF($I2="","",INDEX(Productos!$B:$B,$I2))</f>
        <v/>
      </c>
      <c r="E408" s="5">
        <f>IF($I2="","",INDEX(Productos!$H:$H,$I2))</f>
        <v/>
      </c>
      <c r="F408" s="5">
        <f>IF($I2="","",INDEX(Productos!$I:$I,$I2))</f>
        <v/>
      </c>
      <c r="G408" s="135" t="n">
        <v>5</v>
      </c>
      <c r="H408" s="5">
        <f>IF($I2="","",INDEX(Productos!$AG:$AG,$I2))</f>
        <v/>
      </c>
      <c r="I408" s="136">
        <f>LET(_xlpm.r,Productos!$E$2:$E$1063,_xlpm.m,IFERROR(_xlfn.XMATCH(C408,_xlpm.r),IFERROR(_xlfn.XMATCH(VALUE(C408),_xlpm.r),0)),IF(_xlpm.m=0,"",_xlpm.m+1))</f>
        <v/>
      </c>
      <c r="J408" s="137" t="inlineStr">
        <is>
          <t>Odoo</t>
        </is>
      </c>
    </row>
    <row r="409">
      <c r="A409" s="5" t="inlineStr">
        <is>
          <t>Odoo Universal Unique Brands › Bodega 25 › Bodega 25/General</t>
        </is>
      </c>
      <c r="B409" s="5">
        <f>IF($I2="","",INDEX(Productos!$A:$A,$I2))</f>
        <v/>
      </c>
      <c r="C409" s="134" t="inlineStr">
        <is>
          <t>C49732-22-34</t>
        </is>
      </c>
      <c r="D409" s="5">
        <f>IF($I2="","",INDEX(Productos!$B:$B,$I2))</f>
        <v/>
      </c>
      <c r="E409" s="5">
        <f>IF($I2="","",INDEX(Productos!$H:$H,$I2))</f>
        <v/>
      </c>
      <c r="F409" s="5">
        <f>IF($I2="","",INDEX(Productos!$I:$I,$I2))</f>
        <v/>
      </c>
      <c r="G409" s="135" t="n">
        <v>10</v>
      </c>
      <c r="H409" s="5">
        <f>IF($I2="","",INDEX(Productos!$AG:$AG,$I2))</f>
        <v/>
      </c>
      <c r="I409" s="136">
        <f>LET(_xlpm.r,Productos!$E$2:$E$1063,_xlpm.m,IFERROR(_xlfn.XMATCH(C409,_xlpm.r),IFERROR(_xlfn.XMATCH(VALUE(C409),_xlpm.r),0)),IF(_xlpm.m=0,"",_xlpm.m+1))</f>
        <v/>
      </c>
      <c r="J409" s="137" t="inlineStr">
        <is>
          <t>Odoo</t>
        </is>
      </c>
    </row>
    <row r="410">
      <c r="A410" s="5" t="inlineStr">
        <is>
          <t>Odoo Universal Unique Brands › Bodega 25 › Bodega 25/General</t>
        </is>
      </c>
      <c r="B410" s="5">
        <f>IF($I2="","",INDEX(Productos!$A:$A,$I2))</f>
        <v/>
      </c>
      <c r="C410" s="134" t="inlineStr">
        <is>
          <t>C49732-22-36</t>
        </is>
      </c>
      <c r="D410" s="5">
        <f>IF($I2="","",INDEX(Productos!$B:$B,$I2))</f>
        <v/>
      </c>
      <c r="E410" s="5">
        <f>IF($I2="","",INDEX(Productos!$H:$H,$I2))</f>
        <v/>
      </c>
      <c r="F410" s="5">
        <f>IF($I2="","",INDEX(Productos!$I:$I,$I2))</f>
        <v/>
      </c>
      <c r="G410" s="135" t="n">
        <v>10</v>
      </c>
      <c r="H410" s="5">
        <f>IF($I2="","",INDEX(Productos!$AG:$AG,$I2))</f>
        <v/>
      </c>
      <c r="I410" s="136">
        <f>LET(_xlpm.r,Productos!$E$2:$E$1063,_xlpm.m,IFERROR(_xlfn.XMATCH(C410,_xlpm.r),IFERROR(_xlfn.XMATCH(VALUE(C410),_xlpm.r),0)),IF(_xlpm.m=0,"",_xlpm.m+1))</f>
        <v/>
      </c>
      <c r="J410" s="137" t="inlineStr">
        <is>
          <t>Odoo</t>
        </is>
      </c>
    </row>
    <row r="411">
      <c r="A411" s="5" t="inlineStr">
        <is>
          <t>Odoo Universal Unique Brands › Bodega 25 › Bodega 25/General</t>
        </is>
      </c>
      <c r="B411" s="5">
        <f>IF($I2="","",INDEX(Productos!$A:$A,$I2))</f>
        <v/>
      </c>
      <c r="C411" s="134" t="inlineStr">
        <is>
          <t>C49732-22-38</t>
        </is>
      </c>
      <c r="D411" s="5">
        <f>IF($I2="","",INDEX(Productos!$B:$B,$I2))</f>
        <v/>
      </c>
      <c r="E411" s="5">
        <f>IF($I2="","",INDEX(Productos!$H:$H,$I2))</f>
        <v/>
      </c>
      <c r="F411" s="5">
        <f>IF($I2="","",INDEX(Productos!$I:$I,$I2))</f>
        <v/>
      </c>
      <c r="G411" s="135" t="n">
        <v>15</v>
      </c>
      <c r="H411" s="5">
        <f>IF($I2="","",INDEX(Productos!$AG:$AG,$I2))</f>
        <v/>
      </c>
      <c r="I411" s="136">
        <f>LET(_xlpm.r,Productos!$E$2:$E$1063,_xlpm.m,IFERROR(_xlfn.XMATCH(C411,_xlpm.r),IFERROR(_xlfn.XMATCH(VALUE(C411),_xlpm.r),0)),IF(_xlpm.m=0,"",_xlpm.m+1))</f>
        <v/>
      </c>
      <c r="J411" s="137" t="inlineStr">
        <is>
          <t>Odoo</t>
        </is>
      </c>
    </row>
    <row r="412">
      <c r="A412" s="5" t="inlineStr">
        <is>
          <t>Odoo Universal Unique Brands › Bodega 25 › Bodega 25/General</t>
        </is>
      </c>
      <c r="B412" s="5">
        <f>IF($I2="","",INDEX(Productos!$A:$A,$I2))</f>
        <v/>
      </c>
      <c r="C412" s="134" t="inlineStr">
        <is>
          <t>C49732-22-40</t>
        </is>
      </c>
      <c r="D412" s="5">
        <f>IF($I2="","",INDEX(Productos!$B:$B,$I2))</f>
        <v/>
      </c>
      <c r="E412" s="5">
        <f>IF($I2="","",INDEX(Productos!$H:$H,$I2))</f>
        <v/>
      </c>
      <c r="F412" s="5">
        <f>IF($I2="","",INDEX(Productos!$I:$I,$I2))</f>
        <v/>
      </c>
      <c r="G412" s="135" t="n">
        <v>22</v>
      </c>
      <c r="H412" s="5">
        <f>IF($I2="","",INDEX(Productos!$AG:$AG,$I2))</f>
        <v/>
      </c>
      <c r="I412" s="136">
        <f>LET(_xlpm.r,Productos!$E$2:$E$1063,_xlpm.m,IFERROR(_xlfn.XMATCH(C412,_xlpm.r),IFERROR(_xlfn.XMATCH(VALUE(C412),_xlpm.r),0)),IF(_xlpm.m=0,"",_xlpm.m+1))</f>
        <v/>
      </c>
      <c r="J412" s="137" t="inlineStr">
        <is>
          <t>Odoo</t>
        </is>
      </c>
    </row>
    <row r="413">
      <c r="A413" s="5" t="inlineStr">
        <is>
          <t>Odoo Universal Unique Brands › Bodega 25 › Bodega 25/General</t>
        </is>
      </c>
      <c r="B413" s="5">
        <f>IF($I2="","",INDEX(Productos!$A:$A,$I2))</f>
        <v/>
      </c>
      <c r="C413" s="134" t="inlineStr">
        <is>
          <t>C49732-22-42</t>
        </is>
      </c>
      <c r="D413" s="5">
        <f>IF($I2="","",INDEX(Productos!$B:$B,$I2))</f>
        <v/>
      </c>
      <c r="E413" s="5">
        <f>IF($I2="","",INDEX(Productos!$H:$H,$I2))</f>
        <v/>
      </c>
      <c r="F413" s="5">
        <f>IF($I2="","",INDEX(Productos!$I:$I,$I2))</f>
        <v/>
      </c>
      <c r="G413" s="135" t="n">
        <v>22</v>
      </c>
      <c r="H413" s="5">
        <f>IF($I2="","",INDEX(Productos!$AG:$AG,$I2))</f>
        <v/>
      </c>
      <c r="I413" s="136">
        <f>LET(_xlpm.r,Productos!$E$2:$E$1063,_xlpm.m,IFERROR(_xlfn.XMATCH(C413,_xlpm.r),IFERROR(_xlfn.XMATCH(VALUE(C413),_xlpm.r),0)),IF(_xlpm.m=0,"",_xlpm.m+1))</f>
        <v/>
      </c>
      <c r="J413" s="137" t="inlineStr">
        <is>
          <t>Odoo</t>
        </is>
      </c>
    </row>
    <row r="414">
      <c r="A414" s="5" t="inlineStr">
        <is>
          <t>Odoo Universal Unique Brands › Bodega 25 › Bodega 25/General</t>
        </is>
      </c>
      <c r="B414" s="5">
        <f>IF($I2="","",INDEX(Productos!$A:$A,$I2))</f>
        <v/>
      </c>
      <c r="C414" s="134" t="inlineStr">
        <is>
          <t>C49732-22-44</t>
        </is>
      </c>
      <c r="D414" s="5">
        <f>IF($I2="","",INDEX(Productos!$B:$B,$I2))</f>
        <v/>
      </c>
      <c r="E414" s="5">
        <f>IF($I2="","",INDEX(Productos!$H:$H,$I2))</f>
        <v/>
      </c>
      <c r="F414" s="5">
        <f>IF($I2="","",INDEX(Productos!$I:$I,$I2))</f>
        <v/>
      </c>
      <c r="G414" s="135" t="n">
        <v>17</v>
      </c>
      <c r="H414" s="5">
        <f>IF($I2="","",INDEX(Productos!$AG:$AG,$I2))</f>
        <v/>
      </c>
      <c r="I414" s="136">
        <f>LET(_xlpm.r,Productos!$E$2:$E$1063,_xlpm.m,IFERROR(_xlfn.XMATCH(C414,_xlpm.r),IFERROR(_xlfn.XMATCH(VALUE(C414),_xlpm.r),0)),IF(_xlpm.m=0,"",_xlpm.m+1))</f>
        <v/>
      </c>
      <c r="J414" s="137" t="inlineStr">
        <is>
          <t>Odoo</t>
        </is>
      </c>
    </row>
    <row r="415">
      <c r="A415" s="5" t="inlineStr">
        <is>
          <t>Odoo Universal Unique Brands › Bodega 25 › Bodega 25/General</t>
        </is>
      </c>
      <c r="B415" s="5">
        <f>IF($I2="","",INDEX(Productos!$A:$A,$I2))</f>
        <v/>
      </c>
      <c r="C415" s="134" t="inlineStr">
        <is>
          <t>C49733-27-32</t>
        </is>
      </c>
      <c r="D415" s="5">
        <f>IF($I2="","",INDEX(Productos!$B:$B,$I2))</f>
        <v/>
      </c>
      <c r="E415" s="5">
        <f>IF($I2="","",INDEX(Productos!$H:$H,$I2))</f>
        <v/>
      </c>
      <c r="F415" s="5">
        <f>IF($I2="","",INDEX(Productos!$I:$I,$I2))</f>
        <v/>
      </c>
      <c r="G415" s="135" t="n">
        <v>5</v>
      </c>
      <c r="H415" s="5">
        <f>IF($I2="","",INDEX(Productos!$AG:$AG,$I2))</f>
        <v/>
      </c>
      <c r="I415" s="136">
        <f>LET(_xlpm.r,Productos!$E$2:$E$1063,_xlpm.m,IFERROR(_xlfn.XMATCH(C415,_xlpm.r),IFERROR(_xlfn.XMATCH(VALUE(C415),_xlpm.r),0)),IF(_xlpm.m=0,"",_xlpm.m+1))</f>
        <v/>
      </c>
      <c r="J415" s="137" t="inlineStr">
        <is>
          <t>Odoo</t>
        </is>
      </c>
    </row>
    <row r="416">
      <c r="A416" s="5" t="inlineStr">
        <is>
          <t>Odoo Universal Unique Brands › Bodega 25 › Bodega 25/General</t>
        </is>
      </c>
      <c r="B416" s="5">
        <f>IF($I2="","",INDEX(Productos!$A:$A,$I2))</f>
        <v/>
      </c>
      <c r="C416" s="134" t="inlineStr">
        <is>
          <t>C49733-27-34</t>
        </is>
      </c>
      <c r="D416" s="5">
        <f>IF($I2="","",INDEX(Productos!$B:$B,$I2))</f>
        <v/>
      </c>
      <c r="E416" s="5">
        <f>IF($I2="","",INDEX(Productos!$H:$H,$I2))</f>
        <v/>
      </c>
      <c r="F416" s="5">
        <f>IF($I2="","",INDEX(Productos!$I:$I,$I2))</f>
        <v/>
      </c>
      <c r="G416" s="135" t="n">
        <v>10</v>
      </c>
      <c r="H416" s="5">
        <f>IF($I2="","",INDEX(Productos!$AG:$AG,$I2))</f>
        <v/>
      </c>
      <c r="I416" s="136">
        <f>LET(_xlpm.r,Productos!$E$2:$E$1063,_xlpm.m,IFERROR(_xlfn.XMATCH(C416,_xlpm.r),IFERROR(_xlfn.XMATCH(VALUE(C416),_xlpm.r),0)),IF(_xlpm.m=0,"",_xlpm.m+1))</f>
        <v/>
      </c>
      <c r="J416" s="137" t="inlineStr">
        <is>
          <t>Odoo</t>
        </is>
      </c>
    </row>
    <row r="417">
      <c r="A417" s="5" t="inlineStr">
        <is>
          <t>Odoo Universal Unique Brands › Bodega 25 › Bodega 25/General</t>
        </is>
      </c>
      <c r="B417" s="5">
        <f>IF($I2="","",INDEX(Productos!$A:$A,$I2))</f>
        <v/>
      </c>
      <c r="C417" s="134" t="inlineStr">
        <is>
          <t>C49733-27-36</t>
        </is>
      </c>
      <c r="D417" s="5">
        <f>IF($I2="","",INDEX(Productos!$B:$B,$I2))</f>
        <v/>
      </c>
      <c r="E417" s="5">
        <f>IF($I2="","",INDEX(Productos!$H:$H,$I2))</f>
        <v/>
      </c>
      <c r="F417" s="5">
        <f>IF($I2="","",INDEX(Productos!$I:$I,$I2))</f>
        <v/>
      </c>
      <c r="G417" s="135" t="n">
        <v>10</v>
      </c>
      <c r="H417" s="5">
        <f>IF($I2="","",INDEX(Productos!$AG:$AG,$I2))</f>
        <v/>
      </c>
      <c r="I417" s="136">
        <f>LET(_xlpm.r,Productos!$E$2:$E$1063,_xlpm.m,IFERROR(_xlfn.XMATCH(C417,_xlpm.r),IFERROR(_xlfn.XMATCH(VALUE(C417),_xlpm.r),0)),IF(_xlpm.m=0,"",_xlpm.m+1))</f>
        <v/>
      </c>
      <c r="J417" s="137" t="inlineStr">
        <is>
          <t>Odoo</t>
        </is>
      </c>
    </row>
    <row r="418">
      <c r="A418" s="5" t="inlineStr">
        <is>
          <t>Odoo Universal Unique Brands › Bodega 25 › Bodega 25/General</t>
        </is>
      </c>
      <c r="B418" s="5">
        <f>IF($I2="","",INDEX(Productos!$A:$A,$I2))</f>
        <v/>
      </c>
      <c r="C418" s="134" t="inlineStr">
        <is>
          <t>C49733-27-38</t>
        </is>
      </c>
      <c r="D418" s="5">
        <f>IF($I2="","",INDEX(Productos!$B:$B,$I2))</f>
        <v/>
      </c>
      <c r="E418" s="5">
        <f>IF($I2="","",INDEX(Productos!$H:$H,$I2))</f>
        <v/>
      </c>
      <c r="F418" s="5">
        <f>IF($I2="","",INDEX(Productos!$I:$I,$I2))</f>
        <v/>
      </c>
      <c r="G418" s="135" t="n">
        <v>15</v>
      </c>
      <c r="H418" s="5">
        <f>IF($I2="","",INDEX(Productos!$AG:$AG,$I2))</f>
        <v/>
      </c>
      <c r="I418" s="136">
        <f>LET(_xlpm.r,Productos!$E$2:$E$1063,_xlpm.m,IFERROR(_xlfn.XMATCH(C418,_xlpm.r),IFERROR(_xlfn.XMATCH(VALUE(C418),_xlpm.r),0)),IF(_xlpm.m=0,"",_xlpm.m+1))</f>
        <v/>
      </c>
      <c r="J418" s="137" t="inlineStr">
        <is>
          <t>Odoo</t>
        </is>
      </c>
    </row>
    <row r="419">
      <c r="A419" s="5" t="inlineStr">
        <is>
          <t>Odoo Universal Unique Brands › Bodega 25 › Bodega 25/General</t>
        </is>
      </c>
      <c r="B419" s="5">
        <f>IF($I2="","",INDEX(Productos!$A:$A,$I2))</f>
        <v/>
      </c>
      <c r="C419" s="134" t="inlineStr">
        <is>
          <t>C49733-27-40</t>
        </is>
      </c>
      <c r="D419" s="5">
        <f>IF($I2="","",INDEX(Productos!$B:$B,$I2))</f>
        <v/>
      </c>
      <c r="E419" s="5">
        <f>IF($I2="","",INDEX(Productos!$H:$H,$I2))</f>
        <v/>
      </c>
      <c r="F419" s="5">
        <f>IF($I2="","",INDEX(Productos!$I:$I,$I2))</f>
        <v/>
      </c>
      <c r="G419" s="135" t="n">
        <v>22</v>
      </c>
      <c r="H419" s="5">
        <f>IF($I2="","",INDEX(Productos!$AG:$AG,$I2))</f>
        <v/>
      </c>
      <c r="I419" s="136">
        <f>LET(_xlpm.r,Productos!$E$2:$E$1063,_xlpm.m,IFERROR(_xlfn.XMATCH(C419,_xlpm.r),IFERROR(_xlfn.XMATCH(VALUE(C419),_xlpm.r),0)),IF(_xlpm.m=0,"",_xlpm.m+1))</f>
        <v/>
      </c>
      <c r="J419" s="137" t="inlineStr">
        <is>
          <t>Odoo</t>
        </is>
      </c>
    </row>
    <row r="420">
      <c r="A420" s="5" t="inlineStr">
        <is>
          <t>Odoo Universal Unique Brands › Bodega 25 › Bodega 25/General</t>
        </is>
      </c>
      <c r="B420" s="5">
        <f>IF($I2="","",INDEX(Productos!$A:$A,$I2))</f>
        <v/>
      </c>
      <c r="C420" s="134" t="inlineStr">
        <is>
          <t>C49733-27-42</t>
        </is>
      </c>
      <c r="D420" s="5">
        <f>IF($I2="","",INDEX(Productos!$B:$B,$I2))</f>
        <v/>
      </c>
      <c r="E420" s="5">
        <f>IF($I2="","",INDEX(Productos!$H:$H,$I2))</f>
        <v/>
      </c>
      <c r="F420" s="5">
        <f>IF($I2="","",INDEX(Productos!$I:$I,$I2))</f>
        <v/>
      </c>
      <c r="G420" s="135" t="n">
        <v>22</v>
      </c>
      <c r="H420" s="5">
        <f>IF($I2="","",INDEX(Productos!$AG:$AG,$I2))</f>
        <v/>
      </c>
      <c r="I420" s="136">
        <f>LET(_xlpm.r,Productos!$E$2:$E$1063,_xlpm.m,IFERROR(_xlfn.XMATCH(C420,_xlpm.r),IFERROR(_xlfn.XMATCH(VALUE(C420),_xlpm.r),0)),IF(_xlpm.m=0,"",_xlpm.m+1))</f>
        <v/>
      </c>
      <c r="J420" s="137" t="inlineStr">
        <is>
          <t>Odoo</t>
        </is>
      </c>
    </row>
    <row r="421">
      <c r="A421" s="5" t="inlineStr">
        <is>
          <t>Odoo Universal Unique Brands › Bodega 25 › Bodega 25/General</t>
        </is>
      </c>
      <c r="B421" s="5">
        <f>IF($I2="","",INDEX(Productos!$A:$A,$I2))</f>
        <v/>
      </c>
      <c r="C421" s="134" t="inlineStr">
        <is>
          <t>C49733-27-44</t>
        </is>
      </c>
      <c r="D421" s="5">
        <f>IF($I2="","",INDEX(Productos!$B:$B,$I2))</f>
        <v/>
      </c>
      <c r="E421" s="5">
        <f>IF($I2="","",INDEX(Productos!$H:$H,$I2))</f>
        <v/>
      </c>
      <c r="F421" s="5">
        <f>IF($I2="","",INDEX(Productos!$I:$I,$I2))</f>
        <v/>
      </c>
      <c r="G421" s="135" t="n">
        <v>17</v>
      </c>
      <c r="H421" s="5">
        <f>IF($I2="","",INDEX(Productos!$AG:$AG,$I2))</f>
        <v/>
      </c>
      <c r="I421" s="136">
        <f>LET(_xlpm.r,Productos!$E$2:$E$1063,_xlpm.m,IFERROR(_xlfn.XMATCH(C421,_xlpm.r),IFERROR(_xlfn.XMATCH(VALUE(C421),_xlpm.r),0)),IF(_xlpm.m=0,"",_xlpm.m+1))</f>
        <v/>
      </c>
      <c r="J421" s="137" t="inlineStr">
        <is>
          <t>Odoo</t>
        </is>
      </c>
    </row>
    <row r="422">
      <c r="A422" s="5" t="inlineStr">
        <is>
          <t>Odoo Universal Unique Brands › Bodega 25 › Bodega 25/General</t>
        </is>
      </c>
      <c r="B422" s="5">
        <f>IF($I2="","",INDEX(Productos!$A:$A,$I2))</f>
        <v/>
      </c>
      <c r="C422" s="134" t="inlineStr">
        <is>
          <t>C49733-59-32</t>
        </is>
      </c>
      <c r="D422" s="5">
        <f>IF($I2="","",INDEX(Productos!$B:$B,$I2))</f>
        <v/>
      </c>
      <c r="E422" s="5">
        <f>IF($I2="","",INDEX(Productos!$H:$H,$I2))</f>
        <v/>
      </c>
      <c r="F422" s="5">
        <f>IF($I2="","",INDEX(Productos!$I:$I,$I2))</f>
        <v/>
      </c>
      <c r="G422" s="135" t="n">
        <v>5</v>
      </c>
      <c r="H422" s="5">
        <f>IF($I2="","",INDEX(Productos!$AG:$AG,$I2))</f>
        <v/>
      </c>
      <c r="I422" s="136">
        <f>LET(_xlpm.r,Productos!$E$2:$E$1063,_xlpm.m,IFERROR(_xlfn.XMATCH(C422,_xlpm.r),IFERROR(_xlfn.XMATCH(VALUE(C422),_xlpm.r),0)),IF(_xlpm.m=0,"",_xlpm.m+1))</f>
        <v/>
      </c>
      <c r="J422" s="137" t="inlineStr">
        <is>
          <t>Odoo</t>
        </is>
      </c>
    </row>
    <row r="423">
      <c r="A423" s="5" t="inlineStr">
        <is>
          <t>Odoo Universal Unique Brands › Bodega 25 › Bodega 25/General</t>
        </is>
      </c>
      <c r="B423" s="5">
        <f>IF($I2="","",INDEX(Productos!$A:$A,$I2))</f>
        <v/>
      </c>
      <c r="C423" s="134" t="inlineStr">
        <is>
          <t>C49733-59-34</t>
        </is>
      </c>
      <c r="D423" s="5">
        <f>IF($I2="","",INDEX(Productos!$B:$B,$I2))</f>
        <v/>
      </c>
      <c r="E423" s="5">
        <f>IF($I2="","",INDEX(Productos!$H:$H,$I2))</f>
        <v/>
      </c>
      <c r="F423" s="5">
        <f>IF($I2="","",INDEX(Productos!$I:$I,$I2))</f>
        <v/>
      </c>
      <c r="G423" s="135" t="n">
        <v>10</v>
      </c>
      <c r="H423" s="5">
        <f>IF($I2="","",INDEX(Productos!$AG:$AG,$I2))</f>
        <v/>
      </c>
      <c r="I423" s="136">
        <f>LET(_xlpm.r,Productos!$E$2:$E$1063,_xlpm.m,IFERROR(_xlfn.XMATCH(C423,_xlpm.r),IFERROR(_xlfn.XMATCH(VALUE(C423),_xlpm.r),0)),IF(_xlpm.m=0,"",_xlpm.m+1))</f>
        <v/>
      </c>
      <c r="J423" s="137" t="inlineStr">
        <is>
          <t>Odoo</t>
        </is>
      </c>
    </row>
    <row r="424">
      <c r="A424" s="5" t="inlineStr">
        <is>
          <t>Odoo Universal Unique Brands › Bodega 25 › Bodega 25/General</t>
        </is>
      </c>
      <c r="B424" s="5">
        <f>IF($I2="","",INDEX(Productos!$A:$A,$I2))</f>
        <v/>
      </c>
      <c r="C424" s="134" t="inlineStr">
        <is>
          <t>C49733-59-36</t>
        </is>
      </c>
      <c r="D424" s="5">
        <f>IF($I2="","",INDEX(Productos!$B:$B,$I2))</f>
        <v/>
      </c>
      <c r="E424" s="5">
        <f>IF($I2="","",INDEX(Productos!$H:$H,$I2))</f>
        <v/>
      </c>
      <c r="F424" s="5">
        <f>IF($I2="","",INDEX(Productos!$I:$I,$I2))</f>
        <v/>
      </c>
      <c r="G424" s="135" t="n">
        <v>10</v>
      </c>
      <c r="H424" s="5">
        <f>IF($I2="","",INDEX(Productos!$AG:$AG,$I2))</f>
        <v/>
      </c>
      <c r="I424" s="136">
        <f>LET(_xlpm.r,Productos!$E$2:$E$1063,_xlpm.m,IFERROR(_xlfn.XMATCH(C424,_xlpm.r),IFERROR(_xlfn.XMATCH(VALUE(C424),_xlpm.r),0)),IF(_xlpm.m=0,"",_xlpm.m+1))</f>
        <v/>
      </c>
      <c r="J424" s="137" t="inlineStr">
        <is>
          <t>Odoo</t>
        </is>
      </c>
    </row>
    <row r="425">
      <c r="A425" s="5" t="inlineStr">
        <is>
          <t>Odoo Universal Unique Brands › Bodega 25 › Bodega 25/General</t>
        </is>
      </c>
      <c r="B425" s="5">
        <f>IF($I2="","",INDEX(Productos!$A:$A,$I2))</f>
        <v/>
      </c>
      <c r="C425" s="134" t="inlineStr">
        <is>
          <t>C49733-59-38</t>
        </is>
      </c>
      <c r="D425" s="5">
        <f>IF($I2="","",INDEX(Productos!$B:$B,$I2))</f>
        <v/>
      </c>
      <c r="E425" s="5">
        <f>IF($I2="","",INDEX(Productos!$H:$H,$I2))</f>
        <v/>
      </c>
      <c r="F425" s="5">
        <f>IF($I2="","",INDEX(Productos!$I:$I,$I2))</f>
        <v/>
      </c>
      <c r="G425" s="135" t="n">
        <v>15</v>
      </c>
      <c r="H425" s="5">
        <f>IF($I2="","",INDEX(Productos!$AG:$AG,$I2))</f>
        <v/>
      </c>
      <c r="I425" s="136">
        <f>LET(_xlpm.r,Productos!$E$2:$E$1063,_xlpm.m,IFERROR(_xlfn.XMATCH(C425,_xlpm.r),IFERROR(_xlfn.XMATCH(VALUE(C425),_xlpm.r),0)),IF(_xlpm.m=0,"",_xlpm.m+1))</f>
        <v/>
      </c>
      <c r="J425" s="137" t="inlineStr">
        <is>
          <t>Odoo</t>
        </is>
      </c>
    </row>
    <row r="426">
      <c r="A426" s="5" t="inlineStr">
        <is>
          <t>Odoo Universal Unique Brands › Bodega 25 › Bodega 25/General</t>
        </is>
      </c>
      <c r="B426" s="5">
        <f>IF($I2="","",INDEX(Productos!$A:$A,$I2))</f>
        <v/>
      </c>
      <c r="C426" s="134" t="inlineStr">
        <is>
          <t>C49733-59-40</t>
        </is>
      </c>
      <c r="D426" s="5">
        <f>IF($I2="","",INDEX(Productos!$B:$B,$I2))</f>
        <v/>
      </c>
      <c r="E426" s="5">
        <f>IF($I2="","",INDEX(Productos!$H:$H,$I2))</f>
        <v/>
      </c>
      <c r="F426" s="5">
        <f>IF($I2="","",INDEX(Productos!$I:$I,$I2))</f>
        <v/>
      </c>
      <c r="G426" s="135" t="n">
        <v>22</v>
      </c>
      <c r="H426" s="5">
        <f>IF($I2="","",INDEX(Productos!$AG:$AG,$I2))</f>
        <v/>
      </c>
      <c r="I426" s="136">
        <f>LET(_xlpm.r,Productos!$E$2:$E$1063,_xlpm.m,IFERROR(_xlfn.XMATCH(C426,_xlpm.r),IFERROR(_xlfn.XMATCH(VALUE(C426),_xlpm.r),0)),IF(_xlpm.m=0,"",_xlpm.m+1))</f>
        <v/>
      </c>
      <c r="J426" s="137" t="inlineStr">
        <is>
          <t>Odoo</t>
        </is>
      </c>
    </row>
    <row r="427">
      <c r="A427" s="5" t="inlineStr">
        <is>
          <t>Odoo Universal Unique Brands › Bodega 25 › Bodega 25/General</t>
        </is>
      </c>
      <c r="B427" s="5">
        <f>IF($I2="","",INDEX(Productos!$A:$A,$I2))</f>
        <v/>
      </c>
      <c r="C427" s="134" t="inlineStr">
        <is>
          <t>C49733-59-42</t>
        </is>
      </c>
      <c r="D427" s="5">
        <f>IF($I2="","",INDEX(Productos!$B:$B,$I2))</f>
        <v/>
      </c>
      <c r="E427" s="5">
        <f>IF($I2="","",INDEX(Productos!$H:$H,$I2))</f>
        <v/>
      </c>
      <c r="F427" s="5">
        <f>IF($I2="","",INDEX(Productos!$I:$I,$I2))</f>
        <v/>
      </c>
      <c r="G427" s="135" t="n">
        <v>22</v>
      </c>
      <c r="H427" s="5">
        <f>IF($I2="","",INDEX(Productos!$AG:$AG,$I2))</f>
        <v/>
      </c>
      <c r="I427" s="136">
        <f>LET(_xlpm.r,Productos!$E$2:$E$1063,_xlpm.m,IFERROR(_xlfn.XMATCH(C427,_xlpm.r),IFERROR(_xlfn.XMATCH(VALUE(C427),_xlpm.r),0)),IF(_xlpm.m=0,"",_xlpm.m+1))</f>
        <v/>
      </c>
      <c r="J427" s="137" t="inlineStr">
        <is>
          <t>Odoo</t>
        </is>
      </c>
    </row>
    <row r="428">
      <c r="A428" s="5" t="inlineStr">
        <is>
          <t>Odoo Universal Unique Brands › Bodega 25 › Bodega 25/General</t>
        </is>
      </c>
      <c r="B428" s="5">
        <f>IF($I2="","",INDEX(Productos!$A:$A,$I2))</f>
        <v/>
      </c>
      <c r="C428" s="134" t="inlineStr">
        <is>
          <t>C49733-59-44</t>
        </is>
      </c>
      <c r="D428" s="5">
        <f>IF($I2="","",INDEX(Productos!$B:$B,$I2))</f>
        <v/>
      </c>
      <c r="E428" s="5">
        <f>IF($I2="","",INDEX(Productos!$H:$H,$I2))</f>
        <v/>
      </c>
      <c r="F428" s="5">
        <f>IF($I2="","",INDEX(Productos!$I:$I,$I2))</f>
        <v/>
      </c>
      <c r="G428" s="135" t="n">
        <v>17</v>
      </c>
      <c r="H428" s="5">
        <f>IF($I2="","",INDEX(Productos!$AG:$AG,$I2))</f>
        <v/>
      </c>
      <c r="I428" s="136">
        <f>LET(_xlpm.r,Productos!$E$2:$E$1063,_xlpm.m,IFERROR(_xlfn.XMATCH(C428,_xlpm.r),IFERROR(_xlfn.XMATCH(VALUE(C428),_xlpm.r),0)),IF(_xlpm.m=0,"",_xlpm.m+1))</f>
        <v/>
      </c>
      <c r="J428" s="137" t="inlineStr">
        <is>
          <t>Odoo</t>
        </is>
      </c>
    </row>
    <row r="429">
      <c r="A429" s="5" t="inlineStr">
        <is>
          <t>Odoo Universal Unique Brands › Bodega 25 › Bodega 25/General</t>
        </is>
      </c>
      <c r="B429" s="5">
        <f>IF($I2="","",INDEX(Productos!$A:$A,$I2))</f>
        <v/>
      </c>
      <c r="C429" s="134" t="inlineStr">
        <is>
          <t>MW-602BK</t>
        </is>
      </c>
      <c r="D429" s="5">
        <f>IF($I2="","",INDEX(Productos!$B:$B,$I2))</f>
        <v/>
      </c>
      <c r="E429" s="5">
        <f>IF($I2="","",INDEX(Productos!$H:$H,$I2))</f>
        <v/>
      </c>
      <c r="F429" s="5">
        <f>IF($I2="","",INDEX(Productos!$I:$I,$I2))</f>
        <v/>
      </c>
      <c r="G429" s="135" t="n">
        <v>5</v>
      </c>
      <c r="H429" s="5">
        <f>IF($I2="","",INDEX(Productos!$AG:$AG,$I2))</f>
        <v/>
      </c>
      <c r="I429" s="136">
        <f>LET(_xlpm.r,Productos!$E$2:$E$1063,_xlpm.m,IFERROR(_xlfn.XMATCH(C429,_xlpm.r),IFERROR(_xlfn.XMATCH(VALUE(C429),_xlpm.r),0)),IF(_xlpm.m=0,"",_xlpm.m+1))</f>
        <v/>
      </c>
      <c r="J429" s="137" t="inlineStr">
        <is>
          <t>Odoo</t>
        </is>
      </c>
    </row>
    <row r="430">
      <c r="A430" s="5" t="inlineStr">
        <is>
          <t>Odoo Universal Unique Brands › Bodega 25 › Bodega 25/General</t>
        </is>
      </c>
      <c r="B430" s="5">
        <f>IF($I2="","",INDEX(Productos!$A:$A,$I2))</f>
        <v/>
      </c>
      <c r="C430" s="134" t="inlineStr">
        <is>
          <t>MW-605BK</t>
        </is>
      </c>
      <c r="D430" s="5">
        <f>IF($I2="","",INDEX(Productos!$B:$B,$I2))</f>
        <v/>
      </c>
      <c r="E430" s="5">
        <f>IF($I2="","",INDEX(Productos!$H:$H,$I2))</f>
        <v/>
      </c>
      <c r="F430" s="5">
        <f>IF($I2="","",INDEX(Productos!$I:$I,$I2))</f>
        <v/>
      </c>
      <c r="G430" s="135" t="n">
        <v>5</v>
      </c>
      <c r="H430" s="5">
        <f>IF($I2="","",INDEX(Productos!$AG:$AG,$I2))</f>
        <v/>
      </c>
      <c r="I430" s="136">
        <f>LET(_xlpm.r,Productos!$E$2:$E$1063,_xlpm.m,IFERROR(_xlfn.XMATCH(C430,_xlpm.r),IFERROR(_xlfn.XMATCH(VALUE(C430),_xlpm.r),0)),IF(_xlpm.m=0,"",_xlpm.m+1))</f>
        <v/>
      </c>
      <c r="J430" s="137" t="inlineStr">
        <is>
          <t>Odoo</t>
        </is>
      </c>
    </row>
    <row r="431">
      <c r="A431" s="5" t="inlineStr">
        <is>
          <t>Odoo Universal Unique Brands › Bodega 25 › Bodega 25/General</t>
        </is>
      </c>
      <c r="B431" s="5">
        <f>IF($I2="","",INDEX(Productos!$A:$A,$I2))</f>
        <v/>
      </c>
      <c r="C431" s="134" t="inlineStr">
        <is>
          <t>MW-613BR</t>
        </is>
      </c>
      <c r="D431" s="5">
        <f>IF($I2="","",INDEX(Productos!$B:$B,$I2))</f>
        <v/>
      </c>
      <c r="E431" s="5">
        <f>IF($I2="","",INDEX(Productos!$H:$H,$I2))</f>
        <v/>
      </c>
      <c r="F431" s="5">
        <f>IF($I2="","",INDEX(Productos!$I:$I,$I2))</f>
        <v/>
      </c>
      <c r="G431" s="135" t="n">
        <v>4</v>
      </c>
      <c r="H431" s="5">
        <f>IF($I2="","",INDEX(Productos!$AG:$AG,$I2))</f>
        <v/>
      </c>
      <c r="I431" s="136">
        <f>LET(_xlpm.r,Productos!$E$2:$E$1063,_xlpm.m,IFERROR(_xlfn.XMATCH(C431,_xlpm.r),IFERROR(_xlfn.XMATCH(VALUE(C431),_xlpm.r),0)),IF(_xlpm.m=0,"",_xlpm.m+1))</f>
        <v/>
      </c>
      <c r="J431" s="137" t="inlineStr">
        <is>
          <t>Odoo</t>
        </is>
      </c>
    </row>
    <row r="432">
      <c r="A432" s="5" t="inlineStr">
        <is>
          <t>Odoo Universal Unique Brands › Bodega 25 › Bodega 25/General</t>
        </is>
      </c>
      <c r="B432" s="5">
        <f>IF($I2="","",INDEX(Productos!$A:$A,$I2))</f>
        <v/>
      </c>
      <c r="C432" s="134" t="inlineStr">
        <is>
          <t>MW1124-H8120SWCF</t>
        </is>
      </c>
      <c r="D432" s="5">
        <f>IF($I2="","",INDEX(Productos!$B:$B,$I2))</f>
        <v/>
      </c>
      <c r="E432" s="5">
        <f>IF($I2="","",INDEX(Productos!$H:$H,$I2))</f>
        <v/>
      </c>
      <c r="F432" s="5">
        <f>IF($I2="","",INDEX(Productos!$I:$I,$I2))</f>
        <v/>
      </c>
      <c r="G432" s="135" t="n">
        <v>12</v>
      </c>
      <c r="H432" s="5">
        <f>IF($I2="","",INDEX(Productos!$AG:$AG,$I2))</f>
        <v/>
      </c>
      <c r="I432" s="136">
        <f>LET(_xlpm.r,Productos!$E$2:$E$1063,_xlpm.m,IFERROR(_xlfn.XMATCH(C432,_xlpm.r),IFERROR(_xlfn.XMATCH(VALUE(C432),_xlpm.r),0)),IF(_xlpm.m=0,"",_xlpm.m+1))</f>
        <v/>
      </c>
      <c r="J432" s="137" t="inlineStr">
        <is>
          <t>Odoo</t>
        </is>
      </c>
    </row>
    <row r="433">
      <c r="A433" s="5" t="inlineStr">
        <is>
          <t>Odoo Universal Unique Brands › Bodega 25 › Bodega 25/General</t>
        </is>
      </c>
      <c r="B433" s="5">
        <f>IF($I2="","",INDEX(Productos!$A:$A,$I2))</f>
        <v/>
      </c>
      <c r="C433" s="134" t="inlineStr">
        <is>
          <t>MW1247-9360BR</t>
        </is>
      </c>
      <c r="D433" s="5">
        <f>IF($I2="","",INDEX(Productos!$B:$B,$I2))</f>
        <v/>
      </c>
      <c r="E433" s="5">
        <f>IF($I2="","",INDEX(Productos!$H:$H,$I2))</f>
        <v/>
      </c>
      <c r="F433" s="5">
        <f>IF($I2="","",INDEX(Productos!$I:$I,$I2))</f>
        <v/>
      </c>
      <c r="G433" s="135" t="n">
        <v>32</v>
      </c>
      <c r="H433" s="5">
        <f>IF($I2="","",INDEX(Productos!$AG:$AG,$I2))</f>
        <v/>
      </c>
      <c r="I433" s="136">
        <f>LET(_xlpm.r,Productos!$E$2:$E$1063,_xlpm.m,IFERROR(_xlfn.XMATCH(C433,_xlpm.r),IFERROR(_xlfn.XMATCH(VALUE(C433),_xlpm.r),0)),IF(_xlpm.m=0,"",_xlpm.m+1))</f>
        <v/>
      </c>
      <c r="J433" s="137" t="inlineStr">
        <is>
          <t>Odoo</t>
        </is>
      </c>
    </row>
    <row r="434">
      <c r="A434" s="5" t="inlineStr">
        <is>
          <t>Odoo Universal Unique Brands › Bodega 25 › Bodega 25/General</t>
        </is>
      </c>
      <c r="B434" s="5">
        <f>IF($I2="","",INDEX(Productos!$A:$A,$I2))</f>
        <v/>
      </c>
      <c r="C434" s="134" t="inlineStr">
        <is>
          <t>MW1290-181HPK</t>
        </is>
      </c>
      <c r="D434" s="5">
        <f>IF($I2="","",INDEX(Productos!$B:$B,$I2))</f>
        <v/>
      </c>
      <c r="E434" s="5">
        <f>IF($I2="","",INDEX(Productos!$H:$H,$I2))</f>
        <v/>
      </c>
      <c r="F434" s="5">
        <f>IF($I2="","",INDEX(Productos!$I:$I,$I2))</f>
        <v/>
      </c>
      <c r="G434" s="135" t="n">
        <v>2</v>
      </c>
      <c r="H434" s="5">
        <f>IF($I2="","",INDEX(Productos!$AG:$AG,$I2))</f>
        <v/>
      </c>
      <c r="I434" s="136">
        <f>LET(_xlpm.r,Productos!$E$2:$E$1063,_xlpm.m,IFERROR(_xlfn.XMATCH(C434,_xlpm.r),IFERROR(_xlfn.XMATCH(VALUE(C434),_xlpm.r),0)),IF(_xlpm.m=0,"",_xlpm.m+1))</f>
        <v/>
      </c>
      <c r="J434" s="137" t="inlineStr">
        <is>
          <t>Odoo</t>
        </is>
      </c>
    </row>
    <row r="435">
      <c r="A435" s="5" t="inlineStr">
        <is>
          <t>Odoo Universal Unique Brands › Bodega 25 › Bodega 25/General</t>
        </is>
      </c>
      <c r="B435" s="5">
        <f>IF($I2="","",INDEX(Productos!$A:$A,$I2))</f>
        <v/>
      </c>
      <c r="C435" s="134" t="inlineStr">
        <is>
          <t>MW1299G-8317TQ</t>
        </is>
      </c>
      <c r="D435" s="5">
        <f>IF($I2="","",INDEX(Productos!$B:$B,$I2))</f>
        <v/>
      </c>
      <c r="E435" s="5">
        <f>IF($I2="","",INDEX(Productos!$H:$H,$I2))</f>
        <v/>
      </c>
      <c r="F435" s="5">
        <f>IF($I2="","",INDEX(Productos!$I:$I,$I2))</f>
        <v/>
      </c>
      <c r="G435" s="135" t="n">
        <v>4</v>
      </c>
      <c r="H435" s="5">
        <f>IF($I2="","",INDEX(Productos!$AG:$AG,$I2))</f>
        <v/>
      </c>
      <c r="I435" s="136">
        <f>LET(_xlpm.r,Productos!$E$2:$E$1063,_xlpm.m,IFERROR(_xlfn.XMATCH(C435,_xlpm.r),IFERROR(_xlfn.XMATCH(VALUE(C435),_xlpm.r),0)),IF(_xlpm.m=0,"",_xlpm.m+1))</f>
        <v/>
      </c>
      <c r="J435" s="137" t="inlineStr">
        <is>
          <t>Odoo</t>
        </is>
      </c>
    </row>
    <row r="436">
      <c r="A436" s="5" t="inlineStr">
        <is>
          <t>Odoo Universal Unique Brands › Bodega 25 › Bodega 25/General</t>
        </is>
      </c>
      <c r="B436" s="5">
        <f>IF($I2="","",INDEX(Productos!$A:$A,$I2))</f>
        <v/>
      </c>
      <c r="C436" s="134" t="inlineStr">
        <is>
          <t>MW1312G-8317BR</t>
        </is>
      </c>
      <c r="D436" s="5">
        <f>IF($I2="","",INDEX(Productos!$B:$B,$I2))</f>
        <v/>
      </c>
      <c r="E436" s="5">
        <f>IF($I2="","",INDEX(Productos!$H:$H,$I2))</f>
        <v/>
      </c>
      <c r="F436" s="5">
        <f>IF($I2="","",INDEX(Productos!$I:$I,$I2))</f>
        <v/>
      </c>
      <c r="G436" s="135" t="n">
        <v>36</v>
      </c>
      <c r="H436" s="5">
        <f>IF($I2="","",INDEX(Productos!$AG:$AG,$I2))</f>
        <v/>
      </c>
      <c r="I436" s="136">
        <f>LET(_xlpm.r,Productos!$E$2:$E$1063,_xlpm.m,IFERROR(_xlfn.XMATCH(C436,_xlpm.r),IFERROR(_xlfn.XMATCH(VALUE(C436),_xlpm.r),0)),IF(_xlpm.m=0,"",_xlpm.m+1))</f>
        <v/>
      </c>
      <c r="J436" s="137" t="inlineStr">
        <is>
          <t>Odoo</t>
        </is>
      </c>
    </row>
    <row r="437">
      <c r="A437" s="5" t="inlineStr">
        <is>
          <t>Odoo Universal Unique Brands › Bodega 25 › Bodega 25/General</t>
        </is>
      </c>
      <c r="B437" s="5">
        <f>IF($I2="","",INDEX(Productos!$A:$A,$I2))</f>
        <v/>
      </c>
      <c r="C437" s="134" t="inlineStr">
        <is>
          <t>MW1312G-8317TN</t>
        </is>
      </c>
      <c r="D437" s="5">
        <f>IF($I2="","",INDEX(Productos!$B:$B,$I2))</f>
        <v/>
      </c>
      <c r="E437" s="5">
        <f>IF($I2="","",INDEX(Productos!$H:$H,$I2))</f>
        <v/>
      </c>
      <c r="F437" s="5">
        <f>IF($I2="","",INDEX(Productos!$I:$I,$I2))</f>
        <v/>
      </c>
      <c r="G437" s="135" t="n">
        <v>57</v>
      </c>
      <c r="H437" s="5">
        <f>IF($I2="","",INDEX(Productos!$AG:$AG,$I2))</f>
        <v/>
      </c>
      <c r="I437" s="136">
        <f>LET(_xlpm.r,Productos!$E$2:$E$1063,_xlpm.m,IFERROR(_xlfn.XMATCH(C437,_xlpm.r),IFERROR(_xlfn.XMATCH(VALUE(C437),_xlpm.r),0)),IF(_xlpm.m=0,"",_xlpm.m+1))</f>
        <v/>
      </c>
      <c r="J437" s="137" t="inlineStr">
        <is>
          <t>Odoo</t>
        </is>
      </c>
    </row>
    <row r="438">
      <c r="A438" s="5" t="inlineStr">
        <is>
          <t>Odoo Universal Unique Brands › Bodega 25 › Bodega 25/General</t>
        </is>
      </c>
      <c r="B438" s="5">
        <f>IF($I2="","",INDEX(Productos!$A:$A,$I2))</f>
        <v/>
      </c>
      <c r="C438" s="134" t="inlineStr">
        <is>
          <t>MW1317-1831CF</t>
        </is>
      </c>
      <c r="D438" s="5">
        <f>IF($I2="","",INDEX(Productos!$B:$B,$I2))</f>
        <v/>
      </c>
      <c r="E438" s="5">
        <f>IF($I2="","",INDEX(Productos!$H:$H,$I2))</f>
        <v/>
      </c>
      <c r="F438" s="5">
        <f>IF($I2="","",INDEX(Productos!$I:$I,$I2))</f>
        <v/>
      </c>
      <c r="G438" s="135" t="n">
        <v>11</v>
      </c>
      <c r="H438" s="5">
        <f>IF($I2="","",INDEX(Productos!$AG:$AG,$I2))</f>
        <v/>
      </c>
      <c r="I438" s="136">
        <f>LET(_xlpm.r,Productos!$E$2:$E$1063,_xlpm.m,IFERROR(_xlfn.XMATCH(C438,_xlpm.r),IFERROR(_xlfn.XMATCH(VALUE(C438),_xlpm.r),0)),IF(_xlpm.m=0,"",_xlpm.m+1))</f>
        <v/>
      </c>
      <c r="J438" s="137" t="inlineStr">
        <is>
          <t>Odoo</t>
        </is>
      </c>
    </row>
    <row r="439">
      <c r="A439" s="5" t="inlineStr">
        <is>
          <t>Odoo Universal Unique Brands › Bodega 25 › Bodega 25/General</t>
        </is>
      </c>
      <c r="B439" s="5">
        <f>IF($I2="","",INDEX(Productos!$A:$A,$I2))</f>
        <v/>
      </c>
      <c r="C439" s="134" t="inlineStr">
        <is>
          <t>MW1317-8360BR</t>
        </is>
      </c>
      <c r="D439" s="5">
        <f>IF($I2="","",INDEX(Productos!$B:$B,$I2))</f>
        <v/>
      </c>
      <c r="E439" s="5">
        <f>IF($I2="","",INDEX(Productos!$H:$H,$I2))</f>
        <v/>
      </c>
      <c r="F439" s="5">
        <f>IF($I2="","",INDEX(Productos!$I:$I,$I2))</f>
        <v/>
      </c>
      <c r="G439" s="135" t="n">
        <v>30</v>
      </c>
      <c r="H439" s="5">
        <f>IF($I2="","",INDEX(Productos!$AG:$AG,$I2))</f>
        <v/>
      </c>
      <c r="I439" s="136">
        <f>LET(_xlpm.r,Productos!$E$2:$E$1063,_xlpm.m,IFERROR(_xlfn.XMATCH(C439,_xlpm.r),IFERROR(_xlfn.XMATCH(VALUE(C439),_xlpm.r),0)),IF(_xlpm.m=0,"",_xlpm.m+1))</f>
        <v/>
      </c>
      <c r="J439" s="137" t="inlineStr">
        <is>
          <t>Odoo</t>
        </is>
      </c>
    </row>
    <row r="440">
      <c r="A440" s="5" t="inlineStr">
        <is>
          <t>Odoo Universal Unique Brands › Bodega 25 › Bodega 25/General</t>
        </is>
      </c>
      <c r="B440" s="5">
        <f>IF($I2="","",INDEX(Productos!$A:$A,$I2))</f>
        <v/>
      </c>
      <c r="C440" s="134" t="inlineStr">
        <is>
          <t>MW1317-8360CF</t>
        </is>
      </c>
      <c r="D440" s="5">
        <f>IF($I2="","",INDEX(Productos!$B:$B,$I2))</f>
        <v/>
      </c>
      <c r="E440" s="5">
        <f>IF($I2="","",INDEX(Productos!$H:$H,$I2))</f>
        <v/>
      </c>
      <c r="F440" s="5">
        <f>IF($I2="","",INDEX(Productos!$I:$I,$I2))</f>
        <v/>
      </c>
      <c r="G440" s="135" t="n">
        <v>28</v>
      </c>
      <c r="H440" s="5">
        <f>IF($I2="","",INDEX(Productos!$AG:$AG,$I2))</f>
        <v/>
      </c>
      <c r="I440" s="136">
        <f>LET(_xlpm.r,Productos!$E$2:$E$1063,_xlpm.m,IFERROR(_xlfn.XMATCH(C440,_xlpm.r),IFERROR(_xlfn.XMATCH(VALUE(C440),_xlpm.r),0)),IF(_xlpm.m=0,"",_xlpm.m+1))</f>
        <v/>
      </c>
      <c r="J440" s="137" t="inlineStr">
        <is>
          <t>Odoo</t>
        </is>
      </c>
    </row>
    <row r="441">
      <c r="A441" s="5" t="inlineStr">
        <is>
          <t>Odoo Universal Unique Brands › Bodega 25 › Bodega 25/General</t>
        </is>
      </c>
      <c r="B441" s="5">
        <f>IF($I2="","",INDEX(Productos!$A:$A,$I2))</f>
        <v/>
      </c>
      <c r="C441" s="134" t="inlineStr">
        <is>
          <t>MW1317-8360TQ</t>
        </is>
      </c>
      <c r="D441" s="5">
        <f>IF($I2="","",INDEX(Productos!$B:$B,$I2))</f>
        <v/>
      </c>
      <c r="E441" s="5">
        <f>IF($I2="","",INDEX(Productos!$H:$H,$I2))</f>
        <v/>
      </c>
      <c r="F441" s="5">
        <f>IF($I2="","",INDEX(Productos!$I:$I,$I2))</f>
        <v/>
      </c>
      <c r="G441" s="135" t="n">
        <v>27</v>
      </c>
      <c r="H441" s="5">
        <f>IF($I2="","",INDEX(Productos!$AG:$AG,$I2))</f>
        <v/>
      </c>
      <c r="I441" s="136">
        <f>LET(_xlpm.r,Productos!$E$2:$E$1063,_xlpm.m,IFERROR(_xlfn.XMATCH(C441,_xlpm.r),IFERROR(_xlfn.XMATCH(VALUE(C441),_xlpm.r),0)),IF(_xlpm.m=0,"",_xlpm.m+1))</f>
        <v/>
      </c>
      <c r="J441" s="137" t="inlineStr">
        <is>
          <t>Odoo</t>
        </is>
      </c>
    </row>
    <row r="442">
      <c r="A442" s="5" t="inlineStr">
        <is>
          <t>Odoo Universal Unique Brands › Bodega 25 › Bodega 25/General</t>
        </is>
      </c>
      <c r="B442" s="5">
        <f>IF($I2="","",INDEX(Productos!$A:$A,$I2))</f>
        <v/>
      </c>
      <c r="C442" s="134" t="inlineStr">
        <is>
          <t>MW1317-W052TQ</t>
        </is>
      </c>
      <c r="D442" s="5">
        <f>IF($I2="","",INDEX(Productos!$B:$B,$I2))</f>
        <v/>
      </c>
      <c r="E442" s="5">
        <f>IF($I2="","",INDEX(Productos!$H:$H,$I2))</f>
        <v/>
      </c>
      <c r="F442" s="5">
        <f>IF($I2="","",INDEX(Productos!$I:$I,$I2))</f>
        <v/>
      </c>
      <c r="G442" s="135" t="n">
        <v>5</v>
      </c>
      <c r="H442" s="5">
        <f>IF($I2="","",INDEX(Productos!$AG:$AG,$I2))</f>
        <v/>
      </c>
      <c r="I442" s="136">
        <f>LET(_xlpm.r,Productos!$E$2:$E$1063,_xlpm.m,IFERROR(_xlfn.XMATCH(C442,_xlpm.r),IFERROR(_xlfn.XMATCH(VALUE(C442),_xlpm.r),0)),IF(_xlpm.m=0,"",_xlpm.m+1))</f>
        <v/>
      </c>
      <c r="J442" s="137" t="inlineStr">
        <is>
          <t>Odoo</t>
        </is>
      </c>
    </row>
    <row r="443">
      <c r="A443" s="5" t="inlineStr">
        <is>
          <t>Odoo Universal Unique Brands › Bodega 25 › Bodega 25/General</t>
        </is>
      </c>
      <c r="B443" s="5">
        <f>IF($I2="","",INDEX(Productos!$A:$A,$I2))</f>
        <v/>
      </c>
      <c r="C443" s="134" t="inlineStr">
        <is>
          <t>MW1318-194BK</t>
        </is>
      </c>
      <c r="D443" s="5">
        <f>IF($I2="","",INDEX(Productos!$B:$B,$I2))</f>
        <v/>
      </c>
      <c r="E443" s="5">
        <f>IF($I2="","",INDEX(Productos!$H:$H,$I2))</f>
        <v/>
      </c>
      <c r="F443" s="5">
        <f>IF($I2="","",INDEX(Productos!$I:$I,$I2))</f>
        <v/>
      </c>
      <c r="G443" s="135" t="n">
        <v>2</v>
      </c>
      <c r="H443" s="5">
        <f>IF($I2="","",INDEX(Productos!$AG:$AG,$I2))</f>
        <v/>
      </c>
      <c r="I443" s="136">
        <f>LET(_xlpm.r,Productos!$E$2:$E$1063,_xlpm.m,IFERROR(_xlfn.XMATCH(C443,_xlpm.r),IFERROR(_xlfn.XMATCH(VALUE(C443),_xlpm.r),0)),IF(_xlpm.m=0,"",_xlpm.m+1))</f>
        <v/>
      </c>
      <c r="J443" s="137" t="inlineStr">
        <is>
          <t>Odoo</t>
        </is>
      </c>
    </row>
    <row r="444">
      <c r="A444" s="5" t="inlineStr">
        <is>
          <t>Odoo Universal Unique Brands › Bodega 25 › Bodega 25/General</t>
        </is>
      </c>
      <c r="B444" s="5">
        <f>IF($I2="","",INDEX(Productos!$A:$A,$I2))</f>
        <v/>
      </c>
      <c r="C444" s="134" t="inlineStr">
        <is>
          <t>MW1318-194BR</t>
        </is>
      </c>
      <c r="D444" s="5">
        <f>IF($I2="","",INDEX(Productos!$B:$B,$I2))</f>
        <v/>
      </c>
      <c r="E444" s="5">
        <f>IF($I2="","",INDEX(Productos!$H:$H,$I2))</f>
        <v/>
      </c>
      <c r="F444" s="5">
        <f>IF($I2="","",INDEX(Productos!$I:$I,$I2))</f>
        <v/>
      </c>
      <c r="G444" s="135" t="n">
        <v>1</v>
      </c>
      <c r="H444" s="5">
        <f>IF($I2="","",INDEX(Productos!$AG:$AG,$I2))</f>
        <v/>
      </c>
      <c r="I444" s="136">
        <f>LET(_xlpm.r,Productos!$E$2:$E$1063,_xlpm.m,IFERROR(_xlfn.XMATCH(C444,_xlpm.r),IFERROR(_xlfn.XMATCH(VALUE(C444),_xlpm.r),0)),IF(_xlpm.m=0,"",_xlpm.m+1))</f>
        <v/>
      </c>
      <c r="J444" s="137" t="inlineStr">
        <is>
          <t>Odoo</t>
        </is>
      </c>
    </row>
    <row r="445">
      <c r="A445" s="5" t="inlineStr">
        <is>
          <t>Odoo Universal Unique Brands › Bodega 25 › Bodega 25/General</t>
        </is>
      </c>
      <c r="B445" s="5">
        <f>IF($I2="","",INDEX(Productos!$A:$A,$I2))</f>
        <v/>
      </c>
      <c r="C445" s="134" t="inlineStr">
        <is>
          <t>MW1318-194LP</t>
        </is>
      </c>
      <c r="D445" s="5">
        <f>IF($I2="","",INDEX(Productos!$B:$B,$I2))</f>
        <v/>
      </c>
      <c r="E445" s="5">
        <f>IF($I2="","",INDEX(Productos!$H:$H,$I2))</f>
        <v/>
      </c>
      <c r="F445" s="5">
        <f>IF($I2="","",INDEX(Productos!$I:$I,$I2))</f>
        <v/>
      </c>
      <c r="G445" s="135" t="n">
        <v>5</v>
      </c>
      <c r="H445" s="5">
        <f>IF($I2="","",INDEX(Productos!$AG:$AG,$I2))</f>
        <v/>
      </c>
      <c r="I445" s="136">
        <f>LET(_xlpm.r,Productos!$E$2:$E$1063,_xlpm.m,IFERROR(_xlfn.XMATCH(C445,_xlpm.r),IFERROR(_xlfn.XMATCH(VALUE(C445),_xlpm.r),0)),IF(_xlpm.m=0,"",_xlpm.m+1))</f>
        <v/>
      </c>
      <c r="J445" s="137" t="inlineStr">
        <is>
          <t>Odoo</t>
        </is>
      </c>
    </row>
    <row r="446">
      <c r="A446" s="5" t="inlineStr">
        <is>
          <t>Odoo Universal Unique Brands › Bodega 25 › Bodega 25/General</t>
        </is>
      </c>
      <c r="B446" s="5">
        <f>IF($I2="","",INDEX(Productos!$A:$A,$I2))</f>
        <v/>
      </c>
      <c r="C446" s="134" t="inlineStr">
        <is>
          <t>MW1318-5110BK</t>
        </is>
      </c>
      <c r="D446" s="5">
        <f>IF($I2="","",INDEX(Productos!$B:$B,$I2))</f>
        <v/>
      </c>
      <c r="E446" s="5">
        <f>IF($I2="","",INDEX(Productos!$H:$H,$I2))</f>
        <v/>
      </c>
      <c r="F446" s="5">
        <f>IF($I2="","",INDEX(Productos!$I:$I,$I2))</f>
        <v/>
      </c>
      <c r="G446" s="135" t="n">
        <v>26</v>
      </c>
      <c r="H446" s="5">
        <f>IF($I2="","",INDEX(Productos!$AG:$AG,$I2))</f>
        <v/>
      </c>
      <c r="I446" s="136">
        <f>LET(_xlpm.r,Productos!$E$2:$E$1063,_xlpm.m,IFERROR(_xlfn.XMATCH(C446,_xlpm.r),IFERROR(_xlfn.XMATCH(VALUE(C446),_xlpm.r),0)),IF(_xlpm.m=0,"",_xlpm.m+1))</f>
        <v/>
      </c>
      <c r="J446" s="137" t="inlineStr">
        <is>
          <t>Odoo</t>
        </is>
      </c>
    </row>
    <row r="447">
      <c r="A447" s="5" t="inlineStr">
        <is>
          <t>Odoo Universal Unique Brands › Bodega 25 › Bodega 25/General</t>
        </is>
      </c>
      <c r="B447" s="5">
        <f>IF($I2="","",INDEX(Productos!$A:$A,$I2))</f>
        <v/>
      </c>
      <c r="C447" s="134" t="inlineStr">
        <is>
          <t>MW1318-8365BK</t>
        </is>
      </c>
      <c r="D447" s="5">
        <f>IF($I2="","",INDEX(Productos!$B:$B,$I2))</f>
        <v/>
      </c>
      <c r="E447" s="5">
        <f>IF($I2="","",INDEX(Productos!$H:$H,$I2))</f>
        <v/>
      </c>
      <c r="F447" s="5">
        <f>IF($I2="","",INDEX(Productos!$I:$I,$I2))</f>
        <v/>
      </c>
      <c r="G447" s="135" t="n">
        <v>3</v>
      </c>
      <c r="H447" s="5">
        <f>IF($I2="","",INDEX(Productos!$AG:$AG,$I2))</f>
        <v/>
      </c>
      <c r="I447" s="136">
        <f>LET(_xlpm.r,Productos!$E$2:$E$1063,_xlpm.m,IFERROR(_xlfn.XMATCH(C447,_xlpm.r),IFERROR(_xlfn.XMATCH(VALUE(C447),_xlpm.r),0)),IF(_xlpm.m=0,"",_xlpm.m+1))</f>
        <v/>
      </c>
      <c r="J447" s="137" t="inlineStr">
        <is>
          <t>Odoo</t>
        </is>
      </c>
    </row>
    <row r="448">
      <c r="A448" s="5" t="inlineStr">
        <is>
          <t>Odoo Universal Unique Brands › Bodega 25 › Bodega 25/General</t>
        </is>
      </c>
      <c r="B448" s="5">
        <f>IF($I2="","",INDEX(Productos!$A:$A,$I2))</f>
        <v/>
      </c>
      <c r="C448" s="134" t="inlineStr">
        <is>
          <t>MW1318-8365BR</t>
        </is>
      </c>
      <c r="D448" s="5">
        <f>IF($I2="","",INDEX(Productos!$B:$B,$I2))</f>
        <v/>
      </c>
      <c r="E448" s="5">
        <f>IF($I2="","",INDEX(Productos!$H:$H,$I2))</f>
        <v/>
      </c>
      <c r="F448" s="5">
        <f>IF($I2="","",INDEX(Productos!$I:$I,$I2))</f>
        <v/>
      </c>
      <c r="G448" s="135" t="n">
        <v>3</v>
      </c>
      <c r="H448" s="5">
        <f>IF($I2="","",INDEX(Productos!$AG:$AG,$I2))</f>
        <v/>
      </c>
      <c r="I448" s="136">
        <f>LET(_xlpm.r,Productos!$E$2:$E$1063,_xlpm.m,IFERROR(_xlfn.XMATCH(C448,_xlpm.r),IFERROR(_xlfn.XMATCH(VALUE(C448),_xlpm.r),0)),IF(_xlpm.m=0,"",_xlpm.m+1))</f>
        <v/>
      </c>
      <c r="J448" s="137" t="inlineStr">
        <is>
          <t>Odoo</t>
        </is>
      </c>
    </row>
    <row r="449">
      <c r="A449" s="5" t="inlineStr">
        <is>
          <t>Odoo Universal Unique Brands › Bodega 25 › Bodega 25/General</t>
        </is>
      </c>
      <c r="B449" s="5">
        <f>IF($I2="","",INDEX(Productos!$A:$A,$I2))</f>
        <v/>
      </c>
      <c r="C449" s="134" t="inlineStr">
        <is>
          <t>MW1318-8365LP</t>
        </is>
      </c>
      <c r="D449" s="5">
        <f>IF($I2="","",INDEX(Productos!$B:$B,$I2))</f>
        <v/>
      </c>
      <c r="E449" s="5">
        <f>IF($I2="","",INDEX(Productos!$H:$H,$I2))</f>
        <v/>
      </c>
      <c r="F449" s="5">
        <f>IF($I2="","",INDEX(Productos!$I:$I,$I2))</f>
        <v/>
      </c>
      <c r="G449" s="135" t="n">
        <v>1</v>
      </c>
      <c r="H449" s="5">
        <f>IF($I2="","",INDEX(Productos!$AG:$AG,$I2))</f>
        <v/>
      </c>
      <c r="I449" s="136">
        <f>LET(_xlpm.r,Productos!$E$2:$E$1063,_xlpm.m,IFERROR(_xlfn.XMATCH(C449,_xlpm.r),IFERROR(_xlfn.XMATCH(VALUE(C449),_xlpm.r),0)),IF(_xlpm.m=0,"",_xlpm.m+1))</f>
        <v/>
      </c>
      <c r="J449" s="137" t="inlineStr">
        <is>
          <t>Odoo</t>
        </is>
      </c>
    </row>
    <row r="450">
      <c r="A450" s="5" t="inlineStr">
        <is>
          <t>Odoo Universal Unique Brands › Bodega 25 › Bodega 25/General</t>
        </is>
      </c>
      <c r="B450" s="5">
        <f>IF($I2="","",INDEX(Productos!$A:$A,$I2))</f>
        <v/>
      </c>
      <c r="C450" s="134" t="inlineStr">
        <is>
          <t>MW1323-8011BK</t>
        </is>
      </c>
      <c r="D450" s="5">
        <f>IF($I2="","",INDEX(Productos!$B:$B,$I2))</f>
        <v/>
      </c>
      <c r="E450" s="5">
        <f>IF($I2="","",INDEX(Productos!$H:$H,$I2))</f>
        <v/>
      </c>
      <c r="F450" s="5">
        <f>IF($I2="","",INDEX(Productos!$I:$I,$I2))</f>
        <v/>
      </c>
      <c r="G450" s="135" t="n">
        <v>4</v>
      </c>
      <c r="H450" s="5">
        <f>IF($I2="","",INDEX(Productos!$AG:$AG,$I2))</f>
        <v/>
      </c>
      <c r="I450" s="136">
        <f>LET(_xlpm.r,Productos!$E$2:$E$1063,_xlpm.m,IFERROR(_xlfn.XMATCH(C450,_xlpm.r),IFERROR(_xlfn.XMATCH(VALUE(C450),_xlpm.r),0)),IF(_xlpm.m=0,"",_xlpm.m+1))</f>
        <v/>
      </c>
      <c r="J450" s="137" t="inlineStr">
        <is>
          <t>Odoo</t>
        </is>
      </c>
    </row>
    <row r="451">
      <c r="A451" s="5" t="inlineStr">
        <is>
          <t>Odoo Universal Unique Brands › Bodega 25 › Bodega 25/General</t>
        </is>
      </c>
      <c r="B451" s="5">
        <f>IF($I2="","",INDEX(Productos!$A:$A,$I2))</f>
        <v/>
      </c>
      <c r="C451" s="134" t="inlineStr">
        <is>
          <t>MW1323-8011GN</t>
        </is>
      </c>
      <c r="D451" s="5">
        <f>IF($I2="","",INDEX(Productos!$B:$B,$I2))</f>
        <v/>
      </c>
      <c r="E451" s="5">
        <f>IF($I2="","",INDEX(Productos!$H:$H,$I2))</f>
        <v/>
      </c>
      <c r="F451" s="5">
        <f>IF($I2="","",INDEX(Productos!$I:$I,$I2))</f>
        <v/>
      </c>
      <c r="G451" s="135" t="n">
        <v>3</v>
      </c>
      <c r="H451" s="5">
        <f>IF($I2="","",INDEX(Productos!$AG:$AG,$I2))</f>
        <v/>
      </c>
      <c r="I451" s="136">
        <f>LET(_xlpm.r,Productos!$E$2:$E$1063,_xlpm.m,IFERROR(_xlfn.XMATCH(C451,_xlpm.r),IFERROR(_xlfn.XMATCH(VALUE(C451),_xlpm.r),0)),IF(_xlpm.m=0,"",_xlpm.m+1))</f>
        <v/>
      </c>
      <c r="J451" s="137" t="inlineStr">
        <is>
          <t>Odoo</t>
        </is>
      </c>
    </row>
    <row r="452">
      <c r="A452" s="5" t="inlineStr">
        <is>
          <t>Odoo Universal Unique Brands › Bodega 25 › Bodega 25/General</t>
        </is>
      </c>
      <c r="B452" s="5">
        <f>IF($I2="","",INDEX(Productos!$A:$A,$I2))</f>
        <v/>
      </c>
      <c r="C452" s="134" t="inlineStr">
        <is>
          <t>MW1323-W049BK</t>
        </is>
      </c>
      <c r="D452" s="5">
        <f>IF($I2="","",INDEX(Productos!$B:$B,$I2))</f>
        <v/>
      </c>
      <c r="E452" s="5">
        <f>IF($I2="","",INDEX(Productos!$H:$H,$I2))</f>
        <v/>
      </c>
      <c r="F452" s="5">
        <f>IF($I2="","",INDEX(Productos!$I:$I,$I2))</f>
        <v/>
      </c>
      <c r="G452" s="135" t="n">
        <v>2</v>
      </c>
      <c r="H452" s="5">
        <f>IF($I2="","",INDEX(Productos!$AG:$AG,$I2))</f>
        <v/>
      </c>
      <c r="I452" s="136">
        <f>LET(_xlpm.r,Productos!$E$2:$E$1063,_xlpm.m,IFERROR(_xlfn.XMATCH(C452,_xlpm.r),IFERROR(_xlfn.XMATCH(VALUE(C452),_xlpm.r),0)),IF(_xlpm.m=0,"",_xlpm.m+1))</f>
        <v/>
      </c>
      <c r="J452" s="137" t="inlineStr">
        <is>
          <t>Odoo</t>
        </is>
      </c>
    </row>
    <row r="453">
      <c r="A453" s="5" t="inlineStr">
        <is>
          <t>Odoo Universal Unique Brands › Bodega 25 › Bodega 25/General</t>
        </is>
      </c>
      <c r="B453" s="5">
        <f>IF($I2="","",INDEX(Productos!$A:$A,$I2))</f>
        <v/>
      </c>
      <c r="C453" s="134" t="inlineStr">
        <is>
          <t>MW1323-W049BR</t>
        </is>
      </c>
      <c r="D453" s="5">
        <f>IF($I2="","",INDEX(Productos!$B:$B,$I2))</f>
        <v/>
      </c>
      <c r="E453" s="5">
        <f>IF($I2="","",INDEX(Productos!$H:$H,$I2))</f>
        <v/>
      </c>
      <c r="F453" s="5">
        <f>IF($I2="","",INDEX(Productos!$I:$I,$I2))</f>
        <v/>
      </c>
      <c r="G453" s="135" t="n">
        <v>2</v>
      </c>
      <c r="H453" s="5">
        <f>IF($I2="","",INDEX(Productos!$AG:$AG,$I2))</f>
        <v/>
      </c>
      <c r="I453" s="136">
        <f>LET(_xlpm.r,Productos!$E$2:$E$1063,_xlpm.m,IFERROR(_xlfn.XMATCH(C453,_xlpm.r),IFERROR(_xlfn.XMATCH(VALUE(C453),_xlpm.r),0)),IF(_xlpm.m=0,"",_xlpm.m+1))</f>
        <v/>
      </c>
      <c r="J453" s="137" t="inlineStr">
        <is>
          <t>Odoo</t>
        </is>
      </c>
    </row>
    <row r="454">
      <c r="A454" s="5" t="inlineStr">
        <is>
          <t>Odoo Universal Unique Brands › Bodega 25 › Bodega 25/General</t>
        </is>
      </c>
      <c r="B454" s="5">
        <f>IF($I2="","",INDEX(Productos!$A:$A,$I2))</f>
        <v/>
      </c>
      <c r="C454" s="134" t="inlineStr">
        <is>
          <t>MW1323-W049GN</t>
        </is>
      </c>
      <c r="D454" s="5">
        <f>IF($I2="","",INDEX(Productos!$B:$B,$I2))</f>
        <v/>
      </c>
      <c r="E454" s="5">
        <f>IF($I2="","",INDEX(Productos!$H:$H,$I2))</f>
        <v/>
      </c>
      <c r="F454" s="5">
        <f>IF($I2="","",INDEX(Productos!$I:$I,$I2))</f>
        <v/>
      </c>
      <c r="G454" s="135" t="n">
        <v>4</v>
      </c>
      <c r="H454" s="5">
        <f>IF($I2="","",INDEX(Productos!$AG:$AG,$I2))</f>
        <v/>
      </c>
      <c r="I454" s="136">
        <f>LET(_xlpm.r,Productos!$E$2:$E$1063,_xlpm.m,IFERROR(_xlfn.XMATCH(C454,_xlpm.r),IFERROR(_xlfn.XMATCH(VALUE(C454),_xlpm.r),0)),IF(_xlpm.m=0,"",_xlpm.m+1))</f>
        <v/>
      </c>
      <c r="J454" s="137" t="inlineStr">
        <is>
          <t>Odoo</t>
        </is>
      </c>
    </row>
    <row r="455">
      <c r="A455" s="5" t="inlineStr">
        <is>
          <t>Odoo Universal Unique Brands › Bodega 25 › Bodega 25/General</t>
        </is>
      </c>
      <c r="B455" s="5">
        <f>IF($I2="","",INDEX(Productos!$A:$A,$I2))</f>
        <v/>
      </c>
      <c r="C455" s="134" t="inlineStr">
        <is>
          <t>MW1323G-918BK</t>
        </is>
      </c>
      <c r="D455" s="5">
        <f>IF($I2="","",INDEX(Productos!$B:$B,$I2))</f>
        <v/>
      </c>
      <c r="E455" s="5">
        <f>IF($I2="","",INDEX(Productos!$H:$H,$I2))</f>
        <v/>
      </c>
      <c r="F455" s="5">
        <f>IF($I2="","",INDEX(Productos!$I:$I,$I2))</f>
        <v/>
      </c>
      <c r="G455" s="135" t="n">
        <v>1</v>
      </c>
      <c r="H455" s="5">
        <f>IF($I2="","",INDEX(Productos!$AG:$AG,$I2))</f>
        <v/>
      </c>
      <c r="I455" s="136">
        <f>LET(_xlpm.r,Productos!$E$2:$E$1063,_xlpm.m,IFERROR(_xlfn.XMATCH(C455,_xlpm.r),IFERROR(_xlfn.XMATCH(VALUE(C455),_xlpm.r),0)),IF(_xlpm.m=0,"",_xlpm.m+1))</f>
        <v/>
      </c>
      <c r="J455" s="137" t="inlineStr">
        <is>
          <t>Odoo</t>
        </is>
      </c>
    </row>
    <row r="456">
      <c r="A456" s="5" t="inlineStr">
        <is>
          <t>Odoo Universal Unique Brands › Bodega 25 › Bodega 25/General</t>
        </is>
      </c>
      <c r="B456" s="5">
        <f>IF($I2="","",INDEX(Productos!$A:$A,$I2))</f>
        <v/>
      </c>
      <c r="C456" s="134" t="inlineStr">
        <is>
          <t>MW1325-8360BR</t>
        </is>
      </c>
      <c r="D456" s="5">
        <f>IF($I2="","",INDEX(Productos!$B:$B,$I2))</f>
        <v/>
      </c>
      <c r="E456" s="5">
        <f>IF($I2="","",INDEX(Productos!$H:$H,$I2))</f>
        <v/>
      </c>
      <c r="F456" s="5">
        <f>IF($I2="","",INDEX(Productos!$I:$I,$I2))</f>
        <v/>
      </c>
      <c r="G456" s="135" t="n">
        <v>2</v>
      </c>
      <c r="H456" s="5">
        <f>IF($I2="","",INDEX(Productos!$AG:$AG,$I2))</f>
        <v/>
      </c>
      <c r="I456" s="136">
        <f>LET(_xlpm.r,Productos!$E$2:$E$1063,_xlpm.m,IFERROR(_xlfn.XMATCH(C456,_xlpm.r),IFERROR(_xlfn.XMATCH(VALUE(C456),_xlpm.r),0)),IF(_xlpm.m=0,"",_xlpm.m+1))</f>
        <v/>
      </c>
      <c r="J456" s="137" t="inlineStr">
        <is>
          <t>Odoo</t>
        </is>
      </c>
    </row>
    <row r="457">
      <c r="A457" s="5" t="inlineStr">
        <is>
          <t>Odoo Universal Unique Brands › Bodega 25 › Bodega 25/General</t>
        </is>
      </c>
      <c r="B457" s="5">
        <f>IF($I2="","",INDEX(Productos!$A:$A,$I2))</f>
        <v/>
      </c>
      <c r="C457" s="134" t="inlineStr">
        <is>
          <t>MW1325-8360PK</t>
        </is>
      </c>
      <c r="D457" s="5">
        <f>IF($I2="","",INDEX(Productos!$B:$B,$I2))</f>
        <v/>
      </c>
      <c r="E457" s="5">
        <f>IF($I2="","",INDEX(Productos!$H:$H,$I2))</f>
        <v/>
      </c>
      <c r="F457" s="5">
        <f>IF($I2="","",INDEX(Productos!$I:$I,$I2))</f>
        <v/>
      </c>
      <c r="G457" s="135" t="n">
        <v>4</v>
      </c>
      <c r="H457" s="5">
        <f>IF($I2="","",INDEX(Productos!$AG:$AG,$I2))</f>
        <v/>
      </c>
      <c r="I457" s="136">
        <f>LET(_xlpm.r,Productos!$E$2:$E$1063,_xlpm.m,IFERROR(_xlfn.XMATCH(C457,_xlpm.r),IFERROR(_xlfn.XMATCH(VALUE(C457),_xlpm.r),0)),IF(_xlpm.m=0,"",_xlpm.m+1))</f>
        <v/>
      </c>
      <c r="J457" s="137" t="inlineStr">
        <is>
          <t>Odoo</t>
        </is>
      </c>
    </row>
    <row r="458">
      <c r="A458" s="5" t="inlineStr">
        <is>
          <t>Odoo Universal Unique Brands › Bodega 25 › Bodega 25/General</t>
        </is>
      </c>
      <c r="B458" s="5">
        <f>IF($I2="","",INDEX(Productos!$A:$A,$I2))</f>
        <v/>
      </c>
      <c r="C458" s="134" t="inlineStr">
        <is>
          <t>MW1325-8360TN</t>
        </is>
      </c>
      <c r="D458" s="5">
        <f>IF($I2="","",INDEX(Productos!$B:$B,$I2))</f>
        <v/>
      </c>
      <c r="E458" s="5">
        <f>IF($I2="","",INDEX(Productos!$H:$H,$I2))</f>
        <v/>
      </c>
      <c r="F458" s="5">
        <f>IF($I2="","",INDEX(Productos!$I:$I,$I2))</f>
        <v/>
      </c>
      <c r="G458" s="135" t="n">
        <v>4</v>
      </c>
      <c r="H458" s="5">
        <f>IF($I2="","",INDEX(Productos!$AG:$AG,$I2))</f>
        <v/>
      </c>
      <c r="I458" s="136">
        <f>LET(_xlpm.r,Productos!$E$2:$E$1063,_xlpm.m,IFERROR(_xlfn.XMATCH(C458,_xlpm.r),IFERROR(_xlfn.XMATCH(VALUE(C458),_xlpm.r),0)),IF(_xlpm.m=0,"",_xlpm.m+1))</f>
        <v/>
      </c>
      <c r="J458" s="137" t="inlineStr">
        <is>
          <t>Odoo</t>
        </is>
      </c>
    </row>
    <row r="459">
      <c r="A459" s="5" t="inlineStr">
        <is>
          <t>Odoo Universal Unique Brands › Bodega 25 › Bodega 25/General</t>
        </is>
      </c>
      <c r="B459" s="5">
        <f>IF($I2="","",INDEX(Productos!$A:$A,$I2))</f>
        <v/>
      </c>
      <c r="C459" s="134" t="inlineStr">
        <is>
          <t>MW1325-W018PK</t>
        </is>
      </c>
      <c r="D459" s="5">
        <f>IF($I2="","",INDEX(Productos!$B:$B,$I2))</f>
        <v/>
      </c>
      <c r="E459" s="5">
        <f>IF($I2="","",INDEX(Productos!$H:$H,$I2))</f>
        <v/>
      </c>
      <c r="F459" s="5">
        <f>IF($I2="","",INDEX(Productos!$I:$I,$I2))</f>
        <v/>
      </c>
      <c r="G459" s="135" t="n">
        <v>34</v>
      </c>
      <c r="H459" s="5">
        <f>IF($I2="","",INDEX(Productos!$AG:$AG,$I2))</f>
        <v/>
      </c>
      <c r="I459" s="136">
        <f>LET(_xlpm.r,Productos!$E$2:$E$1063,_xlpm.m,IFERROR(_xlfn.XMATCH(C459,_xlpm.r),IFERROR(_xlfn.XMATCH(VALUE(C459),_xlpm.r),0)),IF(_xlpm.m=0,"",_xlpm.m+1))</f>
        <v/>
      </c>
      <c r="J459" s="137" t="inlineStr">
        <is>
          <t>Odoo</t>
        </is>
      </c>
    </row>
    <row r="460">
      <c r="A460" s="5" t="inlineStr">
        <is>
          <t>Odoo Universal Unique Brands › Bodega 25 › Bodega 25/General</t>
        </is>
      </c>
      <c r="B460" s="5">
        <f>IF($I2="","",INDEX(Productos!$A:$A,$I2))</f>
        <v/>
      </c>
      <c r="C460" s="134" t="inlineStr">
        <is>
          <t>MW1325-W018TN</t>
        </is>
      </c>
      <c r="D460" s="5">
        <f>IF($I2="","",INDEX(Productos!$B:$B,$I2))</f>
        <v/>
      </c>
      <c r="E460" s="5">
        <f>IF($I2="","",INDEX(Productos!$H:$H,$I2))</f>
        <v/>
      </c>
      <c r="F460" s="5">
        <f>IF($I2="","",INDEX(Productos!$I:$I,$I2))</f>
        <v/>
      </c>
      <c r="G460" s="135" t="n">
        <v>19</v>
      </c>
      <c r="H460" s="5">
        <f>IF($I2="","",INDEX(Productos!$AG:$AG,$I2))</f>
        <v/>
      </c>
      <c r="I460" s="136">
        <f>LET(_xlpm.r,Productos!$E$2:$E$1063,_xlpm.m,IFERROR(_xlfn.XMATCH(C460,_xlpm.r),IFERROR(_xlfn.XMATCH(VALUE(C460),_xlpm.r),0)),IF(_xlpm.m=0,"",_xlpm.m+1))</f>
        <v/>
      </c>
      <c r="J460" s="137" t="inlineStr">
        <is>
          <t>Odoo</t>
        </is>
      </c>
    </row>
    <row r="461">
      <c r="A461" s="5" t="inlineStr">
        <is>
          <t>Odoo Universal Unique Brands › Bodega 25 › Bodega 25/General</t>
        </is>
      </c>
      <c r="B461" s="5">
        <f>IF($I2="","",INDEX(Productos!$A:$A,$I2))</f>
        <v/>
      </c>
      <c r="C461" s="134" t="inlineStr">
        <is>
          <t>MW1325G-8085BR</t>
        </is>
      </c>
      <c r="D461" s="5">
        <f>IF($I2="","",INDEX(Productos!$B:$B,$I2))</f>
        <v/>
      </c>
      <c r="E461" s="5">
        <f>IF($I2="","",INDEX(Productos!$H:$H,$I2))</f>
        <v/>
      </c>
      <c r="F461" s="5">
        <f>IF($I2="","",INDEX(Productos!$I:$I,$I2))</f>
        <v/>
      </c>
      <c r="G461" s="135" t="n">
        <v>28</v>
      </c>
      <c r="H461" s="5">
        <f>IF($I2="","",INDEX(Productos!$AG:$AG,$I2))</f>
        <v/>
      </c>
      <c r="I461" s="136">
        <f>LET(_xlpm.r,Productos!$E$2:$E$1063,_xlpm.m,IFERROR(_xlfn.XMATCH(C461,_xlpm.r),IFERROR(_xlfn.XMATCH(VALUE(C461),_xlpm.r),0)),IF(_xlpm.m=0,"",_xlpm.m+1))</f>
        <v/>
      </c>
      <c r="J461" s="137" t="inlineStr">
        <is>
          <t>Odoo</t>
        </is>
      </c>
    </row>
    <row r="462">
      <c r="A462" s="5" t="inlineStr">
        <is>
          <t>Odoo Universal Unique Brands › Bodega 25 › Bodega 25/General</t>
        </is>
      </c>
      <c r="B462" s="5">
        <f>IF($I2="","",INDEX(Productos!$A:$A,$I2))</f>
        <v/>
      </c>
      <c r="C462" s="134" t="inlineStr">
        <is>
          <t>MW1325G-8085TN</t>
        </is>
      </c>
      <c r="D462" s="5">
        <f>IF($I2="","",INDEX(Productos!$B:$B,$I2))</f>
        <v/>
      </c>
      <c r="E462" s="5">
        <f>IF($I2="","",INDEX(Productos!$H:$H,$I2))</f>
        <v/>
      </c>
      <c r="F462" s="5">
        <f>IF($I2="","",INDEX(Productos!$I:$I,$I2))</f>
        <v/>
      </c>
      <c r="G462" s="135" t="n">
        <v>31</v>
      </c>
      <c r="H462" s="5">
        <f>IF($I2="","",INDEX(Productos!$AG:$AG,$I2))</f>
        <v/>
      </c>
      <c r="I462" s="136">
        <f>LET(_xlpm.r,Productos!$E$2:$E$1063,_xlpm.m,IFERROR(_xlfn.XMATCH(C462,_xlpm.r),IFERROR(_xlfn.XMATCH(VALUE(C462),_xlpm.r),0)),IF(_xlpm.m=0,"",_xlpm.m+1))</f>
        <v/>
      </c>
      <c r="J462" s="137" t="inlineStr">
        <is>
          <t>Odoo</t>
        </is>
      </c>
    </row>
    <row r="463">
      <c r="A463" s="5" t="inlineStr">
        <is>
          <t>Odoo Universal Unique Brands › Bodega 25 › Bodega 25/General</t>
        </is>
      </c>
      <c r="B463" s="5">
        <f>IF($I2="","",INDEX(Productos!$A:$A,$I2))</f>
        <v/>
      </c>
      <c r="C463" s="134" t="inlineStr">
        <is>
          <t>MW1329-8360BR</t>
        </is>
      </c>
      <c r="D463" s="5">
        <f>IF($I2="","",INDEX(Productos!$B:$B,$I2))</f>
        <v/>
      </c>
      <c r="E463" s="5">
        <f>IF($I2="","",INDEX(Productos!$H:$H,$I2))</f>
        <v/>
      </c>
      <c r="F463" s="5">
        <f>IF($I2="","",INDEX(Productos!$I:$I,$I2))</f>
        <v/>
      </c>
      <c r="G463" s="135" t="n">
        <v>1</v>
      </c>
      <c r="H463" s="5">
        <f>IF($I2="","",INDEX(Productos!$AG:$AG,$I2))</f>
        <v/>
      </c>
      <c r="I463" s="136">
        <f>LET(_xlpm.r,Productos!$E$2:$E$1063,_xlpm.m,IFERROR(_xlfn.XMATCH(C463,_xlpm.r),IFERROR(_xlfn.XMATCH(VALUE(C463),_xlpm.r),0)),IF(_xlpm.m=0,"",_xlpm.m+1))</f>
        <v/>
      </c>
      <c r="J463" s="137" t="inlineStr">
        <is>
          <t>Odoo</t>
        </is>
      </c>
    </row>
    <row r="464">
      <c r="A464" s="5" t="inlineStr">
        <is>
          <t>Odoo Universal Unique Brands › Bodega 25 › Bodega 25/General</t>
        </is>
      </c>
      <c r="B464" s="5">
        <f>IF($I2="","",INDEX(Productos!$A:$A,$I2))</f>
        <v/>
      </c>
      <c r="C464" s="134" t="inlineStr">
        <is>
          <t>MW1329-8360DPK</t>
        </is>
      </c>
      <c r="D464" s="5">
        <f>IF($I2="","",INDEX(Productos!$B:$B,$I2))</f>
        <v/>
      </c>
      <c r="E464" s="5">
        <f>IF($I2="","",INDEX(Productos!$H:$H,$I2))</f>
        <v/>
      </c>
      <c r="F464" s="5">
        <f>IF($I2="","",INDEX(Productos!$I:$I,$I2))</f>
        <v/>
      </c>
      <c r="G464" s="135" t="n">
        <v>12</v>
      </c>
      <c r="H464" s="5">
        <f>IF($I2="","",INDEX(Productos!$AG:$AG,$I2))</f>
        <v/>
      </c>
      <c r="I464" s="136">
        <f>LET(_xlpm.r,Productos!$E$2:$E$1063,_xlpm.m,IFERROR(_xlfn.XMATCH(C464,_xlpm.r),IFERROR(_xlfn.XMATCH(VALUE(C464),_xlpm.r),0)),IF(_xlpm.m=0,"",_xlpm.m+1))</f>
        <v/>
      </c>
      <c r="J464" s="137" t="inlineStr">
        <is>
          <t>Odoo</t>
        </is>
      </c>
    </row>
    <row r="465">
      <c r="A465" s="5" t="inlineStr">
        <is>
          <t>Odoo Universal Unique Brands › Bodega 25 › Bodega 25/General</t>
        </is>
      </c>
      <c r="B465" s="5">
        <f>IF($I2="","",INDEX(Productos!$A:$A,$I2))</f>
        <v/>
      </c>
      <c r="C465" s="134" t="inlineStr">
        <is>
          <t>MW1329-8360TN</t>
        </is>
      </c>
      <c r="D465" s="5">
        <f>IF($I2="","",INDEX(Productos!$B:$B,$I2))</f>
        <v/>
      </c>
      <c r="E465" s="5">
        <f>IF($I2="","",INDEX(Productos!$H:$H,$I2))</f>
        <v/>
      </c>
      <c r="F465" s="5">
        <f>IF($I2="","",INDEX(Productos!$I:$I,$I2))</f>
        <v/>
      </c>
      <c r="G465" s="135" t="n">
        <v>23</v>
      </c>
      <c r="H465" s="5">
        <f>IF($I2="","",INDEX(Productos!$AG:$AG,$I2))</f>
        <v/>
      </c>
      <c r="I465" s="136">
        <f>LET(_xlpm.r,Productos!$E$2:$E$1063,_xlpm.m,IFERROR(_xlfn.XMATCH(C465,_xlpm.r),IFERROR(_xlfn.XMATCH(VALUE(C465),_xlpm.r),0)),IF(_xlpm.m=0,"",_xlpm.m+1))</f>
        <v/>
      </c>
      <c r="J465" s="137" t="inlineStr">
        <is>
          <t>Odoo</t>
        </is>
      </c>
    </row>
    <row r="466">
      <c r="A466" s="5" t="inlineStr">
        <is>
          <t>Odoo Universal Unique Brands › Bodega 25 › Bodega 25/General</t>
        </is>
      </c>
      <c r="B466" s="5">
        <f>IF($I2="","",INDEX(Productos!$A:$A,$I2))</f>
        <v/>
      </c>
      <c r="C466" s="134" t="inlineStr">
        <is>
          <t>MW1330G-8317LGN</t>
        </is>
      </c>
      <c r="D466" s="5">
        <f>IF($I2="","",INDEX(Productos!$B:$B,$I2))</f>
        <v/>
      </c>
      <c r="E466" s="5">
        <f>IF($I2="","",INDEX(Productos!$H:$H,$I2))</f>
        <v/>
      </c>
      <c r="F466" s="5">
        <f>IF($I2="","",INDEX(Productos!$I:$I,$I2))</f>
        <v/>
      </c>
      <c r="G466" s="135" t="n">
        <v>3</v>
      </c>
      <c r="H466" s="5">
        <f>IF($I2="","",INDEX(Productos!$AG:$AG,$I2))</f>
        <v/>
      </c>
      <c r="I466" s="136">
        <f>LET(_xlpm.r,Productos!$E$2:$E$1063,_xlpm.m,IFERROR(_xlfn.XMATCH(C466,_xlpm.r),IFERROR(_xlfn.XMATCH(VALUE(C466),_xlpm.r),0)),IF(_xlpm.m=0,"",_xlpm.m+1))</f>
        <v/>
      </c>
      <c r="J466" s="137" t="inlineStr">
        <is>
          <t>Odoo</t>
        </is>
      </c>
    </row>
    <row r="467">
      <c r="A467" s="5" t="inlineStr">
        <is>
          <t>Odoo Universal Unique Brands › Bodega 25 › Bodega 25/General</t>
        </is>
      </c>
      <c r="B467" s="5">
        <f>IF($I2="","",INDEX(Productos!$A:$A,$I2))</f>
        <v/>
      </c>
      <c r="C467" s="134" t="inlineStr">
        <is>
          <t>MW1332-160BK</t>
        </is>
      </c>
      <c r="D467" s="5">
        <f>IF($I2="","",INDEX(Productos!$B:$B,$I2))</f>
        <v/>
      </c>
      <c r="E467" s="5">
        <f>IF($I2="","",INDEX(Productos!$H:$H,$I2))</f>
        <v/>
      </c>
      <c r="F467" s="5">
        <f>IF($I2="","",INDEX(Productos!$I:$I,$I2))</f>
        <v/>
      </c>
      <c r="G467" s="135" t="n">
        <v>6</v>
      </c>
      <c r="H467" s="5">
        <f>IF($I2="","",INDEX(Productos!$AG:$AG,$I2))</f>
        <v/>
      </c>
      <c r="I467" s="136">
        <f>LET(_xlpm.r,Productos!$E$2:$E$1063,_xlpm.m,IFERROR(_xlfn.XMATCH(C467,_xlpm.r),IFERROR(_xlfn.XMATCH(VALUE(C467),_xlpm.r),0)),IF(_xlpm.m=0,"",_xlpm.m+1))</f>
        <v/>
      </c>
      <c r="J467" s="137" t="inlineStr">
        <is>
          <t>Odoo</t>
        </is>
      </c>
    </row>
    <row r="468">
      <c r="A468" s="5" t="inlineStr">
        <is>
          <t>Odoo Universal Unique Brands › Bodega 25 › Bodega 25/General</t>
        </is>
      </c>
      <c r="B468" s="5">
        <f>IF($I2="","",INDEX(Productos!$A:$A,$I2))</f>
        <v/>
      </c>
      <c r="C468" s="134" t="inlineStr">
        <is>
          <t>MW1332-160TN</t>
        </is>
      </c>
      <c r="D468" s="5">
        <f>IF($I2="","",INDEX(Productos!$B:$B,$I2))</f>
        <v/>
      </c>
      <c r="E468" s="5">
        <f>IF($I2="","",INDEX(Productos!$H:$H,$I2))</f>
        <v/>
      </c>
      <c r="F468" s="5">
        <f>IF($I2="","",INDEX(Productos!$I:$I,$I2))</f>
        <v/>
      </c>
      <c r="G468" s="135" t="n">
        <v>10</v>
      </c>
      <c r="H468" s="5">
        <f>IF($I2="","",INDEX(Productos!$AG:$AG,$I2))</f>
        <v/>
      </c>
      <c r="I468" s="136">
        <f>LET(_xlpm.r,Productos!$E$2:$E$1063,_xlpm.m,IFERROR(_xlfn.XMATCH(C468,_xlpm.r),IFERROR(_xlfn.XMATCH(VALUE(C468),_xlpm.r),0)),IF(_xlpm.m=0,"",_xlpm.m+1))</f>
        <v/>
      </c>
      <c r="J468" s="137" t="inlineStr">
        <is>
          <t>Odoo</t>
        </is>
      </c>
    </row>
    <row r="469">
      <c r="A469" s="5" t="inlineStr">
        <is>
          <t>Odoo Universal Unique Brands › Bodega 25 › Bodega 25/General</t>
        </is>
      </c>
      <c r="B469" s="5">
        <f>IF($I2="","",INDEX(Productos!$A:$A,$I2))</f>
        <v/>
      </c>
      <c r="C469" s="134" t="inlineStr">
        <is>
          <t>MW1332-8322BR</t>
        </is>
      </c>
      <c r="D469" s="5">
        <f>IF($I2="","",INDEX(Productos!$B:$B,$I2))</f>
        <v/>
      </c>
      <c r="E469" s="5">
        <f>IF($I2="","",INDEX(Productos!$H:$H,$I2))</f>
        <v/>
      </c>
      <c r="F469" s="5">
        <f>IF($I2="","",INDEX(Productos!$I:$I,$I2))</f>
        <v/>
      </c>
      <c r="G469" s="135" t="n">
        <v>32</v>
      </c>
      <c r="H469" s="5">
        <f>IF($I2="","",INDEX(Productos!$AG:$AG,$I2))</f>
        <v/>
      </c>
      <c r="I469" s="136">
        <f>LET(_xlpm.r,Productos!$E$2:$E$1063,_xlpm.m,IFERROR(_xlfn.XMATCH(C469,_xlpm.r),IFERROR(_xlfn.XMATCH(VALUE(C469),_xlpm.r),0)),IF(_xlpm.m=0,"",_xlpm.m+1))</f>
        <v/>
      </c>
      <c r="J469" s="137" t="inlineStr">
        <is>
          <t>Odoo</t>
        </is>
      </c>
    </row>
    <row r="470">
      <c r="A470" s="5" t="inlineStr">
        <is>
          <t>Odoo Universal Unique Brands › Bodega 25 › Bodega 25/General</t>
        </is>
      </c>
      <c r="B470" s="5">
        <f>IF($I2="","",INDEX(Productos!$A:$A,$I2))</f>
        <v/>
      </c>
      <c r="C470" s="134" t="inlineStr">
        <is>
          <t>MW1332-8322DPK</t>
        </is>
      </c>
      <c r="D470" s="5">
        <f>IF($I2="","",INDEX(Productos!$B:$B,$I2))</f>
        <v/>
      </c>
      <c r="E470" s="5">
        <f>IF($I2="","",INDEX(Productos!$H:$H,$I2))</f>
        <v/>
      </c>
      <c r="F470" s="5">
        <f>IF($I2="","",INDEX(Productos!$I:$I,$I2))</f>
        <v/>
      </c>
      <c r="G470" s="135" t="n">
        <v>9</v>
      </c>
      <c r="H470" s="5">
        <f>IF($I2="","",INDEX(Productos!$AG:$AG,$I2))</f>
        <v/>
      </c>
      <c r="I470" s="136">
        <f>LET(_xlpm.r,Productos!$E$2:$E$1063,_xlpm.m,IFERROR(_xlfn.XMATCH(C470,_xlpm.r),IFERROR(_xlfn.XMATCH(VALUE(C470),_xlpm.r),0)),IF(_xlpm.m=0,"",_xlpm.m+1))</f>
        <v/>
      </c>
      <c r="J470" s="137" t="inlineStr">
        <is>
          <t>Odoo</t>
        </is>
      </c>
    </row>
    <row r="471">
      <c r="A471" s="5" t="inlineStr">
        <is>
          <t>Odoo Universal Unique Brands › Bodega 25 › Bodega 25/General</t>
        </is>
      </c>
      <c r="B471" s="5">
        <f>IF($I2="","",INDEX(Productos!$A:$A,$I2))</f>
        <v/>
      </c>
      <c r="C471" s="134" t="inlineStr">
        <is>
          <t>MW1332-8322TN</t>
        </is>
      </c>
      <c r="D471" s="5">
        <f>IF($I2="","",INDEX(Productos!$B:$B,$I2))</f>
        <v/>
      </c>
      <c r="E471" s="5">
        <f>IF($I2="","",INDEX(Productos!$H:$H,$I2))</f>
        <v/>
      </c>
      <c r="F471" s="5">
        <f>IF($I2="","",INDEX(Productos!$I:$I,$I2))</f>
        <v/>
      </c>
      <c r="G471" s="135" t="n">
        <v>28</v>
      </c>
      <c r="H471" s="5">
        <f>IF($I2="","",INDEX(Productos!$AG:$AG,$I2))</f>
        <v/>
      </c>
      <c r="I471" s="136">
        <f>LET(_xlpm.r,Productos!$E$2:$E$1063,_xlpm.m,IFERROR(_xlfn.XMATCH(C471,_xlpm.r),IFERROR(_xlfn.XMATCH(VALUE(C471),_xlpm.r),0)),IF(_xlpm.m=0,"",_xlpm.m+1))</f>
        <v/>
      </c>
      <c r="J471" s="137" t="inlineStr">
        <is>
          <t>Odoo</t>
        </is>
      </c>
    </row>
    <row r="472">
      <c r="A472" s="5" t="inlineStr">
        <is>
          <t>Odoo Universal Unique Brands › Bodega 25 › Bodega 25/General</t>
        </is>
      </c>
      <c r="B472" s="5">
        <f>IF($I2="","",INDEX(Productos!$A:$A,$I2))</f>
        <v/>
      </c>
      <c r="C472" s="134" t="inlineStr">
        <is>
          <t>MW1332-W010BK</t>
        </is>
      </c>
      <c r="D472" s="5">
        <f>IF($I2="","",INDEX(Productos!$B:$B,$I2))</f>
        <v/>
      </c>
      <c r="E472" s="5">
        <f>IF($I2="","",INDEX(Productos!$H:$H,$I2))</f>
        <v/>
      </c>
      <c r="F472" s="5">
        <f>IF($I2="","",INDEX(Productos!$I:$I,$I2))</f>
        <v/>
      </c>
      <c r="G472" s="135" t="n">
        <v>34</v>
      </c>
      <c r="H472" s="5">
        <f>IF($I2="","",INDEX(Productos!$AG:$AG,$I2))</f>
        <v/>
      </c>
      <c r="I472" s="136">
        <f>LET(_xlpm.r,Productos!$E$2:$E$1063,_xlpm.m,IFERROR(_xlfn.XMATCH(C472,_xlpm.r),IFERROR(_xlfn.XMATCH(VALUE(C472),_xlpm.r),0)),IF(_xlpm.m=0,"",_xlpm.m+1))</f>
        <v/>
      </c>
      <c r="J472" s="137" t="inlineStr">
        <is>
          <t>Odoo</t>
        </is>
      </c>
    </row>
    <row r="473">
      <c r="A473" s="5" t="inlineStr">
        <is>
          <t>Odoo Universal Unique Brands › Bodega 25 › Bodega 25/General</t>
        </is>
      </c>
      <c r="B473" s="5">
        <f>IF($I2="","",INDEX(Productos!$A:$A,$I2))</f>
        <v/>
      </c>
      <c r="C473" s="134" t="inlineStr">
        <is>
          <t>MW1332-W010BR</t>
        </is>
      </c>
      <c r="D473" s="5">
        <f>IF($I2="","",INDEX(Productos!$B:$B,$I2))</f>
        <v/>
      </c>
      <c r="E473" s="5">
        <f>IF($I2="","",INDEX(Productos!$H:$H,$I2))</f>
        <v/>
      </c>
      <c r="F473" s="5">
        <f>IF($I2="","",INDEX(Productos!$I:$I,$I2))</f>
        <v/>
      </c>
      <c r="G473" s="135" t="n">
        <v>34</v>
      </c>
      <c r="H473" s="5">
        <f>IF($I2="","",INDEX(Productos!$AG:$AG,$I2))</f>
        <v/>
      </c>
      <c r="I473" s="136">
        <f>LET(_xlpm.r,Productos!$E$2:$E$1063,_xlpm.m,IFERROR(_xlfn.XMATCH(C473,_xlpm.r),IFERROR(_xlfn.XMATCH(VALUE(C473),_xlpm.r),0)),IF(_xlpm.m=0,"",_xlpm.m+1))</f>
        <v/>
      </c>
      <c r="J473" s="137" t="inlineStr">
        <is>
          <t>Odoo</t>
        </is>
      </c>
    </row>
    <row r="474">
      <c r="A474" s="5" t="inlineStr">
        <is>
          <t>Odoo Universal Unique Brands › Bodega 25 › Bodega 25/General</t>
        </is>
      </c>
      <c r="B474" s="5">
        <f>IF($I2="","",INDEX(Productos!$A:$A,$I2))</f>
        <v/>
      </c>
      <c r="C474" s="134" t="inlineStr">
        <is>
          <t>MW1333-8113BG</t>
        </is>
      </c>
      <c r="D474" s="5">
        <f>IF($I2="","",INDEX(Productos!$B:$B,$I2))</f>
        <v/>
      </c>
      <c r="E474" s="5">
        <f>IF($I2="","",INDEX(Productos!$H:$H,$I2))</f>
        <v/>
      </c>
      <c r="F474" s="5">
        <f>IF($I2="","",INDEX(Productos!$I:$I,$I2))</f>
        <v/>
      </c>
      <c r="G474" s="135" t="n">
        <v>42</v>
      </c>
      <c r="H474" s="5">
        <f>IF($I2="","",INDEX(Productos!$AG:$AG,$I2))</f>
        <v/>
      </c>
      <c r="I474" s="136">
        <f>LET(_xlpm.r,Productos!$E$2:$E$1063,_xlpm.m,IFERROR(_xlfn.XMATCH(C474,_xlpm.r),IFERROR(_xlfn.XMATCH(VALUE(C474),_xlpm.r),0)),IF(_xlpm.m=0,"",_xlpm.m+1))</f>
        <v/>
      </c>
      <c r="J474" s="137" t="inlineStr">
        <is>
          <t>Odoo</t>
        </is>
      </c>
    </row>
    <row r="475">
      <c r="A475" s="5" t="inlineStr">
        <is>
          <t>Odoo Universal Unique Brands › Bodega 25 › Bodega 25/General</t>
        </is>
      </c>
      <c r="B475" s="5">
        <f>IF($I2="","",INDEX(Productos!$A:$A,$I2))</f>
        <v/>
      </c>
      <c r="C475" s="134" t="inlineStr">
        <is>
          <t>MW1333-8113BR</t>
        </is>
      </c>
      <c r="D475" s="5">
        <f>IF($I2="","",INDEX(Productos!$B:$B,$I2))</f>
        <v/>
      </c>
      <c r="E475" s="5">
        <f>IF($I2="","",INDEX(Productos!$H:$H,$I2))</f>
        <v/>
      </c>
      <c r="F475" s="5">
        <f>IF($I2="","",INDEX(Productos!$I:$I,$I2))</f>
        <v/>
      </c>
      <c r="G475" s="135" t="n">
        <v>40</v>
      </c>
      <c r="H475" s="5">
        <f>IF($I2="","",INDEX(Productos!$AG:$AG,$I2))</f>
        <v/>
      </c>
      <c r="I475" s="136">
        <f>LET(_xlpm.r,Productos!$E$2:$E$1063,_xlpm.m,IFERROR(_xlfn.XMATCH(C475,_xlpm.r),IFERROR(_xlfn.XMATCH(VALUE(C475),_xlpm.r),0)),IF(_xlpm.m=0,"",_xlpm.m+1))</f>
        <v/>
      </c>
      <c r="J475" s="137" t="inlineStr">
        <is>
          <t>Odoo</t>
        </is>
      </c>
    </row>
    <row r="476">
      <c r="A476" s="5" t="inlineStr">
        <is>
          <t>Odoo Universal Unique Brands › Bodega 25 › Bodega 25/General</t>
        </is>
      </c>
      <c r="B476" s="5">
        <f>IF($I2="","",INDEX(Productos!$A:$A,$I2))</f>
        <v/>
      </c>
      <c r="C476" s="134" t="inlineStr">
        <is>
          <t>MW1333-8113GN</t>
        </is>
      </c>
      <c r="D476" s="5">
        <f>IF($I2="","",INDEX(Productos!$B:$B,$I2))</f>
        <v/>
      </c>
      <c r="E476" s="5">
        <f>IF($I2="","",INDEX(Productos!$H:$H,$I2))</f>
        <v/>
      </c>
      <c r="F476" s="5">
        <f>IF($I2="","",INDEX(Productos!$I:$I,$I2))</f>
        <v/>
      </c>
      <c r="G476" s="135" t="n">
        <v>38</v>
      </c>
      <c r="H476" s="5">
        <f>IF($I2="","",INDEX(Productos!$AG:$AG,$I2))</f>
        <v/>
      </c>
      <c r="I476" s="136">
        <f>LET(_xlpm.r,Productos!$E$2:$E$1063,_xlpm.m,IFERROR(_xlfn.XMATCH(C476,_xlpm.r),IFERROR(_xlfn.XMATCH(VALUE(C476),_xlpm.r),0)),IF(_xlpm.m=0,"",_xlpm.m+1))</f>
        <v/>
      </c>
      <c r="J476" s="137" t="inlineStr">
        <is>
          <t>Odoo</t>
        </is>
      </c>
    </row>
    <row r="477">
      <c r="A477" s="5" t="inlineStr">
        <is>
          <t>Odoo Universal Unique Brands › Bodega 25 › Bodega 25/General</t>
        </is>
      </c>
      <c r="B477" s="5">
        <f>IF($I2="","",INDEX(Productos!$A:$A,$I2))</f>
        <v/>
      </c>
      <c r="C477" s="134" t="inlineStr">
        <is>
          <t>MW1333-8113JN</t>
        </is>
      </c>
      <c r="D477" s="5">
        <f>IF($I2="","",INDEX(Productos!$B:$B,$I2))</f>
        <v/>
      </c>
      <c r="E477" s="5">
        <f>IF($I2="","",INDEX(Productos!$H:$H,$I2))</f>
        <v/>
      </c>
      <c r="F477" s="5">
        <f>IF($I2="","",INDEX(Productos!$I:$I,$I2))</f>
        <v/>
      </c>
      <c r="G477" s="135" t="n">
        <v>37</v>
      </c>
      <c r="H477" s="5">
        <f>IF($I2="","",INDEX(Productos!$AG:$AG,$I2))</f>
        <v/>
      </c>
      <c r="I477" s="136">
        <f>LET(_xlpm.r,Productos!$E$2:$E$1063,_xlpm.m,IFERROR(_xlfn.XMATCH(C477,_xlpm.r),IFERROR(_xlfn.XMATCH(VALUE(C477),_xlpm.r),0)),IF(_xlpm.m=0,"",_xlpm.m+1))</f>
        <v/>
      </c>
      <c r="J477" s="137" t="inlineStr">
        <is>
          <t>Odoo</t>
        </is>
      </c>
    </row>
    <row r="478">
      <c r="A478" s="5" t="inlineStr">
        <is>
          <t>Odoo Universal Unique Brands › Bodega 25 › Bodega 25/General</t>
        </is>
      </c>
      <c r="B478" s="5">
        <f>IF($I2="","",INDEX(Productos!$A:$A,$I2))</f>
        <v/>
      </c>
      <c r="C478" s="134" t="inlineStr">
        <is>
          <t>MW1333-8113PK</t>
        </is>
      </c>
      <c r="D478" s="5">
        <f>IF($I2="","",INDEX(Productos!$B:$B,$I2))</f>
        <v/>
      </c>
      <c r="E478" s="5">
        <f>IF($I2="","",INDEX(Productos!$H:$H,$I2))</f>
        <v/>
      </c>
      <c r="F478" s="5">
        <f>IF($I2="","",INDEX(Productos!$I:$I,$I2))</f>
        <v/>
      </c>
      <c r="G478" s="135" t="n">
        <v>29</v>
      </c>
      <c r="H478" s="5">
        <f>IF($I2="","",INDEX(Productos!$AG:$AG,$I2))</f>
        <v/>
      </c>
      <c r="I478" s="136">
        <f>LET(_xlpm.r,Productos!$E$2:$E$1063,_xlpm.m,IFERROR(_xlfn.XMATCH(C478,_xlpm.r),IFERROR(_xlfn.XMATCH(VALUE(C478),_xlpm.r),0)),IF(_xlpm.m=0,"",_xlpm.m+1))</f>
        <v/>
      </c>
      <c r="J478" s="137" t="inlineStr">
        <is>
          <t>Odoo</t>
        </is>
      </c>
    </row>
    <row r="479">
      <c r="A479" s="5" t="inlineStr">
        <is>
          <t>Odoo Universal Unique Brands › Bodega 25 › Bodega 25/General</t>
        </is>
      </c>
      <c r="B479" s="5">
        <f>IF($I2="","",INDEX(Productos!$A:$A,$I2))</f>
        <v/>
      </c>
      <c r="C479" s="134" t="inlineStr">
        <is>
          <t>MW1333-8113TN</t>
        </is>
      </c>
      <c r="D479" s="5">
        <f>IF($I2="","",INDEX(Productos!$B:$B,$I2))</f>
        <v/>
      </c>
      <c r="E479" s="5">
        <f>IF($I2="","",INDEX(Productos!$H:$H,$I2))</f>
        <v/>
      </c>
      <c r="F479" s="5">
        <f>IF($I2="","",INDEX(Productos!$I:$I,$I2))</f>
        <v/>
      </c>
      <c r="G479" s="135" t="n">
        <v>39</v>
      </c>
      <c r="H479" s="5">
        <f>IF($I2="","",INDEX(Productos!$AG:$AG,$I2))</f>
        <v/>
      </c>
      <c r="I479" s="136">
        <f>LET(_xlpm.r,Productos!$E$2:$E$1063,_xlpm.m,IFERROR(_xlfn.XMATCH(C479,_xlpm.r),IFERROR(_xlfn.XMATCH(VALUE(C479),_xlpm.r),0)),IF(_xlpm.m=0,"",_xlpm.m+1))</f>
        <v/>
      </c>
      <c r="J479" s="137" t="inlineStr">
        <is>
          <t>Odoo</t>
        </is>
      </c>
    </row>
    <row r="480">
      <c r="A480" s="5" t="inlineStr">
        <is>
          <t>Odoo Universal Unique Brands › Bodega 25 › Bodega 25/General</t>
        </is>
      </c>
      <c r="B480" s="5">
        <f>IF($I2="","",INDEX(Productos!$A:$A,$I2))</f>
        <v/>
      </c>
      <c r="C480" s="134" t="inlineStr">
        <is>
          <t>MW1335-8360BR</t>
        </is>
      </c>
      <c r="D480" s="5">
        <f>IF($I2="","",INDEX(Productos!$B:$B,$I2))</f>
        <v/>
      </c>
      <c r="E480" s="5">
        <f>IF($I2="","",INDEX(Productos!$H:$H,$I2))</f>
        <v/>
      </c>
      <c r="F480" s="5">
        <f>IF($I2="","",INDEX(Productos!$I:$I,$I2))</f>
        <v/>
      </c>
      <c r="G480" s="135" t="n">
        <v>14</v>
      </c>
      <c r="H480" s="5">
        <f>IF($I2="","",INDEX(Productos!$AG:$AG,$I2))</f>
        <v/>
      </c>
      <c r="I480" s="136">
        <f>LET(_xlpm.r,Productos!$E$2:$E$1063,_xlpm.m,IFERROR(_xlfn.XMATCH(C480,_xlpm.r),IFERROR(_xlfn.XMATCH(VALUE(C480),_xlpm.r),0)),IF(_xlpm.m=0,"",_xlpm.m+1))</f>
        <v/>
      </c>
      <c r="J480" s="137" t="inlineStr">
        <is>
          <t>Odoo</t>
        </is>
      </c>
    </row>
    <row r="481">
      <c r="A481" s="5" t="inlineStr">
        <is>
          <t>Odoo Universal Unique Brands › Bodega 25 › Bodega 25/General</t>
        </is>
      </c>
      <c r="B481" s="5">
        <f>IF($I2="","",INDEX(Productos!$A:$A,$I2))</f>
        <v/>
      </c>
      <c r="C481" s="134" t="inlineStr">
        <is>
          <t>MW1335-8360TN</t>
        </is>
      </c>
      <c r="D481" s="5">
        <f>IF($I2="","",INDEX(Productos!$B:$B,$I2))</f>
        <v/>
      </c>
      <c r="E481" s="5">
        <f>IF($I2="","",INDEX(Productos!$H:$H,$I2))</f>
        <v/>
      </c>
      <c r="F481" s="5">
        <f>IF($I2="","",INDEX(Productos!$I:$I,$I2))</f>
        <v/>
      </c>
      <c r="G481" s="135" t="n">
        <v>18</v>
      </c>
      <c r="H481" s="5">
        <f>IF($I2="","",INDEX(Productos!$AG:$AG,$I2))</f>
        <v/>
      </c>
      <c r="I481" s="136">
        <f>LET(_xlpm.r,Productos!$E$2:$E$1063,_xlpm.m,IFERROR(_xlfn.XMATCH(C481,_xlpm.r),IFERROR(_xlfn.XMATCH(VALUE(C481),_xlpm.r),0)),IF(_xlpm.m=0,"",_xlpm.m+1))</f>
        <v/>
      </c>
      <c r="J481" s="137" t="inlineStr">
        <is>
          <t>Odoo</t>
        </is>
      </c>
    </row>
    <row r="482">
      <c r="A482" s="5" t="inlineStr">
        <is>
          <t>Odoo Universal Unique Brands › Bodega 25 › Bodega 25/General</t>
        </is>
      </c>
      <c r="B482" s="5">
        <f>IF($I2="","",INDEX(Productos!$A:$A,$I2))</f>
        <v/>
      </c>
      <c r="C482" s="134" t="inlineStr">
        <is>
          <t>MW1335-W010TN</t>
        </is>
      </c>
      <c r="D482" s="5">
        <f>IF($I2="","",INDEX(Productos!$B:$B,$I2))</f>
        <v/>
      </c>
      <c r="E482" s="5">
        <f>IF($I2="","",INDEX(Productos!$H:$H,$I2))</f>
        <v/>
      </c>
      <c r="F482" s="5">
        <f>IF($I2="","",INDEX(Productos!$I:$I,$I2))</f>
        <v/>
      </c>
      <c r="G482" s="135" t="n">
        <v>14</v>
      </c>
      <c r="H482" s="5">
        <f>IF($I2="","",INDEX(Productos!$AG:$AG,$I2))</f>
        <v/>
      </c>
      <c r="I482" s="136">
        <f>LET(_xlpm.r,Productos!$E$2:$E$1063,_xlpm.m,IFERROR(_xlfn.XMATCH(C482,_xlpm.r),IFERROR(_xlfn.XMATCH(VALUE(C482),_xlpm.r),0)),IF(_xlpm.m=0,"",_xlpm.m+1))</f>
        <v/>
      </c>
      <c r="J482" s="137" t="inlineStr">
        <is>
          <t>Odoo</t>
        </is>
      </c>
    </row>
    <row r="483">
      <c r="A483" s="5" t="inlineStr">
        <is>
          <t>Odoo Universal Unique Brands › Bodega 25 › Bodega 25/General</t>
        </is>
      </c>
      <c r="B483" s="5">
        <f>IF($I2="","",INDEX(Productos!$A:$A,$I2))</f>
        <v/>
      </c>
      <c r="C483" s="134" t="inlineStr">
        <is>
          <t>MW1336-8633BR</t>
        </is>
      </c>
      <c r="D483" s="5">
        <f>IF($I2="","",INDEX(Productos!$B:$B,$I2))</f>
        <v/>
      </c>
      <c r="E483" s="5">
        <f>IF($I2="","",INDEX(Productos!$H:$H,$I2))</f>
        <v/>
      </c>
      <c r="F483" s="5">
        <f>IF($I2="","",INDEX(Productos!$I:$I,$I2))</f>
        <v/>
      </c>
      <c r="G483" s="135" t="n">
        <v>17</v>
      </c>
      <c r="H483" s="5">
        <f>IF($I2="","",INDEX(Productos!$AG:$AG,$I2))</f>
        <v/>
      </c>
      <c r="I483" s="136">
        <f>LET(_xlpm.r,Productos!$E$2:$E$1063,_xlpm.m,IFERROR(_xlfn.XMATCH(C483,_xlpm.r),IFERROR(_xlfn.XMATCH(VALUE(C483),_xlpm.r),0)),IF(_xlpm.m=0,"",_xlpm.m+1))</f>
        <v/>
      </c>
      <c r="J483" s="137" t="inlineStr">
        <is>
          <t>Odoo</t>
        </is>
      </c>
    </row>
    <row r="484">
      <c r="A484" s="5" t="inlineStr">
        <is>
          <t>Odoo Universal Unique Brands › Bodega 25 › Bodega 25/General</t>
        </is>
      </c>
      <c r="B484" s="5">
        <f>IF($I2="","",INDEX(Productos!$A:$A,$I2))</f>
        <v/>
      </c>
      <c r="C484" s="134" t="inlineStr">
        <is>
          <t>MW1336-8633TN</t>
        </is>
      </c>
      <c r="D484" s="5">
        <f>IF($I2="","",INDEX(Productos!$B:$B,$I2))</f>
        <v/>
      </c>
      <c r="E484" s="5">
        <f>IF($I2="","",INDEX(Productos!$H:$H,$I2))</f>
        <v/>
      </c>
      <c r="F484" s="5">
        <f>IF($I2="","",INDEX(Productos!$I:$I,$I2))</f>
        <v/>
      </c>
      <c r="G484" s="135" t="n">
        <v>2</v>
      </c>
      <c r="H484" s="5">
        <f>IF($I2="","",INDEX(Productos!$AG:$AG,$I2))</f>
        <v/>
      </c>
      <c r="I484" s="136">
        <f>LET(_xlpm.r,Productos!$E$2:$E$1063,_xlpm.m,IFERROR(_xlfn.XMATCH(C484,_xlpm.r),IFERROR(_xlfn.XMATCH(VALUE(C484),_xlpm.r),0)),IF(_xlpm.m=0,"",_xlpm.m+1))</f>
        <v/>
      </c>
      <c r="J484" s="137" t="inlineStr">
        <is>
          <t>Odoo</t>
        </is>
      </c>
    </row>
    <row r="485">
      <c r="A485" s="5" t="inlineStr">
        <is>
          <t>Odoo Universal Unique Brands › Bodega 25 › Bodega 25/General</t>
        </is>
      </c>
      <c r="B485" s="5">
        <f>IF($I2="","",INDEX(Productos!$A:$A,$I2))</f>
        <v/>
      </c>
      <c r="C485" s="134" t="inlineStr">
        <is>
          <t>MW1336-8633TQ</t>
        </is>
      </c>
      <c r="D485" s="5">
        <f>IF($I2="","",INDEX(Productos!$B:$B,$I2))</f>
        <v/>
      </c>
      <c r="E485" s="5">
        <f>IF($I2="","",INDEX(Productos!$H:$H,$I2))</f>
        <v/>
      </c>
      <c r="F485" s="5">
        <f>IF($I2="","",INDEX(Productos!$I:$I,$I2))</f>
        <v/>
      </c>
      <c r="G485" s="135" t="n">
        <v>6</v>
      </c>
      <c r="H485" s="5">
        <f>IF($I2="","",INDEX(Productos!$AG:$AG,$I2))</f>
        <v/>
      </c>
      <c r="I485" s="136">
        <f>LET(_xlpm.r,Productos!$E$2:$E$1063,_xlpm.m,IFERROR(_xlfn.XMATCH(C485,_xlpm.r),IFERROR(_xlfn.XMATCH(VALUE(C485),_xlpm.r),0)),IF(_xlpm.m=0,"",_xlpm.m+1))</f>
        <v/>
      </c>
      <c r="J485" s="137" t="inlineStr">
        <is>
          <t>Odoo</t>
        </is>
      </c>
    </row>
    <row r="486">
      <c r="A486" s="5" t="inlineStr">
        <is>
          <t>Odoo Universal Unique Brands › Bodega 25 › Bodega 25/General</t>
        </is>
      </c>
      <c r="B486" s="5">
        <f>IF($I2="","",INDEX(Productos!$A:$A,$I2))</f>
        <v/>
      </c>
      <c r="C486" s="134" t="inlineStr">
        <is>
          <t>MW1338-8802BG</t>
        </is>
      </c>
      <c r="D486" s="5">
        <f>IF($I2="","",INDEX(Productos!$B:$B,$I2))</f>
        <v/>
      </c>
      <c r="E486" s="5">
        <f>IF($I2="","",INDEX(Productos!$H:$H,$I2))</f>
        <v/>
      </c>
      <c r="F486" s="5">
        <f>IF($I2="","",INDEX(Productos!$I:$I,$I2))</f>
        <v/>
      </c>
      <c r="G486" s="135" t="n">
        <v>11</v>
      </c>
      <c r="H486" s="5">
        <f>IF($I2="","",INDEX(Productos!$AG:$AG,$I2))</f>
        <v/>
      </c>
      <c r="I486" s="136">
        <f>LET(_xlpm.r,Productos!$E$2:$E$1063,_xlpm.m,IFERROR(_xlfn.XMATCH(C486,_xlpm.r),IFERROR(_xlfn.XMATCH(VALUE(C486),_xlpm.r),0)),IF(_xlpm.m=0,"",_xlpm.m+1))</f>
        <v/>
      </c>
      <c r="J486" s="137" t="inlineStr">
        <is>
          <t>Odoo</t>
        </is>
      </c>
    </row>
    <row r="487">
      <c r="A487" s="5" t="inlineStr">
        <is>
          <t>Odoo Universal Unique Brands › Bodega 25 › Bodega 25/General</t>
        </is>
      </c>
      <c r="B487" s="5">
        <f>IF($I2="","",INDEX(Productos!$A:$A,$I2))</f>
        <v/>
      </c>
      <c r="C487" s="134" t="inlineStr">
        <is>
          <t>MW1338-8802DPK</t>
        </is>
      </c>
      <c r="D487" s="5">
        <f>IF($I2="","",INDEX(Productos!$B:$B,$I2))</f>
        <v/>
      </c>
      <c r="E487" s="5">
        <f>IF($I2="","",INDEX(Productos!$H:$H,$I2))</f>
        <v/>
      </c>
      <c r="F487" s="5">
        <f>IF($I2="","",INDEX(Productos!$I:$I,$I2))</f>
        <v/>
      </c>
      <c r="G487" s="135" t="n">
        <v>5</v>
      </c>
      <c r="H487" s="5">
        <f>IF($I2="","",INDEX(Productos!$AG:$AG,$I2))</f>
        <v/>
      </c>
      <c r="I487" s="136">
        <f>LET(_xlpm.r,Productos!$E$2:$E$1063,_xlpm.m,IFERROR(_xlfn.XMATCH(C487,_xlpm.r),IFERROR(_xlfn.XMATCH(VALUE(C487),_xlpm.r),0)),IF(_xlpm.m=0,"",_xlpm.m+1))</f>
        <v/>
      </c>
      <c r="J487" s="137" t="inlineStr">
        <is>
          <t>Odoo</t>
        </is>
      </c>
    </row>
    <row r="488">
      <c r="A488" s="5" t="inlineStr">
        <is>
          <t>Odoo Universal Unique Brands › Bodega 25 › Bodega 25/General</t>
        </is>
      </c>
      <c r="B488" s="5">
        <f>IF($I2="","",INDEX(Productos!$A:$A,$I2))</f>
        <v/>
      </c>
      <c r="C488" s="134" t="inlineStr">
        <is>
          <t>MW1338-8802LBR</t>
        </is>
      </c>
      <c r="D488" s="5">
        <f>IF($I2="","",INDEX(Productos!$B:$B,$I2))</f>
        <v/>
      </c>
      <c r="E488" s="5">
        <f>IF($I2="","",INDEX(Productos!$H:$H,$I2))</f>
        <v/>
      </c>
      <c r="F488" s="5">
        <f>IF($I2="","",INDEX(Productos!$I:$I,$I2))</f>
        <v/>
      </c>
      <c r="G488" s="135" t="n">
        <v>35</v>
      </c>
      <c r="H488" s="5">
        <f>IF($I2="","",INDEX(Productos!$AG:$AG,$I2))</f>
        <v/>
      </c>
      <c r="I488" s="136">
        <f>LET(_xlpm.r,Productos!$E$2:$E$1063,_xlpm.m,IFERROR(_xlfn.XMATCH(C488,_xlpm.r),IFERROR(_xlfn.XMATCH(VALUE(C488),_xlpm.r),0)),IF(_xlpm.m=0,"",_xlpm.m+1))</f>
        <v/>
      </c>
      <c r="J488" s="137" t="inlineStr">
        <is>
          <t>Odoo</t>
        </is>
      </c>
    </row>
    <row r="489">
      <c r="A489" s="5" t="inlineStr">
        <is>
          <t>Odoo Universal Unique Brands › Bodega 25 › Bodega 25/General</t>
        </is>
      </c>
      <c r="B489" s="5">
        <f>IF($I2="","",INDEX(Productos!$A:$A,$I2))</f>
        <v/>
      </c>
      <c r="C489" s="134" t="inlineStr">
        <is>
          <t>MW1338-8802LCF</t>
        </is>
      </c>
      <c r="D489" s="5">
        <f>IF($I2="","",INDEX(Productos!$B:$B,$I2))</f>
        <v/>
      </c>
      <c r="E489" s="5">
        <f>IF($I2="","",INDEX(Productos!$H:$H,$I2))</f>
        <v/>
      </c>
      <c r="F489" s="5">
        <f>IF($I2="","",INDEX(Productos!$I:$I,$I2))</f>
        <v/>
      </c>
      <c r="G489" s="135" t="n">
        <v>7</v>
      </c>
      <c r="H489" s="5">
        <f>IF($I2="","",INDEX(Productos!$AG:$AG,$I2))</f>
        <v/>
      </c>
      <c r="I489" s="136">
        <f>LET(_xlpm.r,Productos!$E$2:$E$1063,_xlpm.m,IFERROR(_xlfn.XMATCH(C489,_xlpm.r),IFERROR(_xlfn.XMATCH(VALUE(C489),_xlpm.r),0)),IF(_xlpm.m=0,"",_xlpm.m+1))</f>
        <v/>
      </c>
      <c r="J489" s="137" t="inlineStr">
        <is>
          <t>Odoo</t>
        </is>
      </c>
    </row>
    <row r="490">
      <c r="A490" s="5" t="inlineStr">
        <is>
          <t>Odoo Universal Unique Brands › Bodega 25 › Bodega 25/General</t>
        </is>
      </c>
      <c r="B490" s="5">
        <f>IF($I2="","",INDEX(Productos!$A:$A,$I2))</f>
        <v/>
      </c>
      <c r="C490" s="134" t="inlineStr">
        <is>
          <t>MW1339-2002BG</t>
        </is>
      </c>
      <c r="D490" s="5">
        <f>IF($I2="","",INDEX(Productos!$B:$B,$I2))</f>
        <v/>
      </c>
      <c r="E490" s="5">
        <f>IF($I2="","",INDEX(Productos!$H:$H,$I2))</f>
        <v/>
      </c>
      <c r="F490" s="5">
        <f>IF($I2="","",INDEX(Productos!$I:$I,$I2))</f>
        <v/>
      </c>
      <c r="G490" s="135" t="n">
        <v>28</v>
      </c>
      <c r="H490" s="5">
        <f>IF($I2="","",INDEX(Productos!$AG:$AG,$I2))</f>
        <v/>
      </c>
      <c r="I490" s="136">
        <f>LET(_xlpm.r,Productos!$E$2:$E$1063,_xlpm.m,IFERROR(_xlfn.XMATCH(C490,_xlpm.r),IFERROR(_xlfn.XMATCH(VALUE(C490),_xlpm.r),0)),IF(_xlpm.m=0,"",_xlpm.m+1))</f>
        <v/>
      </c>
      <c r="J490" s="137" t="inlineStr">
        <is>
          <t>Odoo</t>
        </is>
      </c>
    </row>
    <row r="491">
      <c r="A491" s="5" t="inlineStr">
        <is>
          <t>Odoo Universal Unique Brands › Bodega 25 › Bodega 25/General</t>
        </is>
      </c>
      <c r="B491" s="5">
        <f>IF($I2="","",INDEX(Productos!$A:$A,$I2))</f>
        <v/>
      </c>
      <c r="C491" s="134" t="inlineStr">
        <is>
          <t>MW1339-2002BR</t>
        </is>
      </c>
      <c r="D491" s="5">
        <f>IF($I2="","",INDEX(Productos!$B:$B,$I2))</f>
        <v/>
      </c>
      <c r="E491" s="5">
        <f>IF($I2="","",INDEX(Productos!$H:$H,$I2))</f>
        <v/>
      </c>
      <c r="F491" s="5">
        <f>IF($I2="","",INDEX(Productos!$I:$I,$I2))</f>
        <v/>
      </c>
      <c r="G491" s="135" t="n">
        <v>13</v>
      </c>
      <c r="H491" s="5">
        <f>IF($I2="","",INDEX(Productos!$AG:$AG,$I2))</f>
        <v/>
      </c>
      <c r="I491" s="136">
        <f>LET(_xlpm.r,Productos!$E$2:$E$1063,_xlpm.m,IFERROR(_xlfn.XMATCH(C491,_xlpm.r),IFERROR(_xlfn.XMATCH(VALUE(C491),_xlpm.r),0)),IF(_xlpm.m=0,"",_xlpm.m+1))</f>
        <v/>
      </c>
      <c r="J491" s="137" t="inlineStr">
        <is>
          <t>Odoo</t>
        </is>
      </c>
    </row>
    <row r="492">
      <c r="A492" s="5" t="inlineStr">
        <is>
          <t>Odoo Universal Unique Brands › Bodega 25 › Bodega 25/General</t>
        </is>
      </c>
      <c r="B492" s="5">
        <f>IF($I2="","",INDEX(Productos!$A:$A,$I2))</f>
        <v/>
      </c>
      <c r="C492" s="134" t="inlineStr">
        <is>
          <t>MW1339-2002CF</t>
        </is>
      </c>
      <c r="D492" s="5">
        <f>IF($I2="","",INDEX(Productos!$B:$B,$I2))</f>
        <v/>
      </c>
      <c r="E492" s="5">
        <f>IF($I2="","",INDEX(Productos!$H:$H,$I2))</f>
        <v/>
      </c>
      <c r="F492" s="5">
        <f>IF($I2="","",INDEX(Productos!$I:$I,$I2))</f>
        <v/>
      </c>
      <c r="G492" s="135" t="n">
        <v>11</v>
      </c>
      <c r="H492" s="5">
        <f>IF($I2="","",INDEX(Productos!$AG:$AG,$I2))</f>
        <v/>
      </c>
      <c r="I492" s="136">
        <f>LET(_xlpm.r,Productos!$E$2:$E$1063,_xlpm.m,IFERROR(_xlfn.XMATCH(C492,_xlpm.r),IFERROR(_xlfn.XMATCH(VALUE(C492),_xlpm.r),0)),IF(_xlpm.m=0,"",_xlpm.m+1))</f>
        <v/>
      </c>
      <c r="J492" s="137" t="inlineStr">
        <is>
          <t>Odoo</t>
        </is>
      </c>
    </row>
    <row r="493">
      <c r="A493" s="5" t="inlineStr">
        <is>
          <t>Odoo Universal Unique Brands › Bodega 25 › Bodega 25/General</t>
        </is>
      </c>
      <c r="B493" s="5">
        <f>IF($I2="","",INDEX(Productos!$A:$A,$I2))</f>
        <v/>
      </c>
      <c r="C493" s="134" t="inlineStr">
        <is>
          <t>MW1339-2002TN</t>
        </is>
      </c>
      <c r="D493" s="5">
        <f>IF($I2="","",INDEX(Productos!$B:$B,$I2))</f>
        <v/>
      </c>
      <c r="E493" s="5">
        <f>IF($I2="","",INDEX(Productos!$H:$H,$I2))</f>
        <v/>
      </c>
      <c r="F493" s="5">
        <f>IF($I2="","",INDEX(Productos!$I:$I,$I2))</f>
        <v/>
      </c>
      <c r="G493" s="135" t="n">
        <v>16</v>
      </c>
      <c r="H493" s="5">
        <f>IF($I2="","",INDEX(Productos!$AG:$AG,$I2))</f>
        <v/>
      </c>
      <c r="I493" s="136">
        <f>LET(_xlpm.r,Productos!$E$2:$E$1063,_xlpm.m,IFERROR(_xlfn.XMATCH(C493,_xlpm.r),IFERROR(_xlfn.XMATCH(VALUE(C493),_xlpm.r),0)),IF(_xlpm.m=0,"",_xlpm.m+1))</f>
        <v/>
      </c>
      <c r="J493" s="137" t="inlineStr">
        <is>
          <t>Odoo</t>
        </is>
      </c>
    </row>
    <row r="494">
      <c r="A494" s="5" t="inlineStr">
        <is>
          <t>Odoo Universal Unique Brands › Bodega 25 › Bodega 25/General</t>
        </is>
      </c>
      <c r="B494" s="5">
        <f>IF($I2="","",INDEX(Productos!$A:$A,$I2))</f>
        <v/>
      </c>
      <c r="C494" s="134" t="inlineStr">
        <is>
          <t>MW1340-181BR</t>
        </is>
      </c>
      <c r="D494" s="5">
        <f>IF($I2="","",INDEX(Productos!$B:$B,$I2))</f>
        <v/>
      </c>
      <c r="E494" s="5">
        <f>IF($I2="","",INDEX(Productos!$H:$H,$I2))</f>
        <v/>
      </c>
      <c r="F494" s="5">
        <f>IF($I2="","",INDEX(Productos!$I:$I,$I2))</f>
        <v/>
      </c>
      <c r="G494" s="135" t="n">
        <v>12</v>
      </c>
      <c r="H494" s="5">
        <f>IF($I2="","",INDEX(Productos!$AG:$AG,$I2))</f>
        <v/>
      </c>
      <c r="I494" s="136">
        <f>LET(_xlpm.r,Productos!$E$2:$E$1063,_xlpm.m,IFERROR(_xlfn.XMATCH(C494,_xlpm.r),IFERROR(_xlfn.XMATCH(VALUE(C494),_xlpm.r),0)),IF(_xlpm.m=0,"",_xlpm.m+1))</f>
        <v/>
      </c>
      <c r="J494" s="137" t="inlineStr">
        <is>
          <t>Odoo</t>
        </is>
      </c>
    </row>
    <row r="495">
      <c r="A495" s="5" t="inlineStr">
        <is>
          <t>Odoo Universal Unique Brands › Bodega 25 › Bodega 25/General</t>
        </is>
      </c>
      <c r="B495" s="5">
        <f>IF($I2="","",INDEX(Productos!$A:$A,$I2))</f>
        <v/>
      </c>
      <c r="C495" s="134" t="inlineStr">
        <is>
          <t>MW1340-W002BR</t>
        </is>
      </c>
      <c r="D495" s="5">
        <f>IF($I2="","",INDEX(Productos!$B:$B,$I2))</f>
        <v/>
      </c>
      <c r="E495" s="5">
        <f>IF($I2="","",INDEX(Productos!$H:$H,$I2))</f>
        <v/>
      </c>
      <c r="F495" s="5">
        <f>IF($I2="","",INDEX(Productos!$I:$I,$I2))</f>
        <v/>
      </c>
      <c r="G495" s="135" t="n">
        <v>15</v>
      </c>
      <c r="H495" s="5">
        <f>IF($I2="","",INDEX(Productos!$AG:$AG,$I2))</f>
        <v/>
      </c>
      <c r="I495" s="136">
        <f>LET(_xlpm.r,Productos!$E$2:$E$1063,_xlpm.m,IFERROR(_xlfn.XMATCH(C495,_xlpm.r),IFERROR(_xlfn.XMATCH(VALUE(C495),_xlpm.r),0)),IF(_xlpm.m=0,"",_xlpm.m+1))</f>
        <v/>
      </c>
      <c r="J495" s="137" t="inlineStr">
        <is>
          <t>Odoo</t>
        </is>
      </c>
    </row>
    <row r="496">
      <c r="A496" s="5" t="inlineStr">
        <is>
          <t>Odoo Universal Unique Brands › Bodega 25 › Bodega 25/General</t>
        </is>
      </c>
      <c r="B496" s="5">
        <f>IF($I2="","",INDEX(Productos!$A:$A,$I2))</f>
        <v/>
      </c>
      <c r="C496" s="134" t="inlineStr">
        <is>
          <t>MW1340G-8317BK</t>
        </is>
      </c>
      <c r="D496" s="5">
        <f>IF($I2="","",INDEX(Productos!$B:$B,$I2))</f>
        <v/>
      </c>
      <c r="E496" s="5">
        <f>IF($I2="","",INDEX(Productos!$H:$H,$I2))</f>
        <v/>
      </c>
      <c r="F496" s="5">
        <f>IF($I2="","",INDEX(Productos!$I:$I,$I2))</f>
        <v/>
      </c>
      <c r="G496" s="135" t="n">
        <v>11</v>
      </c>
      <c r="H496" s="5">
        <f>IF($I2="","",INDEX(Productos!$AG:$AG,$I2))</f>
        <v/>
      </c>
      <c r="I496" s="136">
        <f>LET(_xlpm.r,Productos!$E$2:$E$1063,_xlpm.m,IFERROR(_xlfn.XMATCH(C496,_xlpm.r),IFERROR(_xlfn.XMATCH(VALUE(C496),_xlpm.r),0)),IF(_xlpm.m=0,"",_xlpm.m+1))</f>
        <v/>
      </c>
      <c r="J496" s="137" t="inlineStr">
        <is>
          <t>Odoo</t>
        </is>
      </c>
    </row>
    <row r="497">
      <c r="A497" s="5" t="inlineStr">
        <is>
          <t>Odoo Universal Unique Brands › Bodega 25 › Bodega 25/General</t>
        </is>
      </c>
      <c r="B497" s="5">
        <f>IF($I2="","",INDEX(Productos!$A:$A,$I2))</f>
        <v/>
      </c>
      <c r="C497" s="134" t="inlineStr">
        <is>
          <t>MW1340G-8317BR</t>
        </is>
      </c>
      <c r="D497" s="5">
        <f>IF($I2="","",INDEX(Productos!$B:$B,$I2))</f>
        <v/>
      </c>
      <c r="E497" s="5">
        <f>IF($I2="","",INDEX(Productos!$H:$H,$I2))</f>
        <v/>
      </c>
      <c r="F497" s="5">
        <f>IF($I2="","",INDEX(Productos!$I:$I,$I2))</f>
        <v/>
      </c>
      <c r="G497" s="135" t="n">
        <v>9</v>
      </c>
      <c r="H497" s="5">
        <f>IF($I2="","",INDEX(Productos!$AG:$AG,$I2))</f>
        <v/>
      </c>
      <c r="I497" s="136">
        <f>LET(_xlpm.r,Productos!$E$2:$E$1063,_xlpm.m,IFERROR(_xlfn.XMATCH(C497,_xlpm.r),IFERROR(_xlfn.XMATCH(VALUE(C497),_xlpm.r),0)),IF(_xlpm.m=0,"",_xlpm.m+1))</f>
        <v/>
      </c>
      <c r="J497" s="137" t="inlineStr">
        <is>
          <t>Odoo</t>
        </is>
      </c>
    </row>
    <row r="498">
      <c r="A498" s="5" t="inlineStr">
        <is>
          <t>Odoo Universal Unique Brands › Bodega 25 › Bodega 25/General</t>
        </is>
      </c>
      <c r="B498" s="5">
        <f>IF($I2="","",INDEX(Productos!$A:$A,$I2))</f>
        <v/>
      </c>
      <c r="C498" s="134" t="inlineStr">
        <is>
          <t>MW1340G-9360BR</t>
        </is>
      </c>
      <c r="D498" s="5">
        <f>IF($I2="","",INDEX(Productos!$B:$B,$I2))</f>
        <v/>
      </c>
      <c r="E498" s="5">
        <f>IF($I2="","",INDEX(Productos!$H:$H,$I2))</f>
        <v/>
      </c>
      <c r="F498" s="5">
        <f>IF($I2="","",INDEX(Productos!$I:$I,$I2))</f>
        <v/>
      </c>
      <c r="G498" s="135" t="n">
        <v>17</v>
      </c>
      <c r="H498" s="5">
        <f>IF($I2="","",INDEX(Productos!$AG:$AG,$I2))</f>
        <v/>
      </c>
      <c r="I498" s="136">
        <f>LET(_xlpm.r,Productos!$E$2:$E$1063,_xlpm.m,IFERROR(_xlfn.XMATCH(C498,_xlpm.r),IFERROR(_xlfn.XMATCH(VALUE(C498),_xlpm.r),0)),IF(_xlpm.m=0,"",_xlpm.m+1))</f>
        <v/>
      </c>
      <c r="J498" s="137" t="inlineStr">
        <is>
          <t>Odoo</t>
        </is>
      </c>
    </row>
    <row r="499">
      <c r="A499" s="5" t="inlineStr">
        <is>
          <t>Odoo Universal Unique Brands › Bodega 25 › Bodega 25/General</t>
        </is>
      </c>
      <c r="B499" s="5">
        <f>IF($I2="","",INDEX(Productos!$A:$A,$I2))</f>
        <v/>
      </c>
      <c r="C499" s="134" t="inlineStr">
        <is>
          <t>MW1340G-9360CF</t>
        </is>
      </c>
      <c r="D499" s="5">
        <f>IF($I2="","",INDEX(Productos!$B:$B,$I2))</f>
        <v/>
      </c>
      <c r="E499" s="5">
        <f>IF($I2="","",INDEX(Productos!$H:$H,$I2))</f>
        <v/>
      </c>
      <c r="F499" s="5">
        <f>IF($I2="","",INDEX(Productos!$I:$I,$I2))</f>
        <v/>
      </c>
      <c r="G499" s="135" t="n">
        <v>12</v>
      </c>
      <c r="H499" s="5">
        <f>IF($I2="","",INDEX(Productos!$AG:$AG,$I2))</f>
        <v/>
      </c>
      <c r="I499" s="136">
        <f>LET(_xlpm.r,Productos!$E$2:$E$1063,_xlpm.m,IFERROR(_xlfn.XMATCH(C499,_xlpm.r),IFERROR(_xlfn.XMATCH(VALUE(C499),_xlpm.r),0)),IF(_xlpm.m=0,"",_xlpm.m+1))</f>
        <v/>
      </c>
      <c r="J499" s="137" t="inlineStr">
        <is>
          <t>Odoo</t>
        </is>
      </c>
    </row>
    <row r="500">
      <c r="A500" s="5" t="inlineStr">
        <is>
          <t>Odoo Universal Unique Brands › Bodega 25 › Bodega 25/General</t>
        </is>
      </c>
      <c r="B500" s="5">
        <f>IF($I2="","",INDEX(Productos!$A:$A,$I2))</f>
        <v/>
      </c>
      <c r="C500" s="134" t="inlineStr">
        <is>
          <t>MW1341-918BR</t>
        </is>
      </c>
      <c r="D500" s="5">
        <f>IF($I2="","",INDEX(Productos!$B:$B,$I2))</f>
        <v/>
      </c>
      <c r="E500" s="5">
        <f>IF($I2="","",INDEX(Productos!$H:$H,$I2))</f>
        <v/>
      </c>
      <c r="F500" s="5">
        <f>IF($I2="","",INDEX(Productos!$I:$I,$I2))</f>
        <v/>
      </c>
      <c r="G500" s="135" t="n">
        <v>15</v>
      </c>
      <c r="H500" s="5">
        <f>IF($I2="","",INDEX(Productos!$AG:$AG,$I2))</f>
        <v/>
      </c>
      <c r="I500" s="136">
        <f>LET(_xlpm.r,Productos!$E$2:$E$1063,_xlpm.m,IFERROR(_xlfn.XMATCH(C500,_xlpm.r),IFERROR(_xlfn.XMATCH(VALUE(C500),_xlpm.r),0)),IF(_xlpm.m=0,"",_xlpm.m+1))</f>
        <v/>
      </c>
      <c r="J500" s="137" t="inlineStr">
        <is>
          <t>Odoo</t>
        </is>
      </c>
    </row>
    <row r="501">
      <c r="A501" s="5" t="inlineStr">
        <is>
          <t>Odoo Universal Unique Brands › Bodega 25 › Bodega 25/General</t>
        </is>
      </c>
      <c r="B501" s="5">
        <f>IF($I2="","",INDEX(Productos!$A:$A,$I2))</f>
        <v/>
      </c>
      <c r="C501" s="134" t="inlineStr">
        <is>
          <t>MW1341-918CF</t>
        </is>
      </c>
      <c r="D501" s="5">
        <f>IF($I2="","",INDEX(Productos!$B:$B,$I2))</f>
        <v/>
      </c>
      <c r="E501" s="5">
        <f>IF($I2="","",INDEX(Productos!$H:$H,$I2))</f>
        <v/>
      </c>
      <c r="F501" s="5">
        <f>IF($I2="","",INDEX(Productos!$I:$I,$I2))</f>
        <v/>
      </c>
      <c r="G501" s="135" t="n">
        <v>16</v>
      </c>
      <c r="H501" s="5">
        <f>IF($I2="","",INDEX(Productos!$AG:$AG,$I2))</f>
        <v/>
      </c>
      <c r="I501" s="136">
        <f>LET(_xlpm.r,Productos!$E$2:$E$1063,_xlpm.m,IFERROR(_xlfn.XMATCH(C501,_xlpm.r),IFERROR(_xlfn.XMATCH(VALUE(C501),_xlpm.r),0)),IF(_xlpm.m=0,"",_xlpm.m+1))</f>
        <v/>
      </c>
      <c r="J501" s="137" t="inlineStr">
        <is>
          <t>Odoo</t>
        </is>
      </c>
    </row>
    <row r="502">
      <c r="A502" s="5" t="inlineStr">
        <is>
          <t>Odoo Universal Unique Brands › Bodega 25 › Bodega 25/General</t>
        </is>
      </c>
      <c r="B502" s="5">
        <f>IF($I2="","",INDEX(Productos!$A:$A,$I2))</f>
        <v/>
      </c>
      <c r="C502" s="134" t="inlineStr">
        <is>
          <t>MW1341-918DPK</t>
        </is>
      </c>
      <c r="D502" s="5">
        <f>IF($I2="","",INDEX(Productos!$B:$B,$I2))</f>
        <v/>
      </c>
      <c r="E502" s="5">
        <f>IF($I2="","",INDEX(Productos!$H:$H,$I2))</f>
        <v/>
      </c>
      <c r="F502" s="5">
        <f>IF($I2="","",INDEX(Productos!$I:$I,$I2))</f>
        <v/>
      </c>
      <c r="G502" s="135" t="n">
        <v>18</v>
      </c>
      <c r="H502" s="5">
        <f>IF($I2="","",INDEX(Productos!$AG:$AG,$I2))</f>
        <v/>
      </c>
      <c r="I502" s="136">
        <f>LET(_xlpm.r,Productos!$E$2:$E$1063,_xlpm.m,IFERROR(_xlfn.XMATCH(C502,_xlpm.r),IFERROR(_xlfn.XMATCH(VALUE(C502),_xlpm.r),0)),IF(_xlpm.m=0,"",_xlpm.m+1))</f>
        <v/>
      </c>
      <c r="J502" s="137" t="inlineStr">
        <is>
          <t>Odoo</t>
        </is>
      </c>
    </row>
    <row r="503">
      <c r="A503" s="5" t="inlineStr">
        <is>
          <t>Odoo Universal Unique Brands › Bodega 25 › Bodega 25/General</t>
        </is>
      </c>
      <c r="B503" s="5">
        <f>IF($I2="","",INDEX(Productos!$A:$A,$I2))</f>
        <v/>
      </c>
      <c r="C503" s="134" t="inlineStr">
        <is>
          <t>MW1341-918KH</t>
        </is>
      </c>
      <c r="D503" s="5">
        <f>IF($I2="","",INDEX(Productos!$B:$B,$I2))</f>
        <v/>
      </c>
      <c r="E503" s="5">
        <f>IF($I2="","",INDEX(Productos!$H:$H,$I2))</f>
        <v/>
      </c>
      <c r="F503" s="5">
        <f>IF($I2="","",INDEX(Productos!$I:$I,$I2))</f>
        <v/>
      </c>
      <c r="G503" s="135" t="n">
        <v>12</v>
      </c>
      <c r="H503" s="5">
        <f>IF($I2="","",INDEX(Productos!$AG:$AG,$I2))</f>
        <v/>
      </c>
      <c r="I503" s="136">
        <f>LET(_xlpm.r,Productos!$E$2:$E$1063,_xlpm.m,IFERROR(_xlfn.XMATCH(C503,_xlpm.r),IFERROR(_xlfn.XMATCH(VALUE(C503),_xlpm.r),0)),IF(_xlpm.m=0,"",_xlpm.m+1))</f>
        <v/>
      </c>
      <c r="J503" s="137" t="inlineStr">
        <is>
          <t>Odoo</t>
        </is>
      </c>
    </row>
    <row r="504">
      <c r="A504" s="5" t="inlineStr">
        <is>
          <t>Odoo Universal Unique Brands › Bodega 25 › Bodega 25/General</t>
        </is>
      </c>
      <c r="B504" s="5">
        <f>IF($I2="","",INDEX(Productos!$A:$A,$I2))</f>
        <v/>
      </c>
      <c r="C504" s="134" t="inlineStr">
        <is>
          <t>MW1341-W022BR</t>
        </is>
      </c>
      <c r="D504" s="5">
        <f>IF($I2="","",INDEX(Productos!$B:$B,$I2))</f>
        <v/>
      </c>
      <c r="E504" s="5">
        <f>IF($I2="","",INDEX(Productos!$H:$H,$I2))</f>
        <v/>
      </c>
      <c r="F504" s="5">
        <f>IF($I2="","",INDEX(Productos!$I:$I,$I2))</f>
        <v/>
      </c>
      <c r="G504" s="135" t="n">
        <v>16</v>
      </c>
      <c r="H504" s="5">
        <f>IF($I2="","",INDEX(Productos!$AG:$AG,$I2))</f>
        <v/>
      </c>
      <c r="I504" s="136">
        <f>LET(_xlpm.r,Productos!$E$2:$E$1063,_xlpm.m,IFERROR(_xlfn.XMATCH(C504,_xlpm.r),IFERROR(_xlfn.XMATCH(VALUE(C504),_xlpm.r),0)),IF(_xlpm.m=0,"",_xlpm.m+1))</f>
        <v/>
      </c>
      <c r="J504" s="137" t="inlineStr">
        <is>
          <t>Odoo</t>
        </is>
      </c>
    </row>
    <row r="505">
      <c r="A505" s="5" t="inlineStr">
        <is>
          <t>Odoo Universal Unique Brands › Bodega 25 › Bodega 25/General</t>
        </is>
      </c>
      <c r="B505" s="5">
        <f>IF($I2="","",INDEX(Productos!$A:$A,$I2))</f>
        <v/>
      </c>
      <c r="C505" s="134" t="inlineStr">
        <is>
          <t>MW1341-W022CF</t>
        </is>
      </c>
      <c r="D505" s="5">
        <f>IF($I2="","",INDEX(Productos!$B:$B,$I2))</f>
        <v/>
      </c>
      <c r="E505" s="5">
        <f>IF($I2="","",INDEX(Productos!$H:$H,$I2))</f>
        <v/>
      </c>
      <c r="F505" s="5">
        <f>IF($I2="","",INDEX(Productos!$I:$I,$I2))</f>
        <v/>
      </c>
      <c r="G505" s="135" t="n">
        <v>14</v>
      </c>
      <c r="H505" s="5">
        <f>IF($I2="","",INDEX(Productos!$AG:$AG,$I2))</f>
        <v/>
      </c>
      <c r="I505" s="136">
        <f>LET(_xlpm.r,Productos!$E$2:$E$1063,_xlpm.m,IFERROR(_xlfn.XMATCH(C505,_xlpm.r),IFERROR(_xlfn.XMATCH(VALUE(C505),_xlpm.r),0)),IF(_xlpm.m=0,"",_xlpm.m+1))</f>
        <v/>
      </c>
      <c r="J505" s="137" t="inlineStr">
        <is>
          <t>Odoo</t>
        </is>
      </c>
    </row>
    <row r="506">
      <c r="A506" s="5" t="inlineStr">
        <is>
          <t>Odoo Universal Unique Brands › Bodega 25 › Bodega 25/General</t>
        </is>
      </c>
      <c r="B506" s="5">
        <f>IF($I2="","",INDEX(Productos!$A:$A,$I2))</f>
        <v/>
      </c>
      <c r="C506" s="134" t="inlineStr">
        <is>
          <t>MW1341-W022DPK</t>
        </is>
      </c>
      <c r="D506" s="5">
        <f>IF($I2="","",INDEX(Productos!$B:$B,$I2))</f>
        <v/>
      </c>
      <c r="E506" s="5">
        <f>IF($I2="","",INDEX(Productos!$H:$H,$I2))</f>
        <v/>
      </c>
      <c r="F506" s="5">
        <f>IF($I2="","",INDEX(Productos!$I:$I,$I2))</f>
        <v/>
      </c>
      <c r="G506" s="135" t="n">
        <v>17</v>
      </c>
      <c r="H506" s="5">
        <f>IF($I2="","",INDEX(Productos!$AG:$AG,$I2))</f>
        <v/>
      </c>
      <c r="I506" s="136">
        <f>LET(_xlpm.r,Productos!$E$2:$E$1063,_xlpm.m,IFERROR(_xlfn.XMATCH(C506,_xlpm.r),IFERROR(_xlfn.XMATCH(VALUE(C506),_xlpm.r),0)),IF(_xlpm.m=0,"",_xlpm.m+1))</f>
        <v/>
      </c>
      <c r="J506" s="137" t="inlineStr">
        <is>
          <t>Odoo</t>
        </is>
      </c>
    </row>
    <row r="507">
      <c r="A507" s="5" t="inlineStr">
        <is>
          <t>Odoo Universal Unique Brands › Bodega 25 › Bodega 25/General</t>
        </is>
      </c>
      <c r="B507" s="5">
        <f>IF($I2="","",INDEX(Productos!$A:$A,$I2))</f>
        <v/>
      </c>
      <c r="C507" s="134" t="inlineStr">
        <is>
          <t>MW1341-W022KH</t>
        </is>
      </c>
      <c r="D507" s="5">
        <f>IF($I2="","",INDEX(Productos!$B:$B,$I2))</f>
        <v/>
      </c>
      <c r="E507" s="5">
        <f>IF($I2="","",INDEX(Productos!$H:$H,$I2))</f>
        <v/>
      </c>
      <c r="F507" s="5">
        <f>IF($I2="","",INDEX(Productos!$I:$I,$I2))</f>
        <v/>
      </c>
      <c r="G507" s="135" t="n">
        <v>16</v>
      </c>
      <c r="H507" s="5">
        <f>IF($I2="","",INDEX(Productos!$AG:$AG,$I2))</f>
        <v/>
      </c>
      <c r="I507" s="136">
        <f>LET(_xlpm.r,Productos!$E$2:$E$1063,_xlpm.m,IFERROR(_xlfn.XMATCH(C507,_xlpm.r),IFERROR(_xlfn.XMATCH(VALUE(C507),_xlpm.r),0)),IF(_xlpm.m=0,"",_xlpm.m+1))</f>
        <v/>
      </c>
      <c r="J507" s="137" t="inlineStr">
        <is>
          <t>Odoo</t>
        </is>
      </c>
    </row>
    <row r="508">
      <c r="A508" s="5" t="inlineStr">
        <is>
          <t>Odoo Universal Unique Brands › Bodega 25 › Bodega 25/General</t>
        </is>
      </c>
      <c r="B508" s="5">
        <f>IF($I2="","",INDEX(Productos!$A:$A,$I2))</f>
        <v/>
      </c>
      <c r="C508" s="134" t="inlineStr">
        <is>
          <t>MW1348-8250CF</t>
        </is>
      </c>
      <c r="D508" s="5">
        <f>IF($I2="","",INDEX(Productos!$B:$B,$I2))</f>
        <v/>
      </c>
      <c r="E508" s="5">
        <f>IF($I2="","",INDEX(Productos!$H:$H,$I2))</f>
        <v/>
      </c>
      <c r="F508" s="5">
        <f>IF($I2="","",INDEX(Productos!$I:$I,$I2))</f>
        <v/>
      </c>
      <c r="G508" s="135" t="n">
        <v>16</v>
      </c>
      <c r="H508" s="5">
        <f>IF($I2="","",INDEX(Productos!$AG:$AG,$I2))</f>
        <v/>
      </c>
      <c r="I508" s="136">
        <f>LET(_xlpm.r,Productos!$E$2:$E$1063,_xlpm.m,IFERROR(_xlfn.XMATCH(C508,_xlpm.r),IFERROR(_xlfn.XMATCH(VALUE(C508),_xlpm.r),0)),IF(_xlpm.m=0,"",_xlpm.m+1))</f>
        <v/>
      </c>
      <c r="J508" s="137" t="inlineStr">
        <is>
          <t>Odoo</t>
        </is>
      </c>
    </row>
    <row r="509">
      <c r="A509" s="5" t="inlineStr">
        <is>
          <t>Odoo Universal Unique Brands › Bodega 25 › Bodega 25/General</t>
        </is>
      </c>
      <c r="B509" s="5">
        <f>IF($I2="","",INDEX(Productos!$A:$A,$I2))</f>
        <v/>
      </c>
      <c r="C509" s="134" t="inlineStr">
        <is>
          <t>MW1351-888BR</t>
        </is>
      </c>
      <c r="D509" s="5">
        <f>IF($I2="","",INDEX(Productos!$B:$B,$I2))</f>
        <v/>
      </c>
      <c r="E509" s="5">
        <f>IF($I2="","",INDEX(Productos!$H:$H,$I2))</f>
        <v/>
      </c>
      <c r="F509" s="5">
        <f>IF($I2="","",INDEX(Productos!$I:$I,$I2))</f>
        <v/>
      </c>
      <c r="G509" s="135" t="n">
        <v>17</v>
      </c>
      <c r="H509" s="5">
        <f>IF($I2="","",INDEX(Productos!$AG:$AG,$I2))</f>
        <v/>
      </c>
      <c r="I509" s="136">
        <f>LET(_xlpm.r,Productos!$E$2:$E$1063,_xlpm.m,IFERROR(_xlfn.XMATCH(C509,_xlpm.r),IFERROR(_xlfn.XMATCH(VALUE(C509),_xlpm.r),0)),IF(_xlpm.m=0,"",_xlpm.m+1))</f>
        <v/>
      </c>
      <c r="J509" s="137" t="inlineStr">
        <is>
          <t>Odoo</t>
        </is>
      </c>
    </row>
    <row r="510">
      <c r="A510" s="5" t="inlineStr">
        <is>
          <t>Odoo Universal Unique Brands › Bodega 25 › Bodega 25/General</t>
        </is>
      </c>
      <c r="B510" s="5">
        <f>IF($I2="","",INDEX(Productos!$A:$A,$I2))</f>
        <v/>
      </c>
      <c r="C510" s="134" t="inlineStr">
        <is>
          <t>MWB-1012BR</t>
        </is>
      </c>
      <c r="D510" s="5">
        <f>IF($I2="","",INDEX(Productos!$B:$B,$I2))</f>
        <v/>
      </c>
      <c r="E510" s="5">
        <f>IF($I2="","",INDEX(Productos!$H:$H,$I2))</f>
        <v/>
      </c>
      <c r="F510" s="5">
        <f>IF($I2="","",INDEX(Productos!$I:$I,$I2))</f>
        <v/>
      </c>
      <c r="G510" s="135" t="n">
        <v>4</v>
      </c>
      <c r="H510" s="5">
        <f>IF($I2="","",INDEX(Productos!$AG:$AG,$I2))</f>
        <v/>
      </c>
      <c r="I510" s="136">
        <f>LET(_xlpm.r,Productos!$E$2:$E$1063,_xlpm.m,IFERROR(_xlfn.XMATCH(C510,_xlpm.r),IFERROR(_xlfn.XMATCH(VALUE(C510),_xlpm.r),0)),IF(_xlpm.m=0,"",_xlpm.m+1))</f>
        <v/>
      </c>
      <c r="J510" s="137" t="inlineStr">
        <is>
          <t>Odoo</t>
        </is>
      </c>
    </row>
    <row r="511">
      <c r="A511" s="5" t="inlineStr">
        <is>
          <t>Odoo Universal Unique Brands › Bodega 25 › Bodega 25/General</t>
        </is>
      </c>
      <c r="B511" s="5">
        <f>IF($I2="","",INDEX(Productos!$A:$A,$I2))</f>
        <v/>
      </c>
      <c r="C511" s="134" t="inlineStr">
        <is>
          <t>MWBX-67</t>
        </is>
      </c>
      <c r="D511" s="5">
        <f>IF($I2="","",INDEX(Productos!$B:$B,$I2))</f>
        <v/>
      </c>
      <c r="E511" s="5">
        <f>IF($I2="","",INDEX(Productos!$H:$H,$I2))</f>
        <v/>
      </c>
      <c r="F511" s="5">
        <f>IF($I2="","",INDEX(Productos!$I:$I,$I2))</f>
        <v/>
      </c>
      <c r="G511" s="135" t="n">
        <v>274</v>
      </c>
      <c r="H511" s="5">
        <f>IF($I2="","",INDEX(Productos!$AG:$AG,$I2))</f>
        <v/>
      </c>
      <c r="I511" s="136">
        <f>LET(_xlpm.r,Productos!$E$2:$E$1063,_xlpm.m,IFERROR(_xlfn.XMATCH(C511,_xlpm.r),IFERROR(_xlfn.XMATCH(VALUE(C511),_xlpm.r),0)),IF(_xlpm.m=0,"",_xlpm.m+1))</f>
        <v/>
      </c>
      <c r="J511" s="137" t="inlineStr">
        <is>
          <t>Odoo</t>
        </is>
      </c>
    </row>
    <row r="512">
      <c r="A512" s="5" t="inlineStr">
        <is>
          <t>Odoo Universal Unique Brands › Bodega 25 › Bodega 25/General</t>
        </is>
      </c>
      <c r="B512" s="5">
        <f>IF($I2="","",INDEX(Productos!$A:$A,$I2))</f>
        <v/>
      </c>
      <c r="C512" s="134" t="inlineStr">
        <is>
          <t>MWBX-67-UNI</t>
        </is>
      </c>
      <c r="D512" s="5">
        <f>IF($I2="","",INDEX(Productos!$B:$B,$I2))</f>
        <v/>
      </c>
      <c r="E512" s="5">
        <f>IF($I2="","",INDEX(Productos!$H:$H,$I2))</f>
        <v/>
      </c>
      <c r="F512" s="5">
        <f>IF($I2="","",INDEX(Productos!$I:$I,$I2))</f>
        <v/>
      </c>
      <c r="G512" s="135" t="n">
        <v>6</v>
      </c>
      <c r="H512" s="5">
        <f>IF($I2="","",INDEX(Productos!$AG:$AG,$I2))</f>
        <v/>
      </c>
      <c r="I512" s="136">
        <f>LET(_xlpm.r,Productos!$E$2:$E$1063,_xlpm.m,IFERROR(_xlfn.XMATCH(C512,_xlpm.r),IFERROR(_xlfn.XMATCH(VALUE(C512),_xlpm.r),0)),IF(_xlpm.m=0,"",_xlpm.m+1))</f>
        <v/>
      </c>
      <c r="J512" s="137" t="inlineStr">
        <is>
          <t>Odoo</t>
        </is>
      </c>
    </row>
    <row r="513">
      <c r="A513" s="5" t="inlineStr">
        <is>
          <t>Odoo Universal Unique Brands › Bodega 25 › Bodega 25/General</t>
        </is>
      </c>
      <c r="B513" s="5">
        <f>IF($I2="","",INDEX(Productos!$A:$A,$I2))</f>
        <v/>
      </c>
      <c r="C513" s="134" t="inlineStr">
        <is>
          <t>MWC-043ABR</t>
        </is>
      </c>
      <c r="D513" s="5">
        <f>IF($I2="","",INDEX(Productos!$B:$B,$I2))</f>
        <v/>
      </c>
      <c r="E513" s="5">
        <f>IF($I2="","",INDEX(Productos!$H:$H,$I2))</f>
        <v/>
      </c>
      <c r="F513" s="5">
        <f>IF($I2="","",INDEX(Productos!$I:$I,$I2))</f>
        <v/>
      </c>
      <c r="G513" s="135" t="n">
        <v>6</v>
      </c>
      <c r="H513" s="5">
        <f>IF($I2="","",INDEX(Productos!$AG:$AG,$I2))</f>
        <v/>
      </c>
      <c r="I513" s="136">
        <f>LET(_xlpm.r,Productos!$E$2:$E$1063,_xlpm.m,IFERROR(_xlfn.XMATCH(C513,_xlpm.r),IFERROR(_xlfn.XMATCH(VALUE(C513),_xlpm.r),0)),IF(_xlpm.m=0,"",_xlpm.m+1))</f>
        <v/>
      </c>
      <c r="J513" s="137" t="inlineStr">
        <is>
          <t>Odoo</t>
        </is>
      </c>
    </row>
    <row r="514">
      <c r="A514" s="5" t="inlineStr">
        <is>
          <t>Odoo Universal Unique Brands › Bodega 25 › Bodega 25/General</t>
        </is>
      </c>
      <c r="B514" s="5">
        <f>IF($I2="","",INDEX(Productos!$A:$A,$I2))</f>
        <v/>
      </c>
      <c r="C514" s="134" t="inlineStr">
        <is>
          <t>MWC-043ACF</t>
        </is>
      </c>
      <c r="D514" s="5">
        <f>IF($I2="","",INDEX(Productos!$B:$B,$I2))</f>
        <v/>
      </c>
      <c r="E514" s="5">
        <f>IF($I2="","",INDEX(Productos!$H:$H,$I2))</f>
        <v/>
      </c>
      <c r="F514" s="5">
        <f>IF($I2="","",INDEX(Productos!$I:$I,$I2))</f>
        <v/>
      </c>
      <c r="G514" s="135" t="n">
        <v>5</v>
      </c>
      <c r="H514" s="5">
        <f>IF($I2="","",INDEX(Productos!$AG:$AG,$I2))</f>
        <v/>
      </c>
      <c r="I514" s="136">
        <f>LET(_xlpm.r,Productos!$E$2:$E$1063,_xlpm.m,IFERROR(_xlfn.XMATCH(C514,_xlpm.r),IFERROR(_xlfn.XMATCH(VALUE(C514),_xlpm.r),0)),IF(_xlpm.m=0,"",_xlpm.m+1))</f>
        <v/>
      </c>
      <c r="J514" s="137" t="inlineStr">
        <is>
          <t>Odoo</t>
        </is>
      </c>
    </row>
    <row r="515">
      <c r="A515" s="5" t="inlineStr">
        <is>
          <t>Odoo Universal Unique Brands › Bodega 25 › Bodega 25/General</t>
        </is>
      </c>
      <c r="B515" s="5">
        <f>IF($I2="","",INDEX(Productos!$A:$A,$I2))</f>
        <v/>
      </c>
      <c r="C515" s="134" t="inlineStr">
        <is>
          <t>MWC-285BK</t>
        </is>
      </c>
      <c r="D515" s="5">
        <f>IF($I2="","",INDEX(Productos!$B:$B,$I2))</f>
        <v/>
      </c>
      <c r="E515" s="5">
        <f>IF($I2="","",INDEX(Productos!$H:$H,$I2))</f>
        <v/>
      </c>
      <c r="F515" s="5">
        <f>IF($I2="","",INDEX(Productos!$I:$I,$I2))</f>
        <v/>
      </c>
      <c r="G515" s="135" t="n">
        <v>7</v>
      </c>
      <c r="H515" s="5">
        <f>IF($I2="","",INDEX(Productos!$AG:$AG,$I2))</f>
        <v/>
      </c>
      <c r="I515" s="136">
        <f>LET(_xlpm.r,Productos!$E$2:$E$1063,_xlpm.m,IFERROR(_xlfn.XMATCH(C515,_xlpm.r),IFERROR(_xlfn.XMATCH(VALUE(C515),_xlpm.r),0)),IF(_xlpm.m=0,"",_xlpm.m+1))</f>
        <v/>
      </c>
      <c r="J515" s="137" t="inlineStr">
        <is>
          <t>Odoo</t>
        </is>
      </c>
    </row>
    <row r="516">
      <c r="A516" s="5" t="inlineStr">
        <is>
          <t>Odoo Universal Unique Brands › Bodega 25 › Bodega 25/General</t>
        </is>
      </c>
      <c r="B516" s="5">
        <f>IF($I2="","",INDEX(Productos!$A:$A,$I2))</f>
        <v/>
      </c>
      <c r="C516" s="134" t="inlineStr">
        <is>
          <t>MWC-285BR</t>
        </is>
      </c>
      <c r="D516" s="5">
        <f>IF($I2="","",INDEX(Productos!$B:$B,$I2))</f>
        <v/>
      </c>
      <c r="E516" s="5">
        <f>IF($I2="","",INDEX(Productos!$H:$H,$I2))</f>
        <v/>
      </c>
      <c r="F516" s="5">
        <f>IF($I2="","",INDEX(Productos!$I:$I,$I2))</f>
        <v/>
      </c>
      <c r="G516" s="135" t="n">
        <v>1</v>
      </c>
      <c r="H516" s="5">
        <f>IF($I2="","",INDEX(Productos!$AG:$AG,$I2))</f>
        <v/>
      </c>
      <c r="I516" s="136">
        <f>LET(_xlpm.r,Productos!$E$2:$E$1063,_xlpm.m,IFERROR(_xlfn.XMATCH(C516,_xlpm.r),IFERROR(_xlfn.XMATCH(VALUE(C516),_xlpm.r),0)),IF(_xlpm.m=0,"",_xlpm.m+1))</f>
        <v/>
      </c>
      <c r="J516" s="137" t="inlineStr">
        <is>
          <t>Odoo</t>
        </is>
      </c>
    </row>
    <row r="517">
      <c r="A517" s="5" t="inlineStr">
        <is>
          <t>Odoo Universal Unique Brands › Bodega 25 › Bodega 25/General</t>
        </is>
      </c>
      <c r="B517" s="5">
        <f>IF($I2="","",INDEX(Productos!$A:$A,$I2))</f>
        <v/>
      </c>
      <c r="C517" s="134" t="inlineStr">
        <is>
          <t>MWC-285CF</t>
        </is>
      </c>
      <c r="D517" s="5">
        <f>IF($I2="","",INDEX(Productos!$B:$B,$I2))</f>
        <v/>
      </c>
      <c r="E517" s="5">
        <f>IF($I2="","",INDEX(Productos!$H:$H,$I2))</f>
        <v/>
      </c>
      <c r="F517" s="5">
        <f>IF($I2="","",INDEX(Productos!$I:$I,$I2))</f>
        <v/>
      </c>
      <c r="G517" s="135" t="n">
        <v>3</v>
      </c>
      <c r="H517" s="5">
        <f>IF($I2="","",INDEX(Productos!$AG:$AG,$I2))</f>
        <v/>
      </c>
      <c r="I517" s="136">
        <f>LET(_xlpm.r,Productos!$E$2:$E$1063,_xlpm.m,IFERROR(_xlfn.XMATCH(C517,_xlpm.r),IFERROR(_xlfn.XMATCH(VALUE(C517),_xlpm.r),0)),IF(_xlpm.m=0,"",_xlpm.m+1))</f>
        <v/>
      </c>
      <c r="J517" s="137" t="inlineStr">
        <is>
          <t>Odoo</t>
        </is>
      </c>
    </row>
    <row r="518">
      <c r="A518" s="5" t="inlineStr">
        <is>
          <t>Odoo Universal Unique Brands › Bodega 25 › Bodega 25/General</t>
        </is>
      </c>
      <c r="B518" s="5">
        <f>IF($I2="","",INDEX(Productos!$A:$A,$I2))</f>
        <v/>
      </c>
      <c r="C518" s="134" t="inlineStr">
        <is>
          <t>MWF1046-205SCF</t>
        </is>
      </c>
      <c r="D518" s="5">
        <f>IF($I2="","",INDEX(Productos!$B:$B,$I2))</f>
        <v/>
      </c>
      <c r="E518" s="5">
        <f>IF($I2="","",INDEX(Productos!$H:$H,$I2))</f>
        <v/>
      </c>
      <c r="F518" s="5">
        <f>IF($I2="","",INDEX(Productos!$I:$I,$I2))</f>
        <v/>
      </c>
      <c r="G518" s="135" t="n">
        <v>6</v>
      </c>
      <c r="H518" s="5">
        <f>IF($I2="","",INDEX(Productos!$AG:$AG,$I2))</f>
        <v/>
      </c>
      <c r="I518" s="136">
        <f>LET(_xlpm.r,Productos!$E$2:$E$1063,_xlpm.m,IFERROR(_xlfn.XMATCH(C518,_xlpm.r),IFERROR(_xlfn.XMATCH(VALUE(C518),_xlpm.r),0)),IF(_xlpm.m=0,"",_xlpm.m+1))</f>
        <v/>
      </c>
      <c r="J518" s="137" t="inlineStr">
        <is>
          <t>Odoo</t>
        </is>
      </c>
    </row>
    <row r="519">
      <c r="A519" s="5" t="inlineStr">
        <is>
          <t>Odoo Universal Unique Brands › Bodega 25 › Bodega 25/General</t>
        </is>
      </c>
      <c r="B519" s="5">
        <f>IF($I2="","",INDEX(Productos!$A:$A,$I2))</f>
        <v/>
      </c>
      <c r="C519" s="134" t="inlineStr">
        <is>
          <t>MWK-W903CF</t>
        </is>
      </c>
      <c r="D519" s="5">
        <f>IF($I2="","",INDEX(Productos!$B:$B,$I2))</f>
        <v/>
      </c>
      <c r="E519" s="5">
        <f>IF($I2="","",INDEX(Productos!$H:$H,$I2))</f>
        <v/>
      </c>
      <c r="F519" s="5">
        <f>IF($I2="","",INDEX(Productos!$I:$I,$I2))</f>
        <v/>
      </c>
      <c r="G519" s="135" t="n">
        <v>3</v>
      </c>
      <c r="H519" s="5">
        <f>IF($I2="","",INDEX(Productos!$AG:$AG,$I2))</f>
        <v/>
      </c>
      <c r="I519" s="136">
        <f>LET(_xlpm.r,Productos!$E$2:$E$1063,_xlpm.m,IFERROR(_xlfn.XMATCH(C519,_xlpm.r),IFERROR(_xlfn.XMATCH(VALUE(C519),_xlpm.r),0)),IF(_xlpm.m=0,"",_xlpm.m+1))</f>
        <v/>
      </c>
      <c r="J519" s="137" t="inlineStr">
        <is>
          <t>Odoo</t>
        </is>
      </c>
    </row>
    <row r="520">
      <c r="A520" s="5" t="inlineStr">
        <is>
          <t>Odoo Universal Unique Brands › Bodega 25 › Bodega 25/General</t>
        </is>
      </c>
      <c r="B520" s="5">
        <f>IF($I2="","",INDEX(Productos!$A:$A,$I2))</f>
        <v/>
      </c>
      <c r="C520" s="134" t="inlineStr">
        <is>
          <t>MWK-W904BR</t>
        </is>
      </c>
      <c r="D520" s="5">
        <f>IF($I2="","",INDEX(Productos!$B:$B,$I2))</f>
        <v/>
      </c>
      <c r="E520" s="5">
        <f>IF($I2="","",INDEX(Productos!$H:$H,$I2))</f>
        <v/>
      </c>
      <c r="F520" s="5">
        <f>IF($I2="","",INDEX(Productos!$I:$I,$I2))</f>
        <v/>
      </c>
      <c r="G520" s="135" t="n">
        <v>5</v>
      </c>
      <c r="H520" s="5">
        <f>IF($I2="","",INDEX(Productos!$AG:$AG,$I2))</f>
        <v/>
      </c>
      <c r="I520" s="136">
        <f>LET(_xlpm.r,Productos!$E$2:$E$1063,_xlpm.m,IFERROR(_xlfn.XMATCH(C520,_xlpm.r),IFERROR(_xlfn.XMATCH(VALUE(C520),_xlpm.r),0)),IF(_xlpm.m=0,"",_xlpm.m+1))</f>
        <v/>
      </c>
      <c r="J520" s="137" t="inlineStr">
        <is>
          <t>Odoo</t>
        </is>
      </c>
    </row>
    <row r="521">
      <c r="A521" s="5" t="inlineStr">
        <is>
          <t>Odoo Universal Unique Brands › Bodega 25 › Bodega 25/General</t>
        </is>
      </c>
      <c r="B521" s="5">
        <f>IF($I2="","",INDEX(Productos!$A:$A,$I2))</f>
        <v/>
      </c>
      <c r="C521" s="134" t="inlineStr">
        <is>
          <t>MWK-W905CF</t>
        </is>
      </c>
      <c r="D521" s="5">
        <f>IF($I2="","",INDEX(Productos!$B:$B,$I2))</f>
        <v/>
      </c>
      <c r="E521" s="5">
        <f>IF($I2="","",INDEX(Productos!$H:$H,$I2))</f>
        <v/>
      </c>
      <c r="F521" s="5">
        <f>IF($I2="","",INDEX(Productos!$I:$I,$I2))</f>
        <v/>
      </c>
      <c r="G521" s="135" t="n">
        <v>5</v>
      </c>
      <c r="H521" s="5">
        <f>IF($I2="","",INDEX(Productos!$AG:$AG,$I2))</f>
        <v/>
      </c>
      <c r="I521" s="136">
        <f>LET(_xlpm.r,Productos!$E$2:$E$1063,_xlpm.m,IFERROR(_xlfn.XMATCH(C521,_xlpm.r),IFERROR(_xlfn.XMATCH(VALUE(C521),_xlpm.r),0)),IF(_xlpm.m=0,"",_xlpm.m+1))</f>
        <v/>
      </c>
      <c r="J521" s="137" t="inlineStr">
        <is>
          <t>Odoo</t>
        </is>
      </c>
    </row>
    <row r="522">
      <c r="A522" s="5" t="inlineStr">
        <is>
          <t>Odoo Universal Unique Brands › Bodega 25 › Bodega 25/General</t>
        </is>
      </c>
      <c r="B522" s="5">
        <f>IF($I2="","",INDEX(Productos!$A:$A,$I2))</f>
        <v/>
      </c>
      <c r="C522" s="134" t="inlineStr">
        <is>
          <t>MWK-W909BK</t>
        </is>
      </c>
      <c r="D522" s="5">
        <f>IF($I2="","",INDEX(Productos!$B:$B,$I2))</f>
        <v/>
      </c>
      <c r="E522" s="5">
        <f>IF($I2="","",INDEX(Productos!$H:$H,$I2))</f>
        <v/>
      </c>
      <c r="F522" s="5">
        <f>IF($I2="","",INDEX(Productos!$I:$I,$I2))</f>
        <v/>
      </c>
      <c r="G522" s="135" t="n">
        <v>5</v>
      </c>
      <c r="H522" s="5">
        <f>IF($I2="","",INDEX(Productos!$AG:$AG,$I2))</f>
        <v/>
      </c>
      <c r="I522" s="136">
        <f>LET(_xlpm.r,Productos!$E$2:$E$1063,_xlpm.m,IFERROR(_xlfn.XMATCH(C522,_xlpm.r),IFERROR(_xlfn.XMATCH(VALUE(C522),_xlpm.r),0)),IF(_xlpm.m=0,"",_xlpm.m+1))</f>
        <v/>
      </c>
      <c r="J522" s="137" t="inlineStr">
        <is>
          <t>Odoo</t>
        </is>
      </c>
    </row>
    <row r="523">
      <c r="A523" s="5" t="inlineStr">
        <is>
          <t>Odoo Universal Unique Brands › Bodega 25 › Bodega 25/General</t>
        </is>
      </c>
      <c r="B523" s="5">
        <f>IF($I2="","",INDEX(Productos!$A:$A,$I2))</f>
        <v/>
      </c>
      <c r="C523" s="134" t="inlineStr">
        <is>
          <t>MWK-W910BR</t>
        </is>
      </c>
      <c r="D523" s="5">
        <f>IF($I2="","",INDEX(Productos!$B:$B,$I2))</f>
        <v/>
      </c>
      <c r="E523" s="5">
        <f>IF($I2="","",INDEX(Productos!$H:$H,$I2))</f>
        <v/>
      </c>
      <c r="F523" s="5">
        <f>IF($I2="","",INDEX(Productos!$I:$I,$I2))</f>
        <v/>
      </c>
      <c r="G523" s="135" t="n">
        <v>5</v>
      </c>
      <c r="H523" s="5">
        <f>IF($I2="","",INDEX(Productos!$AG:$AG,$I2))</f>
        <v/>
      </c>
      <c r="I523" s="136">
        <f>LET(_xlpm.r,Productos!$E$2:$E$1063,_xlpm.m,IFERROR(_xlfn.XMATCH(C523,_xlpm.r),IFERROR(_xlfn.XMATCH(VALUE(C523),_xlpm.r),0)),IF(_xlpm.m=0,"",_xlpm.m+1))</f>
        <v/>
      </c>
      <c r="J523" s="137" t="inlineStr">
        <is>
          <t>Odoo</t>
        </is>
      </c>
    </row>
    <row r="524">
      <c r="A524" s="5" t="inlineStr">
        <is>
          <t>Odoo Universal Unique Brands › Bodega 25 › Bodega 25/General</t>
        </is>
      </c>
      <c r="B524" s="5">
        <f>IF($I2="","",INDEX(Productos!$A:$A,$I2))</f>
        <v/>
      </c>
      <c r="C524" s="134" t="inlineStr">
        <is>
          <t>MWK-W912BK</t>
        </is>
      </c>
      <c r="D524" s="5">
        <f>IF($I2="","",INDEX(Productos!$B:$B,$I2))</f>
        <v/>
      </c>
      <c r="E524" s="5">
        <f>IF($I2="","",INDEX(Productos!$H:$H,$I2))</f>
        <v/>
      </c>
      <c r="F524" s="5">
        <f>IF($I2="","",INDEX(Productos!$I:$I,$I2))</f>
        <v/>
      </c>
      <c r="G524" s="135" t="n">
        <v>1</v>
      </c>
      <c r="H524" s="5">
        <f>IF($I2="","",INDEX(Productos!$AG:$AG,$I2))</f>
        <v/>
      </c>
      <c r="I524" s="136">
        <f>LET(_xlpm.r,Productos!$E$2:$E$1063,_xlpm.m,IFERROR(_xlfn.XMATCH(C524,_xlpm.r),IFERROR(_xlfn.XMATCH(VALUE(C524),_xlpm.r),0)),IF(_xlpm.m=0,"",_xlpm.m+1))</f>
        <v/>
      </c>
      <c r="J524" s="137" t="inlineStr">
        <is>
          <t>Odoo</t>
        </is>
      </c>
    </row>
    <row r="525">
      <c r="A525" s="5" t="inlineStr">
        <is>
          <t>Odoo Universal Unique Brands › Bodega 25 › Bodega 25/General</t>
        </is>
      </c>
      <c r="B525" s="5">
        <f>IF($I2="","",INDEX(Productos!$A:$A,$I2))</f>
        <v/>
      </c>
      <c r="C525" s="134" t="inlineStr">
        <is>
          <t>MWK-W913BR</t>
        </is>
      </c>
      <c r="D525" s="5">
        <f>IF($I2="","",INDEX(Productos!$B:$B,$I2))</f>
        <v/>
      </c>
      <c r="E525" s="5">
        <f>IF($I2="","",INDEX(Productos!$H:$H,$I2))</f>
        <v/>
      </c>
      <c r="F525" s="5">
        <f>IF($I2="","",INDEX(Productos!$I:$I,$I2))</f>
        <v/>
      </c>
      <c r="G525" s="135" t="n">
        <v>3</v>
      </c>
      <c r="H525" s="5">
        <f>IF($I2="","",INDEX(Productos!$AG:$AG,$I2))</f>
        <v/>
      </c>
      <c r="I525" s="136">
        <f>LET(_xlpm.r,Productos!$E$2:$E$1063,_xlpm.m,IFERROR(_xlfn.XMATCH(C525,_xlpm.r),IFERROR(_xlfn.XMATCH(VALUE(C525),_xlpm.r),0)),IF(_xlpm.m=0,"",_xlpm.m+1))</f>
        <v/>
      </c>
      <c r="J525" s="137" t="inlineStr">
        <is>
          <t>Odoo</t>
        </is>
      </c>
    </row>
    <row r="526">
      <c r="A526" s="5" t="inlineStr">
        <is>
          <t>Odoo Universal Unique Brands › Bodega 25 › Bodega 25/General</t>
        </is>
      </c>
      <c r="B526" s="5">
        <f>IF($I2="","",INDEX(Productos!$A:$A,$I2))</f>
        <v/>
      </c>
      <c r="C526" s="134" t="inlineStr">
        <is>
          <t>MWK-W914GN</t>
        </is>
      </c>
      <c r="D526" s="5">
        <f>IF($I2="","",INDEX(Productos!$B:$B,$I2))</f>
        <v/>
      </c>
      <c r="E526" s="5">
        <f>IF($I2="","",INDEX(Productos!$H:$H,$I2))</f>
        <v/>
      </c>
      <c r="F526" s="5">
        <f>IF($I2="","",INDEX(Productos!$I:$I,$I2))</f>
        <v/>
      </c>
      <c r="G526" s="135" t="n">
        <v>5</v>
      </c>
      <c r="H526" s="5">
        <f>IF($I2="","",INDEX(Productos!$AG:$AG,$I2))</f>
        <v/>
      </c>
      <c r="I526" s="136">
        <f>LET(_xlpm.r,Productos!$E$2:$E$1063,_xlpm.m,IFERROR(_xlfn.XMATCH(C526,_xlpm.r),IFERROR(_xlfn.XMATCH(VALUE(C526),_xlpm.r),0)),IF(_xlpm.m=0,"",_xlpm.m+1))</f>
        <v/>
      </c>
      <c r="J526" s="137" t="inlineStr">
        <is>
          <t>Odoo</t>
        </is>
      </c>
    </row>
    <row r="527">
      <c r="A527" s="5" t="inlineStr">
        <is>
          <t>Odoo Universal Unique Brands › Bodega 25 › Bodega 25/General</t>
        </is>
      </c>
      <c r="B527" s="5">
        <f>IF($I2="","",INDEX(Productos!$A:$A,$I2))</f>
        <v/>
      </c>
      <c r="C527" s="134" t="inlineStr">
        <is>
          <t>MWK-W916BK</t>
        </is>
      </c>
      <c r="D527" s="5">
        <f>IF($I2="","",INDEX(Productos!$B:$B,$I2))</f>
        <v/>
      </c>
      <c r="E527" s="5">
        <f>IF($I2="","",INDEX(Productos!$H:$H,$I2))</f>
        <v/>
      </c>
      <c r="F527" s="5">
        <f>IF($I2="","",INDEX(Productos!$I:$I,$I2))</f>
        <v/>
      </c>
      <c r="G527" s="135" t="n">
        <v>5</v>
      </c>
      <c r="H527" s="5">
        <f>IF($I2="","",INDEX(Productos!$AG:$AG,$I2))</f>
        <v/>
      </c>
      <c r="I527" s="136">
        <f>LET(_xlpm.r,Productos!$E$2:$E$1063,_xlpm.m,IFERROR(_xlfn.XMATCH(C527,_xlpm.r),IFERROR(_xlfn.XMATCH(VALUE(C527),_xlpm.r),0)),IF(_xlpm.m=0,"",_xlpm.m+1))</f>
        <v/>
      </c>
      <c r="J527" s="137" t="inlineStr">
        <is>
          <t>Odoo</t>
        </is>
      </c>
    </row>
    <row r="528">
      <c r="A528" s="5" t="inlineStr">
        <is>
          <t>Odoo Universal Unique Brands › Bodega 25 › Bodega 25/General</t>
        </is>
      </c>
      <c r="B528" s="5">
        <f>IF($I2="","",INDEX(Productos!$A:$A,$I2))</f>
        <v/>
      </c>
      <c r="C528" s="134" t="inlineStr">
        <is>
          <t>MWL-W807CF</t>
        </is>
      </c>
      <c r="D528" s="5">
        <f>IF($I2="","",INDEX(Productos!$B:$B,$I2))</f>
        <v/>
      </c>
      <c r="E528" s="5">
        <f>IF($I2="","",INDEX(Productos!$H:$H,$I2))</f>
        <v/>
      </c>
      <c r="F528" s="5">
        <f>IF($I2="","",INDEX(Productos!$I:$I,$I2))</f>
        <v/>
      </c>
      <c r="G528" s="135" t="n">
        <v>4</v>
      </c>
      <c r="H528" s="5">
        <f>IF($I2="","",INDEX(Productos!$AG:$AG,$I2))</f>
        <v/>
      </c>
      <c r="I528" s="136">
        <f>LET(_xlpm.r,Productos!$E$2:$E$1063,_xlpm.m,IFERROR(_xlfn.XMATCH(C528,_xlpm.r),IFERROR(_xlfn.XMATCH(VALUE(C528),_xlpm.r),0)),IF(_xlpm.m=0,"",_xlpm.m+1))</f>
        <v/>
      </c>
      <c r="J528" s="137" t="inlineStr">
        <is>
          <t>Odoo</t>
        </is>
      </c>
    </row>
    <row r="529">
      <c r="A529" s="5" t="inlineStr">
        <is>
          <t>Odoo Universal Unique Brands › Bodega 25 › Bodega 25/General</t>
        </is>
      </c>
      <c r="B529" s="5">
        <f>IF($I2="","",INDEX(Productos!$A:$A,$I2))</f>
        <v/>
      </c>
      <c r="C529" s="134" t="inlineStr">
        <is>
          <t>MWL-W808BK</t>
        </is>
      </c>
      <c r="D529" s="5">
        <f>IF($I2="","",INDEX(Productos!$B:$B,$I2))</f>
        <v/>
      </c>
      <c r="E529" s="5">
        <f>IF($I2="","",INDEX(Productos!$H:$H,$I2))</f>
        <v/>
      </c>
      <c r="F529" s="5">
        <f>IF($I2="","",INDEX(Productos!$I:$I,$I2))</f>
        <v/>
      </c>
      <c r="G529" s="135" t="n">
        <v>2</v>
      </c>
      <c r="H529" s="5">
        <f>IF($I2="","",INDEX(Productos!$AG:$AG,$I2))</f>
        <v/>
      </c>
      <c r="I529" s="136">
        <f>LET(_xlpm.r,Productos!$E$2:$E$1063,_xlpm.m,IFERROR(_xlfn.XMATCH(C529,_xlpm.r),IFERROR(_xlfn.XMATCH(VALUE(C529),_xlpm.r),0)),IF(_xlpm.m=0,"",_xlpm.m+1))</f>
        <v/>
      </c>
      <c r="J529" s="137" t="inlineStr">
        <is>
          <t>Odoo</t>
        </is>
      </c>
    </row>
    <row r="530">
      <c r="A530" s="5" t="inlineStr">
        <is>
          <t>Odoo Universal Unique Brands › Bodega 25 › Bodega 25/General</t>
        </is>
      </c>
      <c r="B530" s="5">
        <f>IF($I2="","",INDEX(Productos!$A:$A,$I2))</f>
        <v/>
      </c>
      <c r="C530" s="134" t="inlineStr">
        <is>
          <t>MWL-W809BR</t>
        </is>
      </c>
      <c r="D530" s="5">
        <f>IF($I2="","",INDEX(Productos!$B:$B,$I2))</f>
        <v/>
      </c>
      <c r="E530" s="5">
        <f>IF($I2="","",INDEX(Productos!$H:$H,$I2))</f>
        <v/>
      </c>
      <c r="F530" s="5">
        <f>IF($I2="","",INDEX(Productos!$I:$I,$I2))</f>
        <v/>
      </c>
      <c r="G530" s="135" t="n">
        <v>2</v>
      </c>
      <c r="H530" s="5">
        <f>IF($I2="","",INDEX(Productos!$AG:$AG,$I2))</f>
        <v/>
      </c>
      <c r="I530" s="136">
        <f>LET(_xlpm.r,Productos!$E$2:$E$1063,_xlpm.m,IFERROR(_xlfn.XMATCH(C530,_xlpm.r),IFERROR(_xlfn.XMATCH(VALUE(C530),_xlpm.r),0)),IF(_xlpm.m=0,"",_xlpm.m+1))</f>
        <v/>
      </c>
      <c r="J530" s="137" t="inlineStr">
        <is>
          <t>Odoo</t>
        </is>
      </c>
    </row>
    <row r="531">
      <c r="A531" s="5" t="inlineStr">
        <is>
          <t>Odoo Universal Unique Brands › Bodega 25 › Bodega 25/General</t>
        </is>
      </c>
      <c r="B531" s="5">
        <f>IF($I2="","",INDEX(Productos!$A:$A,$I2))</f>
        <v/>
      </c>
      <c r="C531" s="134" t="inlineStr">
        <is>
          <t>MWL-W812BR</t>
        </is>
      </c>
      <c r="D531" s="5">
        <f>IF($I2="","",INDEX(Productos!$B:$B,$I2))</f>
        <v/>
      </c>
      <c r="E531" s="5">
        <f>IF($I2="","",INDEX(Productos!$H:$H,$I2))</f>
        <v/>
      </c>
      <c r="F531" s="5">
        <f>IF($I2="","",INDEX(Productos!$I:$I,$I2))</f>
        <v/>
      </c>
      <c r="G531" s="135" t="n">
        <v>4</v>
      </c>
      <c r="H531" s="5">
        <f>IF($I2="","",INDEX(Productos!$AG:$AG,$I2))</f>
        <v/>
      </c>
      <c r="I531" s="136">
        <f>LET(_xlpm.r,Productos!$E$2:$E$1063,_xlpm.m,IFERROR(_xlfn.XMATCH(C531,_xlpm.r),IFERROR(_xlfn.XMATCH(VALUE(C531),_xlpm.r),0)),IF(_xlpm.m=0,"",_xlpm.m+1))</f>
        <v/>
      </c>
      <c r="J531" s="137" t="inlineStr">
        <is>
          <t>Odoo</t>
        </is>
      </c>
    </row>
    <row r="532">
      <c r="A532" s="5" t="inlineStr">
        <is>
          <t>Odoo Universal Unique Brands › Bodega 25 › Bodega 25/General</t>
        </is>
      </c>
      <c r="B532" s="5">
        <f>IF($I2="","",INDEX(Productos!$A:$A,$I2))</f>
        <v/>
      </c>
      <c r="C532" s="134" t="inlineStr">
        <is>
          <t>MWL-W815CF</t>
        </is>
      </c>
      <c r="D532" s="5">
        <f>IF($I2="","",INDEX(Productos!$B:$B,$I2))</f>
        <v/>
      </c>
      <c r="E532" s="5">
        <f>IF($I2="","",INDEX(Productos!$H:$H,$I2))</f>
        <v/>
      </c>
      <c r="F532" s="5">
        <f>IF($I2="","",INDEX(Productos!$I:$I,$I2))</f>
        <v/>
      </c>
      <c r="G532" s="135" t="n">
        <v>2</v>
      </c>
      <c r="H532" s="5">
        <f>IF($I2="","",INDEX(Productos!$AG:$AG,$I2))</f>
        <v/>
      </c>
      <c r="I532" s="136">
        <f>LET(_xlpm.r,Productos!$E$2:$E$1063,_xlpm.m,IFERROR(_xlfn.XMATCH(C532,_xlpm.r),IFERROR(_xlfn.XMATCH(VALUE(C532),_xlpm.r),0)),IF(_xlpm.m=0,"",_xlpm.m+1))</f>
        <v/>
      </c>
      <c r="J532" s="137" t="inlineStr">
        <is>
          <t>Odoo</t>
        </is>
      </c>
    </row>
    <row r="533">
      <c r="A533" s="5" t="inlineStr">
        <is>
          <t>Odoo Universal Unique Brands › Bodega 25 › Bodega 25/General</t>
        </is>
      </c>
      <c r="B533" s="5">
        <f>IF($I2="","",INDEX(Productos!$A:$A,$I2))</f>
        <v/>
      </c>
      <c r="C533" s="134" t="inlineStr">
        <is>
          <t>MWR-066BK</t>
        </is>
      </c>
      <c r="D533" s="5">
        <f>IF($I2="","",INDEX(Productos!$B:$B,$I2))</f>
        <v/>
      </c>
      <c r="E533" s="5">
        <f>IF($I2="","",INDEX(Productos!$H:$H,$I2))</f>
        <v/>
      </c>
      <c r="F533" s="5">
        <f>IF($I2="","",INDEX(Productos!$I:$I,$I2))</f>
        <v/>
      </c>
      <c r="G533" s="135" t="n">
        <v>2</v>
      </c>
      <c r="H533" s="5">
        <f>IF($I2="","",INDEX(Productos!$AG:$AG,$I2))</f>
        <v/>
      </c>
      <c r="I533" s="136">
        <f>LET(_xlpm.r,Productos!$E$2:$E$1063,_xlpm.m,IFERROR(_xlfn.XMATCH(C533,_xlpm.r),IFERROR(_xlfn.XMATCH(VALUE(C533),_xlpm.r),0)),IF(_xlpm.m=0,"",_xlpm.m+1))</f>
        <v/>
      </c>
      <c r="J533" s="137" t="inlineStr">
        <is>
          <t>Odoo</t>
        </is>
      </c>
    </row>
    <row r="534">
      <c r="A534" s="5" t="inlineStr">
        <is>
          <t>Odoo Universal Unique Brands › Bodega 25 › Bodega 25/General</t>
        </is>
      </c>
      <c r="B534" s="5">
        <f>IF($I2="","",INDEX(Productos!$A:$A,$I2))</f>
        <v/>
      </c>
      <c r="C534" s="134" t="inlineStr">
        <is>
          <t>MWR-066TN</t>
        </is>
      </c>
      <c r="D534" s="5">
        <f>IF($I2="","",INDEX(Productos!$B:$B,$I2))</f>
        <v/>
      </c>
      <c r="E534" s="5">
        <f>IF($I2="","",INDEX(Productos!$H:$H,$I2))</f>
        <v/>
      </c>
      <c r="F534" s="5">
        <f>IF($I2="","",INDEX(Productos!$I:$I,$I2))</f>
        <v/>
      </c>
      <c r="G534" s="135" t="n">
        <v>2</v>
      </c>
      <c r="H534" s="5">
        <f>IF($I2="","",INDEX(Productos!$AG:$AG,$I2))</f>
        <v/>
      </c>
      <c r="I534" s="136">
        <f>LET(_xlpm.r,Productos!$E$2:$E$1063,_xlpm.m,IFERROR(_xlfn.XMATCH(C534,_xlpm.r),IFERROR(_xlfn.XMATCH(VALUE(C534),_xlpm.r),0)),IF(_xlpm.m=0,"",_xlpm.m+1))</f>
        <v/>
      </c>
      <c r="J534" s="137" t="inlineStr">
        <is>
          <t>Odoo</t>
        </is>
      </c>
    </row>
    <row r="535">
      <c r="A535" s="5" t="inlineStr">
        <is>
          <t>Odoo Universal Unique Brands › Bodega 25 › Bodega 25/General</t>
        </is>
      </c>
      <c r="B535" s="5">
        <f>IF($I2="","",INDEX(Productos!$A:$A,$I2))</f>
        <v/>
      </c>
      <c r="C535" s="134" t="inlineStr">
        <is>
          <t>MWS-W701BR</t>
        </is>
      </c>
      <c r="D535" s="5">
        <f>IF($I2="","",INDEX(Productos!$B:$B,$I2))</f>
        <v/>
      </c>
      <c r="E535" s="5">
        <f>IF($I2="","",INDEX(Productos!$H:$H,$I2))</f>
        <v/>
      </c>
      <c r="F535" s="5">
        <f>IF($I2="","",INDEX(Productos!$I:$I,$I2))</f>
        <v/>
      </c>
      <c r="G535" s="135" t="n">
        <v>5</v>
      </c>
      <c r="H535" s="5">
        <f>IF($I2="","",INDEX(Productos!$AG:$AG,$I2))</f>
        <v/>
      </c>
      <c r="I535" s="136">
        <f>LET(_xlpm.r,Productos!$E$2:$E$1063,_xlpm.m,IFERROR(_xlfn.XMATCH(C535,_xlpm.r),IFERROR(_xlfn.XMATCH(VALUE(C535),_xlpm.r),0)),IF(_xlpm.m=0,"",_xlpm.m+1))</f>
        <v/>
      </c>
      <c r="J535" s="137" t="inlineStr">
        <is>
          <t>Odoo</t>
        </is>
      </c>
    </row>
    <row r="536">
      <c r="A536" s="5" t="inlineStr">
        <is>
          <t>Odoo Universal Unique Brands › Bodega 25 › Bodega 25/General</t>
        </is>
      </c>
      <c r="B536" s="5">
        <f>IF($I2="","",INDEX(Productos!$A:$A,$I2))</f>
        <v/>
      </c>
      <c r="C536" s="134" t="inlineStr">
        <is>
          <t>MWS-W702BR</t>
        </is>
      </c>
      <c r="D536" s="5">
        <f>IF($I2="","",INDEX(Productos!$B:$B,$I2))</f>
        <v/>
      </c>
      <c r="E536" s="5">
        <f>IF($I2="","",INDEX(Productos!$H:$H,$I2))</f>
        <v/>
      </c>
      <c r="F536" s="5">
        <f>IF($I2="","",INDEX(Productos!$I:$I,$I2))</f>
        <v/>
      </c>
      <c r="G536" s="135" t="n">
        <v>4</v>
      </c>
      <c r="H536" s="5">
        <f>IF($I2="","",INDEX(Productos!$AG:$AG,$I2))</f>
        <v/>
      </c>
      <c r="I536" s="136">
        <f>LET(_xlpm.r,Productos!$E$2:$E$1063,_xlpm.m,IFERROR(_xlfn.XMATCH(C536,_xlpm.r),IFERROR(_xlfn.XMATCH(VALUE(C536),_xlpm.r),0)),IF(_xlpm.m=0,"",_xlpm.m+1))</f>
        <v/>
      </c>
      <c r="J536" s="137" t="inlineStr">
        <is>
          <t>Odoo</t>
        </is>
      </c>
    </row>
    <row r="537">
      <c r="A537" s="5" t="inlineStr">
        <is>
          <t>Odoo Universal Unique Brands › Bodega 25 › Bodega 25/General</t>
        </is>
      </c>
      <c r="B537" s="5">
        <f>IF($I2="","",INDEX(Productos!$A:$A,$I2))</f>
        <v/>
      </c>
      <c r="C537" s="134" t="inlineStr">
        <is>
          <t>MWS-W707BR</t>
        </is>
      </c>
      <c r="D537" s="5">
        <f>IF($I2="","",INDEX(Productos!$B:$B,$I2))</f>
        <v/>
      </c>
      <c r="E537" s="5">
        <f>IF($I2="","",INDEX(Productos!$H:$H,$I2))</f>
        <v/>
      </c>
      <c r="F537" s="5">
        <f>IF($I2="","",INDEX(Productos!$I:$I,$I2))</f>
        <v/>
      </c>
      <c r="G537" s="135" t="n">
        <v>6</v>
      </c>
      <c r="H537" s="5">
        <f>IF($I2="","",INDEX(Productos!$AG:$AG,$I2))</f>
        <v/>
      </c>
      <c r="I537" s="136">
        <f>LET(_xlpm.r,Productos!$E$2:$E$1063,_xlpm.m,IFERROR(_xlfn.XMATCH(C537,_xlpm.r),IFERROR(_xlfn.XMATCH(VALUE(C537),_xlpm.r),0)),IF(_xlpm.m=0,"",_xlpm.m+1))</f>
        <v/>
      </c>
      <c r="J537" s="137" t="inlineStr">
        <is>
          <t>Odoo</t>
        </is>
      </c>
    </row>
    <row r="538">
      <c r="A538" s="5" t="inlineStr">
        <is>
          <t>Odoo Universal Unique Brands › Bodega 25 › Bodega 25/General</t>
        </is>
      </c>
      <c r="B538" s="5">
        <f>IF($I2="","",INDEX(Productos!$A:$A,$I2))</f>
        <v/>
      </c>
      <c r="C538" s="134" t="inlineStr">
        <is>
          <t>MWS-W714BR</t>
        </is>
      </c>
      <c r="D538" s="5">
        <f>IF($I2="","",INDEX(Productos!$B:$B,$I2))</f>
        <v/>
      </c>
      <c r="E538" s="5">
        <f>IF($I2="","",INDEX(Productos!$H:$H,$I2))</f>
        <v/>
      </c>
      <c r="F538" s="5">
        <f>IF($I2="","",INDEX(Productos!$I:$I,$I2))</f>
        <v/>
      </c>
      <c r="G538" s="135" t="n">
        <v>5</v>
      </c>
      <c r="H538" s="5">
        <f>IF($I2="","",INDEX(Productos!$AG:$AG,$I2))</f>
        <v/>
      </c>
      <c r="I538" s="136">
        <f>LET(_xlpm.r,Productos!$E$2:$E$1063,_xlpm.m,IFERROR(_xlfn.XMATCH(C538,_xlpm.r),IFERROR(_xlfn.XMATCH(VALUE(C538),_xlpm.r),0)),IF(_xlpm.m=0,"",_xlpm.m+1))</f>
        <v/>
      </c>
      <c r="J538" s="137" t="inlineStr">
        <is>
          <t>Odoo</t>
        </is>
      </c>
    </row>
    <row r="539">
      <c r="A539" s="5" t="inlineStr">
        <is>
          <t>Odoo Universal Unique Brands › Bodega 25 › Bodega 25/General</t>
        </is>
      </c>
      <c r="B539" s="5">
        <f>IF($I2="","",INDEX(Productos!$A:$A,$I2))</f>
        <v/>
      </c>
      <c r="C539" s="134" t="inlineStr">
        <is>
          <t>MWS-W716BR</t>
        </is>
      </c>
      <c r="D539" s="5">
        <f>IF($I2="","",INDEX(Productos!$B:$B,$I2))</f>
        <v/>
      </c>
      <c r="E539" s="5">
        <f>IF($I2="","",INDEX(Productos!$H:$H,$I2))</f>
        <v/>
      </c>
      <c r="F539" s="5">
        <f>IF($I2="","",INDEX(Productos!$I:$I,$I2))</f>
        <v/>
      </c>
      <c r="G539" s="135" t="n">
        <v>6</v>
      </c>
      <c r="H539" s="5">
        <f>IF($I2="","",INDEX(Productos!$AG:$AG,$I2))</f>
        <v/>
      </c>
      <c r="I539" s="136">
        <f>LET(_xlpm.r,Productos!$E$2:$E$1063,_xlpm.m,IFERROR(_xlfn.XMATCH(C539,_xlpm.r),IFERROR(_xlfn.XMATCH(VALUE(C539),_xlpm.r),0)),IF(_xlpm.m=0,"",_xlpm.m+1))</f>
        <v/>
      </c>
      <c r="J539" s="137" t="inlineStr">
        <is>
          <t>Odoo</t>
        </is>
      </c>
    </row>
    <row r="540">
      <c r="A540" s="5" t="inlineStr">
        <is>
          <t>Odoo Universal Unique Brands › Bodega 25 › Bodega 25/General</t>
        </is>
      </c>
      <c r="B540" s="5">
        <f>IF($I2="","",INDEX(Productos!$A:$A,$I2))</f>
        <v/>
      </c>
      <c r="C540" s="134" t="inlineStr">
        <is>
          <t>RLC-L1590AK</t>
        </is>
      </c>
      <c r="D540" s="5">
        <f>IF($I2="","",INDEX(Productos!$B:$B,$I2))</f>
        <v/>
      </c>
      <c r="E540" s="5">
        <f>IF($I2="","",INDEX(Productos!$H:$H,$I2))</f>
        <v/>
      </c>
      <c r="F540" s="5">
        <f>IF($I2="","",INDEX(Productos!$I:$I,$I2))</f>
        <v/>
      </c>
      <c r="G540" s="135" t="n">
        <v>10</v>
      </c>
      <c r="H540" s="5">
        <f>IF($I2="","",INDEX(Productos!$AG:$AG,$I2))</f>
        <v/>
      </c>
      <c r="I540" s="136">
        <f>LET(_xlpm.r,Productos!$E$2:$E$1063,_xlpm.m,IFERROR(_xlfn.XMATCH(C540,_xlpm.r),IFERROR(_xlfn.XMATCH(VALUE(C540),_xlpm.r),0)),IF(_xlpm.m=0,"",_xlpm.m+1))</f>
        <v/>
      </c>
      <c r="J540" s="137" t="inlineStr">
        <is>
          <t>Odoo</t>
        </is>
      </c>
    </row>
    <row r="541">
      <c r="A541" s="5" t="inlineStr">
        <is>
          <t>Odoo Universal Unique Brands › Bodega 25 › Bodega 25/General</t>
        </is>
      </c>
      <c r="B541" s="5">
        <f>IF($I2="","",INDEX(Productos!$A:$A,$I2))</f>
        <v/>
      </c>
      <c r="C541" s="134" t="inlineStr">
        <is>
          <t>RLC-L159LBR</t>
        </is>
      </c>
      <c r="D541" s="5">
        <f>IF($I2="","",INDEX(Productos!$B:$B,$I2))</f>
        <v/>
      </c>
      <c r="E541" s="5">
        <f>IF($I2="","",INDEX(Productos!$H:$H,$I2))</f>
        <v/>
      </c>
      <c r="F541" s="5">
        <f>IF($I2="","",INDEX(Productos!$I:$I,$I2))</f>
        <v/>
      </c>
      <c r="G541" s="135" t="n">
        <v>3</v>
      </c>
      <c r="H541" s="5">
        <f>IF($I2="","",INDEX(Productos!$AG:$AG,$I2))</f>
        <v/>
      </c>
      <c r="I541" s="136">
        <f>LET(_xlpm.r,Productos!$E$2:$E$1063,_xlpm.m,IFERROR(_xlfn.XMATCH(C541,_xlpm.r),IFERROR(_xlfn.XMATCH(VALUE(C541),_xlpm.r),0)),IF(_xlpm.m=0,"",_xlpm.m+1))</f>
        <v/>
      </c>
      <c r="J541" s="137" t="inlineStr">
        <is>
          <t>Odoo</t>
        </is>
      </c>
    </row>
    <row r="542">
      <c r="A542" s="5" t="inlineStr">
        <is>
          <t>Odoo Universal Unique Brands › Bodega 25 › Bodega 25/General</t>
        </is>
      </c>
      <c r="B542" s="5">
        <f>IF($I2="","",INDEX(Productos!$A:$A,$I2))</f>
        <v/>
      </c>
      <c r="C542" s="134" t="inlineStr">
        <is>
          <t>RLC-L159OAK</t>
        </is>
      </c>
      <c r="D542" s="5">
        <f>IF($I2="","",INDEX(Productos!$B:$B,$I2))</f>
        <v/>
      </c>
      <c r="E542" s="5">
        <f>IF($I2="","",INDEX(Productos!$H:$H,$I2))</f>
        <v/>
      </c>
      <c r="F542" s="5">
        <f>IF($I2="","",INDEX(Productos!$I:$I,$I2))</f>
        <v/>
      </c>
      <c r="G542" s="135" t="n">
        <v>10</v>
      </c>
      <c r="H542" s="5">
        <f>IF($I2="","",INDEX(Productos!$AG:$AG,$I2))</f>
        <v/>
      </c>
      <c r="I542" s="136">
        <f>LET(_xlpm.r,Productos!$E$2:$E$1063,_xlpm.m,IFERROR(_xlfn.XMATCH(C542,_xlpm.r),IFERROR(_xlfn.XMATCH(VALUE(C542),_xlpm.r),0)),IF(_xlpm.m=0,"",_xlpm.m+1))</f>
        <v/>
      </c>
      <c r="J542" s="137" t="inlineStr">
        <is>
          <t>Odoo</t>
        </is>
      </c>
    </row>
    <row r="543">
      <c r="A543" s="5" t="inlineStr">
        <is>
          <t>Odoo Universal Unique Brands › Bodega 25 › Bodega 25/General</t>
        </is>
      </c>
      <c r="B543" s="5">
        <f>IF($I2="","",INDEX(Productos!$A:$A,$I2))</f>
        <v/>
      </c>
      <c r="C543" s="134" t="inlineStr">
        <is>
          <t>RLC-L159TN</t>
        </is>
      </c>
      <c r="D543" s="5">
        <f>IF($I2="","",INDEX(Productos!$B:$B,$I2))</f>
        <v/>
      </c>
      <c r="E543" s="5">
        <f>IF($I2="","",INDEX(Productos!$H:$H,$I2))</f>
        <v/>
      </c>
      <c r="F543" s="5">
        <f>IF($I2="","",INDEX(Productos!$I:$I,$I2))</f>
        <v/>
      </c>
      <c r="G543" s="135" t="n">
        <v>3</v>
      </c>
      <c r="H543" s="5">
        <f>IF($I2="","",INDEX(Productos!$AG:$AG,$I2))</f>
        <v/>
      </c>
      <c r="I543" s="136">
        <f>LET(_xlpm.r,Productos!$E$2:$E$1063,_xlpm.m,IFERROR(_xlfn.XMATCH(C543,_xlpm.r),IFERROR(_xlfn.XMATCH(VALUE(C543),_xlpm.r),0)),IF(_xlpm.m=0,"",_xlpm.m+1))</f>
        <v/>
      </c>
      <c r="J543" s="137" t="inlineStr">
        <is>
          <t>Odoo</t>
        </is>
      </c>
    </row>
    <row r="544">
      <c r="A544" s="5" t="inlineStr">
        <is>
          <t>Odoo Universal Unique Brands › Bodega 25 › Bodega 25/General</t>
        </is>
      </c>
      <c r="B544" s="5">
        <f>IF($I2="","",INDEX(Productos!$A:$A,$I2))</f>
        <v/>
      </c>
      <c r="C544" s="134" t="inlineStr">
        <is>
          <t>RLC-L161BR</t>
        </is>
      </c>
      <c r="D544" s="5">
        <f>IF($I2="","",INDEX(Productos!$B:$B,$I2))</f>
        <v/>
      </c>
      <c r="E544" s="5">
        <f>IF($I2="","",INDEX(Productos!$H:$H,$I2))</f>
        <v/>
      </c>
      <c r="F544" s="5">
        <f>IF($I2="","",INDEX(Productos!$I:$I,$I2))</f>
        <v/>
      </c>
      <c r="G544" s="135" t="n">
        <v>6</v>
      </c>
      <c r="H544" s="5">
        <f>IF($I2="","",INDEX(Productos!$AG:$AG,$I2))</f>
        <v/>
      </c>
      <c r="I544" s="136">
        <f>LET(_xlpm.r,Productos!$E$2:$E$1063,_xlpm.m,IFERROR(_xlfn.XMATCH(C544,_xlpm.r),IFERROR(_xlfn.XMATCH(VALUE(C544),_xlpm.r),0)),IF(_xlpm.m=0,"",_xlpm.m+1))</f>
        <v/>
      </c>
      <c r="J544" s="137" t="inlineStr">
        <is>
          <t>Odoo</t>
        </is>
      </c>
    </row>
    <row r="545">
      <c r="A545" s="5" t="inlineStr">
        <is>
          <t>Odoo Universal Unique Brands › Bodega 25 › Bodega 25/General</t>
        </is>
      </c>
      <c r="B545" s="5">
        <f>IF($I2="","",INDEX(Productos!$A:$A,$I2))</f>
        <v/>
      </c>
      <c r="C545" s="134" t="inlineStr">
        <is>
          <t>RLC-L168CF</t>
        </is>
      </c>
      <c r="D545" s="5">
        <f>IF($I2="","",INDEX(Productos!$B:$B,$I2))</f>
        <v/>
      </c>
      <c r="E545" s="5">
        <f>IF($I2="","",INDEX(Productos!$H:$H,$I2))</f>
        <v/>
      </c>
      <c r="F545" s="5">
        <f>IF($I2="","",INDEX(Productos!$I:$I,$I2))</f>
        <v/>
      </c>
      <c r="G545" s="135" t="n">
        <v>2</v>
      </c>
      <c r="H545" s="5">
        <f>IF($I2="","",INDEX(Productos!$AG:$AG,$I2))</f>
        <v/>
      </c>
      <c r="I545" s="136">
        <f>LET(_xlpm.r,Productos!$E$2:$E$1063,_xlpm.m,IFERROR(_xlfn.XMATCH(C545,_xlpm.r),IFERROR(_xlfn.XMATCH(VALUE(C545),_xlpm.r),0)),IF(_xlpm.m=0,"",_xlpm.m+1))</f>
        <v/>
      </c>
      <c r="J545" s="137" t="inlineStr">
        <is>
          <t>Odoo</t>
        </is>
      </c>
    </row>
    <row r="546">
      <c r="A546" s="5" t="inlineStr">
        <is>
          <t>Odoo Universal Unique Brands › Bodega 25 › Bodega 25/General</t>
        </is>
      </c>
      <c r="B546" s="5">
        <f>IF($I2="","",INDEX(Productos!$A:$A,$I2))</f>
        <v/>
      </c>
      <c r="C546" s="134" t="inlineStr">
        <is>
          <t>RLC-L168RD</t>
        </is>
      </c>
      <c r="D546" s="5">
        <f>IF($I2="","",INDEX(Productos!$B:$B,$I2))</f>
        <v/>
      </c>
      <c r="E546" s="5">
        <f>IF($I2="","",INDEX(Productos!$H:$H,$I2))</f>
        <v/>
      </c>
      <c r="F546" s="5">
        <f>IF($I2="","",INDEX(Productos!$I:$I,$I2))</f>
        <v/>
      </c>
      <c r="G546" s="135" t="n">
        <v>3</v>
      </c>
      <c r="H546" s="5">
        <f>IF($I2="","",INDEX(Productos!$AG:$AG,$I2))</f>
        <v/>
      </c>
      <c r="I546" s="136">
        <f>LET(_xlpm.r,Productos!$E$2:$E$1063,_xlpm.m,IFERROR(_xlfn.XMATCH(C546,_xlpm.r),IFERROR(_xlfn.XMATCH(VALUE(C546),_xlpm.r),0)),IF(_xlpm.m=0,"",_xlpm.m+1))</f>
        <v/>
      </c>
      <c r="J546" s="137" t="inlineStr">
        <is>
          <t>Odoo</t>
        </is>
      </c>
    </row>
    <row r="547">
      <c r="A547" s="5" t="inlineStr">
        <is>
          <t>Odoo Universal Unique Brands › Bodega 25 › Bodega 25/General</t>
        </is>
      </c>
      <c r="B547" s="5">
        <f>IF($I2="","",INDEX(Productos!$A:$A,$I2))</f>
        <v/>
      </c>
      <c r="C547" s="134" t="inlineStr">
        <is>
          <t>RLC-L173TN</t>
        </is>
      </c>
      <c r="D547" s="5">
        <f>IF($I2="","",INDEX(Productos!$B:$B,$I2))</f>
        <v/>
      </c>
      <c r="E547" s="5">
        <f>IF($I2="","",INDEX(Productos!$H:$H,$I2))</f>
        <v/>
      </c>
      <c r="F547" s="5">
        <f>IF($I2="","",INDEX(Productos!$I:$I,$I2))</f>
        <v/>
      </c>
      <c r="G547" s="135" t="n">
        <v>6</v>
      </c>
      <c r="H547" s="5">
        <f>IF($I2="","",INDEX(Productos!$AG:$AG,$I2))</f>
        <v/>
      </c>
      <c r="I547" s="136">
        <f>LET(_xlpm.r,Productos!$E$2:$E$1063,_xlpm.m,IFERROR(_xlfn.XMATCH(C547,_xlpm.r),IFERROR(_xlfn.XMATCH(VALUE(C547),_xlpm.r),0)),IF(_xlpm.m=0,"",_xlpm.m+1))</f>
        <v/>
      </c>
      <c r="J547" s="137" t="inlineStr">
        <is>
          <t>Odoo</t>
        </is>
      </c>
    </row>
    <row r="548">
      <c r="A548" s="5" t="inlineStr">
        <is>
          <t>Odoo Universal Unique Brands › Bodega 25 › Bodega 25/General</t>
        </is>
      </c>
      <c r="B548" s="5">
        <f>IF($I2="","",INDEX(Productos!$A:$A,$I2))</f>
        <v/>
      </c>
      <c r="C548" s="134" t="inlineStr">
        <is>
          <t>RLC-L187BK</t>
        </is>
      </c>
      <c r="D548" s="5">
        <f>IF($I2="","",INDEX(Productos!$B:$B,$I2))</f>
        <v/>
      </c>
      <c r="E548" s="5">
        <f>IF($I2="","",INDEX(Productos!$H:$H,$I2))</f>
        <v/>
      </c>
      <c r="F548" s="5">
        <f>IF($I2="","",INDEX(Productos!$I:$I,$I2))</f>
        <v/>
      </c>
      <c r="G548" s="135" t="n">
        <v>3</v>
      </c>
      <c r="H548" s="5">
        <f>IF($I2="","",INDEX(Productos!$AG:$AG,$I2))</f>
        <v/>
      </c>
      <c r="I548" s="136">
        <f>LET(_xlpm.r,Productos!$E$2:$E$1063,_xlpm.m,IFERROR(_xlfn.XMATCH(C548,_xlpm.r),IFERROR(_xlfn.XMATCH(VALUE(C548),_xlpm.r),0)),IF(_xlpm.m=0,"",_xlpm.m+1))</f>
        <v/>
      </c>
      <c r="J548" s="137" t="inlineStr">
        <is>
          <t>Odoo</t>
        </is>
      </c>
    </row>
    <row r="549">
      <c r="A549" s="5" t="inlineStr">
        <is>
          <t>Odoo Universal Unique Brands › Bodega 25 › Bodega 25/General</t>
        </is>
      </c>
      <c r="B549" s="5">
        <f>IF($I2="","",INDEX(Productos!$A:$A,$I2))</f>
        <v/>
      </c>
      <c r="C549" s="134" t="inlineStr">
        <is>
          <t>TR160-9110CF</t>
        </is>
      </c>
      <c r="D549" s="5">
        <f>IF($I2="","",INDEX(Productos!$B:$B,$I2))</f>
        <v/>
      </c>
      <c r="E549" s="5">
        <f>IF($I2="","",INDEX(Productos!$H:$H,$I2))</f>
        <v/>
      </c>
      <c r="F549" s="5">
        <f>IF($I2="","",INDEX(Productos!$I:$I,$I2))</f>
        <v/>
      </c>
      <c r="G549" s="135" t="n">
        <v>1</v>
      </c>
      <c r="H549" s="5">
        <f>IF($I2="","",INDEX(Productos!$AG:$AG,$I2))</f>
        <v/>
      </c>
      <c r="I549" s="136">
        <f>LET(_xlpm.r,Productos!$E$2:$E$1063,_xlpm.m,IFERROR(_xlfn.XMATCH(C549,_xlpm.r),IFERROR(_xlfn.XMATCH(VALUE(C549),_xlpm.r),0)),IF(_xlpm.m=0,"",_xlpm.m+1))</f>
        <v/>
      </c>
      <c r="J549" s="137" t="inlineStr">
        <is>
          <t>Odoo</t>
        </is>
      </c>
    </row>
    <row r="550">
      <c r="A550" s="5" t="inlineStr">
        <is>
          <t>Odoo Universal Unique Brands › Bodega 25 › Bodega 25/General</t>
        </is>
      </c>
      <c r="B550" s="5">
        <f>IF($I2="","",INDEX(Productos!$A:$A,$I2))</f>
        <v/>
      </c>
      <c r="C550" s="134" t="inlineStr">
        <is>
          <t>TR162G-2001BK</t>
        </is>
      </c>
      <c r="D550" s="5">
        <f>IF($I2="","",INDEX(Productos!$B:$B,$I2))</f>
        <v/>
      </c>
      <c r="E550" s="5">
        <f>IF($I2="","",INDEX(Productos!$H:$H,$I2))</f>
        <v/>
      </c>
      <c r="F550" s="5">
        <f>IF($I2="","",INDEX(Productos!$I:$I,$I2))</f>
        <v/>
      </c>
      <c r="G550" s="135" t="n">
        <v>23</v>
      </c>
      <c r="H550" s="5">
        <f>IF($I2="","",INDEX(Productos!$AG:$AG,$I2))</f>
        <v/>
      </c>
      <c r="I550" s="136">
        <f>LET(_xlpm.r,Productos!$E$2:$E$1063,_xlpm.m,IFERROR(_xlfn.XMATCH(C550,_xlpm.r),IFERROR(_xlfn.XMATCH(VALUE(C550),_xlpm.r),0)),IF(_xlpm.m=0,"",_xlpm.m+1))</f>
        <v/>
      </c>
      <c r="J550" s="137" t="inlineStr">
        <is>
          <t>Odoo</t>
        </is>
      </c>
    </row>
    <row r="551">
      <c r="A551" s="5" t="inlineStr">
        <is>
          <t>Odoo Universal Unique Brands › Bodega 25 › Bodega 25/General</t>
        </is>
      </c>
      <c r="B551" s="5">
        <f>IF($I2="","",INDEX(Productos!$A:$A,$I2))</f>
        <v/>
      </c>
      <c r="C551" s="134" t="inlineStr">
        <is>
          <t>TR162G-2001BR</t>
        </is>
      </c>
      <c r="D551" s="5">
        <f>IF($I2="","",INDEX(Productos!$B:$B,$I2))</f>
        <v/>
      </c>
      <c r="E551" s="5">
        <f>IF($I2="","",INDEX(Productos!$H:$H,$I2))</f>
        <v/>
      </c>
      <c r="F551" s="5">
        <f>IF($I2="","",INDEX(Productos!$I:$I,$I2))</f>
        <v/>
      </c>
      <c r="G551" s="135" t="n">
        <v>18</v>
      </c>
      <c r="H551" s="5">
        <f>IF($I2="","",INDEX(Productos!$AG:$AG,$I2))</f>
        <v/>
      </c>
      <c r="I551" s="136">
        <f>LET(_xlpm.r,Productos!$E$2:$E$1063,_xlpm.m,IFERROR(_xlfn.XMATCH(C551,_xlpm.r),IFERROR(_xlfn.XMATCH(VALUE(C551),_xlpm.r),0)),IF(_xlpm.m=0,"",_xlpm.m+1))</f>
        <v/>
      </c>
      <c r="J551" s="137" t="inlineStr">
        <is>
          <t>Odoo</t>
        </is>
      </c>
    </row>
    <row r="552">
      <c r="A552" s="5" t="inlineStr">
        <is>
          <t>Odoo Universal Unique Brands › Bodega 25 › Bodega 25/General</t>
        </is>
      </c>
      <c r="B552" s="5">
        <f>IF($I2="","",INDEX(Productos!$A:$A,$I2))</f>
        <v/>
      </c>
      <c r="C552" s="134" t="inlineStr">
        <is>
          <t>TR162G-2001HPK</t>
        </is>
      </c>
      <c r="D552" s="5">
        <f>IF($I2="","",INDEX(Productos!$B:$B,$I2))</f>
        <v/>
      </c>
      <c r="E552" s="5">
        <f>IF($I2="","",INDEX(Productos!$H:$H,$I2))</f>
        <v/>
      </c>
      <c r="F552" s="5">
        <f>IF($I2="","",INDEX(Productos!$I:$I,$I2))</f>
        <v/>
      </c>
      <c r="G552" s="135" t="n">
        <v>6</v>
      </c>
      <c r="H552" s="5">
        <f>IF($I2="","",INDEX(Productos!$AG:$AG,$I2))</f>
        <v/>
      </c>
      <c r="I552" s="136">
        <f>LET(_xlpm.r,Productos!$E$2:$E$1063,_xlpm.m,IFERROR(_xlfn.XMATCH(C552,_xlpm.r),IFERROR(_xlfn.XMATCH(VALUE(C552),_xlpm.r),0)),IF(_xlpm.m=0,"",_xlpm.m+1))</f>
        <v/>
      </c>
      <c r="J552" s="137" t="inlineStr">
        <is>
          <t>Odoo</t>
        </is>
      </c>
    </row>
    <row r="553">
      <c r="A553" s="5" t="inlineStr">
        <is>
          <t>Odoo Universal Unique Brands › Bodega 25 › Bodega 25/General</t>
        </is>
      </c>
      <c r="B553" s="5">
        <f>IF($I2="","",INDEX(Productos!$A:$A,$I2))</f>
        <v/>
      </c>
      <c r="C553" s="134" t="inlineStr">
        <is>
          <t>TR162G-2001TN</t>
        </is>
      </c>
      <c r="D553" s="5">
        <f>IF($I2="","",INDEX(Productos!$B:$B,$I2))</f>
        <v/>
      </c>
      <c r="E553" s="5">
        <f>IF($I2="","",INDEX(Productos!$H:$H,$I2))</f>
        <v/>
      </c>
      <c r="F553" s="5">
        <f>IF($I2="","",INDEX(Productos!$I:$I,$I2))</f>
        <v/>
      </c>
      <c r="G553" s="135" t="n">
        <v>41</v>
      </c>
      <c r="H553" s="5">
        <f>IF($I2="","",INDEX(Productos!$AG:$AG,$I2))</f>
        <v/>
      </c>
      <c r="I553" s="136">
        <f>LET(_xlpm.r,Productos!$E$2:$E$1063,_xlpm.m,IFERROR(_xlfn.XMATCH(C553,_xlpm.r),IFERROR(_xlfn.XMATCH(VALUE(C553),_xlpm.r),0)),IF(_xlpm.m=0,"",_xlpm.m+1))</f>
        <v/>
      </c>
      <c r="J553" s="137" t="inlineStr">
        <is>
          <t>Odoo</t>
        </is>
      </c>
    </row>
    <row r="554">
      <c r="A554" s="5" t="inlineStr">
        <is>
          <t>Odoo Universal Unique Brands › Bodega 25 › Bodega 25/General</t>
        </is>
      </c>
      <c r="B554" s="5">
        <f>IF($I2="","",INDEX(Productos!$A:$A,$I2))</f>
        <v/>
      </c>
      <c r="C554" s="134" t="inlineStr">
        <is>
          <t>TR165-194ABR</t>
        </is>
      </c>
      <c r="D554" s="5">
        <f>IF($I2="","",INDEX(Productos!$B:$B,$I2))</f>
        <v/>
      </c>
      <c r="E554" s="5">
        <f>IF($I2="","",INDEX(Productos!$H:$H,$I2))</f>
        <v/>
      </c>
      <c r="F554" s="5">
        <f>IF($I2="","",INDEX(Productos!$I:$I,$I2))</f>
        <v/>
      </c>
      <c r="G554" s="135" t="n">
        <v>6</v>
      </c>
      <c r="H554" s="5">
        <f>IF($I2="","",INDEX(Productos!$AG:$AG,$I2))</f>
        <v/>
      </c>
      <c r="I554" s="136">
        <f>LET(_xlpm.r,Productos!$E$2:$E$1063,_xlpm.m,IFERROR(_xlfn.XMATCH(C554,_xlpm.r),IFERROR(_xlfn.XMATCH(VALUE(C554),_xlpm.r),0)),IF(_xlpm.m=0,"",_xlpm.m+1))</f>
        <v/>
      </c>
      <c r="J554" s="137" t="inlineStr">
        <is>
          <t>Odoo</t>
        </is>
      </c>
    </row>
    <row r="555">
      <c r="A555" s="5" t="inlineStr">
        <is>
          <t>Odoo Universal Unique Brands › Bodega 25 › Bodega 25/General</t>
        </is>
      </c>
      <c r="B555" s="5">
        <f>IF($I2="","",INDEX(Productos!$A:$A,$I2))</f>
        <v/>
      </c>
      <c r="C555" s="134" t="inlineStr">
        <is>
          <t>TR165-194AHPK</t>
        </is>
      </c>
      <c r="D555" s="5">
        <f>IF($I2="","",INDEX(Productos!$B:$B,$I2))</f>
        <v/>
      </c>
      <c r="E555" s="5">
        <f>IF($I2="","",INDEX(Productos!$H:$H,$I2))</f>
        <v/>
      </c>
      <c r="F555" s="5">
        <f>IF($I2="","",INDEX(Productos!$I:$I,$I2))</f>
        <v/>
      </c>
      <c r="G555" s="135" t="n">
        <v>6</v>
      </c>
      <c r="H555" s="5">
        <f>IF($I2="","",INDEX(Productos!$AG:$AG,$I2))</f>
        <v/>
      </c>
      <c r="I555" s="136">
        <f>LET(_xlpm.r,Productos!$E$2:$E$1063,_xlpm.m,IFERROR(_xlfn.XMATCH(C555,_xlpm.r),IFERROR(_xlfn.XMATCH(VALUE(C555),_xlpm.r),0)),IF(_xlpm.m=0,"",_xlpm.m+1))</f>
        <v/>
      </c>
      <c r="J555" s="137" t="inlineStr">
        <is>
          <t>Odoo</t>
        </is>
      </c>
    </row>
    <row r="556">
      <c r="A556" s="5" t="inlineStr">
        <is>
          <t>Odoo Universal Unique Brands › Bodega 25 › Bodega 25/General</t>
        </is>
      </c>
      <c r="B556" s="5">
        <f>IF($I2="","",INDEX(Productos!$A:$A,$I2))</f>
        <v/>
      </c>
      <c r="C556" s="134" t="inlineStr">
        <is>
          <t>TR165-198BK</t>
        </is>
      </c>
      <c r="D556" s="5">
        <f>IF($I2="","",INDEX(Productos!$B:$B,$I2))</f>
        <v/>
      </c>
      <c r="E556" s="5">
        <f>IF($I2="","",INDEX(Productos!$H:$H,$I2))</f>
        <v/>
      </c>
      <c r="F556" s="5">
        <f>IF($I2="","",INDEX(Productos!$I:$I,$I2))</f>
        <v/>
      </c>
      <c r="G556" s="135" t="n">
        <v>6</v>
      </c>
      <c r="H556" s="5">
        <f>IF($I2="","",INDEX(Productos!$AG:$AG,$I2))</f>
        <v/>
      </c>
      <c r="I556" s="136">
        <f>LET(_xlpm.r,Productos!$E$2:$E$1063,_xlpm.m,IFERROR(_xlfn.XMATCH(C556,_xlpm.r),IFERROR(_xlfn.XMATCH(VALUE(C556),_xlpm.r),0)),IF(_xlpm.m=0,"",_xlpm.m+1))</f>
        <v/>
      </c>
      <c r="J556" s="137" t="inlineStr">
        <is>
          <t>Odoo</t>
        </is>
      </c>
    </row>
    <row r="557">
      <c r="A557" s="5" t="inlineStr">
        <is>
          <t>Odoo Universal Unique Brands › Bodega 25 › Bodega 25/General</t>
        </is>
      </c>
      <c r="B557" s="5">
        <f>IF($I2="","",INDEX(Productos!$A:$A,$I2))</f>
        <v/>
      </c>
      <c r="C557" s="134" t="inlineStr">
        <is>
          <t>TR165-198BR</t>
        </is>
      </c>
      <c r="D557" s="5">
        <f>IF($I2="","",INDEX(Productos!$B:$B,$I2))</f>
        <v/>
      </c>
      <c r="E557" s="5">
        <f>IF($I2="","",INDEX(Productos!$H:$H,$I2))</f>
        <v/>
      </c>
      <c r="F557" s="5">
        <f>IF($I2="","",INDEX(Productos!$I:$I,$I2))</f>
        <v/>
      </c>
      <c r="G557" s="135" t="n">
        <v>3</v>
      </c>
      <c r="H557" s="5">
        <f>IF($I2="","",INDEX(Productos!$AG:$AG,$I2))</f>
        <v/>
      </c>
      <c r="I557" s="136">
        <f>LET(_xlpm.r,Productos!$E$2:$E$1063,_xlpm.m,IFERROR(_xlfn.XMATCH(C557,_xlpm.r),IFERROR(_xlfn.XMATCH(VALUE(C557),_xlpm.r),0)),IF(_xlpm.m=0,"",_xlpm.m+1))</f>
        <v/>
      </c>
      <c r="J557" s="137" t="inlineStr">
        <is>
          <t>Odoo</t>
        </is>
      </c>
    </row>
    <row r="558">
      <c r="A558" s="5" t="inlineStr">
        <is>
          <t>Odoo Universal Unique Brands › Bodega 25 › Bodega 25/General</t>
        </is>
      </c>
      <c r="B558" s="5">
        <f>IF($I2="","",INDEX(Productos!$A:$A,$I2))</f>
        <v/>
      </c>
      <c r="C558" s="134" t="inlineStr">
        <is>
          <t>TR179-185CF</t>
        </is>
      </c>
      <c r="D558" s="5">
        <f>IF($I2="","",INDEX(Productos!$B:$B,$I2))</f>
        <v/>
      </c>
      <c r="E558" s="5">
        <f>IF($I2="","",INDEX(Productos!$H:$H,$I2))</f>
        <v/>
      </c>
      <c r="F558" s="5">
        <f>IF($I2="","",INDEX(Productos!$I:$I,$I2))</f>
        <v/>
      </c>
      <c r="G558" s="135" t="n">
        <v>5</v>
      </c>
      <c r="H558" s="5">
        <f>IF($I2="","",INDEX(Productos!$AG:$AG,$I2))</f>
        <v/>
      </c>
      <c r="I558" s="136">
        <f>LET(_xlpm.r,Productos!$E$2:$E$1063,_xlpm.m,IFERROR(_xlfn.XMATCH(C558,_xlpm.r),IFERROR(_xlfn.XMATCH(VALUE(C558),_xlpm.r),0)),IF(_xlpm.m=0,"",_xlpm.m+1))</f>
        <v/>
      </c>
      <c r="J558" s="137" t="inlineStr">
        <is>
          <t>Odoo</t>
        </is>
      </c>
    </row>
    <row r="559">
      <c r="A559" s="5" t="inlineStr">
        <is>
          <t>Odoo Universal Unique Brands › Bodega 25 › Bodega 25/General</t>
        </is>
      </c>
      <c r="B559" s="5">
        <f>IF($I2="","",INDEX(Productos!$A:$A,$I2))</f>
        <v/>
      </c>
      <c r="C559" s="134" t="inlineStr">
        <is>
          <t>TR179-186BR</t>
        </is>
      </c>
      <c r="D559" s="5">
        <f>IF($I2="","",INDEX(Productos!$B:$B,$I2))</f>
        <v/>
      </c>
      <c r="E559" s="5">
        <f>IF($I2="","",INDEX(Productos!$H:$H,$I2))</f>
        <v/>
      </c>
      <c r="F559" s="5">
        <f>IF($I2="","",INDEX(Productos!$I:$I,$I2))</f>
        <v/>
      </c>
      <c r="G559" s="135" t="n">
        <v>5</v>
      </c>
      <c r="H559" s="5">
        <f>IF($I2="","",INDEX(Productos!$AG:$AG,$I2))</f>
        <v/>
      </c>
      <c r="I559" s="136">
        <f>LET(_xlpm.r,Productos!$E$2:$E$1063,_xlpm.m,IFERROR(_xlfn.XMATCH(C559,_xlpm.r),IFERROR(_xlfn.XMATCH(VALUE(C559),_xlpm.r),0)),IF(_xlpm.m=0,"",_xlpm.m+1))</f>
        <v/>
      </c>
      <c r="J559" s="137" t="inlineStr">
        <is>
          <t>Odoo</t>
        </is>
      </c>
    </row>
    <row r="560">
      <c r="A560" s="5" t="inlineStr">
        <is>
          <t>Odoo Universal Unique Brands › Bodega 25 › Bodega 25/General</t>
        </is>
      </c>
      <c r="B560" s="5">
        <f>IF($I2="","",INDEX(Productos!$A:$A,$I2))</f>
        <v/>
      </c>
      <c r="C560" s="134" t="inlineStr">
        <is>
          <t>TR179-186HPK</t>
        </is>
      </c>
      <c r="D560" s="5">
        <f>IF($I2="","",INDEX(Productos!$B:$B,$I2))</f>
        <v/>
      </c>
      <c r="E560" s="5">
        <f>IF($I2="","",INDEX(Productos!$H:$H,$I2))</f>
        <v/>
      </c>
      <c r="F560" s="5">
        <f>IF($I2="","",INDEX(Productos!$I:$I,$I2))</f>
        <v/>
      </c>
      <c r="G560" s="135" t="n">
        <v>6</v>
      </c>
      <c r="H560" s="5">
        <f>IF($I2="","",INDEX(Productos!$AG:$AG,$I2))</f>
        <v/>
      </c>
      <c r="I560" s="136">
        <f>LET(_xlpm.r,Productos!$E$2:$E$1063,_xlpm.m,IFERROR(_xlfn.XMATCH(C560,_xlpm.r),IFERROR(_xlfn.XMATCH(VALUE(C560),_xlpm.r),0)),IF(_xlpm.m=0,"",_xlpm.m+1))</f>
        <v/>
      </c>
      <c r="J560" s="137" t="inlineStr">
        <is>
          <t>Odoo</t>
        </is>
      </c>
    </row>
    <row r="561">
      <c r="A561" s="5" t="inlineStr">
        <is>
          <t>Odoo Universal Unique Brands › Bodega 25 › Bodega 25/General</t>
        </is>
      </c>
      <c r="B561" s="5">
        <f>IF($I2="","",INDEX(Productos!$A:$A,$I2))</f>
        <v/>
      </c>
      <c r="C561" s="134" t="inlineStr">
        <is>
          <t>TR180-8360BR</t>
        </is>
      </c>
      <c r="D561" s="5">
        <f>IF($I2="","",INDEX(Productos!$B:$B,$I2))</f>
        <v/>
      </c>
      <c r="E561" s="5">
        <f>IF($I2="","",INDEX(Productos!$H:$H,$I2))</f>
        <v/>
      </c>
      <c r="F561" s="5">
        <f>IF($I2="","",INDEX(Productos!$I:$I,$I2))</f>
        <v/>
      </c>
      <c r="G561" s="135" t="n">
        <v>49</v>
      </c>
      <c r="H561" s="5">
        <f>IF($I2="","",INDEX(Productos!$AG:$AG,$I2))</f>
        <v/>
      </c>
      <c r="I561" s="136">
        <f>LET(_xlpm.r,Productos!$E$2:$E$1063,_xlpm.m,IFERROR(_xlfn.XMATCH(C561,_xlpm.r),IFERROR(_xlfn.XMATCH(VALUE(C561),_xlpm.r),0)),IF(_xlpm.m=0,"",_xlpm.m+1))</f>
        <v/>
      </c>
      <c r="J561" s="137" t="inlineStr">
        <is>
          <t>Odoo</t>
        </is>
      </c>
    </row>
    <row r="562">
      <c r="A562" s="5" t="inlineStr">
        <is>
          <t>Odoo Universal Unique Brands › Bodega 25 › Bodega 25/General</t>
        </is>
      </c>
      <c r="B562" s="5">
        <f>IF($I2="","",INDEX(Productos!$A:$A,$I2))</f>
        <v/>
      </c>
      <c r="C562" s="134" t="inlineStr">
        <is>
          <t>TR180-8360CF</t>
        </is>
      </c>
      <c r="D562" s="5">
        <f>IF($I2="","",INDEX(Productos!$B:$B,$I2))</f>
        <v/>
      </c>
      <c r="E562" s="5">
        <f>IF($I2="","",INDEX(Productos!$H:$H,$I2))</f>
        <v/>
      </c>
      <c r="F562" s="5">
        <f>IF($I2="","",INDEX(Productos!$I:$I,$I2))</f>
        <v/>
      </c>
      <c r="G562" s="135" t="n">
        <v>25</v>
      </c>
      <c r="H562" s="5">
        <f>IF($I2="","",INDEX(Productos!$AG:$AG,$I2))</f>
        <v/>
      </c>
      <c r="I562" s="136">
        <f>LET(_xlpm.r,Productos!$E$2:$E$1063,_xlpm.m,IFERROR(_xlfn.XMATCH(C562,_xlpm.r),IFERROR(_xlfn.XMATCH(VALUE(C562),_xlpm.r),0)),IF(_xlpm.m=0,"",_xlpm.m+1))</f>
        <v/>
      </c>
      <c r="J562" s="137" t="inlineStr">
        <is>
          <t>Odoo</t>
        </is>
      </c>
    </row>
    <row r="563">
      <c r="A563" s="5" t="inlineStr">
        <is>
          <t>Odoo Universal Unique Brands › Bodega 25 › Bodega 25/General</t>
        </is>
      </c>
      <c r="B563" s="5">
        <f>IF($I2="","",INDEX(Productos!$A:$A,$I2))</f>
        <v/>
      </c>
      <c r="C563" s="134" t="inlineStr">
        <is>
          <t>TR180-8360TN</t>
        </is>
      </c>
      <c r="D563" s="5">
        <f>IF($I2="","",INDEX(Productos!$B:$B,$I2))</f>
        <v/>
      </c>
      <c r="E563" s="5">
        <f>IF($I2="","",INDEX(Productos!$H:$H,$I2))</f>
        <v/>
      </c>
      <c r="F563" s="5">
        <f>IF($I2="","",INDEX(Productos!$I:$I,$I2))</f>
        <v/>
      </c>
      <c r="G563" s="135" t="n">
        <v>10</v>
      </c>
      <c r="H563" s="5">
        <f>IF($I2="","",INDEX(Productos!$AG:$AG,$I2))</f>
        <v/>
      </c>
      <c r="I563" s="136">
        <f>LET(_xlpm.r,Productos!$E$2:$E$1063,_xlpm.m,IFERROR(_xlfn.XMATCH(C563,_xlpm.r),IFERROR(_xlfn.XMATCH(VALUE(C563),_xlpm.r),0)),IF(_xlpm.m=0,"",_xlpm.m+1))</f>
        <v/>
      </c>
      <c r="J563" s="137" t="inlineStr">
        <is>
          <t>Odoo</t>
        </is>
      </c>
    </row>
    <row r="564">
      <c r="A564" s="5" t="inlineStr">
        <is>
          <t>Odoo Universal Unique Brands › Bodega 25 › Bodega 25/General</t>
        </is>
      </c>
      <c r="B564" s="5">
        <f>IF($I2="","",INDEX(Productos!$A:$A,$I2))</f>
        <v/>
      </c>
      <c r="C564" s="134" t="inlineStr">
        <is>
          <t>TR183-8360BK</t>
        </is>
      </c>
      <c r="D564" s="5">
        <f>IF($I2="","",INDEX(Productos!$B:$B,$I2))</f>
        <v/>
      </c>
      <c r="E564" s="5">
        <f>IF($I2="","",INDEX(Productos!$H:$H,$I2))</f>
        <v/>
      </c>
      <c r="F564" s="5">
        <f>IF($I2="","",INDEX(Productos!$I:$I,$I2))</f>
        <v/>
      </c>
      <c r="G564" s="135" t="n">
        <v>3</v>
      </c>
      <c r="H564" s="5">
        <f>IF($I2="","",INDEX(Productos!$AG:$AG,$I2))</f>
        <v/>
      </c>
      <c r="I564" s="136">
        <f>LET(_xlpm.r,Productos!$E$2:$E$1063,_xlpm.m,IFERROR(_xlfn.XMATCH(C564,_xlpm.r),IFERROR(_xlfn.XMATCH(VALUE(C564),_xlpm.r),0)),IF(_xlpm.m=0,"",_xlpm.m+1))</f>
        <v/>
      </c>
      <c r="J564" s="137" t="inlineStr">
        <is>
          <t>Odoo</t>
        </is>
      </c>
    </row>
    <row r="565">
      <c r="A565" s="5" t="inlineStr">
        <is>
          <t>Odoo Universal Unique Brands › Bodega 25 › Bodega 25/General</t>
        </is>
      </c>
      <c r="B565" s="5">
        <f>IF($I2="","",INDEX(Productos!$A:$A,$I2))</f>
        <v/>
      </c>
      <c r="C565" s="134" t="inlineStr">
        <is>
          <t>TR183-8360BR</t>
        </is>
      </c>
      <c r="D565" s="5">
        <f>IF($I2="","",INDEX(Productos!$B:$B,$I2))</f>
        <v/>
      </c>
      <c r="E565" s="5">
        <f>IF($I2="","",INDEX(Productos!$H:$H,$I2))</f>
        <v/>
      </c>
      <c r="F565" s="5">
        <f>IF($I2="","",INDEX(Productos!$I:$I,$I2))</f>
        <v/>
      </c>
      <c r="G565" s="135" t="n">
        <v>5</v>
      </c>
      <c r="H565" s="5">
        <f>IF($I2="","",INDEX(Productos!$AG:$AG,$I2))</f>
        <v/>
      </c>
      <c r="I565" s="136">
        <f>LET(_xlpm.r,Productos!$E$2:$E$1063,_xlpm.m,IFERROR(_xlfn.XMATCH(C565,_xlpm.r),IFERROR(_xlfn.XMATCH(VALUE(C565),_xlpm.r),0)),IF(_xlpm.m=0,"",_xlpm.m+1))</f>
        <v/>
      </c>
      <c r="J565" s="137" t="inlineStr">
        <is>
          <t>Odoo</t>
        </is>
      </c>
    </row>
    <row r="566">
      <c r="A566" s="5" t="inlineStr">
        <is>
          <t>Odoo Universal Unique Brands › Bodega 25 › Bodega 25/General</t>
        </is>
      </c>
      <c r="B566" s="5">
        <f>IF($I2="","",INDEX(Productos!$A:$A,$I2))</f>
        <v/>
      </c>
      <c r="C566" s="134" t="inlineStr">
        <is>
          <t>TR183-8360TN</t>
        </is>
      </c>
      <c r="D566" s="5">
        <f>IF($I2="","",INDEX(Productos!$B:$B,$I2))</f>
        <v/>
      </c>
      <c r="E566" s="5">
        <f>IF($I2="","",INDEX(Productos!$H:$H,$I2))</f>
        <v/>
      </c>
      <c r="F566" s="5">
        <f>IF($I2="","",INDEX(Productos!$I:$I,$I2))</f>
        <v/>
      </c>
      <c r="G566" s="135" t="n">
        <v>4</v>
      </c>
      <c r="H566" s="5">
        <f>IF($I2="","",INDEX(Productos!$AG:$AG,$I2))</f>
        <v/>
      </c>
      <c r="I566" s="136">
        <f>LET(_xlpm.r,Productos!$E$2:$E$1063,_xlpm.m,IFERROR(_xlfn.XMATCH(C566,_xlpm.r),IFERROR(_xlfn.XMATCH(VALUE(C566),_xlpm.r),0)),IF(_xlpm.m=0,"",_xlpm.m+1))</f>
        <v/>
      </c>
      <c r="J566" s="137" t="inlineStr">
        <is>
          <t>Odoo</t>
        </is>
      </c>
    </row>
    <row r="567">
      <c r="A567" s="5" t="inlineStr">
        <is>
          <t>Odoo Universal Unique Brands › Bodega 25 › Bodega 25/General</t>
        </is>
      </c>
      <c r="B567" s="5">
        <f>IF($I2="","",INDEX(Productos!$A:$A,$I2))</f>
        <v/>
      </c>
      <c r="C567" s="134" t="inlineStr">
        <is>
          <t>TR185G-918BK</t>
        </is>
      </c>
      <c r="D567" s="5">
        <f>IF($I2="","",INDEX(Productos!$B:$B,$I2))</f>
        <v/>
      </c>
      <c r="E567" s="5">
        <f>IF($I2="","",INDEX(Productos!$H:$H,$I2))</f>
        <v/>
      </c>
      <c r="F567" s="5">
        <f>IF($I2="","",INDEX(Productos!$I:$I,$I2))</f>
        <v/>
      </c>
      <c r="G567" s="135" t="n">
        <v>4</v>
      </c>
      <c r="H567" s="5">
        <f>IF($I2="","",INDEX(Productos!$AG:$AG,$I2))</f>
        <v/>
      </c>
      <c r="I567" s="136">
        <f>LET(_xlpm.r,Productos!$E$2:$E$1063,_xlpm.m,IFERROR(_xlfn.XMATCH(C567,_xlpm.r),IFERROR(_xlfn.XMATCH(VALUE(C567),_xlpm.r),0)),IF(_xlpm.m=0,"",_xlpm.m+1))</f>
        <v/>
      </c>
      <c r="J567" s="137" t="inlineStr">
        <is>
          <t>Odoo</t>
        </is>
      </c>
    </row>
    <row r="568">
      <c r="A568" s="5" t="inlineStr">
        <is>
          <t>Odoo Universal Unique Brands › Bodega 25 › Bodega 25/General</t>
        </is>
      </c>
      <c r="B568" s="5">
        <f>IF($I2="","",INDEX(Productos!$A:$A,$I2))</f>
        <v/>
      </c>
      <c r="C568" s="134" t="inlineStr">
        <is>
          <t>TR185G-918CF</t>
        </is>
      </c>
      <c r="D568" s="5">
        <f>IF($I2="","",INDEX(Productos!$B:$B,$I2))</f>
        <v/>
      </c>
      <c r="E568" s="5">
        <f>IF($I2="","",INDEX(Productos!$H:$H,$I2))</f>
        <v/>
      </c>
      <c r="F568" s="5">
        <f>IF($I2="","",INDEX(Productos!$I:$I,$I2))</f>
        <v/>
      </c>
      <c r="G568" s="135" t="n">
        <v>6</v>
      </c>
      <c r="H568" s="5">
        <f>IF($I2="","",INDEX(Productos!$AG:$AG,$I2))</f>
        <v/>
      </c>
      <c r="I568" s="136">
        <f>LET(_xlpm.r,Productos!$E$2:$E$1063,_xlpm.m,IFERROR(_xlfn.XMATCH(C568,_xlpm.r),IFERROR(_xlfn.XMATCH(VALUE(C568),_xlpm.r),0)),IF(_xlpm.m=0,"",_xlpm.m+1))</f>
        <v/>
      </c>
      <c r="J568" s="137" t="inlineStr">
        <is>
          <t>Odoo</t>
        </is>
      </c>
    </row>
    <row r="569">
      <c r="A569" s="5" t="inlineStr">
        <is>
          <t>Odoo Universal Unique Brands › Bodega 25 › Bodega 25/General</t>
        </is>
      </c>
      <c r="B569" s="5">
        <f>IF($I2="","",INDEX(Productos!$A:$A,$I2))</f>
        <v/>
      </c>
      <c r="C569" s="134" t="inlineStr">
        <is>
          <t>TR185G-9360BK</t>
        </is>
      </c>
      <c r="D569" s="5">
        <f>IF($I2="","",INDEX(Productos!$B:$B,$I2))</f>
        <v/>
      </c>
      <c r="E569" s="5">
        <f>IF($I2="","",INDEX(Productos!$H:$H,$I2))</f>
        <v/>
      </c>
      <c r="F569" s="5">
        <f>IF($I2="","",INDEX(Productos!$I:$I,$I2))</f>
        <v/>
      </c>
      <c r="G569" s="135" t="n">
        <v>12</v>
      </c>
      <c r="H569" s="5">
        <f>IF($I2="","",INDEX(Productos!$AG:$AG,$I2))</f>
        <v/>
      </c>
      <c r="I569" s="136">
        <f>LET(_xlpm.r,Productos!$E$2:$E$1063,_xlpm.m,IFERROR(_xlfn.XMATCH(C569,_xlpm.r),IFERROR(_xlfn.XMATCH(VALUE(C569),_xlpm.r),0)),IF(_xlpm.m=0,"",_xlpm.m+1))</f>
        <v/>
      </c>
      <c r="J569" s="137" t="inlineStr">
        <is>
          <t>Odoo</t>
        </is>
      </c>
    </row>
    <row r="570">
      <c r="A570" s="5" t="inlineStr">
        <is>
          <t>Odoo Universal Unique Brands › Bodega 25 › Bodega 25/General</t>
        </is>
      </c>
      <c r="B570" s="5">
        <f>IF($I2="","",INDEX(Productos!$A:$A,$I2))</f>
        <v/>
      </c>
      <c r="C570" s="134" t="inlineStr">
        <is>
          <t>TR185G-9360BR</t>
        </is>
      </c>
      <c r="D570" s="5">
        <f>IF($I2="","",INDEX(Productos!$B:$B,$I2))</f>
        <v/>
      </c>
      <c r="E570" s="5">
        <f>IF($I2="","",INDEX(Productos!$H:$H,$I2))</f>
        <v/>
      </c>
      <c r="F570" s="5">
        <f>IF($I2="","",INDEX(Productos!$I:$I,$I2))</f>
        <v/>
      </c>
      <c r="G570" s="135" t="n">
        <v>2</v>
      </c>
      <c r="H570" s="5">
        <f>IF($I2="","",INDEX(Productos!$AG:$AG,$I2))</f>
        <v/>
      </c>
      <c r="I570" s="136">
        <f>LET(_xlpm.r,Productos!$E$2:$E$1063,_xlpm.m,IFERROR(_xlfn.XMATCH(C570,_xlpm.r),IFERROR(_xlfn.XMATCH(VALUE(C570),_xlpm.r),0)),IF(_xlpm.m=0,"",_xlpm.m+1))</f>
        <v/>
      </c>
      <c r="J570" s="137" t="inlineStr">
        <is>
          <t>Odoo</t>
        </is>
      </c>
    </row>
    <row r="571">
      <c r="A571" s="5" t="inlineStr">
        <is>
          <t>Odoo Universal Unique Brands › Bodega 25 › Bodega 25/General</t>
        </is>
      </c>
      <c r="B571" s="5">
        <f>IF($I2="","",INDEX(Productos!$A:$A,$I2))</f>
        <v/>
      </c>
      <c r="C571" s="134" t="inlineStr">
        <is>
          <t>TR185G-9360TN</t>
        </is>
      </c>
      <c r="D571" s="5">
        <f>IF($I2="","",INDEX(Productos!$B:$B,$I2))</f>
        <v/>
      </c>
      <c r="E571" s="5">
        <f>IF($I2="","",INDEX(Productos!$H:$H,$I2))</f>
        <v/>
      </c>
      <c r="F571" s="5">
        <f>IF($I2="","",INDEX(Productos!$I:$I,$I2))</f>
        <v/>
      </c>
      <c r="G571" s="135" t="n">
        <v>49</v>
      </c>
      <c r="H571" s="5">
        <f>IF($I2="","",INDEX(Productos!$AG:$AG,$I2))</f>
        <v/>
      </c>
      <c r="I571" s="136">
        <f>LET(_xlpm.r,Productos!$E$2:$E$1063,_xlpm.m,IFERROR(_xlfn.XMATCH(C571,_xlpm.r),IFERROR(_xlfn.XMATCH(VALUE(C571),_xlpm.r),0)),IF(_xlpm.m=0,"",_xlpm.m+1))</f>
        <v/>
      </c>
      <c r="J571" s="137" t="inlineStr">
        <is>
          <t>Odoo</t>
        </is>
      </c>
    </row>
    <row r="572">
      <c r="A572" s="5" t="inlineStr">
        <is>
          <t>Odoo Universal Unique Brands › Bodega 25 › Bodega 25/General</t>
        </is>
      </c>
      <c r="B572" s="5">
        <f>IF($I2="","",INDEX(Productos!$A:$A,$I2))</f>
        <v/>
      </c>
      <c r="C572" s="134" t="inlineStr">
        <is>
          <t>TR187-8360CF</t>
        </is>
      </c>
      <c r="D572" s="5">
        <f>IF($I2="","",INDEX(Productos!$B:$B,$I2))</f>
        <v/>
      </c>
      <c r="E572" s="5">
        <f>IF($I2="","",INDEX(Productos!$H:$H,$I2))</f>
        <v/>
      </c>
      <c r="F572" s="5">
        <f>IF($I2="","",INDEX(Productos!$I:$I,$I2))</f>
        <v/>
      </c>
      <c r="G572" s="135" t="n">
        <v>42</v>
      </c>
      <c r="H572" s="5">
        <f>IF($I2="","",INDEX(Productos!$AG:$AG,$I2))</f>
        <v/>
      </c>
      <c r="I572" s="136">
        <f>LET(_xlpm.r,Productos!$E$2:$E$1063,_xlpm.m,IFERROR(_xlfn.XMATCH(C572,_xlpm.r),IFERROR(_xlfn.XMATCH(VALUE(C572),_xlpm.r),0)),IF(_xlpm.m=0,"",_xlpm.m+1))</f>
        <v/>
      </c>
      <c r="J572" s="137" t="inlineStr">
        <is>
          <t>Odoo</t>
        </is>
      </c>
    </row>
    <row r="573">
      <c r="A573" s="5" t="inlineStr">
        <is>
          <t>Odoo Universal Unique Brands › Bodega 25 › Bodega 25/General</t>
        </is>
      </c>
      <c r="B573" s="5">
        <f>IF($I2="","",INDEX(Productos!$A:$A,$I2))</f>
        <v/>
      </c>
      <c r="C573" s="134" t="inlineStr">
        <is>
          <t>TR187-W002BK</t>
        </is>
      </c>
      <c r="D573" s="5">
        <f>IF($I2="","",INDEX(Productos!$B:$B,$I2))</f>
        <v/>
      </c>
      <c r="E573" s="5">
        <f>IF($I2="","",INDEX(Productos!$H:$H,$I2))</f>
        <v/>
      </c>
      <c r="F573" s="5">
        <f>IF($I2="","",INDEX(Productos!$I:$I,$I2))</f>
        <v/>
      </c>
      <c r="G573" s="135" t="n">
        <v>1</v>
      </c>
      <c r="H573" s="5">
        <f>IF($I2="","",INDEX(Productos!$AG:$AG,$I2))</f>
        <v/>
      </c>
      <c r="I573" s="136">
        <f>LET(_xlpm.r,Productos!$E$2:$E$1063,_xlpm.m,IFERROR(_xlfn.XMATCH(C573,_xlpm.r),IFERROR(_xlfn.XMATCH(VALUE(C573),_xlpm.r),0)),IF(_xlpm.m=0,"",_xlpm.m+1))</f>
        <v/>
      </c>
      <c r="J573" s="137" t="inlineStr">
        <is>
          <t>Odoo</t>
        </is>
      </c>
    </row>
    <row r="574">
      <c r="A574" s="5" t="inlineStr">
        <is>
          <t>Odoo Universal Unique Brands › Bodega 25 › Bodega 25/General</t>
        </is>
      </c>
      <c r="B574" s="5">
        <f>IF($I2="","",INDEX(Productos!$A:$A,$I2))</f>
        <v/>
      </c>
      <c r="C574" s="134" t="inlineStr">
        <is>
          <t>TR187-W002TN</t>
        </is>
      </c>
      <c r="D574" s="5">
        <f>IF($I2="","",INDEX(Productos!$B:$B,$I2))</f>
        <v/>
      </c>
      <c r="E574" s="5">
        <f>IF($I2="","",INDEX(Productos!$H:$H,$I2))</f>
        <v/>
      </c>
      <c r="F574" s="5">
        <f>IF($I2="","",INDEX(Productos!$I:$I,$I2))</f>
        <v/>
      </c>
      <c r="G574" s="135" t="n">
        <v>4</v>
      </c>
      <c r="H574" s="5">
        <f>IF($I2="","",INDEX(Productos!$AG:$AG,$I2))</f>
        <v/>
      </c>
      <c r="I574" s="136">
        <f>LET(_xlpm.r,Productos!$E$2:$E$1063,_xlpm.m,IFERROR(_xlfn.XMATCH(C574,_xlpm.r),IFERROR(_xlfn.XMATCH(VALUE(C574),_xlpm.r),0)),IF(_xlpm.m=0,"",_xlpm.m+1))</f>
        <v/>
      </c>
      <c r="J574" s="137" t="inlineStr">
        <is>
          <t>Odoo</t>
        </is>
      </c>
    </row>
    <row r="575">
      <c r="A575" s="5" t="inlineStr">
        <is>
          <t>Odoo Universal Unique Brands › Bodega 25 › Bodega 25/General</t>
        </is>
      </c>
      <c r="B575" s="5">
        <f>IF($I2="","",INDEX(Productos!$A:$A,$I2))</f>
        <v/>
      </c>
      <c r="C575" s="134" t="inlineStr">
        <is>
          <t>TR188-160BK</t>
        </is>
      </c>
      <c r="D575" s="5">
        <f>IF($I2="","",INDEX(Productos!$B:$B,$I2))</f>
        <v/>
      </c>
      <c r="E575" s="5">
        <f>IF($I2="","",INDEX(Productos!$H:$H,$I2))</f>
        <v/>
      </c>
      <c r="F575" s="5">
        <f>IF($I2="","",INDEX(Productos!$I:$I,$I2))</f>
        <v/>
      </c>
      <c r="G575" s="135" t="n">
        <v>3</v>
      </c>
      <c r="H575" s="5">
        <f>IF($I2="","",INDEX(Productos!$AG:$AG,$I2))</f>
        <v/>
      </c>
      <c r="I575" s="136">
        <f>LET(_xlpm.r,Productos!$E$2:$E$1063,_xlpm.m,IFERROR(_xlfn.XMATCH(C575,_xlpm.r),IFERROR(_xlfn.XMATCH(VALUE(C575),_xlpm.r),0)),IF(_xlpm.m=0,"",_xlpm.m+1))</f>
        <v/>
      </c>
      <c r="J575" s="137" t="inlineStr">
        <is>
          <t>Odoo</t>
        </is>
      </c>
    </row>
    <row r="576">
      <c r="A576" s="5" t="inlineStr">
        <is>
          <t>Odoo Universal Unique Brands › Bodega 25 › Bodega 25/General</t>
        </is>
      </c>
      <c r="B576" s="5">
        <f>IF($I2="","",INDEX(Productos!$A:$A,$I2))</f>
        <v/>
      </c>
      <c r="C576" s="134" t="inlineStr">
        <is>
          <t>TR188-160BR</t>
        </is>
      </c>
      <c r="D576" s="5">
        <f>IF($I2="","",INDEX(Productos!$B:$B,$I2))</f>
        <v/>
      </c>
      <c r="E576" s="5">
        <f>IF($I2="","",INDEX(Productos!$H:$H,$I2))</f>
        <v/>
      </c>
      <c r="F576" s="5">
        <f>IF($I2="","",INDEX(Productos!$I:$I,$I2))</f>
        <v/>
      </c>
      <c r="G576" s="135" t="n">
        <v>3</v>
      </c>
      <c r="H576" s="5">
        <f>IF($I2="","",INDEX(Productos!$AG:$AG,$I2))</f>
        <v/>
      </c>
      <c r="I576" s="136">
        <f>LET(_xlpm.r,Productos!$E$2:$E$1063,_xlpm.m,IFERROR(_xlfn.XMATCH(C576,_xlpm.r),IFERROR(_xlfn.XMATCH(VALUE(C576),_xlpm.r),0)),IF(_xlpm.m=0,"",_xlpm.m+1))</f>
        <v/>
      </c>
      <c r="J576" s="137" t="inlineStr">
        <is>
          <t>Odoo</t>
        </is>
      </c>
    </row>
    <row r="577">
      <c r="A577" s="5" t="inlineStr">
        <is>
          <t>Odoo Universal Unique Brands › Bodega 25 › Bodega 25/General</t>
        </is>
      </c>
      <c r="B577" s="5">
        <f>IF($I2="","",INDEX(Productos!$A:$A,$I2))</f>
        <v/>
      </c>
      <c r="C577" s="134" t="inlineStr">
        <is>
          <t>TR188-160CF</t>
        </is>
      </c>
      <c r="D577" s="5">
        <f>IF($I2="","",INDEX(Productos!$B:$B,$I2))</f>
        <v/>
      </c>
      <c r="E577" s="5">
        <f>IF($I2="","",INDEX(Productos!$H:$H,$I2))</f>
        <v/>
      </c>
      <c r="F577" s="5">
        <f>IF($I2="","",INDEX(Productos!$I:$I,$I2))</f>
        <v/>
      </c>
      <c r="G577" s="135" t="n">
        <v>2</v>
      </c>
      <c r="H577" s="5">
        <f>IF($I2="","",INDEX(Productos!$AG:$AG,$I2))</f>
        <v/>
      </c>
      <c r="I577" s="136">
        <f>LET(_xlpm.r,Productos!$E$2:$E$1063,_xlpm.m,IFERROR(_xlfn.XMATCH(C577,_xlpm.r),IFERROR(_xlfn.XMATCH(VALUE(C577),_xlpm.r),0)),IF(_xlpm.m=0,"",_xlpm.m+1))</f>
        <v/>
      </c>
      <c r="J577" s="137" t="inlineStr">
        <is>
          <t>Odoo</t>
        </is>
      </c>
    </row>
    <row r="578">
      <c r="A578" s="5" t="inlineStr">
        <is>
          <t>Odoo Universal Unique Brands › Bodega 25 › Bodega 25/General</t>
        </is>
      </c>
      <c r="B578" s="5">
        <f>IF($I2="","",INDEX(Productos!$A:$A,$I2))</f>
        <v/>
      </c>
      <c r="C578" s="134" t="inlineStr">
        <is>
          <t>TR190-181BR</t>
        </is>
      </c>
      <c r="D578" s="5">
        <f>IF($I2="","",INDEX(Productos!$B:$B,$I2))</f>
        <v/>
      </c>
      <c r="E578" s="5">
        <f>IF($I2="","",INDEX(Productos!$H:$H,$I2))</f>
        <v/>
      </c>
      <c r="F578" s="5">
        <f>IF($I2="","",INDEX(Productos!$I:$I,$I2))</f>
        <v/>
      </c>
      <c r="G578" s="135" t="n">
        <v>4</v>
      </c>
      <c r="H578" s="5">
        <f>IF($I2="","",INDEX(Productos!$AG:$AG,$I2))</f>
        <v/>
      </c>
      <c r="I578" s="136">
        <f>LET(_xlpm.r,Productos!$E$2:$E$1063,_xlpm.m,IFERROR(_xlfn.XMATCH(C578,_xlpm.r),IFERROR(_xlfn.XMATCH(VALUE(C578),_xlpm.r),0)),IF(_xlpm.m=0,"",_xlpm.m+1))</f>
        <v/>
      </c>
      <c r="J578" s="137" t="inlineStr">
        <is>
          <t>Odoo</t>
        </is>
      </c>
    </row>
    <row r="579">
      <c r="A579" s="5" t="inlineStr">
        <is>
          <t>Odoo Universal Unique Brands › Bodega 25 › Bodega 25/General</t>
        </is>
      </c>
      <c r="B579" s="5">
        <f>IF($I2="","",INDEX(Productos!$A:$A,$I2))</f>
        <v/>
      </c>
      <c r="C579" s="134" t="inlineStr">
        <is>
          <t>TR190-1821BR</t>
        </is>
      </c>
      <c r="D579" s="5">
        <f>IF($I2="","",INDEX(Productos!$B:$B,$I2))</f>
        <v/>
      </c>
      <c r="E579" s="5">
        <f>IF($I2="","",INDEX(Productos!$H:$H,$I2))</f>
        <v/>
      </c>
      <c r="F579" s="5">
        <f>IF($I2="","",INDEX(Productos!$I:$I,$I2))</f>
        <v/>
      </c>
      <c r="G579" s="135" t="n">
        <v>5</v>
      </c>
      <c r="H579" s="5">
        <f>IF($I2="","",INDEX(Productos!$AG:$AG,$I2))</f>
        <v/>
      </c>
      <c r="I579" s="136">
        <f>LET(_xlpm.r,Productos!$E$2:$E$1063,_xlpm.m,IFERROR(_xlfn.XMATCH(C579,_xlpm.r),IFERROR(_xlfn.XMATCH(VALUE(C579),_xlpm.r),0)),IF(_xlpm.m=0,"",_xlpm.m+1))</f>
        <v/>
      </c>
      <c r="J579" s="137" t="inlineStr">
        <is>
          <t>Odoo</t>
        </is>
      </c>
    </row>
    <row r="580">
      <c r="A580" s="5" t="inlineStr">
        <is>
          <t>Odoo Universal Unique Brands › Bodega 25 › Bodega 25/General</t>
        </is>
      </c>
      <c r="B580" s="5">
        <f>IF($I2="","",INDEX(Productos!$A:$A,$I2))</f>
        <v/>
      </c>
      <c r="C580" s="134" t="inlineStr">
        <is>
          <t>TR190-5110BR</t>
        </is>
      </c>
      <c r="D580" s="5">
        <f>IF($I2="","",INDEX(Productos!$B:$B,$I2))</f>
        <v/>
      </c>
      <c r="E580" s="5">
        <f>IF($I2="","",INDEX(Productos!$H:$H,$I2))</f>
        <v/>
      </c>
      <c r="F580" s="5">
        <f>IF($I2="","",INDEX(Productos!$I:$I,$I2))</f>
        <v/>
      </c>
      <c r="G580" s="135" t="n">
        <v>36</v>
      </c>
      <c r="H580" s="5">
        <f>IF($I2="","",INDEX(Productos!$AG:$AG,$I2))</f>
        <v/>
      </c>
      <c r="I580" s="136">
        <f>LET(_xlpm.r,Productos!$E$2:$E$1063,_xlpm.m,IFERROR(_xlfn.XMATCH(C580,_xlpm.r),IFERROR(_xlfn.XMATCH(VALUE(C580),_xlpm.r),0)),IF(_xlpm.m=0,"",_xlpm.m+1))</f>
        <v/>
      </c>
      <c r="J580" s="137" t="inlineStr">
        <is>
          <t>Odoo</t>
        </is>
      </c>
    </row>
    <row r="581">
      <c r="A581" s="5" t="inlineStr">
        <is>
          <t>Odoo Universal Unique Brands › Bodega 25 › Bodega 25/General</t>
        </is>
      </c>
      <c r="B581" s="5">
        <f>IF($I2="","",INDEX(Productos!$A:$A,$I2))</f>
        <v/>
      </c>
      <c r="C581" s="134" t="inlineStr">
        <is>
          <t>TR190-5110CF</t>
        </is>
      </c>
      <c r="D581" s="5">
        <f>IF($I2="","",INDEX(Productos!$B:$B,$I2))</f>
        <v/>
      </c>
      <c r="E581" s="5">
        <f>IF($I2="","",INDEX(Productos!$H:$H,$I2))</f>
        <v/>
      </c>
      <c r="F581" s="5">
        <f>IF($I2="","",INDEX(Productos!$I:$I,$I2))</f>
        <v/>
      </c>
      <c r="G581" s="135" t="n">
        <v>33</v>
      </c>
      <c r="H581" s="5">
        <f>IF($I2="","",INDEX(Productos!$AG:$AG,$I2))</f>
        <v/>
      </c>
      <c r="I581" s="136">
        <f>LET(_xlpm.r,Productos!$E$2:$E$1063,_xlpm.m,IFERROR(_xlfn.XMATCH(C581,_xlpm.r),IFERROR(_xlfn.XMATCH(VALUE(C581),_xlpm.r),0)),IF(_xlpm.m=0,"",_xlpm.m+1))</f>
        <v/>
      </c>
      <c r="J581" s="137" t="inlineStr">
        <is>
          <t>Odoo</t>
        </is>
      </c>
    </row>
    <row r="582">
      <c r="A582" s="5" t="inlineStr">
        <is>
          <t>Odoo Universal Unique Brands › Bodega 25 › Bodega 25/General</t>
        </is>
      </c>
      <c r="B582" s="5">
        <f>IF($I2="","",INDEX(Productos!$A:$A,$I2))</f>
        <v/>
      </c>
      <c r="C582" s="134" t="inlineStr">
        <is>
          <t>TR190-5110TN</t>
        </is>
      </c>
      <c r="D582" s="5">
        <f>IF($I2="","",INDEX(Productos!$B:$B,$I2))</f>
        <v/>
      </c>
      <c r="E582" s="5">
        <f>IF($I2="","",INDEX(Productos!$H:$H,$I2))</f>
        <v/>
      </c>
      <c r="F582" s="5">
        <f>IF($I2="","",INDEX(Productos!$I:$I,$I2))</f>
        <v/>
      </c>
      <c r="G582" s="135" t="n">
        <v>30</v>
      </c>
      <c r="H582" s="5">
        <f>IF($I2="","",INDEX(Productos!$AG:$AG,$I2))</f>
        <v/>
      </c>
      <c r="I582" s="136">
        <f>LET(_xlpm.r,Productos!$E$2:$E$1063,_xlpm.m,IFERROR(_xlfn.XMATCH(C582,_xlpm.r),IFERROR(_xlfn.XMATCH(VALUE(C582),_xlpm.r),0)),IF(_xlpm.m=0,"",_xlpm.m+1))</f>
        <v/>
      </c>
      <c r="J582" s="137" t="inlineStr">
        <is>
          <t>Odoo</t>
        </is>
      </c>
    </row>
    <row r="583">
      <c r="A583" s="5" t="inlineStr">
        <is>
          <t>Odoo Universal Unique Brands › Bodega 25 › Bodega 25/General</t>
        </is>
      </c>
      <c r="B583" s="5">
        <f>IF($I2="","",INDEX(Productos!$A:$A,$I2))</f>
        <v/>
      </c>
      <c r="C583" s="134" t="inlineStr">
        <is>
          <t>TR190-8367CF</t>
        </is>
      </c>
      <c r="D583" s="5">
        <f>IF($I2="","",INDEX(Productos!$B:$B,$I2))</f>
        <v/>
      </c>
      <c r="E583" s="5">
        <f>IF($I2="","",INDEX(Productos!$H:$H,$I2))</f>
        <v/>
      </c>
      <c r="F583" s="5">
        <f>IF($I2="","",INDEX(Productos!$I:$I,$I2))</f>
        <v/>
      </c>
      <c r="G583" s="135" t="n">
        <v>3</v>
      </c>
      <c r="H583" s="5">
        <f>IF($I2="","",INDEX(Productos!$AG:$AG,$I2))</f>
        <v/>
      </c>
      <c r="I583" s="136">
        <f>LET(_xlpm.r,Productos!$E$2:$E$1063,_xlpm.m,IFERROR(_xlfn.XMATCH(C583,_xlpm.r),IFERROR(_xlfn.XMATCH(VALUE(C583),_xlpm.r),0)),IF(_xlpm.m=0,"",_xlpm.m+1))</f>
        <v/>
      </c>
      <c r="J583" s="137" t="inlineStr">
        <is>
          <t>Odoo</t>
        </is>
      </c>
    </row>
    <row r="584">
      <c r="A584" s="5" t="inlineStr">
        <is>
          <t>Odoo Universal Unique Brands › Bodega 25 › Bodega 25/General</t>
        </is>
      </c>
      <c r="B584" s="5">
        <f>IF($I2="","",INDEX(Productos!$A:$A,$I2))</f>
        <v/>
      </c>
      <c r="C584" s="134" t="inlineStr">
        <is>
          <t>TR190-8367TN</t>
        </is>
      </c>
      <c r="D584" s="5">
        <f>IF($I2="","",INDEX(Productos!$B:$B,$I2))</f>
        <v/>
      </c>
      <c r="E584" s="5">
        <f>IF($I2="","",INDEX(Productos!$H:$H,$I2))</f>
        <v/>
      </c>
      <c r="F584" s="5">
        <f>IF($I2="","",INDEX(Productos!$I:$I,$I2))</f>
        <v/>
      </c>
      <c r="G584" s="135" t="n">
        <v>2</v>
      </c>
      <c r="H584" s="5">
        <f>IF($I2="","",INDEX(Productos!$AG:$AG,$I2))</f>
        <v/>
      </c>
      <c r="I584" s="136">
        <f>LET(_xlpm.r,Productos!$E$2:$E$1063,_xlpm.m,IFERROR(_xlfn.XMATCH(C584,_xlpm.r),IFERROR(_xlfn.XMATCH(VALUE(C584),_xlpm.r),0)),IF(_xlpm.m=0,"",_xlpm.m+1))</f>
        <v/>
      </c>
      <c r="J584" s="137" t="inlineStr">
        <is>
          <t>Odoo</t>
        </is>
      </c>
    </row>
    <row r="585">
      <c r="A585" s="5" t="inlineStr">
        <is>
          <t>Odoo Universal Unique Brands › Bodega 25 › Bodega 25/General</t>
        </is>
      </c>
      <c r="B585" s="5">
        <f>IF($I2="","",INDEX(Productos!$A:$A,$I2))</f>
        <v/>
      </c>
      <c r="C585" s="134" t="inlineStr">
        <is>
          <t>TR190-W010CF</t>
        </is>
      </c>
      <c r="D585" s="5">
        <f>IF($I2="","",INDEX(Productos!$B:$B,$I2))</f>
        <v/>
      </c>
      <c r="E585" s="5">
        <f>IF($I2="","",INDEX(Productos!$H:$H,$I2))</f>
        <v/>
      </c>
      <c r="F585" s="5">
        <f>IF($I2="","",INDEX(Productos!$I:$I,$I2))</f>
        <v/>
      </c>
      <c r="G585" s="135" t="n">
        <v>3</v>
      </c>
      <c r="H585" s="5">
        <f>IF($I2="","",INDEX(Productos!$AG:$AG,$I2))</f>
        <v/>
      </c>
      <c r="I585" s="136">
        <f>LET(_xlpm.r,Productos!$E$2:$E$1063,_xlpm.m,IFERROR(_xlfn.XMATCH(C585,_xlpm.r),IFERROR(_xlfn.XMATCH(VALUE(C585),_xlpm.r),0)),IF(_xlpm.m=0,"",_xlpm.m+1))</f>
        <v/>
      </c>
      <c r="J585" s="137" t="inlineStr">
        <is>
          <t>Odoo</t>
        </is>
      </c>
    </row>
    <row r="586">
      <c r="A586" s="5" t="inlineStr">
        <is>
          <t>Odoo Universal Unique Brands › Bodega 25 › Bodega 25/General</t>
        </is>
      </c>
      <c r="B586" s="5">
        <f>IF($I2="","",INDEX(Productos!$A:$A,$I2))</f>
        <v/>
      </c>
      <c r="C586" s="134" t="inlineStr">
        <is>
          <t>TR190G-8250BR</t>
        </is>
      </c>
      <c r="D586" s="5">
        <f>IF($I2="","",INDEX(Productos!$B:$B,$I2))</f>
        <v/>
      </c>
      <c r="E586" s="5">
        <f>IF($I2="","",INDEX(Productos!$H:$H,$I2))</f>
        <v/>
      </c>
      <c r="F586" s="5">
        <f>IF($I2="","",INDEX(Productos!$I:$I,$I2))</f>
        <v/>
      </c>
      <c r="G586" s="135" t="n">
        <v>7</v>
      </c>
      <c r="H586" s="5">
        <f>IF($I2="","",INDEX(Productos!$AG:$AG,$I2))</f>
        <v/>
      </c>
      <c r="I586" s="136">
        <f>LET(_xlpm.r,Productos!$E$2:$E$1063,_xlpm.m,IFERROR(_xlfn.XMATCH(C586,_xlpm.r),IFERROR(_xlfn.XMATCH(VALUE(C586),_xlpm.r),0)),IF(_xlpm.m=0,"",_xlpm.m+1))</f>
        <v/>
      </c>
      <c r="J586" s="137" t="inlineStr">
        <is>
          <t>Odoo</t>
        </is>
      </c>
    </row>
    <row r="587">
      <c r="A587" s="5" t="inlineStr">
        <is>
          <t>Odoo Universal Unique Brands › Bodega 25 › Bodega 25/General</t>
        </is>
      </c>
      <c r="B587" s="5">
        <f>IF($I2="","",INDEX(Productos!$A:$A,$I2))</f>
        <v/>
      </c>
      <c r="C587" s="134" t="inlineStr">
        <is>
          <t>TR190G-8250CF</t>
        </is>
      </c>
      <c r="D587" s="5">
        <f>IF($I2="","",INDEX(Productos!$B:$B,$I2))</f>
        <v/>
      </c>
      <c r="E587" s="5">
        <f>IF($I2="","",INDEX(Productos!$H:$H,$I2))</f>
        <v/>
      </c>
      <c r="F587" s="5">
        <f>IF($I2="","",INDEX(Productos!$I:$I,$I2))</f>
        <v/>
      </c>
      <c r="G587" s="135" t="n">
        <v>6</v>
      </c>
      <c r="H587" s="5">
        <f>IF($I2="","",INDEX(Productos!$AG:$AG,$I2))</f>
        <v/>
      </c>
      <c r="I587" s="136">
        <f>LET(_xlpm.r,Productos!$E$2:$E$1063,_xlpm.m,IFERROR(_xlfn.XMATCH(C587,_xlpm.r),IFERROR(_xlfn.XMATCH(VALUE(C587),_xlpm.r),0)),IF(_xlpm.m=0,"",_xlpm.m+1))</f>
        <v/>
      </c>
      <c r="J587" s="137" t="inlineStr">
        <is>
          <t>Odoo</t>
        </is>
      </c>
    </row>
    <row r="588">
      <c r="A588" s="5" t="inlineStr">
        <is>
          <t>Odoo Universal Unique Brands › Bodega 25 › Bodega 25/General</t>
        </is>
      </c>
      <c r="B588" s="5">
        <f>IF($I2="","",INDEX(Productos!$A:$A,$I2))</f>
        <v/>
      </c>
      <c r="C588" s="134" t="inlineStr">
        <is>
          <t>TR190G-8250TN</t>
        </is>
      </c>
      <c r="D588" s="5">
        <f>IF($I2="","",INDEX(Productos!$B:$B,$I2))</f>
        <v/>
      </c>
      <c r="E588" s="5">
        <f>IF($I2="","",INDEX(Productos!$H:$H,$I2))</f>
        <v/>
      </c>
      <c r="F588" s="5">
        <f>IF($I2="","",INDEX(Productos!$I:$I,$I2))</f>
        <v/>
      </c>
      <c r="G588" s="135" t="n">
        <v>3</v>
      </c>
      <c r="H588" s="5">
        <f>IF($I2="","",INDEX(Productos!$AG:$AG,$I2))</f>
        <v/>
      </c>
      <c r="I588" s="136">
        <f>LET(_xlpm.r,Productos!$E$2:$E$1063,_xlpm.m,IFERROR(_xlfn.XMATCH(C588,_xlpm.r),IFERROR(_xlfn.XMATCH(VALUE(C588),_xlpm.r),0)),IF(_xlpm.m=0,"",_xlpm.m+1))</f>
        <v/>
      </c>
      <c r="J588" s="137" t="inlineStr">
        <is>
          <t>Odoo</t>
        </is>
      </c>
    </row>
    <row r="589">
      <c r="A589" s="5" t="inlineStr">
        <is>
          <t>Odoo Universal Unique Brands › Bodega 25 › Bodega 25/General</t>
        </is>
      </c>
      <c r="B589" s="5">
        <f>IF($I2="","",INDEX(Productos!$A:$A,$I2))</f>
        <v/>
      </c>
      <c r="C589" s="134" t="inlineStr">
        <is>
          <t>TR192-1605BR</t>
        </is>
      </c>
      <c r="D589" s="5">
        <f>IF($I2="","",INDEX(Productos!$B:$B,$I2))</f>
        <v/>
      </c>
      <c r="E589" s="5">
        <f>IF($I2="","",INDEX(Productos!$H:$H,$I2))</f>
        <v/>
      </c>
      <c r="F589" s="5">
        <f>IF($I2="","",INDEX(Productos!$I:$I,$I2))</f>
        <v/>
      </c>
      <c r="G589" s="135" t="n">
        <v>51</v>
      </c>
      <c r="H589" s="5">
        <f>IF($I2="","",INDEX(Productos!$AG:$AG,$I2))</f>
        <v/>
      </c>
      <c r="I589" s="136">
        <f>LET(_xlpm.r,Productos!$E$2:$E$1063,_xlpm.m,IFERROR(_xlfn.XMATCH(C589,_xlpm.r),IFERROR(_xlfn.XMATCH(VALUE(C589),_xlpm.r),0)),IF(_xlpm.m=0,"",_xlpm.m+1))</f>
        <v/>
      </c>
      <c r="J589" s="137" t="inlineStr">
        <is>
          <t>Odoo</t>
        </is>
      </c>
    </row>
    <row r="590">
      <c r="A590" s="5" t="inlineStr">
        <is>
          <t>Odoo Universal Unique Brands › Bodega 25 › Bodega 25/General</t>
        </is>
      </c>
      <c r="B590" s="5">
        <f>IF($I2="","",INDEX(Productos!$A:$A,$I2))</f>
        <v/>
      </c>
      <c r="C590" s="134" t="inlineStr">
        <is>
          <t>TR192-1605JN</t>
        </is>
      </c>
      <c r="D590" s="5">
        <f>IF($I2="","",INDEX(Productos!$B:$B,$I2))</f>
        <v/>
      </c>
      <c r="E590" s="5">
        <f>IF($I2="","",INDEX(Productos!$H:$H,$I2))</f>
        <v/>
      </c>
      <c r="F590" s="5">
        <f>IF($I2="","",INDEX(Productos!$I:$I,$I2))</f>
        <v/>
      </c>
      <c r="G590" s="135" t="n">
        <v>33</v>
      </c>
      <c r="H590" s="5">
        <f>IF($I2="","",INDEX(Productos!$AG:$AG,$I2))</f>
        <v/>
      </c>
      <c r="I590" s="136">
        <f>LET(_xlpm.r,Productos!$E$2:$E$1063,_xlpm.m,IFERROR(_xlfn.XMATCH(C590,_xlpm.r),IFERROR(_xlfn.XMATCH(VALUE(C590),_xlpm.r),0)),IF(_xlpm.m=0,"",_xlpm.m+1))</f>
        <v/>
      </c>
      <c r="J590" s="137" t="inlineStr">
        <is>
          <t>Odoo</t>
        </is>
      </c>
    </row>
    <row r="591">
      <c r="A591" s="5" t="inlineStr">
        <is>
          <t>Odoo Universal Unique Brands › Bodega 25 › Bodega 25/General</t>
        </is>
      </c>
      <c r="B591" s="5">
        <f>IF($I2="","",INDEX(Productos!$A:$A,$I2))</f>
        <v/>
      </c>
      <c r="C591" s="134" t="inlineStr">
        <is>
          <t>TR192-1605LBR</t>
        </is>
      </c>
      <c r="D591" s="5">
        <f>IF($I2="","",INDEX(Productos!$B:$B,$I2))</f>
        <v/>
      </c>
      <c r="E591" s="5">
        <f>IF($I2="","",INDEX(Productos!$H:$H,$I2))</f>
        <v/>
      </c>
      <c r="F591" s="5">
        <f>IF($I2="","",INDEX(Productos!$I:$I,$I2))</f>
        <v/>
      </c>
      <c r="G591" s="135" t="n">
        <v>22</v>
      </c>
      <c r="H591" s="5">
        <f>IF($I2="","",INDEX(Productos!$AG:$AG,$I2))</f>
        <v/>
      </c>
      <c r="I591" s="136">
        <f>LET(_xlpm.r,Productos!$E$2:$E$1063,_xlpm.m,IFERROR(_xlfn.XMATCH(C591,_xlpm.r),IFERROR(_xlfn.XMATCH(VALUE(C591),_xlpm.r),0)),IF(_xlpm.m=0,"",_xlpm.m+1))</f>
        <v/>
      </c>
      <c r="J591" s="137" t="inlineStr">
        <is>
          <t>Odoo</t>
        </is>
      </c>
    </row>
    <row r="592">
      <c r="A592" s="5" t="inlineStr">
        <is>
          <t>Odoo Universal Unique Brands › Bodega 25 › Bodega 25/General</t>
        </is>
      </c>
      <c r="B592" s="5">
        <f>IF($I2="","",INDEX(Productos!$A:$A,$I2))</f>
        <v/>
      </c>
      <c r="C592" s="134" t="inlineStr">
        <is>
          <t>TR192-1605TN</t>
        </is>
      </c>
      <c r="D592" s="5">
        <f>IF($I2="","",INDEX(Productos!$B:$B,$I2))</f>
        <v/>
      </c>
      <c r="E592" s="5">
        <f>IF($I2="","",INDEX(Productos!$H:$H,$I2))</f>
        <v/>
      </c>
      <c r="F592" s="5">
        <f>IF($I2="","",INDEX(Productos!$I:$I,$I2))</f>
        <v/>
      </c>
      <c r="G592" s="135" t="n">
        <v>192</v>
      </c>
      <c r="H592" s="5">
        <f>IF($I2="","",INDEX(Productos!$AG:$AG,$I2))</f>
        <v/>
      </c>
      <c r="I592" s="136">
        <f>LET(_xlpm.r,Productos!$E$2:$E$1063,_xlpm.m,IFERROR(_xlfn.XMATCH(C592,_xlpm.r),IFERROR(_xlfn.XMATCH(VALUE(C592),_xlpm.r),0)),IF(_xlpm.m=0,"",_xlpm.m+1))</f>
        <v/>
      </c>
      <c r="J592" s="137" t="inlineStr">
        <is>
          <t>Odoo</t>
        </is>
      </c>
    </row>
    <row r="593">
      <c r="A593" s="5" t="inlineStr">
        <is>
          <t>Odoo Universal Unique Brands › Bodega 25 › Bodega 25/General</t>
        </is>
      </c>
      <c r="B593" s="5">
        <f>IF($I2="","",INDEX(Productos!$A:$A,$I2))</f>
        <v/>
      </c>
      <c r="C593" s="134" t="inlineStr">
        <is>
          <t>TR192-8800BR</t>
        </is>
      </c>
      <c r="D593" s="5">
        <f>IF($I2="","",INDEX(Productos!$B:$B,$I2))</f>
        <v/>
      </c>
      <c r="E593" s="5">
        <f>IF($I2="","",INDEX(Productos!$H:$H,$I2))</f>
        <v/>
      </c>
      <c r="F593" s="5">
        <f>IF($I2="","",INDEX(Productos!$I:$I,$I2))</f>
        <v/>
      </c>
      <c r="G593" s="135" t="n">
        <v>15</v>
      </c>
      <c r="H593" s="5">
        <f>IF($I2="","",INDEX(Productos!$AG:$AG,$I2))</f>
        <v/>
      </c>
      <c r="I593" s="136">
        <f>LET(_xlpm.r,Productos!$E$2:$E$1063,_xlpm.m,IFERROR(_xlfn.XMATCH(C593,_xlpm.r),IFERROR(_xlfn.XMATCH(VALUE(C593),_xlpm.r),0)),IF(_xlpm.m=0,"",_xlpm.m+1))</f>
        <v/>
      </c>
      <c r="J593" s="137" t="inlineStr">
        <is>
          <t>Odoo</t>
        </is>
      </c>
    </row>
    <row r="594">
      <c r="A594" s="5" t="inlineStr">
        <is>
          <t>Odoo Universal Unique Brands › Bodega 25 › Bodega 25/General</t>
        </is>
      </c>
      <c r="B594" s="5">
        <f>IF($I2="","",INDEX(Productos!$A:$A,$I2))</f>
        <v/>
      </c>
      <c r="C594" s="134" t="inlineStr">
        <is>
          <t>TR192-8800TN</t>
        </is>
      </c>
      <c r="D594" s="5">
        <f>IF($I2="","",INDEX(Productos!$B:$B,$I2))</f>
        <v/>
      </c>
      <c r="E594" s="5">
        <f>IF($I2="","",INDEX(Productos!$H:$H,$I2))</f>
        <v/>
      </c>
      <c r="F594" s="5">
        <f>IF($I2="","",INDEX(Productos!$I:$I,$I2))</f>
        <v/>
      </c>
      <c r="G594" s="135" t="n">
        <v>18</v>
      </c>
      <c r="H594" s="5">
        <f>IF($I2="","",INDEX(Productos!$AG:$AG,$I2))</f>
        <v/>
      </c>
      <c r="I594" s="136">
        <f>LET(_xlpm.r,Productos!$E$2:$E$1063,_xlpm.m,IFERROR(_xlfn.XMATCH(C594,_xlpm.r),IFERROR(_xlfn.XMATCH(VALUE(C594),_xlpm.r),0)),IF(_xlpm.m=0,"",_xlpm.m+1))</f>
        <v/>
      </c>
      <c r="J594" s="137" t="inlineStr">
        <is>
          <t>Odoo</t>
        </is>
      </c>
    </row>
    <row r="595">
      <c r="A595" s="5" t="inlineStr">
        <is>
          <t>Odoo Universal Unique Brands › Bodega 25 › Bodega 25/General</t>
        </is>
      </c>
      <c r="B595" s="5">
        <f>IF($I2="","",INDEX(Productos!$A:$A,$I2))</f>
        <v/>
      </c>
      <c r="C595" s="134" t="inlineStr">
        <is>
          <t>TR192-W002BK</t>
        </is>
      </c>
      <c r="D595" s="5">
        <f>IF($I2="","",INDEX(Productos!$B:$B,$I2))</f>
        <v/>
      </c>
      <c r="E595" s="5">
        <f>IF($I2="","",INDEX(Productos!$H:$H,$I2))</f>
        <v/>
      </c>
      <c r="F595" s="5">
        <f>IF($I2="","",INDEX(Productos!$I:$I,$I2))</f>
        <v/>
      </c>
      <c r="G595" s="135" t="n">
        <v>29</v>
      </c>
      <c r="H595" s="5">
        <f>IF($I2="","",INDEX(Productos!$AG:$AG,$I2))</f>
        <v/>
      </c>
      <c r="I595" s="136">
        <f>LET(_xlpm.r,Productos!$E$2:$E$1063,_xlpm.m,IFERROR(_xlfn.XMATCH(C595,_xlpm.r),IFERROR(_xlfn.XMATCH(VALUE(C595),_xlpm.r),0)),IF(_xlpm.m=0,"",_xlpm.m+1))</f>
        <v/>
      </c>
      <c r="J595" s="137" t="inlineStr">
        <is>
          <t>Odoo</t>
        </is>
      </c>
    </row>
    <row r="596">
      <c r="A596" s="5" t="inlineStr">
        <is>
          <t>Odoo Universal Unique Brands › Bodega 25 › Bodega 25/General</t>
        </is>
      </c>
      <c r="B596" s="5">
        <f>IF($I2="","",INDEX(Productos!$A:$A,$I2))</f>
        <v/>
      </c>
      <c r="C596" s="134" t="inlineStr">
        <is>
          <t>TR192-W002BR</t>
        </is>
      </c>
      <c r="D596" s="5">
        <f>IF($I2="","",INDEX(Productos!$B:$B,$I2))</f>
        <v/>
      </c>
      <c r="E596" s="5">
        <f>IF($I2="","",INDEX(Productos!$H:$H,$I2))</f>
        <v/>
      </c>
      <c r="F596" s="5">
        <f>IF($I2="","",INDEX(Productos!$I:$I,$I2))</f>
        <v/>
      </c>
      <c r="G596" s="135" t="n">
        <v>32</v>
      </c>
      <c r="H596" s="5">
        <f>IF($I2="","",INDEX(Productos!$AG:$AG,$I2))</f>
        <v/>
      </c>
      <c r="I596" s="136">
        <f>LET(_xlpm.r,Productos!$E$2:$E$1063,_xlpm.m,IFERROR(_xlfn.XMATCH(C596,_xlpm.r),IFERROR(_xlfn.XMATCH(VALUE(C596),_xlpm.r),0)),IF(_xlpm.m=0,"",_xlpm.m+1))</f>
        <v/>
      </c>
      <c r="J596" s="137" t="inlineStr">
        <is>
          <t>Odoo</t>
        </is>
      </c>
    </row>
    <row r="597">
      <c r="A597" s="5" t="inlineStr">
        <is>
          <t>Odoo Universal Unique Brands › Bodega 25 › Bodega 25/General</t>
        </is>
      </c>
      <c r="B597" s="5">
        <f>IF($I2="","",INDEX(Productos!$A:$A,$I2))</f>
        <v/>
      </c>
      <c r="C597" s="134" t="inlineStr">
        <is>
          <t>TR192-W002JN</t>
        </is>
      </c>
      <c r="D597" s="5">
        <f>IF($I2="","",INDEX(Productos!$B:$B,$I2))</f>
        <v/>
      </c>
      <c r="E597" s="5">
        <f>IF($I2="","",INDEX(Productos!$H:$H,$I2))</f>
        <v/>
      </c>
      <c r="F597" s="5">
        <f>IF($I2="","",INDEX(Productos!$I:$I,$I2))</f>
        <v/>
      </c>
      <c r="G597" s="135" t="n">
        <v>31</v>
      </c>
      <c r="H597" s="5">
        <f>IF($I2="","",INDEX(Productos!$AG:$AG,$I2))</f>
        <v/>
      </c>
      <c r="I597" s="136">
        <f>LET(_xlpm.r,Productos!$E$2:$E$1063,_xlpm.m,IFERROR(_xlfn.XMATCH(C597,_xlpm.r),IFERROR(_xlfn.XMATCH(VALUE(C597),_xlpm.r),0)),IF(_xlpm.m=0,"",_xlpm.m+1))</f>
        <v/>
      </c>
      <c r="J597" s="137" t="inlineStr">
        <is>
          <t>Odoo</t>
        </is>
      </c>
    </row>
    <row r="598">
      <c r="A598" s="5" t="inlineStr">
        <is>
          <t>Odoo Universal Unique Brands › Bodega 25 › Bodega 25/General</t>
        </is>
      </c>
      <c r="B598" s="5">
        <f>IF($I2="","",INDEX(Productos!$A:$A,$I2))</f>
        <v/>
      </c>
      <c r="C598" s="134" t="inlineStr">
        <is>
          <t>TR192-W002LBR</t>
        </is>
      </c>
      <c r="D598" s="5">
        <f>IF($I2="","",INDEX(Productos!$B:$B,$I2))</f>
        <v/>
      </c>
      <c r="E598" s="5">
        <f>IF($I2="","",INDEX(Productos!$H:$H,$I2))</f>
        <v/>
      </c>
      <c r="F598" s="5">
        <f>IF($I2="","",INDEX(Productos!$I:$I,$I2))</f>
        <v/>
      </c>
      <c r="G598" s="135" t="n">
        <v>33</v>
      </c>
      <c r="H598" s="5">
        <f>IF($I2="","",INDEX(Productos!$AG:$AG,$I2))</f>
        <v/>
      </c>
      <c r="I598" s="136">
        <f>LET(_xlpm.r,Productos!$E$2:$E$1063,_xlpm.m,IFERROR(_xlfn.XMATCH(C598,_xlpm.r),IFERROR(_xlfn.XMATCH(VALUE(C598),_xlpm.r),0)),IF(_xlpm.m=0,"",_xlpm.m+1))</f>
        <v/>
      </c>
      <c r="J598" s="137" t="inlineStr">
        <is>
          <t>Odoo</t>
        </is>
      </c>
    </row>
    <row r="599">
      <c r="A599" s="5" t="inlineStr">
        <is>
          <t>Odoo Universal Unique Brands › Bodega 25 › Bodega 25/General</t>
        </is>
      </c>
      <c r="B599" s="5">
        <f>IF($I2="","",INDEX(Productos!$A:$A,$I2))</f>
        <v/>
      </c>
      <c r="C599" s="134" t="inlineStr">
        <is>
          <t>TR192-W002TN</t>
        </is>
      </c>
      <c r="D599" s="5">
        <f>IF($I2="","",INDEX(Productos!$B:$B,$I2))</f>
        <v/>
      </c>
      <c r="E599" s="5">
        <f>IF($I2="","",INDEX(Productos!$H:$H,$I2))</f>
        <v/>
      </c>
      <c r="F599" s="5">
        <f>IF($I2="","",INDEX(Productos!$I:$I,$I2))</f>
        <v/>
      </c>
      <c r="G599" s="135" t="n">
        <v>28</v>
      </c>
      <c r="H599" s="5">
        <f>IF($I2="","",INDEX(Productos!$AG:$AG,$I2))</f>
        <v/>
      </c>
      <c r="I599" s="136">
        <f>LET(_xlpm.r,Productos!$E$2:$E$1063,_xlpm.m,IFERROR(_xlfn.XMATCH(C599,_xlpm.r),IFERROR(_xlfn.XMATCH(VALUE(C599),_xlpm.r),0)),IF(_xlpm.m=0,"",_xlpm.m+1))</f>
        <v/>
      </c>
      <c r="J599" s="137" t="inlineStr">
        <is>
          <t>Odoo</t>
        </is>
      </c>
    </row>
    <row r="600">
      <c r="A600" s="5" t="inlineStr">
        <is>
          <t>Odoo Universal Unique Brands › Bodega 25 › Bodega 25/General</t>
        </is>
      </c>
      <c r="B600" s="5">
        <f>IF($I2="","",INDEX(Productos!$A:$A,$I2))</f>
        <v/>
      </c>
      <c r="C600" s="134" t="inlineStr">
        <is>
          <t>TR192G-8317BK</t>
        </is>
      </c>
      <c r="D600" s="5">
        <f>IF($I2="","",INDEX(Productos!$B:$B,$I2))</f>
        <v/>
      </c>
      <c r="E600" s="5">
        <f>IF($I2="","",INDEX(Productos!$H:$H,$I2))</f>
        <v/>
      </c>
      <c r="F600" s="5">
        <f>IF($I2="","",INDEX(Productos!$I:$I,$I2))</f>
        <v/>
      </c>
      <c r="G600" s="135" t="n">
        <v>5</v>
      </c>
      <c r="H600" s="5">
        <f>IF($I2="","",INDEX(Productos!$AG:$AG,$I2))</f>
        <v/>
      </c>
      <c r="I600" s="136">
        <f>LET(_xlpm.r,Productos!$E$2:$E$1063,_xlpm.m,IFERROR(_xlfn.XMATCH(C600,_xlpm.r),IFERROR(_xlfn.XMATCH(VALUE(C600),_xlpm.r),0)),IF(_xlpm.m=0,"",_xlpm.m+1))</f>
        <v/>
      </c>
      <c r="J600" s="137" t="inlineStr">
        <is>
          <t>Odoo</t>
        </is>
      </c>
    </row>
    <row r="601">
      <c r="A601" s="5" t="inlineStr">
        <is>
          <t>Odoo Universal Unique Brands › Bodega 25 › Bodega 25/General</t>
        </is>
      </c>
      <c r="B601" s="5">
        <f>IF($I2="","",INDEX(Productos!$A:$A,$I2))</f>
        <v/>
      </c>
      <c r="C601" s="134" t="inlineStr">
        <is>
          <t>TR192G-8317BR</t>
        </is>
      </c>
      <c r="D601" s="5">
        <f>IF($I2="","",INDEX(Productos!$B:$B,$I2))</f>
        <v/>
      </c>
      <c r="E601" s="5">
        <f>IF($I2="","",INDEX(Productos!$H:$H,$I2))</f>
        <v/>
      </c>
      <c r="F601" s="5">
        <f>IF($I2="","",INDEX(Productos!$I:$I,$I2))</f>
        <v/>
      </c>
      <c r="G601" s="135" t="n">
        <v>40</v>
      </c>
      <c r="H601" s="5">
        <f>IF($I2="","",INDEX(Productos!$AG:$AG,$I2))</f>
        <v/>
      </c>
      <c r="I601" s="136">
        <f>LET(_xlpm.r,Productos!$E$2:$E$1063,_xlpm.m,IFERROR(_xlfn.XMATCH(C601,_xlpm.r),IFERROR(_xlfn.XMATCH(VALUE(C601),_xlpm.r),0)),IF(_xlpm.m=0,"",_xlpm.m+1))</f>
        <v/>
      </c>
      <c r="J601" s="137" t="inlineStr">
        <is>
          <t>Odoo</t>
        </is>
      </c>
    </row>
    <row r="602">
      <c r="A602" s="5" t="inlineStr">
        <is>
          <t>Odoo Universal Unique Brands › Bodega 25 › Bodega 25/General</t>
        </is>
      </c>
      <c r="B602" s="5">
        <f>IF($I2="","",INDEX(Productos!$A:$A,$I2))</f>
        <v/>
      </c>
      <c r="C602" s="134" t="inlineStr">
        <is>
          <t>TR192G-8317JN</t>
        </is>
      </c>
      <c r="D602" s="5">
        <f>IF($I2="","",INDEX(Productos!$B:$B,$I2))</f>
        <v/>
      </c>
      <c r="E602" s="5">
        <f>IF($I2="","",INDEX(Productos!$H:$H,$I2))</f>
        <v/>
      </c>
      <c r="F602" s="5">
        <f>IF($I2="","",INDEX(Productos!$I:$I,$I2))</f>
        <v/>
      </c>
      <c r="G602" s="135" t="n">
        <v>2</v>
      </c>
      <c r="H602" s="5">
        <f>IF($I2="","",INDEX(Productos!$AG:$AG,$I2))</f>
        <v/>
      </c>
      <c r="I602" s="136">
        <f>LET(_xlpm.r,Productos!$E$2:$E$1063,_xlpm.m,IFERROR(_xlfn.XMATCH(C602,_xlpm.r),IFERROR(_xlfn.XMATCH(VALUE(C602),_xlpm.r),0)),IF(_xlpm.m=0,"",_xlpm.m+1))</f>
        <v/>
      </c>
      <c r="J602" s="137" t="inlineStr">
        <is>
          <t>Odoo</t>
        </is>
      </c>
    </row>
    <row r="603">
      <c r="A603" s="5" t="inlineStr">
        <is>
          <t>Odoo Universal Unique Brands › Bodega 25 › Bodega 25/General</t>
        </is>
      </c>
      <c r="B603" s="5">
        <f>IF($I2="","",INDEX(Productos!$A:$A,$I2))</f>
        <v/>
      </c>
      <c r="C603" s="134" t="inlineStr">
        <is>
          <t>TR192G-8317LBR</t>
        </is>
      </c>
      <c r="D603" s="5">
        <f>IF($I2="","",INDEX(Productos!$B:$B,$I2))</f>
        <v/>
      </c>
      <c r="E603" s="5">
        <f>IF($I2="","",INDEX(Productos!$H:$H,$I2))</f>
        <v/>
      </c>
      <c r="F603" s="5">
        <f>IF($I2="","",INDEX(Productos!$I:$I,$I2))</f>
        <v/>
      </c>
      <c r="G603" s="135" t="n">
        <v>5</v>
      </c>
      <c r="H603" s="5">
        <f>IF($I2="","",INDEX(Productos!$AG:$AG,$I2))</f>
        <v/>
      </c>
      <c r="I603" s="136">
        <f>LET(_xlpm.r,Productos!$E$2:$E$1063,_xlpm.m,IFERROR(_xlfn.XMATCH(C603,_xlpm.r),IFERROR(_xlfn.XMATCH(VALUE(C603),_xlpm.r),0)),IF(_xlpm.m=0,"",_xlpm.m+1))</f>
        <v/>
      </c>
      <c r="J603" s="137" t="inlineStr">
        <is>
          <t>Odoo</t>
        </is>
      </c>
    </row>
    <row r="604">
      <c r="A604" s="5" t="inlineStr">
        <is>
          <t>Odoo Universal Unique Brands › Bodega 25 › Bodega 25/General</t>
        </is>
      </c>
      <c r="B604" s="5">
        <f>IF($I2="","",INDEX(Productos!$A:$A,$I2))</f>
        <v/>
      </c>
      <c r="C604" s="134" t="inlineStr">
        <is>
          <t>TR192G-8317TN</t>
        </is>
      </c>
      <c r="D604" s="5">
        <f>IF($I2="","",INDEX(Productos!$B:$B,$I2))</f>
        <v/>
      </c>
      <c r="E604" s="5">
        <f>IF($I2="","",INDEX(Productos!$H:$H,$I2))</f>
        <v/>
      </c>
      <c r="F604" s="5">
        <f>IF($I2="","",INDEX(Productos!$I:$I,$I2))</f>
        <v/>
      </c>
      <c r="G604" s="135" t="n">
        <v>2</v>
      </c>
      <c r="H604" s="5">
        <f>IF($I2="","",INDEX(Productos!$AG:$AG,$I2))</f>
        <v/>
      </c>
      <c r="I604" s="136">
        <f>LET(_xlpm.r,Productos!$E$2:$E$1063,_xlpm.m,IFERROR(_xlfn.XMATCH(C604,_xlpm.r),IFERROR(_xlfn.XMATCH(VALUE(C604),_xlpm.r),0)),IF(_xlpm.m=0,"",_xlpm.m+1))</f>
        <v/>
      </c>
      <c r="J604" s="137" t="inlineStr">
        <is>
          <t>Odoo</t>
        </is>
      </c>
    </row>
    <row r="605">
      <c r="A605" s="5" t="inlineStr">
        <is>
          <t>Odoo Universal Unique Brands › Bodega 25 › Bodega 25/General</t>
        </is>
      </c>
      <c r="B605" s="5">
        <f>IF($I2="","",INDEX(Productos!$A:$A,$I2))</f>
        <v/>
      </c>
      <c r="C605" s="134" t="inlineStr">
        <is>
          <t>TR192G-8322BK</t>
        </is>
      </c>
      <c r="D605" s="5">
        <f>IF($I2="","",INDEX(Productos!$B:$B,$I2))</f>
        <v/>
      </c>
      <c r="E605" s="5">
        <f>IF($I2="","",INDEX(Productos!$H:$H,$I2))</f>
        <v/>
      </c>
      <c r="F605" s="5">
        <f>IF($I2="","",INDEX(Productos!$I:$I,$I2))</f>
        <v/>
      </c>
      <c r="G605" s="135" t="n">
        <v>6</v>
      </c>
      <c r="H605" s="5">
        <f>IF($I2="","",INDEX(Productos!$AG:$AG,$I2))</f>
        <v/>
      </c>
      <c r="I605" s="136">
        <f>LET(_xlpm.r,Productos!$E$2:$E$1063,_xlpm.m,IFERROR(_xlfn.XMATCH(C605,_xlpm.r),IFERROR(_xlfn.XMATCH(VALUE(C605),_xlpm.r),0)),IF(_xlpm.m=0,"",_xlpm.m+1))</f>
        <v/>
      </c>
      <c r="J605" s="137" t="inlineStr">
        <is>
          <t>Odoo</t>
        </is>
      </c>
    </row>
    <row r="606">
      <c r="A606" s="5" t="inlineStr">
        <is>
          <t>Odoo Universal Unique Brands › Bodega 25 › Bodega 25/General</t>
        </is>
      </c>
      <c r="B606" s="5">
        <f>IF($I2="","",INDEX(Productos!$A:$A,$I2))</f>
        <v/>
      </c>
      <c r="C606" s="134" t="inlineStr">
        <is>
          <t>TR192G-8322BR</t>
        </is>
      </c>
      <c r="D606" s="5">
        <f>IF($I2="","",INDEX(Productos!$B:$B,$I2))</f>
        <v/>
      </c>
      <c r="E606" s="5">
        <f>IF($I2="","",INDEX(Productos!$H:$H,$I2))</f>
        <v/>
      </c>
      <c r="F606" s="5">
        <f>IF($I2="","",INDEX(Productos!$I:$I,$I2))</f>
        <v/>
      </c>
      <c r="G606" s="135" t="n">
        <v>1</v>
      </c>
      <c r="H606" s="5">
        <f>IF($I2="","",INDEX(Productos!$AG:$AG,$I2))</f>
        <v/>
      </c>
      <c r="I606" s="136">
        <f>LET(_xlpm.r,Productos!$E$2:$E$1063,_xlpm.m,IFERROR(_xlfn.XMATCH(C606,_xlpm.r),IFERROR(_xlfn.XMATCH(VALUE(C606),_xlpm.r),0)),IF(_xlpm.m=0,"",_xlpm.m+1))</f>
        <v/>
      </c>
      <c r="J606" s="137" t="inlineStr">
        <is>
          <t>Odoo</t>
        </is>
      </c>
    </row>
    <row r="607">
      <c r="A607" s="5" t="inlineStr">
        <is>
          <t>Odoo Universal Unique Brands › Bodega 25 › Bodega 25/General</t>
        </is>
      </c>
      <c r="B607" s="5">
        <f>IF($I2="","",INDEX(Productos!$A:$A,$I2))</f>
        <v/>
      </c>
      <c r="C607" s="134" t="inlineStr">
        <is>
          <t>TR192G-8322JN</t>
        </is>
      </c>
      <c r="D607" s="5">
        <f>IF($I2="","",INDEX(Productos!$B:$B,$I2))</f>
        <v/>
      </c>
      <c r="E607" s="5">
        <f>IF($I2="","",INDEX(Productos!$H:$H,$I2))</f>
        <v/>
      </c>
      <c r="F607" s="5">
        <f>IF($I2="","",INDEX(Productos!$I:$I,$I2))</f>
        <v/>
      </c>
      <c r="G607" s="135" t="n">
        <v>1</v>
      </c>
      <c r="H607" s="5">
        <f>IF($I2="","",INDEX(Productos!$AG:$AG,$I2))</f>
        <v/>
      </c>
      <c r="I607" s="136">
        <f>LET(_xlpm.r,Productos!$E$2:$E$1063,_xlpm.m,IFERROR(_xlfn.XMATCH(C607,_xlpm.r),IFERROR(_xlfn.XMATCH(VALUE(C607),_xlpm.r),0)),IF(_xlpm.m=0,"",_xlpm.m+1))</f>
        <v/>
      </c>
      <c r="J607" s="137" t="inlineStr">
        <is>
          <t>Odoo</t>
        </is>
      </c>
    </row>
    <row r="608">
      <c r="A608" s="5" t="inlineStr">
        <is>
          <t>Odoo Universal Unique Brands › Bodega 25 › Bodega 25/General</t>
        </is>
      </c>
      <c r="B608" s="5">
        <f>IF($I2="","",INDEX(Productos!$A:$A,$I2))</f>
        <v/>
      </c>
      <c r="C608" s="134" t="inlineStr">
        <is>
          <t>TR192G-8322LBR</t>
        </is>
      </c>
      <c r="D608" s="5">
        <f>IF($I2="","",INDEX(Productos!$B:$B,$I2))</f>
        <v/>
      </c>
      <c r="E608" s="5">
        <f>IF($I2="","",INDEX(Productos!$H:$H,$I2))</f>
        <v/>
      </c>
      <c r="F608" s="5">
        <f>IF($I2="","",INDEX(Productos!$I:$I,$I2))</f>
        <v/>
      </c>
      <c r="G608" s="135" t="n">
        <v>1</v>
      </c>
      <c r="H608" s="5">
        <f>IF($I2="","",INDEX(Productos!$AG:$AG,$I2))</f>
        <v/>
      </c>
      <c r="I608" s="136">
        <f>LET(_xlpm.r,Productos!$E$2:$E$1063,_xlpm.m,IFERROR(_xlfn.XMATCH(C608,_xlpm.r),IFERROR(_xlfn.XMATCH(VALUE(C608),_xlpm.r),0)),IF(_xlpm.m=0,"",_xlpm.m+1))</f>
        <v/>
      </c>
      <c r="J608" s="137" t="inlineStr">
        <is>
          <t>Odoo</t>
        </is>
      </c>
    </row>
    <row r="609">
      <c r="A609" s="5" t="inlineStr">
        <is>
          <t>Odoo Universal Unique Brands › Bodega 25 › Bodega 25/General</t>
        </is>
      </c>
      <c r="B609" s="5">
        <f>IF($I2="","",INDEX(Productos!$A:$A,$I2))</f>
        <v/>
      </c>
      <c r="C609" s="134" t="inlineStr">
        <is>
          <t>TR193-2102BR</t>
        </is>
      </c>
      <c r="D609" s="5">
        <f>IF($I2="","",INDEX(Productos!$B:$B,$I2))</f>
        <v/>
      </c>
      <c r="E609" s="5">
        <f>IF($I2="","",INDEX(Productos!$H:$H,$I2))</f>
        <v/>
      </c>
      <c r="F609" s="5">
        <f>IF($I2="","",INDEX(Productos!$I:$I,$I2))</f>
        <v/>
      </c>
      <c r="G609" s="135" t="n">
        <v>34</v>
      </c>
      <c r="H609" s="5">
        <f>IF($I2="","",INDEX(Productos!$AG:$AG,$I2))</f>
        <v/>
      </c>
      <c r="I609" s="136">
        <f>LET(_xlpm.r,Productos!$E$2:$E$1063,_xlpm.m,IFERROR(_xlfn.XMATCH(C609,_xlpm.r),IFERROR(_xlfn.XMATCH(VALUE(C609),_xlpm.r),0)),IF(_xlpm.m=0,"",_xlpm.m+1))</f>
        <v/>
      </c>
      <c r="J609" s="137" t="inlineStr">
        <is>
          <t>Odoo</t>
        </is>
      </c>
    </row>
    <row r="610">
      <c r="A610" s="5" t="inlineStr">
        <is>
          <t>Odoo Universal Unique Brands › Bodega 25 › Bodega 25/General</t>
        </is>
      </c>
      <c r="B610" s="5">
        <f>IF($I2="","",INDEX(Productos!$A:$A,$I2))</f>
        <v/>
      </c>
      <c r="C610" s="134" t="inlineStr">
        <is>
          <t>TR194-181BK</t>
        </is>
      </c>
      <c r="D610" s="5">
        <f>IF($I2="","",INDEX(Productos!$B:$B,$I2))</f>
        <v/>
      </c>
      <c r="E610" s="5">
        <f>IF($I2="","",INDEX(Productos!$H:$H,$I2))</f>
        <v/>
      </c>
      <c r="F610" s="5">
        <f>IF($I2="","",INDEX(Productos!$I:$I,$I2))</f>
        <v/>
      </c>
      <c r="G610" s="135" t="n">
        <v>15</v>
      </c>
      <c r="H610" s="5">
        <f>IF($I2="","",INDEX(Productos!$AG:$AG,$I2))</f>
        <v/>
      </c>
      <c r="I610" s="136">
        <f>LET(_xlpm.r,Productos!$E$2:$E$1063,_xlpm.m,IFERROR(_xlfn.XMATCH(C610,_xlpm.r),IFERROR(_xlfn.XMATCH(VALUE(C610),_xlpm.r),0)),IF(_xlpm.m=0,"",_xlpm.m+1))</f>
        <v/>
      </c>
      <c r="J610" s="137" t="inlineStr">
        <is>
          <t>Odoo</t>
        </is>
      </c>
    </row>
    <row r="611">
      <c r="A611" s="5" t="inlineStr">
        <is>
          <t>Odoo Universal Unique Brands › Bodega 25 › Bodega 25/General</t>
        </is>
      </c>
      <c r="B611" s="5">
        <f>IF($I2="","",INDEX(Productos!$A:$A,$I2))</f>
        <v/>
      </c>
      <c r="C611" s="134" t="inlineStr">
        <is>
          <t>TR194-181BR</t>
        </is>
      </c>
      <c r="D611" s="5">
        <f>IF($I2="","",INDEX(Productos!$B:$B,$I2))</f>
        <v/>
      </c>
      <c r="E611" s="5">
        <f>IF($I2="","",INDEX(Productos!$H:$H,$I2))</f>
        <v/>
      </c>
      <c r="F611" s="5">
        <f>IF($I2="","",INDEX(Productos!$I:$I,$I2))</f>
        <v/>
      </c>
      <c r="G611" s="135" t="n">
        <v>16</v>
      </c>
      <c r="H611" s="5">
        <f>IF($I2="","",INDEX(Productos!$AG:$AG,$I2))</f>
        <v/>
      </c>
      <c r="I611" s="136">
        <f>LET(_xlpm.r,Productos!$E$2:$E$1063,_xlpm.m,IFERROR(_xlfn.XMATCH(C611,_xlpm.r),IFERROR(_xlfn.XMATCH(VALUE(C611),_xlpm.r),0)),IF(_xlpm.m=0,"",_xlpm.m+1))</f>
        <v/>
      </c>
      <c r="J611" s="137" t="inlineStr">
        <is>
          <t>Odoo</t>
        </is>
      </c>
    </row>
    <row r="612">
      <c r="A612" s="5" t="inlineStr">
        <is>
          <t>Odoo Universal Unique Brands › Bodega 25 › Bodega 25/General</t>
        </is>
      </c>
      <c r="B612" s="5">
        <f>IF($I2="","",INDEX(Productos!$A:$A,$I2))</f>
        <v/>
      </c>
      <c r="C612" s="134" t="inlineStr">
        <is>
          <t>TR194-8250CF</t>
        </is>
      </c>
      <c r="D612" s="5">
        <f>IF($I2="","",INDEX(Productos!$B:$B,$I2))</f>
        <v/>
      </c>
      <c r="E612" s="5">
        <f>IF($I2="","",INDEX(Productos!$H:$H,$I2))</f>
        <v/>
      </c>
      <c r="F612" s="5">
        <f>IF($I2="","",INDEX(Productos!$I:$I,$I2))</f>
        <v/>
      </c>
      <c r="G612" s="135" t="n">
        <v>11</v>
      </c>
      <c r="H612" s="5">
        <f>IF($I2="","",INDEX(Productos!$AG:$AG,$I2))</f>
        <v/>
      </c>
      <c r="I612" s="136">
        <f>LET(_xlpm.r,Productos!$E$2:$E$1063,_xlpm.m,IFERROR(_xlfn.XMATCH(C612,_xlpm.r),IFERROR(_xlfn.XMATCH(VALUE(C612),_xlpm.r),0)),IF(_xlpm.m=0,"",_xlpm.m+1))</f>
        <v/>
      </c>
      <c r="J612" s="137" t="inlineStr">
        <is>
          <t>Odoo</t>
        </is>
      </c>
    </row>
    <row r="613">
      <c r="A613" s="5" t="inlineStr">
        <is>
          <t>Odoo Universal Unique Brands › Bodega 25 › Bodega 25/General</t>
        </is>
      </c>
      <c r="B613" s="5">
        <f>IF($I2="","",INDEX(Productos!$A:$A,$I2))</f>
        <v/>
      </c>
      <c r="C613" s="134" t="inlineStr">
        <is>
          <t>TR196-W018BR</t>
        </is>
      </c>
      <c r="D613" s="5">
        <f>IF($I2="","",INDEX(Productos!$B:$B,$I2))</f>
        <v/>
      </c>
      <c r="E613" s="5">
        <f>IF($I2="","",INDEX(Productos!$H:$H,$I2))</f>
        <v/>
      </c>
      <c r="F613" s="5">
        <f>IF($I2="","",INDEX(Productos!$I:$I,$I2))</f>
        <v/>
      </c>
      <c r="G613" s="135" t="n">
        <v>14</v>
      </c>
      <c r="H613" s="5">
        <f>IF($I2="","",INDEX(Productos!$AG:$AG,$I2))</f>
        <v/>
      </c>
      <c r="I613" s="136">
        <f>LET(_xlpm.r,Productos!$E$2:$E$1063,_xlpm.m,IFERROR(_xlfn.XMATCH(C613,_xlpm.r),IFERROR(_xlfn.XMATCH(VALUE(C613),_xlpm.r),0)),IF(_xlpm.m=0,"",_xlpm.m+1))</f>
        <v/>
      </c>
      <c r="J613" s="137" t="inlineStr">
        <is>
          <t>Odoo</t>
        </is>
      </c>
    </row>
    <row r="614">
      <c r="A614" s="5" t="inlineStr">
        <is>
          <t>Odoo Universal Unique Brands › Bodega 25 › Bodega 25/General</t>
        </is>
      </c>
      <c r="B614" s="5">
        <f>IF($I2="","",INDEX(Productos!$A:$A,$I2))</f>
        <v/>
      </c>
      <c r="C614" s="134" t="inlineStr">
        <is>
          <t>TR196-W018TQ</t>
        </is>
      </c>
      <c r="D614" s="5">
        <f>IF($I2="","",INDEX(Productos!$B:$B,$I2))</f>
        <v/>
      </c>
      <c r="E614" s="5">
        <f>IF($I2="","",INDEX(Productos!$H:$H,$I2))</f>
        <v/>
      </c>
      <c r="F614" s="5">
        <f>IF($I2="","",INDEX(Productos!$I:$I,$I2))</f>
        <v/>
      </c>
      <c r="G614" s="135" t="n">
        <v>14</v>
      </c>
      <c r="H614" s="5">
        <f>IF($I2="","",INDEX(Productos!$AG:$AG,$I2))</f>
        <v/>
      </c>
      <c r="I614" s="136">
        <f>LET(_xlpm.r,Productos!$E$2:$E$1063,_xlpm.m,IFERROR(_xlfn.XMATCH(C614,_xlpm.r),IFERROR(_xlfn.XMATCH(VALUE(C614),_xlpm.r),0)),IF(_xlpm.m=0,"",_xlpm.m+1))</f>
        <v/>
      </c>
      <c r="J614" s="137" t="inlineStr">
        <is>
          <t>Odoo</t>
        </is>
      </c>
    </row>
    <row r="615">
      <c r="A615" s="5" t="inlineStr">
        <is>
          <t>Odoo Universal Unique Brands › Bodega 25 › Bodega 25/General</t>
        </is>
      </c>
      <c r="B615" s="5">
        <f>IF($I2="","",INDEX(Productos!$A:$A,$I2))</f>
        <v/>
      </c>
      <c r="C615" s="134" t="inlineStr">
        <is>
          <t>TR199-8122BR</t>
        </is>
      </c>
      <c r="D615" s="5">
        <f>IF($I2="","",INDEX(Productos!$B:$B,$I2))</f>
        <v/>
      </c>
      <c r="E615" s="5">
        <f>IF($I2="","",INDEX(Productos!$H:$H,$I2))</f>
        <v/>
      </c>
      <c r="F615" s="5">
        <f>IF($I2="","",INDEX(Productos!$I:$I,$I2))</f>
        <v/>
      </c>
      <c r="G615" s="135" t="n">
        <v>15</v>
      </c>
      <c r="H615" s="5">
        <f>IF($I2="","",INDEX(Productos!$AG:$AG,$I2))</f>
        <v/>
      </c>
      <c r="I615" s="136">
        <f>LET(_xlpm.r,Productos!$E$2:$E$1063,_xlpm.m,IFERROR(_xlfn.XMATCH(C615,_xlpm.r),IFERROR(_xlfn.XMATCH(VALUE(C615),_xlpm.r),0)),IF(_xlpm.m=0,"",_xlpm.m+1))</f>
        <v/>
      </c>
      <c r="J615" s="137" t="inlineStr">
        <is>
          <t>Odoo</t>
        </is>
      </c>
    </row>
    <row r="616">
      <c r="A616" s="5" t="inlineStr">
        <is>
          <t>Odoo Universal Unique Brands › Bodega 25 › Bodega 25/General</t>
        </is>
      </c>
      <c r="B616" s="5">
        <f>IF($I2="","",INDEX(Productos!$A:$A,$I2))</f>
        <v/>
      </c>
      <c r="C616" s="134" t="inlineStr">
        <is>
          <t>TR199G-8250BK</t>
        </is>
      </c>
      <c r="D616" s="5">
        <f>IF($I2="","",INDEX(Productos!$B:$B,$I2))</f>
        <v/>
      </c>
      <c r="E616" s="5">
        <f>IF($I2="","",INDEX(Productos!$H:$H,$I2))</f>
        <v/>
      </c>
      <c r="F616" s="5">
        <f>IF($I2="","",INDEX(Productos!$I:$I,$I2))</f>
        <v/>
      </c>
      <c r="G616" s="135" t="n">
        <v>18</v>
      </c>
      <c r="H616" s="5">
        <f>IF($I2="","",INDEX(Productos!$AG:$AG,$I2))</f>
        <v/>
      </c>
      <c r="I616" s="136">
        <f>LET(_xlpm.r,Productos!$E$2:$E$1063,_xlpm.m,IFERROR(_xlfn.XMATCH(C616,_xlpm.r),IFERROR(_xlfn.XMATCH(VALUE(C616),_xlpm.r),0)),IF(_xlpm.m=0,"",_xlpm.m+1))</f>
        <v/>
      </c>
      <c r="J616" s="137" t="inlineStr">
        <is>
          <t>Odoo</t>
        </is>
      </c>
    </row>
    <row r="617">
      <c r="A617" s="5" t="inlineStr">
        <is>
          <t>Odoo Universal Unique Brands › Bodega 25 › Bodega 25/General</t>
        </is>
      </c>
      <c r="B617" s="5">
        <f>IF($I2="","",INDEX(Productos!$A:$A,$I2))</f>
        <v/>
      </c>
      <c r="C617" s="134" t="inlineStr">
        <is>
          <t>TR199G-8250CF</t>
        </is>
      </c>
      <c r="D617" s="5">
        <f>IF($I2="","",INDEX(Productos!$B:$B,$I2))</f>
        <v/>
      </c>
      <c r="E617" s="5">
        <f>IF($I2="","",INDEX(Productos!$H:$H,$I2))</f>
        <v/>
      </c>
      <c r="F617" s="5">
        <f>IF($I2="","",INDEX(Productos!$I:$I,$I2))</f>
        <v/>
      </c>
      <c r="G617" s="135" t="n">
        <v>18</v>
      </c>
      <c r="H617" s="5">
        <f>IF($I2="","",INDEX(Productos!$AG:$AG,$I2))</f>
        <v/>
      </c>
      <c r="I617" s="136">
        <f>LET(_xlpm.r,Productos!$E$2:$E$1063,_xlpm.m,IFERROR(_xlfn.XMATCH(C617,_xlpm.r),IFERROR(_xlfn.XMATCH(VALUE(C617),_xlpm.r),0)),IF(_xlpm.m=0,"",_xlpm.m+1))</f>
        <v/>
      </c>
      <c r="J617" s="137" t="inlineStr">
        <is>
          <t>Odoo</t>
        </is>
      </c>
    </row>
    <row r="618">
      <c r="A618" s="5" t="inlineStr">
        <is>
          <t>Odoo Universal Unique Brands › Bodega 25 › Bodega 25/General</t>
        </is>
      </c>
      <c r="B618" s="5">
        <f>IF($I2="","",INDEX(Productos!$A:$A,$I2))</f>
        <v/>
      </c>
      <c r="C618" s="134" t="inlineStr">
        <is>
          <t>TR199G-8250TN</t>
        </is>
      </c>
      <c r="D618" s="5">
        <f>IF($I2="","",INDEX(Productos!$B:$B,$I2))</f>
        <v/>
      </c>
      <c r="E618" s="5">
        <f>IF($I2="","",INDEX(Productos!$H:$H,$I2))</f>
        <v/>
      </c>
      <c r="F618" s="5">
        <f>IF($I2="","",INDEX(Productos!$I:$I,$I2))</f>
        <v/>
      </c>
      <c r="G618" s="135" t="n">
        <v>15</v>
      </c>
      <c r="H618" s="5">
        <f>IF($I2="","",INDEX(Productos!$AG:$AG,$I2))</f>
        <v/>
      </c>
      <c r="I618" s="136">
        <f>LET(_xlpm.r,Productos!$E$2:$E$1063,_xlpm.m,IFERROR(_xlfn.XMATCH(C618,_xlpm.r),IFERROR(_xlfn.XMATCH(VALUE(C618),_xlpm.r),0)),IF(_xlpm.m=0,"",_xlpm.m+1))</f>
        <v/>
      </c>
      <c r="J618" s="137" t="inlineStr">
        <is>
          <t>Odoo</t>
        </is>
      </c>
    </row>
    <row r="619">
      <c r="A619" s="5" t="inlineStr">
        <is>
          <t>Odoo Universal Unique Brands › Bodega 25 › Bodega 25/General</t>
        </is>
      </c>
      <c r="B619" s="5">
        <f>IF($I2="","",INDEX(Productos!$A:$A,$I2))</f>
        <v/>
      </c>
      <c r="C619" s="134" t="inlineStr">
        <is>
          <t>TR200-1814BR</t>
        </is>
      </c>
      <c r="D619" s="5">
        <f>IF($I2="","",INDEX(Productos!$B:$B,$I2))</f>
        <v/>
      </c>
      <c r="E619" s="5">
        <f>IF($I2="","",INDEX(Productos!$H:$H,$I2))</f>
        <v/>
      </c>
      <c r="F619" s="5">
        <f>IF($I2="","",INDEX(Productos!$I:$I,$I2))</f>
        <v/>
      </c>
      <c r="G619" s="135" t="n">
        <v>3</v>
      </c>
      <c r="H619" s="5">
        <f>IF($I2="","",INDEX(Productos!$AG:$AG,$I2))</f>
        <v/>
      </c>
      <c r="I619" s="136">
        <f>LET(_xlpm.r,Productos!$E$2:$E$1063,_xlpm.m,IFERROR(_xlfn.XMATCH(C619,_xlpm.r),IFERROR(_xlfn.XMATCH(VALUE(C619),_xlpm.r),0)),IF(_xlpm.m=0,"",_xlpm.m+1))</f>
        <v/>
      </c>
      <c r="J619" s="137" t="inlineStr">
        <is>
          <t>Odoo</t>
        </is>
      </c>
    </row>
    <row r="620">
      <c r="A620" s="5" t="inlineStr">
        <is>
          <t>Odoo Universal Unique Brands › Bodega 25 › Bodega 25/General</t>
        </is>
      </c>
      <c r="B620" s="5">
        <f>IF($I2="","",INDEX(Productos!$A:$A,$I2))</f>
        <v/>
      </c>
      <c r="C620" s="134" t="inlineStr">
        <is>
          <t>TR200-1814CF</t>
        </is>
      </c>
      <c r="D620" s="5">
        <f>IF($I2="","",INDEX(Productos!$B:$B,$I2))</f>
        <v/>
      </c>
      <c r="E620" s="5">
        <f>IF($I2="","",INDEX(Productos!$H:$H,$I2))</f>
        <v/>
      </c>
      <c r="F620" s="5">
        <f>IF($I2="","",INDEX(Productos!$I:$I,$I2))</f>
        <v/>
      </c>
      <c r="G620" s="135" t="n">
        <v>6</v>
      </c>
      <c r="H620" s="5">
        <f>IF($I2="","",INDEX(Productos!$AG:$AG,$I2))</f>
        <v/>
      </c>
      <c r="I620" s="136">
        <f>LET(_xlpm.r,Productos!$E$2:$E$1063,_xlpm.m,IFERROR(_xlfn.XMATCH(C620,_xlpm.r),IFERROR(_xlfn.XMATCH(VALUE(C620),_xlpm.r),0)),IF(_xlpm.m=0,"",_xlpm.m+1))</f>
        <v/>
      </c>
      <c r="J620" s="137" t="inlineStr">
        <is>
          <t>Odoo</t>
        </is>
      </c>
    </row>
    <row r="621">
      <c r="A621" s="5" t="inlineStr">
        <is>
          <t>Odoo Universal Unique Brands › Bodega 25 › Bodega 25/General</t>
        </is>
      </c>
      <c r="B621" s="5">
        <f>IF($I2="","",INDEX(Productos!$A:$A,$I2))</f>
        <v/>
      </c>
      <c r="C621" s="134" t="inlineStr">
        <is>
          <t>WG102-8120SBK</t>
        </is>
      </c>
      <c r="D621" s="5">
        <f>IF($I2="","",INDEX(Productos!$B:$B,$I2))</f>
        <v/>
      </c>
      <c r="E621" s="5">
        <f>IF($I2="","",INDEX(Productos!$H:$H,$I2))</f>
        <v/>
      </c>
      <c r="F621" s="5">
        <f>IF($I2="","",INDEX(Productos!$I:$I,$I2))</f>
        <v/>
      </c>
      <c r="G621" s="135" t="n">
        <v>2</v>
      </c>
      <c r="H621" s="5">
        <f>IF($I2="","",INDEX(Productos!$AG:$AG,$I2))</f>
        <v/>
      </c>
      <c r="I621" s="136">
        <f>LET(_xlpm.r,Productos!$E$2:$E$1063,_xlpm.m,IFERROR(_xlfn.XMATCH(C621,_xlpm.r),IFERROR(_xlfn.XMATCH(VALUE(C621),_xlpm.r),0)),IF(_xlpm.m=0,"",_xlpm.m+1))</f>
        <v/>
      </c>
      <c r="J621" s="137" t="inlineStr">
        <is>
          <t>Odoo</t>
        </is>
      </c>
    </row>
    <row r="622">
      <c r="A622" s="5" t="inlineStr">
        <is>
          <t>Odoo Universal Unique Brands › Bodega 25 › Bodega 25/General</t>
        </is>
      </c>
      <c r="B622" s="5">
        <f>IF($I2="","",INDEX(Productos!$A:$A,$I2))</f>
        <v/>
      </c>
      <c r="C622" s="134" t="inlineStr">
        <is>
          <t>WG102-8120SBR</t>
        </is>
      </c>
      <c r="D622" s="5">
        <f>IF($I2="","",INDEX(Productos!$B:$B,$I2))</f>
        <v/>
      </c>
      <c r="E622" s="5">
        <f>IF($I2="","",INDEX(Productos!$H:$H,$I2))</f>
        <v/>
      </c>
      <c r="F622" s="5">
        <f>IF($I2="","",INDEX(Productos!$I:$I,$I2))</f>
        <v/>
      </c>
      <c r="G622" s="135" t="n">
        <v>35</v>
      </c>
      <c r="H622" s="5">
        <f>IF($I2="","",INDEX(Productos!$AG:$AG,$I2))</f>
        <v/>
      </c>
      <c r="I622" s="136">
        <f>LET(_xlpm.r,Productos!$E$2:$E$1063,_xlpm.m,IFERROR(_xlfn.XMATCH(C622,_xlpm.r),IFERROR(_xlfn.XMATCH(VALUE(C622),_xlpm.r),0)),IF(_xlpm.m=0,"",_xlpm.m+1))</f>
        <v/>
      </c>
      <c r="J622" s="137" t="inlineStr">
        <is>
          <t>Odoo</t>
        </is>
      </c>
    </row>
    <row r="623">
      <c r="A623" s="5" t="inlineStr">
        <is>
          <t>Odoo Universal Unique Brands › Bodega 25 › Bodega 25/General</t>
        </is>
      </c>
      <c r="B623" s="5">
        <f>IF($I2="","",INDEX(Productos!$A:$A,$I2))</f>
        <v/>
      </c>
      <c r="C623" s="134" t="inlineStr">
        <is>
          <t>WG102-8120SLP</t>
        </is>
      </c>
      <c r="D623" s="5">
        <f>IF($I2="","",INDEX(Productos!$B:$B,$I2))</f>
        <v/>
      </c>
      <c r="E623" s="5">
        <f>IF($I2="","",INDEX(Productos!$H:$H,$I2))</f>
        <v/>
      </c>
      <c r="F623" s="5">
        <f>IF($I2="","",INDEX(Productos!$I:$I,$I2))</f>
        <v/>
      </c>
      <c r="G623" s="135" t="n">
        <v>20</v>
      </c>
      <c r="H623" s="5">
        <f>IF($I2="","",INDEX(Productos!$AG:$AG,$I2))</f>
        <v/>
      </c>
      <c r="I623" s="136">
        <f>LET(_xlpm.r,Productos!$E$2:$E$1063,_xlpm.m,IFERROR(_xlfn.XMATCH(C623,_xlpm.r),IFERROR(_xlfn.XMATCH(VALUE(C623),_xlpm.r),0)),IF(_xlpm.m=0,"",_xlpm.m+1))</f>
        <v/>
      </c>
      <c r="J623" s="137" t="inlineStr">
        <is>
          <t>Odoo</t>
        </is>
      </c>
    </row>
    <row r="624">
      <c r="A624" s="5" t="inlineStr">
        <is>
          <t>Odoo Universal Unique Brands › Bodega 25 › Bodega 25/General</t>
        </is>
      </c>
      <c r="B624" s="5">
        <f>IF($I2="","",INDEX(Productos!$A:$A,$I2))</f>
        <v/>
      </c>
      <c r="C624" s="134" t="inlineStr">
        <is>
          <t>WG102-8120SLPTN</t>
        </is>
      </c>
      <c r="D624" s="5">
        <f>IF($I2="","",INDEX(Productos!$B:$B,$I2))</f>
        <v/>
      </c>
      <c r="E624" s="5">
        <f>IF($I2="","",INDEX(Productos!$H:$H,$I2))</f>
        <v/>
      </c>
      <c r="F624" s="5">
        <f>IF($I2="","",INDEX(Productos!$I:$I,$I2))</f>
        <v/>
      </c>
      <c r="G624" s="135" t="n">
        <v>36</v>
      </c>
      <c r="H624" s="5">
        <f>IF($I2="","",INDEX(Productos!$AG:$AG,$I2))</f>
        <v/>
      </c>
      <c r="I624" s="136">
        <f>LET(_xlpm.r,Productos!$E$2:$E$1063,_xlpm.m,IFERROR(_xlfn.XMATCH(C624,_xlpm.r),IFERROR(_xlfn.XMATCH(VALUE(C624),_xlpm.r),0)),IF(_xlpm.m=0,"",_xlpm.m+1))</f>
        <v/>
      </c>
      <c r="J624" s="137" t="inlineStr">
        <is>
          <t>Odoo</t>
        </is>
      </c>
    </row>
    <row r="625">
      <c r="A625" s="5" t="inlineStr">
        <is>
          <t>Odoo Universal Unique Brands › Bodega 25 › Bodega 25/General</t>
        </is>
      </c>
      <c r="B625" s="5">
        <f>IF($I2="","",INDEX(Productos!$A:$A,$I2))</f>
        <v/>
      </c>
      <c r="C625" s="134" t="inlineStr">
        <is>
          <t>WG102-8120SPK</t>
        </is>
      </c>
      <c r="D625" s="5">
        <f>IF($I2="","",INDEX(Productos!$B:$B,$I2))</f>
        <v/>
      </c>
      <c r="E625" s="5">
        <f>IF($I2="","",INDEX(Productos!$H:$H,$I2))</f>
        <v/>
      </c>
      <c r="F625" s="5">
        <f>IF($I2="","",INDEX(Productos!$I:$I,$I2))</f>
        <v/>
      </c>
      <c r="G625" s="135" t="n">
        <v>8</v>
      </c>
      <c r="H625" s="5">
        <f>IF($I2="","",INDEX(Productos!$AG:$AG,$I2))</f>
        <v/>
      </c>
      <c r="I625" s="136">
        <f>LET(_xlpm.r,Productos!$E$2:$E$1063,_xlpm.m,IFERROR(_xlfn.XMATCH(C625,_xlpm.r),IFERROR(_xlfn.XMATCH(VALUE(C625),_xlpm.r),0)),IF(_xlpm.m=0,"",_xlpm.m+1))</f>
        <v/>
      </c>
      <c r="J625" s="137" t="inlineStr">
        <is>
          <t>Odoo</t>
        </is>
      </c>
    </row>
    <row r="626">
      <c r="A626" s="5" t="inlineStr">
        <is>
          <t>Odoo Universal Unique Brands › Bodega 25 › Bodega 25/General</t>
        </is>
      </c>
      <c r="B626" s="5">
        <f>IF($I2="","",INDEX(Productos!$A:$A,$I2))</f>
        <v/>
      </c>
      <c r="C626" s="134" t="inlineStr">
        <is>
          <t>WG102-8120STN</t>
        </is>
      </c>
      <c r="D626" s="5">
        <f>IF($I2="","",INDEX(Productos!$B:$B,$I2))</f>
        <v/>
      </c>
      <c r="E626" s="5">
        <f>IF($I2="","",INDEX(Productos!$H:$H,$I2))</f>
        <v/>
      </c>
      <c r="F626" s="5">
        <f>IF($I2="","",INDEX(Productos!$I:$I,$I2))</f>
        <v/>
      </c>
      <c r="G626" s="135" t="n">
        <v>46</v>
      </c>
      <c r="H626" s="5">
        <f>IF($I2="","",INDEX(Productos!$AG:$AG,$I2))</f>
        <v/>
      </c>
      <c r="I626" s="136">
        <f>LET(_xlpm.r,Productos!$E$2:$E$1063,_xlpm.m,IFERROR(_xlfn.XMATCH(C626,_xlpm.r),IFERROR(_xlfn.XMATCH(VALUE(C626),_xlpm.r),0)),IF(_xlpm.m=0,"",_xlpm.m+1))</f>
        <v/>
      </c>
      <c r="J626" s="137" t="inlineStr">
        <is>
          <t>Odoo</t>
        </is>
      </c>
    </row>
    <row r="627">
      <c r="A627" s="5" t="inlineStr">
        <is>
          <t>Odoo Universal Unique Brands › Bodega 25 › Bodega 25/General</t>
        </is>
      </c>
      <c r="B627" s="5">
        <f>IF($I2="","",INDEX(Productos!$A:$A,$I2))</f>
        <v/>
      </c>
      <c r="C627" s="134" t="inlineStr">
        <is>
          <t>WG102-8600BK</t>
        </is>
      </c>
      <c r="D627" s="5">
        <f>IF($I2="","",INDEX(Productos!$B:$B,$I2))</f>
        <v/>
      </c>
      <c r="E627" s="5">
        <f>IF($I2="","",INDEX(Productos!$H:$H,$I2))</f>
        <v/>
      </c>
      <c r="F627" s="5">
        <f>IF($I2="","",INDEX(Productos!$I:$I,$I2))</f>
        <v/>
      </c>
      <c r="G627" s="135" t="n">
        <v>8</v>
      </c>
      <c r="H627" s="5">
        <f>IF($I2="","",INDEX(Productos!$AG:$AG,$I2))</f>
        <v/>
      </c>
      <c r="I627" s="136">
        <f>LET(_xlpm.r,Productos!$E$2:$E$1063,_xlpm.m,IFERROR(_xlfn.XMATCH(C627,_xlpm.r),IFERROR(_xlfn.XMATCH(VALUE(C627),_xlpm.r),0)),IF(_xlpm.m=0,"",_xlpm.m+1))</f>
        <v/>
      </c>
      <c r="J627" s="137" t="inlineStr">
        <is>
          <t>Odoo</t>
        </is>
      </c>
    </row>
    <row r="628">
      <c r="A628" s="5" t="inlineStr">
        <is>
          <t>Odoo Universal Unique Brands › Bodega 25 › Bodega 25/General</t>
        </is>
      </c>
      <c r="B628" s="5">
        <f>IF($I2="","",INDEX(Productos!$A:$A,$I2))</f>
        <v/>
      </c>
      <c r="C628" s="134" t="inlineStr">
        <is>
          <t>WG102-8600PK</t>
        </is>
      </c>
      <c r="D628" s="5">
        <f>IF($I2="","",INDEX(Productos!$B:$B,$I2))</f>
        <v/>
      </c>
      <c r="E628" s="5">
        <f>IF($I2="","",INDEX(Productos!$H:$H,$I2))</f>
        <v/>
      </c>
      <c r="F628" s="5">
        <f>IF($I2="","",INDEX(Productos!$I:$I,$I2))</f>
        <v/>
      </c>
      <c r="G628" s="135" t="n">
        <v>3</v>
      </c>
      <c r="H628" s="5">
        <f>IF($I2="","",INDEX(Productos!$AG:$AG,$I2))</f>
        <v/>
      </c>
      <c r="I628" s="136">
        <f>LET(_xlpm.r,Productos!$E$2:$E$1063,_xlpm.m,IFERROR(_xlfn.XMATCH(C628,_xlpm.r),IFERROR(_xlfn.XMATCH(VALUE(C628),_xlpm.r),0)),IF(_xlpm.m=0,"",_xlpm.m+1))</f>
        <v/>
      </c>
      <c r="J628" s="137" t="inlineStr">
        <is>
          <t>Odoo</t>
        </is>
      </c>
    </row>
    <row r="629">
      <c r="A629" s="5" t="inlineStr">
        <is>
          <t>Odoo Universal Unique Brands › Bodega 25 › Bodega 25/General</t>
        </is>
      </c>
      <c r="B629" s="5">
        <f>IF($I2="","",INDEX(Productos!$A:$A,$I2))</f>
        <v/>
      </c>
      <c r="C629" s="134" t="inlineStr">
        <is>
          <t>WG102-8603BK</t>
        </is>
      </c>
      <c r="D629" s="5">
        <f>IF($I2="","",INDEX(Productos!$B:$B,$I2))</f>
        <v/>
      </c>
      <c r="E629" s="5">
        <f>IF($I2="","",INDEX(Productos!$H:$H,$I2))</f>
        <v/>
      </c>
      <c r="F629" s="5">
        <f>IF($I2="","",INDEX(Productos!$I:$I,$I2))</f>
        <v/>
      </c>
      <c r="G629" s="135" t="n">
        <v>35</v>
      </c>
      <c r="H629" s="5">
        <f>IF($I2="","",INDEX(Productos!$AG:$AG,$I2))</f>
        <v/>
      </c>
      <c r="I629" s="136">
        <f>LET(_xlpm.r,Productos!$E$2:$E$1063,_xlpm.m,IFERROR(_xlfn.XMATCH(C629,_xlpm.r),IFERROR(_xlfn.XMATCH(VALUE(C629),_xlpm.r),0)),IF(_xlpm.m=0,"",_xlpm.m+1))</f>
        <v/>
      </c>
      <c r="J629" s="137" t="inlineStr">
        <is>
          <t>Odoo</t>
        </is>
      </c>
    </row>
    <row r="630">
      <c r="A630" s="5" t="inlineStr">
        <is>
          <t>Odoo Universal Unique Brands › Bodega 25 › Bodega 25/General</t>
        </is>
      </c>
      <c r="B630" s="5">
        <f>IF($I2="","",INDEX(Productos!$A:$A,$I2))</f>
        <v/>
      </c>
      <c r="C630" s="134" t="inlineStr">
        <is>
          <t>WG102-8603BR</t>
        </is>
      </c>
      <c r="D630" s="5">
        <f>IF($I2="","",INDEX(Productos!$B:$B,$I2))</f>
        <v/>
      </c>
      <c r="E630" s="5">
        <f>IF($I2="","",INDEX(Productos!$H:$H,$I2))</f>
        <v/>
      </c>
      <c r="F630" s="5">
        <f>IF($I2="","",INDEX(Productos!$I:$I,$I2))</f>
        <v/>
      </c>
      <c r="G630" s="135" t="n">
        <v>6</v>
      </c>
      <c r="H630" s="5">
        <f>IF($I2="","",INDEX(Productos!$AG:$AG,$I2))</f>
        <v/>
      </c>
      <c r="I630" s="136">
        <f>LET(_xlpm.r,Productos!$E$2:$E$1063,_xlpm.m,IFERROR(_xlfn.XMATCH(C630,_xlpm.r),IFERROR(_xlfn.XMATCH(VALUE(C630),_xlpm.r),0)),IF(_xlpm.m=0,"",_xlpm.m+1))</f>
        <v/>
      </c>
      <c r="J630" s="137" t="inlineStr">
        <is>
          <t>Odoo</t>
        </is>
      </c>
    </row>
    <row r="631">
      <c r="A631" s="5" t="inlineStr">
        <is>
          <t>Odoo Universal Unique Brands › Bodega 25 › Bodega 25/General</t>
        </is>
      </c>
      <c r="B631" s="5">
        <f>IF($I2="","",INDEX(Productos!$A:$A,$I2))</f>
        <v/>
      </c>
      <c r="C631" s="134" t="inlineStr">
        <is>
          <t>WG102-8603PK</t>
        </is>
      </c>
      <c r="D631" s="5">
        <f>IF($I2="","",INDEX(Productos!$B:$B,$I2))</f>
        <v/>
      </c>
      <c r="E631" s="5">
        <f>IF($I2="","",INDEX(Productos!$H:$H,$I2))</f>
        <v/>
      </c>
      <c r="F631" s="5">
        <f>IF($I2="","",INDEX(Productos!$I:$I,$I2))</f>
        <v/>
      </c>
      <c r="G631" s="135" t="n">
        <v>20</v>
      </c>
      <c r="H631" s="5">
        <f>IF($I2="","",INDEX(Productos!$AG:$AG,$I2))</f>
        <v/>
      </c>
      <c r="I631" s="136">
        <f>LET(_xlpm.r,Productos!$E$2:$E$1063,_xlpm.m,IFERROR(_xlfn.XMATCH(C631,_xlpm.r),IFERROR(_xlfn.XMATCH(VALUE(C631),_xlpm.r),0)),IF(_xlpm.m=0,"",_xlpm.m+1))</f>
        <v/>
      </c>
      <c r="J631" s="137" t="inlineStr">
        <is>
          <t>Odoo</t>
        </is>
      </c>
    </row>
    <row r="632">
      <c r="A632" s="5" t="inlineStr">
        <is>
          <t>Odoo Universal Unique Brands › Bodega 25 › Bodega 25/General</t>
        </is>
      </c>
      <c r="B632" s="5">
        <f>IF($I2="","",INDEX(Productos!$A:$A,$I2))</f>
        <v/>
      </c>
      <c r="C632" s="134" t="inlineStr">
        <is>
          <t>WG102-W006LP-BR</t>
        </is>
      </c>
      <c r="D632" s="5">
        <f>IF($I2="","",INDEX(Productos!$B:$B,$I2))</f>
        <v/>
      </c>
      <c r="E632" s="5">
        <f>IF($I2="","",INDEX(Productos!$H:$H,$I2))</f>
        <v/>
      </c>
      <c r="F632" s="5">
        <f>IF($I2="","",INDEX(Productos!$I:$I,$I2))</f>
        <v/>
      </c>
      <c r="G632" s="135" t="n">
        <v>2</v>
      </c>
      <c r="H632" s="5">
        <f>IF($I2="","",INDEX(Productos!$AG:$AG,$I2))</f>
        <v/>
      </c>
      <c r="I632" s="136">
        <f>LET(_xlpm.r,Productos!$E$2:$E$1063,_xlpm.m,IFERROR(_xlfn.XMATCH(C632,_xlpm.r),IFERROR(_xlfn.XMATCH(VALUE(C632),_xlpm.r),0)),IF(_xlpm.m=0,"",_xlpm.m+1))</f>
        <v/>
      </c>
      <c r="J632" s="137" t="inlineStr">
        <is>
          <t>Odoo</t>
        </is>
      </c>
    </row>
    <row r="633">
      <c r="A633" s="5" t="inlineStr">
        <is>
          <t>Odoo Universal Unique Brands › Bodega 25 › Bodega 25/General</t>
        </is>
      </c>
      <c r="B633" s="5">
        <f>IF($I2="","",INDEX(Productos!$A:$A,$I2))</f>
        <v/>
      </c>
      <c r="C633" s="134" t="inlineStr">
        <is>
          <t>WG102-W006PK</t>
        </is>
      </c>
      <c r="D633" s="5">
        <f>IF($I2="","",INDEX(Productos!$B:$B,$I2))</f>
        <v/>
      </c>
      <c r="E633" s="5">
        <f>IF($I2="","",INDEX(Productos!$H:$H,$I2))</f>
        <v/>
      </c>
      <c r="F633" s="5">
        <f>IF($I2="","",INDEX(Productos!$I:$I,$I2))</f>
        <v/>
      </c>
      <c r="G633" s="135" t="n">
        <v>3</v>
      </c>
      <c r="H633" s="5">
        <f>IF($I2="","",INDEX(Productos!$AG:$AG,$I2))</f>
        <v/>
      </c>
      <c r="I633" s="136">
        <f>LET(_xlpm.r,Productos!$E$2:$E$1063,_xlpm.m,IFERROR(_xlfn.XMATCH(C633,_xlpm.r),IFERROR(_xlfn.XMATCH(VALUE(C633),_xlpm.r),0)),IF(_xlpm.m=0,"",_xlpm.m+1))</f>
        <v/>
      </c>
      <c r="J633" s="137" t="inlineStr">
        <is>
          <t>Odoo</t>
        </is>
      </c>
    </row>
    <row r="634">
      <c r="A634" s="5" t="inlineStr">
        <is>
          <t>Odoo Universal Unique Brands › Bodega 25 › Bodega 25/General</t>
        </is>
      </c>
      <c r="B634" s="5">
        <f>IF($I2="","",INDEX(Productos!$A:$A,$I2))</f>
        <v/>
      </c>
      <c r="C634" s="134" t="inlineStr">
        <is>
          <t>WG102G-8119BDY</t>
        </is>
      </c>
      <c r="D634" s="5">
        <f>IF($I2="","",INDEX(Productos!$B:$B,$I2))</f>
        <v/>
      </c>
      <c r="E634" s="5">
        <f>IF($I2="","",INDEX(Productos!$H:$H,$I2))</f>
        <v/>
      </c>
      <c r="F634" s="5">
        <f>IF($I2="","",INDEX(Productos!$I:$I,$I2))</f>
        <v/>
      </c>
      <c r="G634" s="135" t="n">
        <v>22</v>
      </c>
      <c r="H634" s="5">
        <f>IF($I2="","",INDEX(Productos!$AG:$AG,$I2))</f>
        <v/>
      </c>
      <c r="I634" s="136">
        <f>LET(_xlpm.r,Productos!$E$2:$E$1063,_xlpm.m,IFERROR(_xlfn.XMATCH(C634,_xlpm.r),IFERROR(_xlfn.XMATCH(VALUE(C634),_xlpm.r),0)),IF(_xlpm.m=0,"",_xlpm.m+1))</f>
        <v/>
      </c>
      <c r="J634" s="137" t="inlineStr">
        <is>
          <t>Odoo</t>
        </is>
      </c>
    </row>
    <row r="635">
      <c r="A635" s="5" t="inlineStr">
        <is>
          <t>Odoo Universal Unique Brands › Bodega 25 › Bodega 25/General</t>
        </is>
      </c>
      <c r="B635" s="5">
        <f>IF($I2="","",INDEX(Productos!$A:$A,$I2))</f>
        <v/>
      </c>
      <c r="C635" s="134" t="inlineStr">
        <is>
          <t>WG102G-8119BR</t>
        </is>
      </c>
      <c r="D635" s="5">
        <f>IF($I2="","",INDEX(Productos!$B:$B,$I2))</f>
        <v/>
      </c>
      <c r="E635" s="5">
        <f>IF($I2="","",INDEX(Productos!$H:$H,$I2))</f>
        <v/>
      </c>
      <c r="F635" s="5">
        <f>IF($I2="","",INDEX(Productos!$I:$I,$I2))</f>
        <v/>
      </c>
      <c r="G635" s="135" t="n">
        <v>18</v>
      </c>
      <c r="H635" s="5">
        <f>IF($I2="","",INDEX(Productos!$AG:$AG,$I2))</f>
        <v/>
      </c>
      <c r="I635" s="136">
        <f>LET(_xlpm.r,Productos!$E$2:$E$1063,_xlpm.m,IFERROR(_xlfn.XMATCH(C635,_xlpm.r),IFERROR(_xlfn.XMATCH(VALUE(C635),_xlpm.r),0)),IF(_xlpm.m=0,"",_xlpm.m+1))</f>
        <v/>
      </c>
      <c r="J635" s="137" t="inlineStr">
        <is>
          <t>Odoo</t>
        </is>
      </c>
    </row>
    <row r="636">
      <c r="A636" s="5" t="inlineStr">
        <is>
          <t>Odoo Universal Unique Brands › Bodega 25 › Bodega 25/General</t>
        </is>
      </c>
      <c r="B636" s="5">
        <f>IF($I2="","",INDEX(Productos!$A:$A,$I2))</f>
        <v/>
      </c>
      <c r="C636" s="134" t="inlineStr">
        <is>
          <t>WG120-209BK</t>
        </is>
      </c>
      <c r="D636" s="5">
        <f>IF($I2="","",INDEX(Productos!$B:$B,$I2))</f>
        <v/>
      </c>
      <c r="E636" s="5">
        <f>IF($I2="","",INDEX(Productos!$H:$H,$I2))</f>
        <v/>
      </c>
      <c r="F636" s="5">
        <f>IF($I2="","",INDEX(Productos!$I:$I,$I2))</f>
        <v/>
      </c>
      <c r="G636" s="135" t="n">
        <v>50</v>
      </c>
      <c r="H636" s="5">
        <f>IF($I2="","",INDEX(Productos!$AG:$AG,$I2))</f>
        <v/>
      </c>
      <c r="I636" s="136">
        <f>LET(_xlpm.r,Productos!$E$2:$E$1063,_xlpm.m,IFERROR(_xlfn.XMATCH(C636,_xlpm.r),IFERROR(_xlfn.XMATCH(VALUE(C636),_xlpm.r),0)),IF(_xlpm.m=0,"",_xlpm.m+1))</f>
        <v/>
      </c>
      <c r="J636" s="137" t="inlineStr">
        <is>
          <t>Odoo</t>
        </is>
      </c>
    </row>
    <row r="637">
      <c r="A637" s="5" t="inlineStr">
        <is>
          <t>Odoo Universal Unique Brands › Bodega 25 › Bodega 25/General</t>
        </is>
      </c>
      <c r="B637" s="5">
        <f>IF($I2="","",INDEX(Productos!$A:$A,$I2))</f>
        <v/>
      </c>
      <c r="C637" s="134" t="inlineStr">
        <is>
          <t>WG120-209BR</t>
        </is>
      </c>
      <c r="D637" s="5">
        <f>IF($I2="","",INDEX(Productos!$B:$B,$I2))</f>
        <v/>
      </c>
      <c r="E637" s="5">
        <f>IF($I2="","",INDEX(Productos!$H:$H,$I2))</f>
        <v/>
      </c>
      <c r="F637" s="5">
        <f>IF($I2="","",INDEX(Productos!$I:$I,$I2))</f>
        <v/>
      </c>
      <c r="G637" s="135" t="n">
        <v>6</v>
      </c>
      <c r="H637" s="5">
        <f>IF($I2="","",INDEX(Productos!$AG:$AG,$I2))</f>
        <v/>
      </c>
      <c r="I637" s="136">
        <f>LET(_xlpm.r,Productos!$E$2:$E$1063,_xlpm.m,IFERROR(_xlfn.XMATCH(C637,_xlpm.r),IFERROR(_xlfn.XMATCH(VALUE(C637),_xlpm.r),0)),IF(_xlpm.m=0,"",_xlpm.m+1))</f>
        <v/>
      </c>
      <c r="J637" s="137" t="inlineStr">
        <is>
          <t>Odoo</t>
        </is>
      </c>
    </row>
    <row r="638">
      <c r="A638" s="5" t="inlineStr">
        <is>
          <t>Odoo Universal Unique Brands › Bodega 25 › Bodega 25/General</t>
        </is>
      </c>
      <c r="B638" s="5">
        <f>IF($I2="","",INDEX(Productos!$A:$A,$I2))</f>
        <v/>
      </c>
      <c r="C638" s="134" t="inlineStr">
        <is>
          <t>WG120-209CF</t>
        </is>
      </c>
      <c r="D638" s="5">
        <f>IF($I2="","",INDEX(Productos!$B:$B,$I2))</f>
        <v/>
      </c>
      <c r="E638" s="5">
        <f>IF($I2="","",INDEX(Productos!$H:$H,$I2))</f>
        <v/>
      </c>
      <c r="F638" s="5">
        <f>IF($I2="","",INDEX(Productos!$I:$I,$I2))</f>
        <v/>
      </c>
      <c r="G638" s="135" t="n">
        <v>48</v>
      </c>
      <c r="H638" s="5">
        <f>IF($I2="","",INDEX(Productos!$AG:$AG,$I2))</f>
        <v/>
      </c>
      <c r="I638" s="136">
        <f>LET(_xlpm.r,Productos!$E$2:$E$1063,_xlpm.m,IFERROR(_xlfn.XMATCH(C638,_xlpm.r),IFERROR(_xlfn.XMATCH(VALUE(C638),_xlpm.r),0)),IF(_xlpm.m=0,"",_xlpm.m+1))</f>
        <v/>
      </c>
      <c r="J638" s="137" t="inlineStr">
        <is>
          <t>Odoo</t>
        </is>
      </c>
    </row>
    <row r="639">
      <c r="A639" s="5" t="inlineStr">
        <is>
          <t>Odoo Universal Unique Brands › Bodega 25 › Bodega 25/General</t>
        </is>
      </c>
      <c r="B639" s="5">
        <f>IF($I2="","",INDEX(Productos!$A:$A,$I2))</f>
        <v/>
      </c>
      <c r="C639" s="134" t="inlineStr">
        <is>
          <t>WG120-209KH</t>
        </is>
      </c>
      <c r="D639" s="5">
        <f>IF($I2="","",INDEX(Productos!$B:$B,$I2))</f>
        <v/>
      </c>
      <c r="E639" s="5">
        <f>IF($I2="","",INDEX(Productos!$H:$H,$I2))</f>
        <v/>
      </c>
      <c r="F639" s="5">
        <f>IF($I2="","",INDEX(Productos!$I:$I,$I2))</f>
        <v/>
      </c>
      <c r="G639" s="135" t="n">
        <v>16</v>
      </c>
      <c r="H639" s="5">
        <f>IF($I2="","",INDEX(Productos!$AG:$AG,$I2))</f>
        <v/>
      </c>
      <c r="I639" s="136">
        <f>LET(_xlpm.r,Productos!$E$2:$E$1063,_xlpm.m,IFERROR(_xlfn.XMATCH(C639,_xlpm.r),IFERROR(_xlfn.XMATCH(VALUE(C639),_xlpm.r),0)),IF(_xlpm.m=0,"",_xlpm.m+1))</f>
        <v/>
      </c>
      <c r="J639" s="137" t="inlineStr">
        <is>
          <t>Odoo</t>
        </is>
      </c>
    </row>
    <row r="640">
      <c r="A640" s="5" t="inlineStr">
        <is>
          <t>Odoo Universal Unique Brands › Bodega 25 › Bodega 25/General</t>
        </is>
      </c>
      <c r="B640" s="5">
        <f>IF($I2="","",INDEX(Productos!$A:$A,$I2))</f>
        <v/>
      </c>
      <c r="C640" s="134" t="inlineStr">
        <is>
          <t>WG120-209RD</t>
        </is>
      </c>
      <c r="D640" s="5">
        <f>IF($I2="","",INDEX(Productos!$B:$B,$I2))</f>
        <v/>
      </c>
      <c r="E640" s="5">
        <f>IF($I2="","",INDEX(Productos!$H:$H,$I2))</f>
        <v/>
      </c>
      <c r="F640" s="5">
        <f>IF($I2="","",INDEX(Productos!$I:$I,$I2))</f>
        <v/>
      </c>
      <c r="G640" s="135" t="n">
        <v>3</v>
      </c>
      <c r="H640" s="5">
        <f>IF($I2="","",INDEX(Productos!$AG:$AG,$I2))</f>
        <v/>
      </c>
      <c r="I640" s="136">
        <f>LET(_xlpm.r,Productos!$E$2:$E$1063,_xlpm.m,IFERROR(_xlfn.XMATCH(C640,_xlpm.r),IFERROR(_xlfn.XMATCH(VALUE(C640),_xlpm.r),0)),IF(_xlpm.m=0,"",_xlpm.m+1))</f>
        <v/>
      </c>
      <c r="J640" s="137" t="inlineStr">
        <is>
          <t>Odoo</t>
        </is>
      </c>
    </row>
    <row r="641">
      <c r="A641" s="5" t="inlineStr">
        <is>
          <t>Odoo Universal Unique Brands › Bodega 25 › Bodega 25/General</t>
        </is>
      </c>
      <c r="B641" s="5">
        <f>IF($I2="","",INDEX(Productos!$A:$A,$I2))</f>
        <v/>
      </c>
      <c r="C641" s="134" t="inlineStr">
        <is>
          <t>WG120-209ΚΗ</t>
        </is>
      </c>
      <c r="D641" s="5">
        <f>IF($I2="","",INDEX(Productos!$B:$B,$I2))</f>
        <v/>
      </c>
      <c r="E641" s="5">
        <f>IF($I2="","",INDEX(Productos!$H:$H,$I2))</f>
        <v/>
      </c>
      <c r="F641" s="5">
        <f>IF($I2="","",INDEX(Productos!$I:$I,$I2))</f>
        <v/>
      </c>
      <c r="G641" s="135" t="n">
        <v>6</v>
      </c>
      <c r="H641" s="5">
        <f>IF($I2="","",INDEX(Productos!$AG:$AG,$I2))</f>
        <v/>
      </c>
      <c r="I641" s="136">
        <f>LET(_xlpm.r,Productos!$E$2:$E$1063,_xlpm.m,IFERROR(_xlfn.XMATCH(C641,_xlpm.r),IFERROR(_xlfn.XMATCH(VALUE(C641),_xlpm.r),0)),IF(_xlpm.m=0,"",_xlpm.m+1))</f>
        <v/>
      </c>
      <c r="J641" s="137" t="inlineStr">
        <is>
          <t>Odoo</t>
        </is>
      </c>
    </row>
    <row r="642">
      <c r="A642" s="5" t="inlineStr">
        <is>
          <t>Odoo Universal Unique Brands › Bodega 25 › Bodega 25/General</t>
        </is>
      </c>
      <c r="B642" s="5">
        <f>IF($I2="","",INDEX(Productos!$A:$A,$I2))</f>
        <v/>
      </c>
      <c r="C642" s="134" t="inlineStr">
        <is>
          <t>WG130-3003GN</t>
        </is>
      </c>
      <c r="D642" s="5">
        <f>IF($I2="","",INDEX(Productos!$B:$B,$I2))</f>
        <v/>
      </c>
      <c r="E642" s="5">
        <f>IF($I2="","",INDEX(Productos!$H:$H,$I2))</f>
        <v/>
      </c>
      <c r="F642" s="5">
        <f>IF($I2="","",INDEX(Productos!$I:$I,$I2))</f>
        <v/>
      </c>
      <c r="G642" s="135" t="n">
        <v>2</v>
      </c>
      <c r="H642" s="5">
        <f>IF($I2="","",INDEX(Productos!$AG:$AG,$I2))</f>
        <v/>
      </c>
      <c r="I642" s="136">
        <f>LET(_xlpm.r,Productos!$E$2:$E$1063,_xlpm.m,IFERROR(_xlfn.XMATCH(C642,_xlpm.r),IFERROR(_xlfn.XMATCH(VALUE(C642),_xlpm.r),0)),IF(_xlpm.m=0,"",_xlpm.m+1))</f>
        <v/>
      </c>
      <c r="J642" s="137" t="inlineStr">
        <is>
          <t>Odoo</t>
        </is>
      </c>
    </row>
    <row r="643">
      <c r="A643" s="5" t="inlineStr">
        <is>
          <t>Odoo Universal Unique Brands › Bodega 25 › Bodega 25/General</t>
        </is>
      </c>
      <c r="B643" s="5">
        <f>IF($I2="","",INDEX(Productos!$A:$A,$I2))</f>
        <v/>
      </c>
      <c r="C643" s="134" t="inlineStr">
        <is>
          <t>WG130-3003LBR</t>
        </is>
      </c>
      <c r="D643" s="5">
        <f>IF($I2="","",INDEX(Productos!$B:$B,$I2))</f>
        <v/>
      </c>
      <c r="E643" s="5">
        <f>IF($I2="","",INDEX(Productos!$H:$H,$I2))</f>
        <v/>
      </c>
      <c r="F643" s="5">
        <f>IF($I2="","",INDEX(Productos!$I:$I,$I2))</f>
        <v/>
      </c>
      <c r="G643" s="135" t="n">
        <v>1</v>
      </c>
      <c r="H643" s="5">
        <f>IF($I2="","",INDEX(Productos!$AG:$AG,$I2))</f>
        <v/>
      </c>
      <c r="I643" s="136">
        <f>LET(_xlpm.r,Productos!$E$2:$E$1063,_xlpm.m,IFERROR(_xlfn.XMATCH(C643,_xlpm.r),IFERROR(_xlfn.XMATCH(VALUE(C643),_xlpm.r),0)),IF(_xlpm.m=0,"",_xlpm.m+1))</f>
        <v/>
      </c>
      <c r="J643" s="137" t="inlineStr">
        <is>
          <t>Odoo</t>
        </is>
      </c>
    </row>
    <row r="644">
      <c r="A644" s="5" t="inlineStr">
        <is>
          <t>Odoo Universal Unique Brands › Bodega 25 › Bodega 25/General</t>
        </is>
      </c>
      <c r="B644" s="5">
        <f>IF($I2="","",INDEX(Productos!$A:$A,$I2))</f>
        <v/>
      </c>
      <c r="C644" s="134" t="inlineStr">
        <is>
          <t>WG130-3003LV</t>
        </is>
      </c>
      <c r="D644" s="5">
        <f>IF($I2="","",INDEX(Productos!$B:$B,$I2))</f>
        <v/>
      </c>
      <c r="E644" s="5">
        <f>IF($I2="","",INDEX(Productos!$H:$H,$I2))</f>
        <v/>
      </c>
      <c r="F644" s="5">
        <f>IF($I2="","",INDEX(Productos!$I:$I,$I2))</f>
        <v/>
      </c>
      <c r="G644" s="135" t="n">
        <v>26</v>
      </c>
      <c r="H644" s="5">
        <f>IF($I2="","",INDEX(Productos!$AG:$AG,$I2))</f>
        <v/>
      </c>
      <c r="I644" s="136">
        <f>LET(_xlpm.r,Productos!$E$2:$E$1063,_xlpm.m,IFERROR(_xlfn.XMATCH(C644,_xlpm.r),IFERROR(_xlfn.XMATCH(VALUE(C644),_xlpm.r),0)),IF(_xlpm.m=0,"",_xlpm.m+1))</f>
        <v/>
      </c>
      <c r="J644" s="137" t="inlineStr">
        <is>
          <t>Odoo</t>
        </is>
      </c>
    </row>
    <row r="645">
      <c r="A645" s="5" t="inlineStr">
        <is>
          <t>Odoo Universal Unique Brands › Bodega 25 › Bodega 25/General</t>
        </is>
      </c>
      <c r="B645" s="5">
        <f>IF($I2="","",INDEX(Productos!$A:$A,$I2))</f>
        <v/>
      </c>
      <c r="C645" s="134" t="inlineStr">
        <is>
          <t>WG133-194BK</t>
        </is>
      </c>
      <c r="D645" s="5">
        <f>IF($I2="","",INDEX(Productos!$B:$B,$I2))</f>
        <v/>
      </c>
      <c r="E645" s="5">
        <f>IF($I2="","",INDEX(Productos!$H:$H,$I2))</f>
        <v/>
      </c>
      <c r="F645" s="5">
        <f>IF($I2="","",INDEX(Productos!$I:$I,$I2))</f>
        <v/>
      </c>
      <c r="G645" s="135" t="n">
        <v>22</v>
      </c>
      <c r="H645" s="5">
        <f>IF($I2="","",INDEX(Productos!$AG:$AG,$I2))</f>
        <v/>
      </c>
      <c r="I645" s="136">
        <f>LET(_xlpm.r,Productos!$E$2:$E$1063,_xlpm.m,IFERROR(_xlfn.XMATCH(C645,_xlpm.r),IFERROR(_xlfn.XMATCH(VALUE(C645),_xlpm.r),0)),IF(_xlpm.m=0,"",_xlpm.m+1))</f>
        <v/>
      </c>
      <c r="J645" s="137" t="inlineStr">
        <is>
          <t>Odoo</t>
        </is>
      </c>
    </row>
    <row r="646">
      <c r="A646" s="5" t="inlineStr">
        <is>
          <t>Odoo Universal Unique Brands › Bodega 25 › Bodega 25/General</t>
        </is>
      </c>
      <c r="B646" s="5">
        <f>IF($I2="","",INDEX(Productos!$A:$A,$I2))</f>
        <v/>
      </c>
      <c r="C646" s="134" t="inlineStr">
        <is>
          <t>WG133-194BR</t>
        </is>
      </c>
      <c r="D646" s="5">
        <f>IF($I2="","",INDEX(Productos!$B:$B,$I2))</f>
        <v/>
      </c>
      <c r="E646" s="5">
        <f>IF($I2="","",INDEX(Productos!$H:$H,$I2))</f>
        <v/>
      </c>
      <c r="F646" s="5">
        <f>IF($I2="","",INDEX(Productos!$I:$I,$I2))</f>
        <v/>
      </c>
      <c r="G646" s="135" t="n">
        <v>26</v>
      </c>
      <c r="H646" s="5">
        <f>IF($I2="","",INDEX(Productos!$AG:$AG,$I2))</f>
        <v/>
      </c>
      <c r="I646" s="136">
        <f>LET(_xlpm.r,Productos!$E$2:$E$1063,_xlpm.m,IFERROR(_xlfn.XMATCH(C646,_xlpm.r),IFERROR(_xlfn.XMATCH(VALUE(C646),_xlpm.r),0)),IF(_xlpm.m=0,"",_xlpm.m+1))</f>
        <v/>
      </c>
      <c r="J646" s="137" t="inlineStr">
        <is>
          <t>Odoo</t>
        </is>
      </c>
    </row>
    <row r="647">
      <c r="A647" s="5" t="inlineStr">
        <is>
          <t>Odoo Universal Unique Brands › Bodega 25 › Bodega 25/General</t>
        </is>
      </c>
      <c r="B647" s="5">
        <f>IF($I2="","",INDEX(Productos!$A:$A,$I2))</f>
        <v/>
      </c>
      <c r="C647" s="134" t="inlineStr">
        <is>
          <t>WG133-3003BR</t>
        </is>
      </c>
      <c r="D647" s="5">
        <f>IF($I2="","",INDEX(Productos!$B:$B,$I2))</f>
        <v/>
      </c>
      <c r="E647" s="5">
        <f>IF($I2="","",INDEX(Productos!$H:$H,$I2))</f>
        <v/>
      </c>
      <c r="F647" s="5">
        <f>IF($I2="","",INDEX(Productos!$I:$I,$I2))</f>
        <v/>
      </c>
      <c r="G647" s="135" t="n">
        <v>22</v>
      </c>
      <c r="H647" s="5">
        <f>IF($I2="","",INDEX(Productos!$AG:$AG,$I2))</f>
        <v/>
      </c>
      <c r="I647" s="136">
        <f>LET(_xlpm.r,Productos!$E$2:$E$1063,_xlpm.m,IFERROR(_xlfn.XMATCH(C647,_xlpm.r),IFERROR(_xlfn.XMATCH(VALUE(C647),_xlpm.r),0)),IF(_xlpm.m=0,"",_xlpm.m+1))</f>
        <v/>
      </c>
      <c r="J647" s="137" t="inlineStr">
        <is>
          <t>Odoo</t>
        </is>
      </c>
    </row>
    <row r="648">
      <c r="A648" s="5" t="inlineStr">
        <is>
          <t>Odoo Universal Unique Brands › Bodega 25 › Bodega 25/General</t>
        </is>
      </c>
      <c r="B648" s="5">
        <f>IF($I2="","",INDEX(Productos!$A:$A,$I2))</f>
        <v/>
      </c>
      <c r="C648" s="134" t="inlineStr">
        <is>
          <t>WG133-8120SBK</t>
        </is>
      </c>
      <c r="D648" s="5">
        <f>IF($I2="","",INDEX(Productos!$B:$B,$I2))</f>
        <v/>
      </c>
      <c r="E648" s="5">
        <f>IF($I2="","",INDEX(Productos!$H:$H,$I2))</f>
        <v/>
      </c>
      <c r="F648" s="5">
        <f>IF($I2="","",INDEX(Productos!$I:$I,$I2))</f>
        <v/>
      </c>
      <c r="G648" s="135" t="n">
        <v>425</v>
      </c>
      <c r="H648" s="5">
        <f>IF($I2="","",INDEX(Productos!$AG:$AG,$I2))</f>
        <v/>
      </c>
      <c r="I648" s="136">
        <f>LET(_xlpm.r,Productos!$E$2:$E$1063,_xlpm.m,IFERROR(_xlfn.XMATCH(C648,_xlpm.r),IFERROR(_xlfn.XMATCH(VALUE(C648),_xlpm.r),0)),IF(_xlpm.m=0,"",_xlpm.m+1))</f>
        <v/>
      </c>
      <c r="J648" s="137" t="inlineStr">
        <is>
          <t>Odoo</t>
        </is>
      </c>
    </row>
    <row r="649">
      <c r="A649" s="5" t="inlineStr">
        <is>
          <t>Odoo Universal Unique Brands › Bodega 25 › Bodega 25/General</t>
        </is>
      </c>
      <c r="B649" s="5">
        <f>IF($I2="","",INDEX(Productos!$A:$A,$I2))</f>
        <v/>
      </c>
      <c r="C649" s="134" t="inlineStr">
        <is>
          <t>WG133-8120SBR</t>
        </is>
      </c>
      <c r="D649" s="5">
        <f>IF($I2="","",INDEX(Productos!$B:$B,$I2))</f>
        <v/>
      </c>
      <c r="E649" s="5">
        <f>IF($I2="","",INDEX(Productos!$H:$H,$I2))</f>
        <v/>
      </c>
      <c r="F649" s="5">
        <f>IF($I2="","",INDEX(Productos!$I:$I,$I2))</f>
        <v/>
      </c>
      <c r="G649" s="135" t="n">
        <v>87</v>
      </c>
      <c r="H649" s="5">
        <f>IF($I2="","",INDEX(Productos!$AG:$AG,$I2))</f>
        <v/>
      </c>
      <c r="I649" s="136">
        <f>LET(_xlpm.r,Productos!$E$2:$E$1063,_xlpm.m,IFERROR(_xlfn.XMATCH(C649,_xlpm.r),IFERROR(_xlfn.XMATCH(VALUE(C649),_xlpm.r),0)),IF(_xlpm.m=0,"",_xlpm.m+1))</f>
        <v/>
      </c>
      <c r="J649" s="137" t="inlineStr">
        <is>
          <t>Odoo</t>
        </is>
      </c>
    </row>
    <row r="650">
      <c r="A650" s="5" t="inlineStr">
        <is>
          <t>Odoo Universal Unique Brands › Bodega 25 › Bodega 25/General</t>
        </is>
      </c>
      <c r="B650" s="5">
        <f>IF($I2="","",INDEX(Productos!$A:$A,$I2))</f>
        <v/>
      </c>
      <c r="C650" s="134" t="inlineStr">
        <is>
          <t>WG133-8120SPK</t>
        </is>
      </c>
      <c r="D650" s="5">
        <f>IF($I2="","",INDEX(Productos!$B:$B,$I2))</f>
        <v/>
      </c>
      <c r="E650" s="5">
        <f>IF($I2="","",INDEX(Productos!$H:$H,$I2))</f>
        <v/>
      </c>
      <c r="F650" s="5">
        <f>IF($I2="","",INDEX(Productos!$I:$I,$I2))</f>
        <v/>
      </c>
      <c r="G650" s="135" t="n">
        <v>8</v>
      </c>
      <c r="H650" s="5">
        <f>IF($I2="","",INDEX(Productos!$AG:$AG,$I2))</f>
        <v/>
      </c>
      <c r="I650" s="136">
        <f>LET(_xlpm.r,Productos!$E$2:$E$1063,_xlpm.m,IFERROR(_xlfn.XMATCH(C650,_xlpm.r),IFERROR(_xlfn.XMATCH(VALUE(C650),_xlpm.r),0)),IF(_xlpm.m=0,"",_xlpm.m+1))</f>
        <v/>
      </c>
      <c r="J650" s="137" t="inlineStr">
        <is>
          <t>Odoo</t>
        </is>
      </c>
    </row>
    <row r="651">
      <c r="A651" s="5" t="inlineStr">
        <is>
          <t>Odoo Universal Unique Brands › Bodega 25 › Bodega 25/General</t>
        </is>
      </c>
      <c r="B651" s="5">
        <f>IF($I2="","",INDEX(Productos!$A:$A,$I2))</f>
        <v/>
      </c>
      <c r="C651" s="134" t="inlineStr">
        <is>
          <t>WG133-8600BK</t>
        </is>
      </c>
      <c r="D651" s="5">
        <f>IF($I2="","",INDEX(Productos!$B:$B,$I2))</f>
        <v/>
      </c>
      <c r="E651" s="5">
        <f>IF($I2="","",INDEX(Productos!$H:$H,$I2))</f>
        <v/>
      </c>
      <c r="F651" s="5">
        <f>IF($I2="","",INDEX(Productos!$I:$I,$I2))</f>
        <v/>
      </c>
      <c r="G651" s="135" t="n">
        <v>32</v>
      </c>
      <c r="H651" s="5">
        <f>IF($I2="","",INDEX(Productos!$AG:$AG,$I2))</f>
        <v/>
      </c>
      <c r="I651" s="136">
        <f>LET(_xlpm.r,Productos!$E$2:$E$1063,_xlpm.m,IFERROR(_xlfn.XMATCH(C651,_xlpm.r),IFERROR(_xlfn.XMATCH(VALUE(C651),_xlpm.r),0)),IF(_xlpm.m=0,"",_xlpm.m+1))</f>
        <v/>
      </c>
      <c r="J651" s="137" t="inlineStr">
        <is>
          <t>Odoo</t>
        </is>
      </c>
    </row>
    <row r="652">
      <c r="A652" s="5" t="inlineStr">
        <is>
          <t>Odoo Universal Unique Brands › Bodega 25 › Bodega 25/General</t>
        </is>
      </c>
      <c r="B652" s="5">
        <f>IF($I2="","",INDEX(Productos!$A:$A,$I2))</f>
        <v/>
      </c>
      <c r="C652" s="134" t="inlineStr">
        <is>
          <t>WG133-8600PK</t>
        </is>
      </c>
      <c r="D652" s="5">
        <f>IF($I2="","",INDEX(Productos!$B:$B,$I2))</f>
        <v/>
      </c>
      <c r="E652" s="5">
        <f>IF($I2="","",INDEX(Productos!$H:$H,$I2))</f>
        <v/>
      </c>
      <c r="F652" s="5">
        <f>IF($I2="","",INDEX(Productos!$I:$I,$I2))</f>
        <v/>
      </c>
      <c r="G652" s="135" t="n">
        <v>10</v>
      </c>
      <c r="H652" s="5">
        <f>IF($I2="","",INDEX(Productos!$AG:$AG,$I2))</f>
        <v/>
      </c>
      <c r="I652" s="136">
        <f>LET(_xlpm.r,Productos!$E$2:$E$1063,_xlpm.m,IFERROR(_xlfn.XMATCH(C652,_xlpm.r),IFERROR(_xlfn.XMATCH(VALUE(C652),_xlpm.r),0)),IF(_xlpm.m=0,"",_xlpm.m+1))</f>
        <v/>
      </c>
      <c r="J652" s="137" t="inlineStr">
        <is>
          <t>Odoo</t>
        </is>
      </c>
    </row>
    <row r="653">
      <c r="A653" s="5" t="inlineStr">
        <is>
          <t>Odoo Universal Unique Brands › Bodega 25 › Bodega 25/General</t>
        </is>
      </c>
      <c r="B653" s="5">
        <f>IF($I2="","",INDEX(Productos!$A:$A,$I2))</f>
        <v/>
      </c>
      <c r="C653" s="134" t="inlineStr">
        <is>
          <t>WG133-8603BK</t>
        </is>
      </c>
      <c r="D653" s="5">
        <f>IF($I2="","",INDEX(Productos!$B:$B,$I2))</f>
        <v/>
      </c>
      <c r="E653" s="5">
        <f>IF($I2="","",INDEX(Productos!$H:$H,$I2))</f>
        <v/>
      </c>
      <c r="F653" s="5">
        <f>IF($I2="","",INDEX(Productos!$I:$I,$I2))</f>
        <v/>
      </c>
      <c r="G653" s="135" t="n">
        <v>6</v>
      </c>
      <c r="H653" s="5">
        <f>IF($I2="","",INDEX(Productos!$AG:$AG,$I2))</f>
        <v/>
      </c>
      <c r="I653" s="136">
        <f>LET(_xlpm.r,Productos!$E$2:$E$1063,_xlpm.m,IFERROR(_xlfn.XMATCH(C653,_xlpm.r),IFERROR(_xlfn.XMATCH(VALUE(C653),_xlpm.r),0)),IF(_xlpm.m=0,"",_xlpm.m+1))</f>
        <v/>
      </c>
      <c r="J653" s="137" t="inlineStr">
        <is>
          <t>Odoo</t>
        </is>
      </c>
    </row>
    <row r="654">
      <c r="A654" s="5" t="inlineStr">
        <is>
          <t>Odoo Universal Unique Brands › Bodega 25 › Bodega 25/General</t>
        </is>
      </c>
      <c r="B654" s="5">
        <f>IF($I2="","",INDEX(Productos!$A:$A,$I2))</f>
        <v/>
      </c>
      <c r="C654" s="134" t="inlineStr">
        <is>
          <t>WG133-8603BR</t>
        </is>
      </c>
      <c r="D654" s="5">
        <f>IF($I2="","",INDEX(Productos!$B:$B,$I2))</f>
        <v/>
      </c>
      <c r="E654" s="5">
        <f>IF($I2="","",INDEX(Productos!$H:$H,$I2))</f>
        <v/>
      </c>
      <c r="F654" s="5">
        <f>IF($I2="","",INDEX(Productos!$I:$I,$I2))</f>
        <v/>
      </c>
      <c r="G654" s="135" t="n">
        <v>22</v>
      </c>
      <c r="H654" s="5">
        <f>IF($I2="","",INDEX(Productos!$AG:$AG,$I2))</f>
        <v/>
      </c>
      <c r="I654" s="136">
        <f>LET(_xlpm.r,Productos!$E$2:$E$1063,_xlpm.m,IFERROR(_xlfn.XMATCH(C654,_xlpm.r),IFERROR(_xlfn.XMATCH(VALUE(C654),_xlpm.r),0)),IF(_xlpm.m=0,"",_xlpm.m+1))</f>
        <v/>
      </c>
      <c r="J654" s="137" t="inlineStr">
        <is>
          <t>Odoo</t>
        </is>
      </c>
    </row>
    <row r="655">
      <c r="A655" s="5" t="inlineStr">
        <is>
          <t>Odoo Universal Unique Brands › Bodega 25 › Bodega 25/General</t>
        </is>
      </c>
      <c r="B655" s="5">
        <f>IF($I2="","",INDEX(Productos!$A:$A,$I2))</f>
        <v/>
      </c>
      <c r="C655" s="134" t="inlineStr">
        <is>
          <t>WG133-8603PK</t>
        </is>
      </c>
      <c r="D655" s="5">
        <f>IF($I2="","",INDEX(Productos!$B:$B,$I2))</f>
        <v/>
      </c>
      <c r="E655" s="5">
        <f>IF($I2="","",INDEX(Productos!$H:$H,$I2))</f>
        <v/>
      </c>
      <c r="F655" s="5">
        <f>IF($I2="","",INDEX(Productos!$I:$I,$I2))</f>
        <v/>
      </c>
      <c r="G655" s="135" t="n">
        <v>6</v>
      </c>
      <c r="H655" s="5">
        <f>IF($I2="","",INDEX(Productos!$AG:$AG,$I2))</f>
        <v/>
      </c>
      <c r="I655" s="136">
        <f>LET(_xlpm.r,Productos!$E$2:$E$1063,_xlpm.m,IFERROR(_xlfn.XMATCH(C655,_xlpm.r),IFERROR(_xlfn.XMATCH(VALUE(C655),_xlpm.r),0)),IF(_xlpm.m=0,"",_xlpm.m+1))</f>
        <v/>
      </c>
      <c r="J655" s="137" t="inlineStr">
        <is>
          <t>Odoo</t>
        </is>
      </c>
    </row>
    <row r="656">
      <c r="A656" s="5" t="inlineStr">
        <is>
          <t>Odoo Universal Unique Brands › Bodega 25 › Bodega 25/General</t>
        </is>
      </c>
      <c r="B656" s="5">
        <f>IF($I2="","",INDEX(Productos!$A:$A,$I2))</f>
        <v/>
      </c>
      <c r="C656" s="134" t="inlineStr">
        <is>
          <t>WG133-W005BK</t>
        </is>
      </c>
      <c r="D656" s="5">
        <f>IF($I2="","",INDEX(Productos!$B:$B,$I2))</f>
        <v/>
      </c>
      <c r="E656" s="5">
        <f>IF($I2="","",INDEX(Productos!$H:$H,$I2))</f>
        <v/>
      </c>
      <c r="F656" s="5">
        <f>IF($I2="","",INDEX(Productos!$I:$I,$I2))</f>
        <v/>
      </c>
      <c r="G656" s="135" t="n">
        <v>35</v>
      </c>
      <c r="H656" s="5">
        <f>IF($I2="","",INDEX(Productos!$AG:$AG,$I2))</f>
        <v/>
      </c>
      <c r="I656" s="136">
        <f>LET(_xlpm.r,Productos!$E$2:$E$1063,_xlpm.m,IFERROR(_xlfn.XMATCH(C656,_xlpm.r),IFERROR(_xlfn.XMATCH(VALUE(C656),_xlpm.r),0)),IF(_xlpm.m=0,"",_xlpm.m+1))</f>
        <v/>
      </c>
      <c r="J656" s="137" t="inlineStr">
        <is>
          <t>Odoo</t>
        </is>
      </c>
    </row>
    <row r="657">
      <c r="A657" s="5" t="inlineStr">
        <is>
          <t>Odoo Universal Unique Brands › Bodega 25 › Bodega 25/General</t>
        </is>
      </c>
      <c r="B657" s="5">
        <f>IF($I2="","",INDEX(Productos!$A:$A,$I2))</f>
        <v/>
      </c>
      <c r="C657" s="134" t="inlineStr">
        <is>
          <t>WG133-W005BR</t>
        </is>
      </c>
      <c r="D657" s="5">
        <f>IF($I2="","",INDEX(Productos!$B:$B,$I2))</f>
        <v/>
      </c>
      <c r="E657" s="5">
        <f>IF($I2="","",INDEX(Productos!$H:$H,$I2))</f>
        <v/>
      </c>
      <c r="F657" s="5">
        <f>IF($I2="","",INDEX(Productos!$I:$I,$I2))</f>
        <v/>
      </c>
      <c r="G657" s="135" t="n">
        <v>87</v>
      </c>
      <c r="H657" s="5">
        <f>IF($I2="","",INDEX(Productos!$AG:$AG,$I2))</f>
        <v/>
      </c>
      <c r="I657" s="136">
        <f>LET(_xlpm.r,Productos!$E$2:$E$1063,_xlpm.m,IFERROR(_xlfn.XMATCH(C657,_xlpm.r),IFERROR(_xlfn.XMATCH(VALUE(C657),_xlpm.r),0)),IF(_xlpm.m=0,"",_xlpm.m+1))</f>
        <v/>
      </c>
      <c r="J657" s="137" t="inlineStr">
        <is>
          <t>Odoo</t>
        </is>
      </c>
    </row>
    <row r="658">
      <c r="A658" s="5" t="inlineStr">
        <is>
          <t>Odoo Universal Unique Brands › Bodega 25 › Bodega 25/General</t>
        </is>
      </c>
      <c r="B658" s="5">
        <f>IF($I2="","",INDEX(Productos!$A:$A,$I2))</f>
        <v/>
      </c>
      <c r="C658" s="134" t="inlineStr">
        <is>
          <t>WG133-W005PK</t>
        </is>
      </c>
      <c r="D658" s="5">
        <f>IF($I2="","",INDEX(Productos!$B:$B,$I2))</f>
        <v/>
      </c>
      <c r="E658" s="5">
        <f>IF($I2="","",INDEX(Productos!$H:$H,$I2))</f>
        <v/>
      </c>
      <c r="F658" s="5">
        <f>IF($I2="","",INDEX(Productos!$I:$I,$I2))</f>
        <v/>
      </c>
      <c r="G658" s="135" t="n">
        <v>31</v>
      </c>
      <c r="H658" s="5">
        <f>IF($I2="","",INDEX(Productos!$AG:$AG,$I2))</f>
        <v/>
      </c>
      <c r="I658" s="136">
        <f>LET(_xlpm.r,Productos!$E$2:$E$1063,_xlpm.m,IFERROR(_xlfn.XMATCH(C658,_xlpm.r),IFERROR(_xlfn.XMATCH(VALUE(C658),_xlpm.r),0)),IF(_xlpm.m=0,"",_xlpm.m+1))</f>
        <v/>
      </c>
      <c r="J658" s="137" t="inlineStr">
        <is>
          <t>Odoo</t>
        </is>
      </c>
    </row>
    <row r="659">
      <c r="A659" s="5" t="inlineStr">
        <is>
          <t>Odoo Universal Unique Brands › Bodega 25 › Bodega 25/General</t>
        </is>
      </c>
      <c r="B659" s="5">
        <f>IF($I2="","",INDEX(Productos!$A:$A,$I2))</f>
        <v/>
      </c>
      <c r="C659" s="134" t="inlineStr">
        <is>
          <t>WG137-W0092BDY</t>
        </is>
      </c>
      <c r="D659" s="5">
        <f>IF($I2="","",INDEX(Productos!$B:$B,$I2))</f>
        <v/>
      </c>
      <c r="E659" s="5">
        <f>IF($I2="","",INDEX(Productos!$H:$H,$I2))</f>
        <v/>
      </c>
      <c r="F659" s="5">
        <f>IF($I2="","",INDEX(Productos!$I:$I,$I2))</f>
        <v/>
      </c>
      <c r="G659" s="135" t="n">
        <v>37</v>
      </c>
      <c r="H659" s="5">
        <f>IF($I2="","",INDEX(Productos!$AG:$AG,$I2))</f>
        <v/>
      </c>
      <c r="I659" s="136">
        <f>LET(_xlpm.r,Productos!$E$2:$E$1063,_xlpm.m,IFERROR(_xlfn.XMATCH(C659,_xlpm.r),IFERROR(_xlfn.XMATCH(VALUE(C659),_xlpm.r),0)),IF(_xlpm.m=0,"",_xlpm.m+1))</f>
        <v/>
      </c>
      <c r="J659" s="137" t="inlineStr">
        <is>
          <t>Odoo</t>
        </is>
      </c>
    </row>
    <row r="660">
      <c r="A660" s="5" t="inlineStr">
        <is>
          <t>Odoo Universal Unique Brands › Bodega 25 › Bodega 25/General</t>
        </is>
      </c>
      <c r="B660" s="5">
        <f>IF($I2="","",INDEX(Productos!$A:$A,$I2))</f>
        <v/>
      </c>
      <c r="C660" s="134" t="inlineStr">
        <is>
          <t>WG137-W0092BK</t>
        </is>
      </c>
      <c r="D660" s="5">
        <f>IF($I2="","",INDEX(Productos!$B:$B,$I2))</f>
        <v/>
      </c>
      <c r="E660" s="5">
        <f>IF($I2="","",INDEX(Productos!$H:$H,$I2))</f>
        <v/>
      </c>
      <c r="F660" s="5">
        <f>IF($I2="","",INDEX(Productos!$I:$I,$I2))</f>
        <v/>
      </c>
      <c r="G660" s="135" t="n">
        <v>94</v>
      </c>
      <c r="H660" s="5">
        <f>IF($I2="","",INDEX(Productos!$AG:$AG,$I2))</f>
        <v/>
      </c>
      <c r="I660" s="136">
        <f>LET(_xlpm.r,Productos!$E$2:$E$1063,_xlpm.m,IFERROR(_xlfn.XMATCH(C660,_xlpm.r),IFERROR(_xlfn.XMATCH(VALUE(C660),_xlpm.r),0)),IF(_xlpm.m=0,"",_xlpm.m+1))</f>
        <v/>
      </c>
      <c r="J660" s="137" t="inlineStr">
        <is>
          <t>Odoo</t>
        </is>
      </c>
    </row>
    <row r="661">
      <c r="A661" s="5" t="inlineStr">
        <is>
          <t>Odoo Universal Unique Brands › Bodega 25 › Bodega 25/General</t>
        </is>
      </c>
      <c r="B661" s="5">
        <f>IF($I2="","",INDEX(Productos!$A:$A,$I2))</f>
        <v/>
      </c>
      <c r="C661" s="134" t="inlineStr">
        <is>
          <t>WG137-W0092KH</t>
        </is>
      </c>
      <c r="D661" s="5">
        <f>IF($I2="","",INDEX(Productos!$B:$B,$I2))</f>
        <v/>
      </c>
      <c r="E661" s="5">
        <f>IF($I2="","",INDEX(Productos!$H:$H,$I2))</f>
        <v/>
      </c>
      <c r="F661" s="5">
        <f>IF($I2="","",INDEX(Productos!$I:$I,$I2))</f>
        <v/>
      </c>
      <c r="G661" s="135" t="n">
        <v>26</v>
      </c>
      <c r="H661" s="5">
        <f>IF($I2="","",INDEX(Productos!$AG:$AG,$I2))</f>
        <v/>
      </c>
      <c r="I661" s="136">
        <f>LET(_xlpm.r,Productos!$E$2:$E$1063,_xlpm.m,IFERROR(_xlfn.XMATCH(C661,_xlpm.r),IFERROR(_xlfn.XMATCH(VALUE(C661),_xlpm.r),0)),IF(_xlpm.m=0,"",_xlpm.m+1))</f>
        <v/>
      </c>
      <c r="J661" s="137" t="inlineStr">
        <is>
          <t>Odoo</t>
        </is>
      </c>
    </row>
    <row r="662">
      <c r="A662" s="5" t="inlineStr">
        <is>
          <t>Odoo Universal Unique Brands › Bodega 25 › Bodega 25/General</t>
        </is>
      </c>
      <c r="B662" s="5">
        <f>IF($I2="","",INDEX(Productos!$A:$A,$I2))</f>
        <v/>
      </c>
      <c r="C662" s="134" t="inlineStr">
        <is>
          <t>WG137-W0092LP-BK</t>
        </is>
      </c>
      <c r="D662" s="5">
        <f>IF($I2="","",INDEX(Productos!$B:$B,$I2))</f>
        <v/>
      </c>
      <c r="E662" s="5">
        <f>IF($I2="","",INDEX(Productos!$H:$H,$I2))</f>
        <v/>
      </c>
      <c r="F662" s="5">
        <f>IF($I2="","",INDEX(Productos!$I:$I,$I2))</f>
        <v/>
      </c>
      <c r="G662" s="135" t="n">
        <v>25</v>
      </c>
      <c r="H662" s="5">
        <f>IF($I2="","",INDEX(Productos!$AG:$AG,$I2))</f>
        <v/>
      </c>
      <c r="I662" s="136">
        <f>LET(_xlpm.r,Productos!$E$2:$E$1063,_xlpm.m,IFERROR(_xlfn.XMATCH(C662,_xlpm.r),IFERROR(_xlfn.XMATCH(VALUE(C662),_xlpm.r),0)),IF(_xlpm.m=0,"",_xlpm.m+1))</f>
        <v/>
      </c>
      <c r="J662" s="137" t="inlineStr">
        <is>
          <t>Odoo</t>
        </is>
      </c>
    </row>
    <row r="663">
      <c r="A663" s="5" t="inlineStr">
        <is>
          <t>Odoo Universal Unique Brands › Bodega 25 › Bodega 25/General</t>
        </is>
      </c>
      <c r="B663" s="5">
        <f>IF($I2="","",INDEX(Productos!$A:$A,$I2))</f>
        <v/>
      </c>
      <c r="C663" s="134" t="inlineStr">
        <is>
          <t>WG137-W0092PK</t>
        </is>
      </c>
      <c r="D663" s="5">
        <f>IF($I2="","",INDEX(Productos!$B:$B,$I2))</f>
        <v/>
      </c>
      <c r="E663" s="5">
        <f>IF($I2="","",INDEX(Productos!$H:$H,$I2))</f>
        <v/>
      </c>
      <c r="F663" s="5">
        <f>IF($I2="","",INDEX(Productos!$I:$I,$I2))</f>
        <v/>
      </c>
      <c r="G663" s="135" t="n">
        <v>18</v>
      </c>
      <c r="H663" s="5">
        <f>IF($I2="","",INDEX(Productos!$AG:$AG,$I2))</f>
        <v/>
      </c>
      <c r="I663" s="136">
        <f>LET(_xlpm.r,Productos!$E$2:$E$1063,_xlpm.m,IFERROR(_xlfn.XMATCH(C663,_xlpm.r),IFERROR(_xlfn.XMATCH(VALUE(C663),_xlpm.r),0)),IF(_xlpm.m=0,"",_xlpm.m+1))</f>
        <v/>
      </c>
      <c r="J663" s="137" t="inlineStr">
        <is>
          <t>Odoo</t>
        </is>
      </c>
    </row>
    <row r="664">
      <c r="A664" s="5" t="inlineStr">
        <is>
          <t>Odoo Universal Unique Brands › Bodega 25 › Bodega 25/General</t>
        </is>
      </c>
      <c r="B664" s="5">
        <f>IF($I2="","",INDEX(Productos!$A:$A,$I2))</f>
        <v/>
      </c>
      <c r="C664" s="134" t="inlineStr">
        <is>
          <t>WG137-W0092PP</t>
        </is>
      </c>
      <c r="D664" s="5">
        <f>IF($I2="","",INDEX(Productos!$B:$B,$I2))</f>
        <v/>
      </c>
      <c r="E664" s="5">
        <f>IF($I2="","",INDEX(Productos!$H:$H,$I2))</f>
        <v/>
      </c>
      <c r="F664" s="5">
        <f>IF($I2="","",INDEX(Productos!$I:$I,$I2))</f>
        <v/>
      </c>
      <c r="G664" s="135" t="n">
        <v>3</v>
      </c>
      <c r="H664" s="5">
        <f>IF($I2="","",INDEX(Productos!$AG:$AG,$I2))</f>
        <v/>
      </c>
      <c r="I664" s="136">
        <f>LET(_xlpm.r,Productos!$E$2:$E$1063,_xlpm.m,IFERROR(_xlfn.XMATCH(C664,_xlpm.r),IFERROR(_xlfn.XMATCH(VALUE(C664),_xlpm.r),0)),IF(_xlpm.m=0,"",_xlpm.m+1))</f>
        <v/>
      </c>
      <c r="J664" s="137" t="inlineStr">
        <is>
          <t>Odoo</t>
        </is>
      </c>
    </row>
    <row r="665">
      <c r="A665" s="5" t="inlineStr">
        <is>
          <t>Odoo Universal Unique Brands › Bodega 25 › Bodega 25/General</t>
        </is>
      </c>
      <c r="B665" s="5">
        <f>IF($I2="","",INDEX(Productos!$A:$A,$I2))</f>
        <v/>
      </c>
      <c r="C665" s="134" t="inlineStr">
        <is>
          <t>WG137-W0092TQ</t>
        </is>
      </c>
      <c r="D665" s="5">
        <f>IF($I2="","",INDEX(Productos!$B:$B,$I2))</f>
        <v/>
      </c>
      <c r="E665" s="5">
        <f>IF($I2="","",INDEX(Productos!$H:$H,$I2))</f>
        <v/>
      </c>
      <c r="F665" s="5">
        <f>IF($I2="","",INDEX(Productos!$I:$I,$I2))</f>
        <v/>
      </c>
      <c r="G665" s="135" t="n">
        <v>50</v>
      </c>
      <c r="H665" s="5">
        <f>IF($I2="","",INDEX(Productos!$AG:$AG,$I2))</f>
        <v/>
      </c>
      <c r="I665" s="136">
        <f>LET(_xlpm.r,Productos!$E$2:$E$1063,_xlpm.m,IFERROR(_xlfn.XMATCH(C665,_xlpm.r),IFERROR(_xlfn.XMATCH(VALUE(C665),_xlpm.r),0)),IF(_xlpm.m=0,"",_xlpm.m+1))</f>
        <v/>
      </c>
      <c r="J665" s="137" t="inlineStr">
        <is>
          <t>Odoo</t>
        </is>
      </c>
    </row>
    <row r="666">
      <c r="A666" s="5" t="inlineStr">
        <is>
          <t>Odoo Universal Unique Brands › Bodega 25 › Bodega 25/General</t>
        </is>
      </c>
      <c r="B666" s="5">
        <f>IF($I2="","",INDEX(Productos!$A:$A,$I2))</f>
        <v/>
      </c>
      <c r="C666" s="134" t="inlineStr">
        <is>
          <t>WG138-W006BR</t>
        </is>
      </c>
      <c r="D666" s="5">
        <f>IF($I2="","",INDEX(Productos!$B:$B,$I2))</f>
        <v/>
      </c>
      <c r="E666" s="5">
        <f>IF($I2="","",INDEX(Productos!$H:$H,$I2))</f>
        <v/>
      </c>
      <c r="F666" s="5">
        <f>IF($I2="","",INDEX(Productos!$I:$I,$I2))</f>
        <v/>
      </c>
      <c r="G666" s="135" t="n">
        <v>1</v>
      </c>
      <c r="H666" s="5">
        <f>IF($I2="","",INDEX(Productos!$AG:$AG,$I2))</f>
        <v/>
      </c>
      <c r="I666" s="136">
        <f>LET(_xlpm.r,Productos!$E$2:$E$1063,_xlpm.m,IFERROR(_xlfn.XMATCH(C666,_xlpm.r),IFERROR(_xlfn.XMATCH(VALUE(C666),_xlpm.r),0)),IF(_xlpm.m=0,"",_xlpm.m+1))</f>
        <v/>
      </c>
      <c r="J666" s="137" t="inlineStr">
        <is>
          <t>Odoo</t>
        </is>
      </c>
    </row>
    <row r="667">
      <c r="A667" s="5" t="inlineStr">
        <is>
          <t>Odoo Universal Unique Brands › Bodega 25 › Bodega 25/General</t>
        </is>
      </c>
      <c r="B667" s="5">
        <f>IF($I2="","",INDEX(Productos!$A:$A,$I2))</f>
        <v/>
      </c>
      <c r="C667" s="134" t="inlineStr">
        <is>
          <t>WG142-W006BR</t>
        </is>
      </c>
      <c r="D667" s="5">
        <f>IF($I2="","",INDEX(Productos!$B:$B,$I2))</f>
        <v/>
      </c>
      <c r="E667" s="5">
        <f>IF($I2="","",INDEX(Productos!$H:$H,$I2))</f>
        <v/>
      </c>
      <c r="F667" s="5">
        <f>IF($I2="","",INDEX(Productos!$I:$I,$I2))</f>
        <v/>
      </c>
      <c r="G667" s="135" t="n">
        <v>8</v>
      </c>
      <c r="H667" s="5">
        <f>IF($I2="","",INDEX(Productos!$AG:$AG,$I2))</f>
        <v/>
      </c>
      <c r="I667" s="136">
        <f>LET(_xlpm.r,Productos!$E$2:$E$1063,_xlpm.m,IFERROR(_xlfn.XMATCH(C667,_xlpm.r),IFERROR(_xlfn.XMATCH(VALUE(C667),_xlpm.r),0)),IF(_xlpm.m=0,"",_xlpm.m+1))</f>
        <v/>
      </c>
      <c r="J667" s="137" t="inlineStr">
        <is>
          <t>Odoo</t>
        </is>
      </c>
    </row>
    <row r="668">
      <c r="A668" s="5" t="inlineStr">
        <is>
          <t>Odoo Universal Unique Brands › Bodega 25 › Bodega 25/General</t>
        </is>
      </c>
      <c r="B668" s="5">
        <f>IF($I2="","",INDEX(Productos!$A:$A,$I2))</f>
        <v/>
      </c>
      <c r="C668" s="134" t="inlineStr">
        <is>
          <t>WG142-W006JN</t>
        </is>
      </c>
      <c r="D668" s="5">
        <f>IF($I2="","",INDEX(Productos!$B:$B,$I2))</f>
        <v/>
      </c>
      <c r="E668" s="5">
        <f>IF($I2="","",INDEX(Productos!$H:$H,$I2))</f>
        <v/>
      </c>
      <c r="F668" s="5">
        <f>IF($I2="","",INDEX(Productos!$I:$I,$I2))</f>
        <v/>
      </c>
      <c r="G668" s="135" t="n">
        <v>3</v>
      </c>
      <c r="H668" s="5">
        <f>IF($I2="","",INDEX(Productos!$AG:$AG,$I2))</f>
        <v/>
      </c>
      <c r="I668" s="136">
        <f>LET(_xlpm.r,Productos!$E$2:$E$1063,_xlpm.m,IFERROR(_xlfn.XMATCH(C668,_xlpm.r),IFERROR(_xlfn.XMATCH(VALUE(C668),_xlpm.r),0)),IF(_xlpm.m=0,"",_xlpm.m+1))</f>
        <v/>
      </c>
      <c r="J668" s="137" t="inlineStr">
        <is>
          <t>Odoo</t>
        </is>
      </c>
    </row>
    <row r="669">
      <c r="A669" s="5" t="inlineStr">
        <is>
          <t>Odoo Universal Unique Brands › Bodega 25 › Bodega 25/General</t>
        </is>
      </c>
      <c r="B669" s="5">
        <f>IF($I2="","",INDEX(Productos!$A:$A,$I2))</f>
        <v/>
      </c>
      <c r="C669" s="134" t="inlineStr">
        <is>
          <t>WG145-212BR</t>
        </is>
      </c>
      <c r="D669" s="5">
        <f>IF($I2="","",INDEX(Productos!$B:$B,$I2))</f>
        <v/>
      </c>
      <c r="E669" s="5">
        <f>IF($I2="","",INDEX(Productos!$H:$H,$I2))</f>
        <v/>
      </c>
      <c r="F669" s="5">
        <f>IF($I2="","",INDEX(Productos!$I:$I,$I2))</f>
        <v/>
      </c>
      <c r="G669" s="135" t="n">
        <v>301</v>
      </c>
      <c r="H669" s="5">
        <f>IF($I2="","",INDEX(Productos!$AG:$AG,$I2))</f>
        <v/>
      </c>
      <c r="I669" s="136">
        <f>LET(_xlpm.r,Productos!$E$2:$E$1063,_xlpm.m,IFERROR(_xlfn.XMATCH(C669,_xlpm.r),IFERROR(_xlfn.XMATCH(VALUE(C669),_xlpm.r),0)),IF(_xlpm.m=0,"",_xlpm.m+1))</f>
        <v/>
      </c>
      <c r="J669" s="137" t="inlineStr">
        <is>
          <t>Odoo</t>
        </is>
      </c>
    </row>
    <row r="670">
      <c r="A670" s="5" t="inlineStr">
        <is>
          <t>Odoo Universal Unique Brands › Bodega 25 › Bodega 25/General</t>
        </is>
      </c>
      <c r="B670" s="5">
        <f>IF($I2="","",INDEX(Productos!$A:$A,$I2))</f>
        <v/>
      </c>
      <c r="C670" s="134" t="inlineStr">
        <is>
          <t>WG145-212KH</t>
        </is>
      </c>
      <c r="D670" s="5">
        <f>IF($I2="","",INDEX(Productos!$B:$B,$I2))</f>
        <v/>
      </c>
      <c r="E670" s="5">
        <f>IF($I2="","",INDEX(Productos!$H:$H,$I2))</f>
        <v/>
      </c>
      <c r="F670" s="5">
        <f>IF($I2="","",INDEX(Productos!$I:$I,$I2))</f>
        <v/>
      </c>
      <c r="G670" s="135" t="n">
        <v>6</v>
      </c>
      <c r="H670" s="5">
        <f>IF($I2="","",INDEX(Productos!$AG:$AG,$I2))</f>
        <v/>
      </c>
      <c r="I670" s="136">
        <f>LET(_xlpm.r,Productos!$E$2:$E$1063,_xlpm.m,IFERROR(_xlfn.XMATCH(C670,_xlpm.r),IFERROR(_xlfn.XMATCH(VALUE(C670),_xlpm.r),0)),IF(_xlpm.m=0,"",_xlpm.m+1))</f>
        <v/>
      </c>
      <c r="J670" s="137" t="inlineStr">
        <is>
          <t>Odoo</t>
        </is>
      </c>
    </row>
    <row r="671">
      <c r="A671" s="5" t="inlineStr">
        <is>
          <t>Odoo Universal Unique Brands › Bodega 25 › Bodega 25/General</t>
        </is>
      </c>
      <c r="B671" s="5">
        <f>IF($I2="","",INDEX(Productos!$A:$A,$I2))</f>
        <v/>
      </c>
      <c r="C671" s="134" t="inlineStr">
        <is>
          <t>WG145-8300KH</t>
        </is>
      </c>
      <c r="D671" s="5">
        <f>IF($I2="","",INDEX(Productos!$B:$B,$I2))</f>
        <v/>
      </c>
      <c r="E671" s="5">
        <f>IF($I2="","",INDEX(Productos!$H:$H,$I2))</f>
        <v/>
      </c>
      <c r="F671" s="5">
        <f>IF($I2="","",INDEX(Productos!$I:$I,$I2))</f>
        <v/>
      </c>
      <c r="G671" s="135" t="n">
        <v>12</v>
      </c>
      <c r="H671" s="5">
        <f>IF($I2="","",INDEX(Productos!$AG:$AG,$I2))</f>
        <v/>
      </c>
      <c r="I671" s="136">
        <f>LET(_xlpm.r,Productos!$E$2:$E$1063,_xlpm.m,IFERROR(_xlfn.XMATCH(C671,_xlpm.r),IFERROR(_xlfn.XMATCH(VALUE(C671),_xlpm.r),0)),IF(_xlpm.m=0,"",_xlpm.m+1))</f>
        <v/>
      </c>
      <c r="J671" s="137" t="inlineStr">
        <is>
          <t>Odoo</t>
        </is>
      </c>
    </row>
    <row r="672">
      <c r="A672" s="5" t="inlineStr">
        <is>
          <t>Odoo Universal Unique Brands › Bodega 25 › Bodega 25/General</t>
        </is>
      </c>
      <c r="B672" s="5">
        <f>IF($I2="","",INDEX(Productos!$A:$A,$I2))</f>
        <v/>
      </c>
      <c r="C672" s="134" t="inlineStr">
        <is>
          <t>WG145G-8300BK</t>
        </is>
      </c>
      <c r="D672" s="5">
        <f>IF($I2="","",INDEX(Productos!$B:$B,$I2))</f>
        <v/>
      </c>
      <c r="E672" s="5">
        <f>IF($I2="","",INDEX(Productos!$H:$H,$I2))</f>
        <v/>
      </c>
      <c r="F672" s="5">
        <f>IF($I2="","",INDEX(Productos!$I:$I,$I2))</f>
        <v/>
      </c>
      <c r="G672" s="135" t="n">
        <v>35</v>
      </c>
      <c r="H672" s="5">
        <f>IF($I2="","",INDEX(Productos!$AG:$AG,$I2))</f>
        <v/>
      </c>
      <c r="I672" s="136">
        <f>LET(_xlpm.r,Productos!$E$2:$E$1063,_xlpm.m,IFERROR(_xlfn.XMATCH(C672,_xlpm.r),IFERROR(_xlfn.XMATCH(VALUE(C672),_xlpm.r),0)),IF(_xlpm.m=0,"",_xlpm.m+1))</f>
        <v/>
      </c>
      <c r="J672" s="137" t="inlineStr">
        <is>
          <t>Odoo</t>
        </is>
      </c>
    </row>
    <row r="673">
      <c r="A673" s="5" t="inlineStr">
        <is>
          <t>Odoo Universal Unique Brands › Bodega 25 › Bodega 25/General</t>
        </is>
      </c>
      <c r="B673" s="5">
        <f>IF($I2="","",INDEX(Productos!$A:$A,$I2))</f>
        <v/>
      </c>
      <c r="C673" s="134" t="inlineStr">
        <is>
          <t>WG145G-8300BR</t>
        </is>
      </c>
      <c r="D673" s="5">
        <f>IF($I2="","",INDEX(Productos!$B:$B,$I2))</f>
        <v/>
      </c>
      <c r="E673" s="5">
        <f>IF($I2="","",INDEX(Productos!$H:$H,$I2))</f>
        <v/>
      </c>
      <c r="F673" s="5">
        <f>IF($I2="","",INDEX(Productos!$I:$I,$I2))</f>
        <v/>
      </c>
      <c r="G673" s="135" t="n">
        <v>84</v>
      </c>
      <c r="H673" s="5">
        <f>IF($I2="","",INDEX(Productos!$AG:$AG,$I2))</f>
        <v/>
      </c>
      <c r="I673" s="136">
        <f>LET(_xlpm.r,Productos!$E$2:$E$1063,_xlpm.m,IFERROR(_xlfn.XMATCH(C673,_xlpm.r),IFERROR(_xlfn.XMATCH(VALUE(C673),_xlpm.r),0)),IF(_xlpm.m=0,"",_xlpm.m+1))</f>
        <v/>
      </c>
      <c r="J673" s="137" t="inlineStr">
        <is>
          <t>Odoo</t>
        </is>
      </c>
    </row>
    <row r="674">
      <c r="A674" s="5" t="inlineStr">
        <is>
          <t>Odoo Universal Unique Brands › Bodega 25 › Bodega 25/General</t>
        </is>
      </c>
      <c r="B674" s="5">
        <f>IF($I2="","",INDEX(Productos!$A:$A,$I2))</f>
        <v/>
      </c>
      <c r="C674" s="134" t="inlineStr">
        <is>
          <t>WG145G-8300KH</t>
        </is>
      </c>
      <c r="D674" s="5">
        <f>IF($I2="","",INDEX(Productos!$B:$B,$I2))</f>
        <v/>
      </c>
      <c r="E674" s="5">
        <f>IF($I2="","",INDEX(Productos!$H:$H,$I2))</f>
        <v/>
      </c>
      <c r="F674" s="5">
        <f>IF($I2="","",INDEX(Productos!$I:$I,$I2))</f>
        <v/>
      </c>
      <c r="G674" s="135" t="n">
        <v>17</v>
      </c>
      <c r="H674" s="5">
        <f>IF($I2="","",INDEX(Productos!$AG:$AG,$I2))</f>
        <v/>
      </c>
      <c r="I674" s="136">
        <f>LET(_xlpm.r,Productos!$E$2:$E$1063,_xlpm.m,IFERROR(_xlfn.XMATCH(C674,_xlpm.r),IFERROR(_xlfn.XMATCH(VALUE(C674),_xlpm.r),0)),IF(_xlpm.m=0,"",_xlpm.m+1))</f>
        <v/>
      </c>
      <c r="J674" s="137" t="inlineStr">
        <is>
          <t>Odoo</t>
        </is>
      </c>
    </row>
    <row r="675">
      <c r="A675" s="5" t="inlineStr">
        <is>
          <t>Odoo Universal Unique Brands › Bodega 25 › Bodega 25/General</t>
        </is>
      </c>
      <c r="B675" s="5">
        <f>IF($I2="","",INDEX(Productos!$A:$A,$I2))</f>
        <v/>
      </c>
      <c r="C675" s="134" t="inlineStr">
        <is>
          <t>WG145G-9250GN</t>
        </is>
      </c>
      <c r="D675" s="5">
        <f>IF($I2="","",INDEX(Productos!$B:$B,$I2))</f>
        <v/>
      </c>
      <c r="E675" s="5">
        <f>IF($I2="","",INDEX(Productos!$H:$H,$I2))</f>
        <v/>
      </c>
      <c r="F675" s="5">
        <f>IF($I2="","",INDEX(Productos!$I:$I,$I2))</f>
        <v/>
      </c>
      <c r="G675" s="135" t="n">
        <v>5</v>
      </c>
      <c r="H675" s="5">
        <f>IF($I2="","",INDEX(Productos!$AG:$AG,$I2))</f>
        <v/>
      </c>
      <c r="I675" s="136">
        <f>LET(_xlpm.r,Productos!$E$2:$E$1063,_xlpm.m,IFERROR(_xlfn.XMATCH(C675,_xlpm.r),IFERROR(_xlfn.XMATCH(VALUE(C675),_xlpm.r),0)),IF(_xlpm.m=0,"",_xlpm.m+1))</f>
        <v/>
      </c>
      <c r="J675" s="137" t="inlineStr">
        <is>
          <t>Odoo</t>
        </is>
      </c>
    </row>
    <row r="676">
      <c r="A676" s="5" t="inlineStr">
        <is>
          <t>Odoo Universal Unique Brands › Bodega 25 › Bodega 25/General</t>
        </is>
      </c>
      <c r="B676" s="5">
        <f>IF($I2="","",INDEX(Productos!$A:$A,$I2))</f>
        <v/>
      </c>
      <c r="C676" s="134" t="inlineStr">
        <is>
          <t>WG145G-9250KH</t>
        </is>
      </c>
      <c r="D676" s="5">
        <f>IF($I2="","",INDEX(Productos!$B:$B,$I2))</f>
        <v/>
      </c>
      <c r="E676" s="5">
        <f>IF($I2="","",INDEX(Productos!$H:$H,$I2))</f>
        <v/>
      </c>
      <c r="F676" s="5">
        <f>IF($I2="","",INDEX(Productos!$I:$I,$I2))</f>
        <v/>
      </c>
      <c r="G676" s="135" t="n">
        <v>16</v>
      </c>
      <c r="H676" s="5">
        <f>IF($I2="","",INDEX(Productos!$AG:$AG,$I2))</f>
        <v/>
      </c>
      <c r="I676" s="136">
        <f>LET(_xlpm.r,Productos!$E$2:$E$1063,_xlpm.m,IFERROR(_xlfn.XMATCH(C676,_xlpm.r),IFERROR(_xlfn.XMATCH(VALUE(C676),_xlpm.r),0)),IF(_xlpm.m=0,"",_xlpm.m+1))</f>
        <v/>
      </c>
      <c r="J676" s="137" t="inlineStr">
        <is>
          <t>Odoo</t>
        </is>
      </c>
    </row>
    <row r="677">
      <c r="A677" s="5" t="inlineStr">
        <is>
          <t>Odoo Universal Unique Brands › Bodega 25 › Bodega 25/General</t>
        </is>
      </c>
      <c r="B677" s="5">
        <f>IF($I2="","",INDEX(Productos!$A:$A,$I2))</f>
        <v/>
      </c>
      <c r="C677" s="134" t="inlineStr">
        <is>
          <t>WG145G-9250RD</t>
        </is>
      </c>
      <c r="D677" s="5">
        <f>IF($I2="","",INDEX(Productos!$B:$B,$I2))</f>
        <v/>
      </c>
      <c r="E677" s="5">
        <f>IF($I2="","",INDEX(Productos!$H:$H,$I2))</f>
        <v/>
      </c>
      <c r="F677" s="5">
        <f>IF($I2="","",INDEX(Productos!$I:$I,$I2))</f>
        <v/>
      </c>
      <c r="G677" s="135" t="n">
        <v>49</v>
      </c>
      <c r="H677" s="5">
        <f>IF($I2="","",INDEX(Productos!$AG:$AG,$I2))</f>
        <v/>
      </c>
      <c r="I677" s="136">
        <f>LET(_xlpm.r,Productos!$E$2:$E$1063,_xlpm.m,IFERROR(_xlfn.XMATCH(C677,_xlpm.r),IFERROR(_xlfn.XMATCH(VALUE(C677),_xlpm.r),0)),IF(_xlpm.m=0,"",_xlpm.m+1))</f>
        <v/>
      </c>
      <c r="J677" s="137" t="inlineStr">
        <is>
          <t>Odoo</t>
        </is>
      </c>
    </row>
    <row r="678">
      <c r="A678" s="5" t="inlineStr">
        <is>
          <t>Odoo Universal Unique Brands › Bodega 25 › Bodega 25/General</t>
        </is>
      </c>
      <c r="B678" s="5">
        <f>IF($I2="","",INDEX(Productos!$A:$A,$I2))</f>
        <v/>
      </c>
      <c r="C678" s="134" t="inlineStr">
        <is>
          <t>WG160-60102BR</t>
        </is>
      </c>
      <c r="D678" s="5">
        <f>IF($I2="","",INDEX(Productos!$B:$B,$I2))</f>
        <v/>
      </c>
      <c r="E678" s="5">
        <f>IF($I2="","",INDEX(Productos!$H:$H,$I2))</f>
        <v/>
      </c>
      <c r="F678" s="5">
        <f>IF($I2="","",INDEX(Productos!$I:$I,$I2))</f>
        <v/>
      </c>
      <c r="G678" s="135" t="n">
        <v>3</v>
      </c>
      <c r="H678" s="5">
        <f>IF($I2="","",INDEX(Productos!$AG:$AG,$I2))</f>
        <v/>
      </c>
      <c r="I678" s="136">
        <f>LET(_xlpm.r,Productos!$E$2:$E$1063,_xlpm.m,IFERROR(_xlfn.XMATCH(C678,_xlpm.r),IFERROR(_xlfn.XMATCH(VALUE(C678),_xlpm.r),0)),IF(_xlpm.m=0,"",_xlpm.m+1))</f>
        <v/>
      </c>
      <c r="J678" s="137" t="inlineStr">
        <is>
          <t>Odoo</t>
        </is>
      </c>
    </row>
    <row r="679">
      <c r="A679" s="5" t="inlineStr">
        <is>
          <t>Odoo Universal Unique Brands › Bodega 25 › Bodega 25/General</t>
        </is>
      </c>
      <c r="B679" s="5">
        <f>IF($I2="","",INDEX(Productos!$A:$A,$I2))</f>
        <v/>
      </c>
      <c r="C679" s="134" t="inlineStr">
        <is>
          <t>WG160-60102CF</t>
        </is>
      </c>
      <c r="D679" s="5">
        <f>IF($I2="","",INDEX(Productos!$B:$B,$I2))</f>
        <v/>
      </c>
      <c r="E679" s="5">
        <f>IF($I2="","",INDEX(Productos!$H:$H,$I2))</f>
        <v/>
      </c>
      <c r="F679" s="5">
        <f>IF($I2="","",INDEX(Productos!$I:$I,$I2))</f>
        <v/>
      </c>
      <c r="G679" s="135" t="n">
        <v>3</v>
      </c>
      <c r="H679" s="5">
        <f>IF($I2="","",INDEX(Productos!$AG:$AG,$I2))</f>
        <v/>
      </c>
      <c r="I679" s="136">
        <f>LET(_xlpm.r,Productos!$E$2:$E$1063,_xlpm.m,IFERROR(_xlfn.XMATCH(C679,_xlpm.r),IFERROR(_xlfn.XMATCH(VALUE(C679),_xlpm.r),0)),IF(_xlpm.m=0,"",_xlpm.m+1))</f>
        <v/>
      </c>
      <c r="J679" s="137" t="inlineStr">
        <is>
          <t>Odoo</t>
        </is>
      </c>
    </row>
    <row r="680">
      <c r="A680" s="5" t="inlineStr">
        <is>
          <t>Odoo Universal Unique Brands › Bodega 25 › Bodega 25/General</t>
        </is>
      </c>
      <c r="B680" s="5">
        <f>IF($I2="","",INDEX(Productos!$A:$A,$I2))</f>
        <v/>
      </c>
      <c r="C680" s="134" t="inlineStr">
        <is>
          <t>WG160-60113BK</t>
        </is>
      </c>
      <c r="D680" s="5">
        <f>IF($I2="","",INDEX(Productos!$B:$B,$I2))</f>
        <v/>
      </c>
      <c r="E680" s="5">
        <f>IF($I2="","",INDEX(Productos!$H:$H,$I2))</f>
        <v/>
      </c>
      <c r="F680" s="5">
        <f>IF($I2="","",INDEX(Productos!$I:$I,$I2))</f>
        <v/>
      </c>
      <c r="G680" s="135" t="n">
        <v>64</v>
      </c>
      <c r="H680" s="5">
        <f>IF($I2="","",INDEX(Productos!$AG:$AG,$I2))</f>
        <v/>
      </c>
      <c r="I680" s="136">
        <f>LET(_xlpm.r,Productos!$E$2:$E$1063,_xlpm.m,IFERROR(_xlfn.XMATCH(C680,_xlpm.r),IFERROR(_xlfn.XMATCH(VALUE(C680),_xlpm.r),0)),IF(_xlpm.m=0,"",_xlpm.m+1))</f>
        <v/>
      </c>
      <c r="J680" s="137" t="inlineStr">
        <is>
          <t>Odoo</t>
        </is>
      </c>
    </row>
    <row r="681">
      <c r="A681" s="5" t="inlineStr">
        <is>
          <t>Odoo Universal Unique Brands › Bodega 25 › Bodega 25/General</t>
        </is>
      </c>
      <c r="B681" s="5">
        <f>IF($I2="","",INDEX(Productos!$A:$A,$I2))</f>
        <v/>
      </c>
      <c r="C681" s="134" t="inlineStr">
        <is>
          <t>WG160-60113BR</t>
        </is>
      </c>
      <c r="D681" s="5">
        <f>IF($I2="","",INDEX(Productos!$B:$B,$I2))</f>
        <v/>
      </c>
      <c r="E681" s="5">
        <f>IF($I2="","",INDEX(Productos!$H:$H,$I2))</f>
        <v/>
      </c>
      <c r="F681" s="5">
        <f>IF($I2="","",INDEX(Productos!$I:$I,$I2))</f>
        <v/>
      </c>
      <c r="G681" s="135" t="n">
        <v>48</v>
      </c>
      <c r="H681" s="5">
        <f>IF($I2="","",INDEX(Productos!$AG:$AG,$I2))</f>
        <v/>
      </c>
      <c r="I681" s="136">
        <f>LET(_xlpm.r,Productos!$E$2:$E$1063,_xlpm.m,IFERROR(_xlfn.XMATCH(C681,_xlpm.r),IFERROR(_xlfn.XMATCH(VALUE(C681),_xlpm.r),0)),IF(_xlpm.m=0,"",_xlpm.m+1))</f>
        <v/>
      </c>
      <c r="J681" s="137" t="inlineStr">
        <is>
          <t>Odoo</t>
        </is>
      </c>
    </row>
    <row r="682">
      <c r="A682" s="5" t="inlineStr">
        <is>
          <t>Odoo Universal Unique Brands › Bodega 25 › Bodega 25/General</t>
        </is>
      </c>
      <c r="B682" s="5">
        <f>IF($I2="","",INDEX(Productos!$A:$A,$I2))</f>
        <v/>
      </c>
      <c r="C682" s="134" t="inlineStr">
        <is>
          <t>WG160-60113CF</t>
        </is>
      </c>
      <c r="D682" s="5">
        <f>IF($I2="","",INDEX(Productos!$B:$B,$I2))</f>
        <v/>
      </c>
      <c r="E682" s="5">
        <f>IF($I2="","",INDEX(Productos!$H:$H,$I2))</f>
        <v/>
      </c>
      <c r="F682" s="5">
        <f>IF($I2="","",INDEX(Productos!$I:$I,$I2))</f>
        <v/>
      </c>
      <c r="G682" s="135" t="n">
        <v>82</v>
      </c>
      <c r="H682" s="5">
        <f>IF($I2="","",INDEX(Productos!$AG:$AG,$I2))</f>
        <v/>
      </c>
      <c r="I682" s="136">
        <f>LET(_xlpm.r,Productos!$E$2:$E$1063,_xlpm.m,IFERROR(_xlfn.XMATCH(C682,_xlpm.r),IFERROR(_xlfn.XMATCH(VALUE(C682),_xlpm.r),0)),IF(_xlpm.m=0,"",_xlpm.m+1))</f>
        <v/>
      </c>
      <c r="J682" s="137" t="inlineStr">
        <is>
          <t>Odoo</t>
        </is>
      </c>
    </row>
    <row r="683">
      <c r="A683" s="5" t="inlineStr">
        <is>
          <t>Odoo Universal Unique Brands › Bodega 25 › Bodega 25/General</t>
        </is>
      </c>
      <c r="B683" s="5">
        <f>IF($I2="","",INDEX(Productos!$A:$A,$I2))</f>
        <v/>
      </c>
      <c r="C683" s="134" t="inlineStr">
        <is>
          <t>WG160-6011BR</t>
        </is>
      </c>
      <c r="D683" s="5">
        <f>IF($I2="","",INDEX(Productos!$B:$B,$I2))</f>
        <v/>
      </c>
      <c r="E683" s="5">
        <f>IF($I2="","",INDEX(Productos!$H:$H,$I2))</f>
        <v/>
      </c>
      <c r="F683" s="5">
        <f>IF($I2="","",INDEX(Productos!$I:$I,$I2))</f>
        <v/>
      </c>
      <c r="G683" s="135" t="n">
        <v>10</v>
      </c>
      <c r="H683" s="5">
        <f>IF($I2="","",INDEX(Productos!$AG:$AG,$I2))</f>
        <v/>
      </c>
      <c r="I683" s="136">
        <f>LET(_xlpm.r,Productos!$E$2:$E$1063,_xlpm.m,IFERROR(_xlfn.XMATCH(C683,_xlpm.r),IFERROR(_xlfn.XMATCH(VALUE(C683),_xlpm.r),0)),IF(_xlpm.m=0,"",_xlpm.m+1))</f>
        <v/>
      </c>
      <c r="J683" s="137" t="inlineStr">
        <is>
          <t>Odoo</t>
        </is>
      </c>
    </row>
    <row r="684">
      <c r="A684" s="5" t="inlineStr">
        <is>
          <t>Odoo Universal Unique Brands › Bodega 25 › Bodega 25/General</t>
        </is>
      </c>
      <c r="B684" s="5">
        <f>IF($I2="","",INDEX(Productos!$A:$A,$I2))</f>
        <v/>
      </c>
      <c r="C684" s="134" t="inlineStr">
        <is>
          <t>WG160-6011CF</t>
        </is>
      </c>
      <c r="D684" s="5">
        <f>IF($I2="","",INDEX(Productos!$B:$B,$I2))</f>
        <v/>
      </c>
      <c r="E684" s="5">
        <f>IF($I2="","",INDEX(Productos!$H:$H,$I2))</f>
        <v/>
      </c>
      <c r="F684" s="5">
        <f>IF($I2="","",INDEX(Productos!$I:$I,$I2))</f>
        <v/>
      </c>
      <c r="G684" s="135" t="n">
        <v>4</v>
      </c>
      <c r="H684" s="5">
        <f>IF($I2="","",INDEX(Productos!$AG:$AG,$I2))</f>
        <v/>
      </c>
      <c r="I684" s="136">
        <f>LET(_xlpm.r,Productos!$E$2:$E$1063,_xlpm.m,IFERROR(_xlfn.XMATCH(C684,_xlpm.r),IFERROR(_xlfn.XMATCH(VALUE(C684),_xlpm.r),0)),IF(_xlpm.m=0,"",_xlpm.m+1))</f>
        <v/>
      </c>
      <c r="J684" s="137" t="inlineStr">
        <is>
          <t>Odoo</t>
        </is>
      </c>
    </row>
    <row r="685">
      <c r="A685" s="5" t="inlineStr">
        <is>
          <t>Odoo Universal Unique Brands › Bodega 25 › Bodega 25/General</t>
        </is>
      </c>
      <c r="B685" s="5">
        <f>IF($I2="","",INDEX(Productos!$A:$A,$I2))</f>
        <v/>
      </c>
      <c r="C685" s="134" t="inlineStr">
        <is>
          <t>WG160-W0142CF</t>
        </is>
      </c>
      <c r="D685" s="5">
        <f>IF($I2="","",INDEX(Productos!$B:$B,$I2))</f>
        <v/>
      </c>
      <c r="E685" s="5">
        <f>IF($I2="","",INDEX(Productos!$H:$H,$I2))</f>
        <v/>
      </c>
      <c r="F685" s="5">
        <f>IF($I2="","",INDEX(Productos!$I:$I,$I2))</f>
        <v/>
      </c>
      <c r="G685" s="135" t="n">
        <v>15</v>
      </c>
      <c r="H685" s="5">
        <f>IF($I2="","",INDEX(Productos!$AG:$AG,$I2))</f>
        <v/>
      </c>
      <c r="I685" s="136">
        <f>LET(_xlpm.r,Productos!$E$2:$E$1063,_xlpm.m,IFERROR(_xlfn.XMATCH(C685,_xlpm.r),IFERROR(_xlfn.XMATCH(VALUE(C685),_xlpm.r),0)),IF(_xlpm.m=0,"",_xlpm.m+1))</f>
        <v/>
      </c>
      <c r="J685" s="137" t="inlineStr">
        <is>
          <t>Odoo</t>
        </is>
      </c>
    </row>
    <row r="686">
      <c r="A686" s="5" t="inlineStr">
        <is>
          <t>Odoo Universal Unique Brands › Bodega 25 › Bodega 25/General</t>
        </is>
      </c>
      <c r="B686" s="5">
        <f>IF($I2="","",INDEX(Productos!$A:$A,$I2))</f>
        <v/>
      </c>
      <c r="C686" s="134" t="inlineStr">
        <is>
          <t>WG160-W0142TQ</t>
        </is>
      </c>
      <c r="D686" s="5">
        <f>IF($I2="","",INDEX(Productos!$B:$B,$I2))</f>
        <v/>
      </c>
      <c r="E686" s="5">
        <f>IF($I2="","",INDEX(Productos!$H:$H,$I2))</f>
        <v/>
      </c>
      <c r="F686" s="5">
        <f>IF($I2="","",INDEX(Productos!$I:$I,$I2))</f>
        <v/>
      </c>
      <c r="G686" s="135" t="n">
        <v>23</v>
      </c>
      <c r="H686" s="5">
        <f>IF($I2="","",INDEX(Productos!$AG:$AG,$I2))</f>
        <v/>
      </c>
      <c r="I686" s="136">
        <f>LET(_xlpm.r,Productos!$E$2:$E$1063,_xlpm.m,IFERROR(_xlfn.XMATCH(C686,_xlpm.r),IFERROR(_xlfn.XMATCH(VALUE(C686),_xlpm.r),0)),IF(_xlpm.m=0,"",_xlpm.m+1))</f>
        <v/>
      </c>
      <c r="J686" s="137" t="inlineStr">
        <is>
          <t>Odoo</t>
        </is>
      </c>
    </row>
    <row r="687">
      <c r="A687" s="5" t="inlineStr">
        <is>
          <t>Odoo Universal Unique Brands › Bodega 25 › Bodega 25/General</t>
        </is>
      </c>
      <c r="B687" s="5">
        <f>IF($I2="","",INDEX(Productos!$A:$A,$I2))</f>
        <v/>
      </c>
      <c r="C687" s="134" t="inlineStr">
        <is>
          <t>WG160-W014BR</t>
        </is>
      </c>
      <c r="D687" s="5">
        <f>IF($I2="","",INDEX(Productos!$B:$B,$I2))</f>
        <v/>
      </c>
      <c r="E687" s="5">
        <f>IF($I2="","",INDEX(Productos!$H:$H,$I2))</f>
        <v/>
      </c>
      <c r="F687" s="5">
        <f>IF($I2="","",INDEX(Productos!$I:$I,$I2))</f>
        <v/>
      </c>
      <c r="G687" s="135" t="n">
        <v>6</v>
      </c>
      <c r="H687" s="5">
        <f>IF($I2="","",INDEX(Productos!$AG:$AG,$I2))</f>
        <v/>
      </c>
      <c r="I687" s="136">
        <f>LET(_xlpm.r,Productos!$E$2:$E$1063,_xlpm.m,IFERROR(_xlfn.XMATCH(C687,_xlpm.r),IFERROR(_xlfn.XMATCH(VALUE(C687),_xlpm.r),0)),IF(_xlpm.m=0,"",_xlpm.m+1))</f>
        <v/>
      </c>
      <c r="J687" s="137" t="inlineStr">
        <is>
          <t>Odoo</t>
        </is>
      </c>
    </row>
    <row r="688">
      <c r="A688" s="5" t="inlineStr">
        <is>
          <t>Odoo Universal Unique Brands › Bodega 25 › Bodega 25/General</t>
        </is>
      </c>
      <c r="B688" s="5">
        <f>IF($I2="","",INDEX(Productos!$A:$A,$I2))</f>
        <v/>
      </c>
      <c r="C688" s="134" t="inlineStr">
        <is>
          <t>WG162-8012TN</t>
        </is>
      </c>
      <c r="D688" s="5">
        <f>IF($I2="","",INDEX(Productos!$B:$B,$I2))</f>
        <v/>
      </c>
      <c r="E688" s="5">
        <f>IF($I2="","",INDEX(Productos!$H:$H,$I2))</f>
        <v/>
      </c>
      <c r="F688" s="5">
        <f>IF($I2="","",INDEX(Productos!$I:$I,$I2))</f>
        <v/>
      </c>
      <c r="G688" s="135" t="n">
        <v>4</v>
      </c>
      <c r="H688" s="5">
        <f>IF($I2="","",INDEX(Productos!$AG:$AG,$I2))</f>
        <v/>
      </c>
      <c r="I688" s="136">
        <f>LET(_xlpm.r,Productos!$E$2:$E$1063,_xlpm.m,IFERROR(_xlfn.XMATCH(C688,_xlpm.r),IFERROR(_xlfn.XMATCH(VALUE(C688),_xlpm.r),0)),IF(_xlpm.m=0,"",_xlpm.m+1))</f>
        <v/>
      </c>
      <c r="J688" s="137" t="inlineStr">
        <is>
          <t>Odoo</t>
        </is>
      </c>
    </row>
    <row r="689">
      <c r="A689" s="5" t="inlineStr">
        <is>
          <t>Odoo Universal Unique Brands › Bodega 25 › Bodega 25/General</t>
        </is>
      </c>
      <c r="B689" s="5">
        <f>IF($I2="","",INDEX(Productos!$A:$A,$I2))</f>
        <v/>
      </c>
      <c r="C689" s="134" t="inlineStr">
        <is>
          <t>WG162-8136CF</t>
        </is>
      </c>
      <c r="D689" s="5">
        <f>IF($I2="","",INDEX(Productos!$B:$B,$I2))</f>
        <v/>
      </c>
      <c r="E689" s="5">
        <f>IF($I2="","",INDEX(Productos!$H:$H,$I2))</f>
        <v/>
      </c>
      <c r="F689" s="5">
        <f>IF($I2="","",INDEX(Productos!$I:$I,$I2))</f>
        <v/>
      </c>
      <c r="G689" s="135" t="n">
        <v>76</v>
      </c>
      <c r="H689" s="5">
        <f>IF($I2="","",INDEX(Productos!$AG:$AG,$I2))</f>
        <v/>
      </c>
      <c r="I689" s="136">
        <f>LET(_xlpm.r,Productos!$E$2:$E$1063,_xlpm.m,IFERROR(_xlfn.XMATCH(C689,_xlpm.r),IFERROR(_xlfn.XMATCH(VALUE(C689),_xlpm.r),0)),IF(_xlpm.m=0,"",_xlpm.m+1))</f>
        <v/>
      </c>
      <c r="J689" s="137" t="inlineStr">
        <is>
          <t>Odoo</t>
        </is>
      </c>
    </row>
    <row r="690">
      <c r="A690" s="5" t="inlineStr">
        <is>
          <t>Odoo Universal Unique Brands › Bodega 25 › Bodega 25/General</t>
        </is>
      </c>
      <c r="B690" s="5">
        <f>IF($I2="","",INDEX(Productos!$A:$A,$I2))</f>
        <v/>
      </c>
      <c r="C690" s="134" t="inlineStr">
        <is>
          <t>WG162-8136NY</t>
        </is>
      </c>
      <c r="D690" s="5">
        <f>IF($I2="","",INDEX(Productos!$B:$B,$I2))</f>
        <v/>
      </c>
      <c r="E690" s="5">
        <f>IF($I2="","",INDEX(Productos!$H:$H,$I2))</f>
        <v/>
      </c>
      <c r="F690" s="5">
        <f>IF($I2="","",INDEX(Productos!$I:$I,$I2))</f>
        <v/>
      </c>
      <c r="G690" s="135" t="n">
        <v>34</v>
      </c>
      <c r="H690" s="5">
        <f>IF($I2="","",INDEX(Productos!$AG:$AG,$I2))</f>
        <v/>
      </c>
      <c r="I690" s="136">
        <f>LET(_xlpm.r,Productos!$E$2:$E$1063,_xlpm.m,IFERROR(_xlfn.XMATCH(C690,_xlpm.r),IFERROR(_xlfn.XMATCH(VALUE(C690),_xlpm.r),0)),IF(_xlpm.m=0,"",_xlpm.m+1))</f>
        <v/>
      </c>
      <c r="J690" s="137" t="inlineStr">
        <is>
          <t>Odoo</t>
        </is>
      </c>
    </row>
    <row r="691">
      <c r="A691" s="5" t="inlineStr">
        <is>
          <t>Odoo Universal Unique Brands › Bodega 25 › Bodega 25/General</t>
        </is>
      </c>
      <c r="B691" s="5">
        <f>IF($I2="","",INDEX(Productos!$A:$A,$I2))</f>
        <v/>
      </c>
      <c r="C691" s="134" t="inlineStr">
        <is>
          <t>WG162-8136TN</t>
        </is>
      </c>
      <c r="D691" s="5">
        <f>IF($I2="","",INDEX(Productos!$B:$B,$I2))</f>
        <v/>
      </c>
      <c r="E691" s="5">
        <f>IF($I2="","",INDEX(Productos!$H:$H,$I2))</f>
        <v/>
      </c>
      <c r="F691" s="5">
        <f>IF($I2="","",INDEX(Productos!$I:$I,$I2))</f>
        <v/>
      </c>
      <c r="G691" s="135" t="n">
        <v>43</v>
      </c>
      <c r="H691" s="5">
        <f>IF($I2="","",INDEX(Productos!$AG:$AG,$I2))</f>
        <v/>
      </c>
      <c r="I691" s="136">
        <f>LET(_xlpm.r,Productos!$E$2:$E$1063,_xlpm.m,IFERROR(_xlfn.XMATCH(C691,_xlpm.r),IFERROR(_xlfn.XMATCH(VALUE(C691),_xlpm.r),0)),IF(_xlpm.m=0,"",_xlpm.m+1))</f>
        <v/>
      </c>
      <c r="J691" s="137" t="inlineStr">
        <is>
          <t>Odoo</t>
        </is>
      </c>
    </row>
    <row r="692">
      <c r="A692" s="5" t="inlineStr">
        <is>
          <t>Odoo Universal Unique Brands › Bodega 25 › Bodega 25/General</t>
        </is>
      </c>
      <c r="B692" s="5">
        <f>IF($I2="","",INDEX(Productos!$A:$A,$I2))</f>
        <v/>
      </c>
      <c r="C692" s="134" t="inlineStr">
        <is>
          <t>WG162-W0331BG</t>
        </is>
      </c>
      <c r="D692" s="5">
        <f>IF($I2="","",INDEX(Productos!$B:$B,$I2))</f>
        <v/>
      </c>
      <c r="E692" s="5">
        <f>IF($I2="","",INDEX(Productos!$H:$H,$I2))</f>
        <v/>
      </c>
      <c r="F692" s="5">
        <f>IF($I2="","",INDEX(Productos!$I:$I,$I2))</f>
        <v/>
      </c>
      <c r="G692" s="135" t="n">
        <v>26</v>
      </c>
      <c r="H692" s="5">
        <f>IF($I2="","",INDEX(Productos!$AG:$AG,$I2))</f>
        <v/>
      </c>
      <c r="I692" s="136">
        <f>LET(_xlpm.r,Productos!$E$2:$E$1063,_xlpm.m,IFERROR(_xlfn.XMATCH(C692,_xlpm.r),IFERROR(_xlfn.XMATCH(VALUE(C692),_xlpm.r),0)),IF(_xlpm.m=0,"",_xlpm.m+1))</f>
        <v/>
      </c>
      <c r="J692" s="137" t="inlineStr">
        <is>
          <t>Odoo</t>
        </is>
      </c>
    </row>
    <row r="693">
      <c r="A693" s="5" t="inlineStr">
        <is>
          <t>Odoo Universal Unique Brands › Bodega 25 › Bodega 25/General</t>
        </is>
      </c>
      <c r="B693" s="5">
        <f>IF($I2="","",INDEX(Productos!$A:$A,$I2))</f>
        <v/>
      </c>
      <c r="C693" s="134" t="inlineStr">
        <is>
          <t>WG162-W0331BK</t>
        </is>
      </c>
      <c r="D693" s="5">
        <f>IF($I2="","",INDEX(Productos!$B:$B,$I2))</f>
        <v/>
      </c>
      <c r="E693" s="5">
        <f>IF($I2="","",INDEX(Productos!$H:$H,$I2))</f>
        <v/>
      </c>
      <c r="F693" s="5">
        <f>IF($I2="","",INDEX(Productos!$I:$I,$I2))</f>
        <v/>
      </c>
      <c r="G693" s="135" t="n">
        <v>2</v>
      </c>
      <c r="H693" s="5">
        <f>IF($I2="","",INDEX(Productos!$AG:$AG,$I2))</f>
        <v/>
      </c>
      <c r="I693" s="136">
        <f>LET(_xlpm.r,Productos!$E$2:$E$1063,_xlpm.m,IFERROR(_xlfn.XMATCH(C693,_xlpm.r),IFERROR(_xlfn.XMATCH(VALUE(C693),_xlpm.r),0)),IF(_xlpm.m=0,"",_xlpm.m+1))</f>
        <v/>
      </c>
      <c r="J693" s="137" t="inlineStr">
        <is>
          <t>Odoo</t>
        </is>
      </c>
    </row>
    <row r="694">
      <c r="A694" s="5" t="inlineStr">
        <is>
          <t>Odoo Universal Unique Brands › Bodega 25 › Bodega 25/General</t>
        </is>
      </c>
      <c r="B694" s="5">
        <f>IF($I2="","",INDEX(Productos!$A:$A,$I2))</f>
        <v/>
      </c>
      <c r="C694" s="134" t="inlineStr">
        <is>
          <t>WG162-W0331CF</t>
        </is>
      </c>
      <c r="D694" s="5">
        <f>IF($I2="","",INDEX(Productos!$B:$B,$I2))</f>
        <v/>
      </c>
      <c r="E694" s="5">
        <f>IF($I2="","",INDEX(Productos!$H:$H,$I2))</f>
        <v/>
      </c>
      <c r="F694" s="5">
        <f>IF($I2="","",INDEX(Productos!$I:$I,$I2))</f>
        <v/>
      </c>
      <c r="G694" s="135" t="n">
        <v>26</v>
      </c>
      <c r="H694" s="5">
        <f>IF($I2="","",INDEX(Productos!$AG:$AG,$I2))</f>
        <v/>
      </c>
      <c r="I694" s="136">
        <f>LET(_xlpm.r,Productos!$E$2:$E$1063,_xlpm.m,IFERROR(_xlfn.XMATCH(C694,_xlpm.r),IFERROR(_xlfn.XMATCH(VALUE(C694),_xlpm.r),0)),IF(_xlpm.m=0,"",_xlpm.m+1))</f>
        <v/>
      </c>
      <c r="J694" s="137" t="inlineStr">
        <is>
          <t>Odoo</t>
        </is>
      </c>
    </row>
    <row r="695">
      <c r="A695" s="5" t="inlineStr">
        <is>
          <t>Odoo Universal Unique Brands › Bodega 25 › Bodega 25/General</t>
        </is>
      </c>
      <c r="B695" s="5">
        <f>IF($I2="","",INDEX(Productos!$A:$A,$I2))</f>
        <v/>
      </c>
      <c r="C695" s="134" t="inlineStr">
        <is>
          <t>WG162-W0332BG</t>
        </is>
      </c>
      <c r="D695" s="5">
        <f>IF($I2="","",INDEX(Productos!$B:$B,$I2))</f>
        <v/>
      </c>
      <c r="E695" s="5">
        <f>IF($I2="","",INDEX(Productos!$H:$H,$I2))</f>
        <v/>
      </c>
      <c r="F695" s="5">
        <f>IF($I2="","",INDEX(Productos!$I:$I,$I2))</f>
        <v/>
      </c>
      <c r="G695" s="135" t="n">
        <v>17</v>
      </c>
      <c r="H695" s="5">
        <f>IF($I2="","",INDEX(Productos!$AG:$AG,$I2))</f>
        <v/>
      </c>
      <c r="I695" s="136">
        <f>LET(_xlpm.r,Productos!$E$2:$E$1063,_xlpm.m,IFERROR(_xlfn.XMATCH(C695,_xlpm.r),IFERROR(_xlfn.XMATCH(VALUE(C695),_xlpm.r),0)),IF(_xlpm.m=0,"",_xlpm.m+1))</f>
        <v/>
      </c>
      <c r="J695" s="137" t="inlineStr">
        <is>
          <t>Odoo</t>
        </is>
      </c>
    </row>
    <row r="696">
      <c r="A696" s="5" t="inlineStr">
        <is>
          <t>Odoo Universal Unique Brands › Bodega 25 › Bodega 25/General</t>
        </is>
      </c>
      <c r="B696" s="5">
        <f>IF($I2="","",INDEX(Productos!$A:$A,$I2))</f>
        <v/>
      </c>
      <c r="C696" s="134" t="inlineStr">
        <is>
          <t>WG162-W0332BR</t>
        </is>
      </c>
      <c r="D696" s="5">
        <f>IF($I2="","",INDEX(Productos!$B:$B,$I2))</f>
        <v/>
      </c>
      <c r="E696" s="5">
        <f>IF($I2="","",INDEX(Productos!$H:$H,$I2))</f>
        <v/>
      </c>
      <c r="F696" s="5">
        <f>IF($I2="","",INDEX(Productos!$I:$I,$I2))</f>
        <v/>
      </c>
      <c r="G696" s="135" t="n">
        <v>13</v>
      </c>
      <c r="H696" s="5">
        <f>IF($I2="","",INDEX(Productos!$AG:$AG,$I2))</f>
        <v/>
      </c>
      <c r="I696" s="136">
        <f>LET(_xlpm.r,Productos!$E$2:$E$1063,_xlpm.m,IFERROR(_xlfn.XMATCH(C696,_xlpm.r),IFERROR(_xlfn.XMATCH(VALUE(C696),_xlpm.r),0)),IF(_xlpm.m=0,"",_xlpm.m+1))</f>
        <v/>
      </c>
      <c r="J696" s="137" t="inlineStr">
        <is>
          <t>Odoo</t>
        </is>
      </c>
    </row>
    <row r="697">
      <c r="A697" s="5" t="inlineStr">
        <is>
          <t>Odoo Universal Unique Brands › Bodega 25 › Bodega 25/General</t>
        </is>
      </c>
      <c r="B697" s="5">
        <f>IF($I2="","",INDEX(Productos!$A:$A,$I2))</f>
        <v/>
      </c>
      <c r="C697" s="134" t="inlineStr">
        <is>
          <t>WG164-1830BK</t>
        </is>
      </c>
      <c r="D697" s="5">
        <f>IF($I2="","",INDEX(Productos!$B:$B,$I2))</f>
        <v/>
      </c>
      <c r="E697" s="5">
        <f>IF($I2="","",INDEX(Productos!$H:$H,$I2))</f>
        <v/>
      </c>
      <c r="F697" s="5">
        <f>IF($I2="","",INDEX(Productos!$I:$I,$I2))</f>
        <v/>
      </c>
      <c r="G697" s="135" t="n">
        <v>9</v>
      </c>
      <c r="H697" s="5">
        <f>IF($I2="","",INDEX(Productos!$AG:$AG,$I2))</f>
        <v/>
      </c>
      <c r="I697" s="136">
        <f>LET(_xlpm.r,Productos!$E$2:$E$1063,_xlpm.m,IFERROR(_xlfn.XMATCH(C697,_xlpm.r),IFERROR(_xlfn.XMATCH(VALUE(C697),_xlpm.r),0)),IF(_xlpm.m=0,"",_xlpm.m+1))</f>
        <v/>
      </c>
      <c r="J697" s="137" t="inlineStr">
        <is>
          <t>Odoo</t>
        </is>
      </c>
    </row>
    <row r="698">
      <c r="A698" s="5" t="inlineStr">
        <is>
          <t>Odoo Universal Unique Brands › Bodega 25 › Bodega 25/General</t>
        </is>
      </c>
      <c r="B698" s="5">
        <f>IF($I2="","",INDEX(Productos!$A:$A,$I2))</f>
        <v/>
      </c>
      <c r="C698" s="134" t="inlineStr">
        <is>
          <t>WG164-1830BR</t>
        </is>
      </c>
      <c r="D698" s="5">
        <f>IF($I2="","",INDEX(Productos!$B:$B,$I2))</f>
        <v/>
      </c>
      <c r="E698" s="5">
        <f>IF($I2="","",INDEX(Productos!$H:$H,$I2))</f>
        <v/>
      </c>
      <c r="F698" s="5">
        <f>IF($I2="","",INDEX(Productos!$I:$I,$I2))</f>
        <v/>
      </c>
      <c r="G698" s="135" t="n">
        <v>1</v>
      </c>
      <c r="H698" s="5">
        <f>IF($I2="","",INDEX(Productos!$AG:$AG,$I2))</f>
        <v/>
      </c>
      <c r="I698" s="136">
        <f>LET(_xlpm.r,Productos!$E$2:$E$1063,_xlpm.m,IFERROR(_xlfn.XMATCH(C698,_xlpm.r),IFERROR(_xlfn.XMATCH(VALUE(C698),_xlpm.r),0)),IF(_xlpm.m=0,"",_xlpm.m+1))</f>
        <v/>
      </c>
      <c r="J698" s="137" t="inlineStr">
        <is>
          <t>Odoo</t>
        </is>
      </c>
    </row>
    <row r="699">
      <c r="A699" s="5" t="inlineStr">
        <is>
          <t>Odoo Universal Unique Brands › Bodega 25 › Bodega 25/General</t>
        </is>
      </c>
      <c r="B699" s="5">
        <f>IF($I2="","",INDEX(Productos!$A:$A,$I2))</f>
        <v/>
      </c>
      <c r="C699" s="134" t="inlineStr">
        <is>
          <t>WG164-1831BR</t>
        </is>
      </c>
      <c r="D699" s="5">
        <f>IF($I2="","",INDEX(Productos!$B:$B,$I2))</f>
        <v/>
      </c>
      <c r="E699" s="5">
        <f>IF($I2="","",INDEX(Productos!$H:$H,$I2))</f>
        <v/>
      </c>
      <c r="F699" s="5">
        <f>IF($I2="","",INDEX(Productos!$I:$I,$I2))</f>
        <v/>
      </c>
      <c r="G699" s="135" t="n">
        <v>49</v>
      </c>
      <c r="H699" s="5">
        <f>IF($I2="","",INDEX(Productos!$AG:$AG,$I2))</f>
        <v/>
      </c>
      <c r="I699" s="136">
        <f>LET(_xlpm.r,Productos!$E$2:$E$1063,_xlpm.m,IFERROR(_xlfn.XMATCH(C699,_xlpm.r),IFERROR(_xlfn.XMATCH(VALUE(C699),_xlpm.r),0)),IF(_xlpm.m=0,"",_xlpm.m+1))</f>
        <v/>
      </c>
      <c r="J699" s="137" t="inlineStr">
        <is>
          <t>Odoo</t>
        </is>
      </c>
    </row>
    <row r="700">
      <c r="A700" s="5" t="inlineStr">
        <is>
          <t>Odoo Universal Unique Brands › Bodega 25 › Bodega 25/General</t>
        </is>
      </c>
      <c r="B700" s="5">
        <f>IF($I2="","",INDEX(Productos!$A:$A,$I2))</f>
        <v/>
      </c>
      <c r="C700" s="134" t="inlineStr">
        <is>
          <t>WG164-210BK</t>
        </is>
      </c>
      <c r="D700" s="5">
        <f>IF($I2="","",INDEX(Productos!$B:$B,$I2))</f>
        <v/>
      </c>
      <c r="E700" s="5">
        <f>IF($I2="","",INDEX(Productos!$H:$H,$I2))</f>
        <v/>
      </c>
      <c r="F700" s="5">
        <f>IF($I2="","",INDEX(Productos!$I:$I,$I2))</f>
        <v/>
      </c>
      <c r="G700" s="135" t="n">
        <v>11</v>
      </c>
      <c r="H700" s="5">
        <f>IF($I2="","",INDEX(Productos!$AG:$AG,$I2))</f>
        <v/>
      </c>
      <c r="I700" s="136">
        <f>LET(_xlpm.r,Productos!$E$2:$E$1063,_xlpm.m,IFERROR(_xlfn.XMATCH(C700,_xlpm.r),IFERROR(_xlfn.XMATCH(VALUE(C700),_xlpm.r),0)),IF(_xlpm.m=0,"",_xlpm.m+1))</f>
        <v/>
      </c>
      <c r="J700" s="137" t="inlineStr">
        <is>
          <t>Odoo</t>
        </is>
      </c>
    </row>
    <row r="701">
      <c r="A701" s="5" t="inlineStr">
        <is>
          <t>Odoo Universal Unique Brands › Bodega 25 › Bodega 25/General</t>
        </is>
      </c>
      <c r="B701" s="5">
        <f>IF($I2="","",INDEX(Productos!$A:$A,$I2))</f>
        <v/>
      </c>
      <c r="C701" s="134" t="inlineStr">
        <is>
          <t>WG164-210JN</t>
        </is>
      </c>
      <c r="D701" s="5">
        <f>IF($I2="","",INDEX(Productos!$B:$B,$I2))</f>
        <v/>
      </c>
      <c r="E701" s="5">
        <f>IF($I2="","",INDEX(Productos!$H:$H,$I2))</f>
        <v/>
      </c>
      <c r="F701" s="5">
        <f>IF($I2="","",INDEX(Productos!$I:$I,$I2))</f>
        <v/>
      </c>
      <c r="G701" s="135" t="n">
        <v>14</v>
      </c>
      <c r="H701" s="5">
        <f>IF($I2="","",INDEX(Productos!$AG:$AG,$I2))</f>
        <v/>
      </c>
      <c r="I701" s="136">
        <f>LET(_xlpm.r,Productos!$E$2:$E$1063,_xlpm.m,IFERROR(_xlfn.XMATCH(C701,_xlpm.r),IFERROR(_xlfn.XMATCH(VALUE(C701),_xlpm.r),0)),IF(_xlpm.m=0,"",_xlpm.m+1))</f>
        <v/>
      </c>
      <c r="J701" s="137" t="inlineStr">
        <is>
          <t>Odoo</t>
        </is>
      </c>
    </row>
    <row r="702">
      <c r="A702" s="5" t="inlineStr">
        <is>
          <t>Odoo Universal Unique Brands › Bodega 25 › Bodega 25/General</t>
        </is>
      </c>
      <c r="B702" s="5">
        <f>IF($I2="","",INDEX(Productos!$A:$A,$I2))</f>
        <v/>
      </c>
      <c r="C702" s="134" t="inlineStr">
        <is>
          <t>WG164-W006BK</t>
        </is>
      </c>
      <c r="D702" s="5">
        <f>IF($I2="","",INDEX(Productos!$B:$B,$I2))</f>
        <v/>
      </c>
      <c r="E702" s="5">
        <f>IF($I2="","",INDEX(Productos!$H:$H,$I2))</f>
        <v/>
      </c>
      <c r="F702" s="5">
        <f>IF($I2="","",INDEX(Productos!$I:$I,$I2))</f>
        <v/>
      </c>
      <c r="G702" s="135" t="n">
        <v>2</v>
      </c>
      <c r="H702" s="5">
        <f>IF($I2="","",INDEX(Productos!$AG:$AG,$I2))</f>
        <v/>
      </c>
      <c r="I702" s="136">
        <f>LET(_xlpm.r,Productos!$E$2:$E$1063,_xlpm.m,IFERROR(_xlfn.XMATCH(C702,_xlpm.r),IFERROR(_xlfn.XMATCH(VALUE(C702),_xlpm.r),0)),IF(_xlpm.m=0,"",_xlpm.m+1))</f>
        <v/>
      </c>
      <c r="J702" s="137" t="inlineStr">
        <is>
          <t>Odoo</t>
        </is>
      </c>
    </row>
    <row r="703">
      <c r="A703" s="5" t="inlineStr">
        <is>
          <t>Odoo Universal Unique Brands › Bodega 25 › Bodega 25/General</t>
        </is>
      </c>
      <c r="B703" s="5">
        <f>IF($I2="","",INDEX(Productos!$A:$A,$I2))</f>
        <v/>
      </c>
      <c r="C703" s="134" t="inlineStr">
        <is>
          <t>WG164-W006BR</t>
        </is>
      </c>
      <c r="D703" s="5">
        <f>IF($I2="","",INDEX(Productos!$B:$B,$I2))</f>
        <v/>
      </c>
      <c r="E703" s="5">
        <f>IF($I2="","",INDEX(Productos!$H:$H,$I2))</f>
        <v/>
      </c>
      <c r="F703" s="5">
        <f>IF($I2="","",INDEX(Productos!$I:$I,$I2))</f>
        <v/>
      </c>
      <c r="G703" s="135" t="n">
        <v>4</v>
      </c>
      <c r="H703" s="5">
        <f>IF($I2="","",INDEX(Productos!$AG:$AG,$I2))</f>
        <v/>
      </c>
      <c r="I703" s="136">
        <f>LET(_xlpm.r,Productos!$E$2:$E$1063,_xlpm.m,IFERROR(_xlfn.XMATCH(C703,_xlpm.r),IFERROR(_xlfn.XMATCH(VALUE(C703),_xlpm.r),0)),IF(_xlpm.m=0,"",_xlpm.m+1))</f>
        <v/>
      </c>
      <c r="J703" s="137" t="inlineStr">
        <is>
          <t>Odoo</t>
        </is>
      </c>
    </row>
    <row r="704">
      <c r="A704" s="5" t="inlineStr">
        <is>
          <t>Odoo Universal Unique Brands › Bodega 25 › Bodega 25/General</t>
        </is>
      </c>
      <c r="B704" s="5">
        <f>IF($I2="","",INDEX(Productos!$A:$A,$I2))</f>
        <v/>
      </c>
      <c r="C704" s="134" t="inlineStr">
        <is>
          <t>WG164-W006JN</t>
        </is>
      </c>
      <c r="D704" s="5">
        <f>IF($I2="","",INDEX(Productos!$B:$B,$I2))</f>
        <v/>
      </c>
      <c r="E704" s="5">
        <f>IF($I2="","",INDEX(Productos!$H:$H,$I2))</f>
        <v/>
      </c>
      <c r="F704" s="5">
        <f>IF($I2="","",INDEX(Productos!$I:$I,$I2))</f>
        <v/>
      </c>
      <c r="G704" s="135" t="n">
        <v>26</v>
      </c>
      <c r="H704" s="5">
        <f>IF($I2="","",INDEX(Productos!$AG:$AG,$I2))</f>
        <v/>
      </c>
      <c r="I704" s="136">
        <f>LET(_xlpm.r,Productos!$E$2:$E$1063,_xlpm.m,IFERROR(_xlfn.XMATCH(C704,_xlpm.r),IFERROR(_xlfn.XMATCH(VALUE(C704),_xlpm.r),0)),IF(_xlpm.m=0,"",_xlpm.m+1))</f>
        <v/>
      </c>
      <c r="J704" s="137" t="inlineStr">
        <is>
          <t>Odoo</t>
        </is>
      </c>
    </row>
    <row r="705">
      <c r="A705" s="5" t="inlineStr">
        <is>
          <t>Odoo Universal Unique Brands › Bodega 25 › Bodega 25/General</t>
        </is>
      </c>
      <c r="B705" s="5">
        <f>IF($I2="","",INDEX(Productos!$A:$A,$I2))</f>
        <v/>
      </c>
      <c r="C705" s="134" t="inlineStr">
        <is>
          <t>WG166-8120SBK</t>
        </is>
      </c>
      <c r="D705" s="5">
        <f>IF($I2="","",INDEX(Productos!$B:$B,$I2))</f>
        <v/>
      </c>
      <c r="E705" s="5">
        <f>IF($I2="","",INDEX(Productos!$H:$H,$I2))</f>
        <v/>
      </c>
      <c r="F705" s="5">
        <f>IF($I2="","",INDEX(Productos!$I:$I,$I2))</f>
        <v/>
      </c>
      <c r="G705" s="135" t="n">
        <v>32</v>
      </c>
      <c r="H705" s="5">
        <f>IF($I2="","",INDEX(Productos!$AG:$AG,$I2))</f>
        <v/>
      </c>
      <c r="I705" s="136">
        <f>LET(_xlpm.r,Productos!$E$2:$E$1063,_xlpm.m,IFERROR(_xlfn.XMATCH(C705,_xlpm.r),IFERROR(_xlfn.XMATCH(VALUE(C705),_xlpm.r),0)),IF(_xlpm.m=0,"",_xlpm.m+1))</f>
        <v/>
      </c>
      <c r="J705" s="137" t="inlineStr">
        <is>
          <t>Odoo</t>
        </is>
      </c>
    </row>
    <row r="706">
      <c r="A706" s="5" t="inlineStr">
        <is>
          <t>Odoo Universal Unique Brands › Bodega 25 › Bodega 25/General</t>
        </is>
      </c>
      <c r="B706" s="5">
        <f>IF($I2="","",INDEX(Productos!$A:$A,$I2))</f>
        <v/>
      </c>
      <c r="C706" s="134" t="inlineStr">
        <is>
          <t>WG166-8120SBR</t>
        </is>
      </c>
      <c r="D706" s="5">
        <f>IF($I2="","",INDEX(Productos!$B:$B,$I2))</f>
        <v/>
      </c>
      <c r="E706" s="5">
        <f>IF($I2="","",INDEX(Productos!$H:$H,$I2))</f>
        <v/>
      </c>
      <c r="F706" s="5">
        <f>IF($I2="","",INDEX(Productos!$I:$I,$I2))</f>
        <v/>
      </c>
      <c r="G706" s="135" t="n">
        <v>127</v>
      </c>
      <c r="H706" s="5">
        <f>IF($I2="","",INDEX(Productos!$AG:$AG,$I2))</f>
        <v/>
      </c>
      <c r="I706" s="136">
        <f>LET(_xlpm.r,Productos!$E$2:$E$1063,_xlpm.m,IFERROR(_xlfn.XMATCH(C706,_xlpm.r),IFERROR(_xlfn.XMATCH(VALUE(C706),_xlpm.r),0)),IF(_xlpm.m=0,"",_xlpm.m+1))</f>
        <v/>
      </c>
      <c r="J706" s="137" t="inlineStr">
        <is>
          <t>Odoo</t>
        </is>
      </c>
    </row>
    <row r="707">
      <c r="A707" s="5" t="inlineStr">
        <is>
          <t>Odoo Universal Unique Brands › Bodega 25 › Bodega 25/General</t>
        </is>
      </c>
      <c r="B707" s="5">
        <f>IF($I2="","",INDEX(Productos!$A:$A,$I2))</f>
        <v/>
      </c>
      <c r="C707" s="134" t="inlineStr">
        <is>
          <t>WG166-W0051BK</t>
        </is>
      </c>
      <c r="D707" s="5">
        <f>IF($I2="","",INDEX(Productos!$B:$B,$I2))</f>
        <v/>
      </c>
      <c r="E707" s="5">
        <f>IF($I2="","",INDEX(Productos!$H:$H,$I2))</f>
        <v/>
      </c>
      <c r="F707" s="5">
        <f>IF($I2="","",INDEX(Productos!$I:$I,$I2))</f>
        <v/>
      </c>
      <c r="G707" s="135" t="n">
        <v>2</v>
      </c>
      <c r="H707" s="5">
        <f>IF($I2="","",INDEX(Productos!$AG:$AG,$I2))</f>
        <v/>
      </c>
      <c r="I707" s="136">
        <f>LET(_xlpm.r,Productos!$E$2:$E$1063,_xlpm.m,IFERROR(_xlfn.XMATCH(C707,_xlpm.r),IFERROR(_xlfn.XMATCH(VALUE(C707),_xlpm.r),0)),IF(_xlpm.m=0,"",_xlpm.m+1))</f>
        <v/>
      </c>
      <c r="J707" s="137" t="inlineStr">
        <is>
          <t>Odoo</t>
        </is>
      </c>
    </row>
    <row r="708">
      <c r="A708" s="5" t="inlineStr">
        <is>
          <t>Odoo Universal Unique Brands › Bodega 25 › Bodega 25/General</t>
        </is>
      </c>
      <c r="B708" s="5">
        <f>IF($I2="","",INDEX(Productos!$A:$A,$I2))</f>
        <v/>
      </c>
      <c r="C708" s="134" t="inlineStr">
        <is>
          <t>WG166-W0051BR</t>
        </is>
      </c>
      <c r="D708" s="5">
        <f>IF($I2="","",INDEX(Productos!$B:$B,$I2))</f>
        <v/>
      </c>
      <c r="E708" s="5">
        <f>IF($I2="","",INDEX(Productos!$H:$H,$I2))</f>
        <v/>
      </c>
      <c r="F708" s="5">
        <f>IF($I2="","",INDEX(Productos!$I:$I,$I2))</f>
        <v/>
      </c>
      <c r="G708" s="135" t="n">
        <v>158</v>
      </c>
      <c r="H708" s="5">
        <f>IF($I2="","",INDEX(Productos!$AG:$AG,$I2))</f>
        <v/>
      </c>
      <c r="I708" s="136">
        <f>LET(_xlpm.r,Productos!$E$2:$E$1063,_xlpm.m,IFERROR(_xlfn.XMATCH(C708,_xlpm.r),IFERROR(_xlfn.XMATCH(VALUE(C708),_xlpm.r),0)),IF(_xlpm.m=0,"",_xlpm.m+1))</f>
        <v/>
      </c>
      <c r="J708" s="137" t="inlineStr">
        <is>
          <t>Odoo</t>
        </is>
      </c>
    </row>
    <row r="709">
      <c r="A709" s="5" t="inlineStr">
        <is>
          <t>Odoo Universal Unique Brands › Bodega 25 › Bodega 25/General</t>
        </is>
      </c>
      <c r="B709" s="5">
        <f>IF($I2="","",INDEX(Productos!$A:$A,$I2))</f>
        <v/>
      </c>
      <c r="C709" s="134" t="inlineStr">
        <is>
          <t>WG166-W0051CF</t>
        </is>
      </c>
      <c r="D709" s="5">
        <f>IF($I2="","",INDEX(Productos!$B:$B,$I2))</f>
        <v/>
      </c>
      <c r="E709" s="5">
        <f>IF($I2="","",INDEX(Productos!$H:$H,$I2))</f>
        <v/>
      </c>
      <c r="F709" s="5">
        <f>IF($I2="","",INDEX(Productos!$I:$I,$I2))</f>
        <v/>
      </c>
      <c r="G709" s="135" t="n">
        <v>41</v>
      </c>
      <c r="H709" s="5">
        <f>IF($I2="","",INDEX(Productos!$AG:$AG,$I2))</f>
        <v/>
      </c>
      <c r="I709" s="136">
        <f>LET(_xlpm.r,Productos!$E$2:$E$1063,_xlpm.m,IFERROR(_xlfn.XMATCH(C709,_xlpm.r),IFERROR(_xlfn.XMATCH(VALUE(C709),_xlpm.r),0)),IF(_xlpm.m=0,"",_xlpm.m+1))</f>
        <v/>
      </c>
      <c r="J709" s="137" t="inlineStr">
        <is>
          <t>Odoo</t>
        </is>
      </c>
    </row>
    <row r="710">
      <c r="A710" s="5" t="inlineStr">
        <is>
          <t>Odoo Universal Unique Brands › Bodega 25 › Bodega 25/General</t>
        </is>
      </c>
      <c r="B710" s="5">
        <f>IF($I2="","",INDEX(Productos!$A:$A,$I2))</f>
        <v/>
      </c>
      <c r="C710" s="134" t="inlineStr">
        <is>
          <t>WG166G-8120CF</t>
        </is>
      </c>
      <c r="D710" s="5">
        <f>IF($I2="","",INDEX(Productos!$B:$B,$I2))</f>
        <v/>
      </c>
      <c r="E710" s="5">
        <f>IF($I2="","",INDEX(Productos!$H:$H,$I2))</f>
        <v/>
      </c>
      <c r="F710" s="5">
        <f>IF($I2="","",INDEX(Productos!$I:$I,$I2))</f>
        <v/>
      </c>
      <c r="G710" s="135" t="n">
        <v>42</v>
      </c>
      <c r="H710" s="5">
        <f>IF($I2="","",INDEX(Productos!$AG:$AG,$I2))</f>
        <v/>
      </c>
      <c r="I710" s="136">
        <f>LET(_xlpm.r,Productos!$E$2:$E$1063,_xlpm.m,IFERROR(_xlfn.XMATCH(C710,_xlpm.r),IFERROR(_xlfn.XMATCH(VALUE(C710),_xlpm.r),0)),IF(_xlpm.m=0,"",_xlpm.m+1))</f>
        <v/>
      </c>
      <c r="J710" s="137" t="inlineStr">
        <is>
          <t>Odoo</t>
        </is>
      </c>
    </row>
    <row r="711">
      <c r="A711" s="5" t="inlineStr">
        <is>
          <t>Odoo Universal Unique Brands › Bodega 25 › Bodega 25/General</t>
        </is>
      </c>
      <c r="B711" s="5">
        <f>IF($I2="","",INDEX(Productos!$A:$A,$I2))</f>
        <v/>
      </c>
      <c r="C711" s="134" t="inlineStr">
        <is>
          <t>WG168-W012BK</t>
        </is>
      </c>
      <c r="D711" s="5">
        <f>IF($I2="","",INDEX(Productos!$B:$B,$I2))</f>
        <v/>
      </c>
      <c r="E711" s="5">
        <f>IF($I2="","",INDEX(Productos!$H:$H,$I2))</f>
        <v/>
      </c>
      <c r="F711" s="5">
        <f>IF($I2="","",INDEX(Productos!$I:$I,$I2))</f>
        <v/>
      </c>
      <c r="G711" s="135" t="n">
        <v>2</v>
      </c>
      <c r="H711" s="5">
        <f>IF($I2="","",INDEX(Productos!$AG:$AG,$I2))</f>
        <v/>
      </c>
      <c r="I711" s="136">
        <f>LET(_xlpm.r,Productos!$E$2:$E$1063,_xlpm.m,IFERROR(_xlfn.XMATCH(C711,_xlpm.r),IFERROR(_xlfn.XMATCH(VALUE(C711),_xlpm.r),0)),IF(_xlpm.m=0,"",_xlpm.m+1))</f>
        <v/>
      </c>
      <c r="J711" s="137" t="inlineStr">
        <is>
          <t>Odoo</t>
        </is>
      </c>
    </row>
    <row r="712">
      <c r="A712" s="5" t="inlineStr">
        <is>
          <t>Odoo Universal Unique Brands › Bodega 25 › Bodega 25/General</t>
        </is>
      </c>
      <c r="B712" s="5">
        <f>IF($I2="","",INDEX(Productos!$A:$A,$I2))</f>
        <v/>
      </c>
      <c r="C712" s="134" t="inlineStr">
        <is>
          <t>WG168-W012BR</t>
        </is>
      </c>
      <c r="D712" s="5">
        <f>IF($I2="","",INDEX(Productos!$B:$B,$I2))</f>
        <v/>
      </c>
      <c r="E712" s="5">
        <f>IF($I2="","",INDEX(Productos!$H:$H,$I2))</f>
        <v/>
      </c>
      <c r="F712" s="5">
        <f>IF($I2="","",INDEX(Productos!$I:$I,$I2))</f>
        <v/>
      </c>
      <c r="G712" s="135" t="n">
        <v>26</v>
      </c>
      <c r="H712" s="5">
        <f>IF($I2="","",INDEX(Productos!$AG:$AG,$I2))</f>
        <v/>
      </c>
      <c r="I712" s="136">
        <f>LET(_xlpm.r,Productos!$E$2:$E$1063,_xlpm.m,IFERROR(_xlfn.XMATCH(C712,_xlpm.r),IFERROR(_xlfn.XMATCH(VALUE(C712),_xlpm.r),0)),IF(_xlpm.m=0,"",_xlpm.m+1))</f>
        <v/>
      </c>
      <c r="J712" s="137" t="inlineStr">
        <is>
          <t>Odoo</t>
        </is>
      </c>
    </row>
    <row r="713">
      <c r="A713" s="5" t="inlineStr">
        <is>
          <t>Odoo Universal Unique Brands › Bodega 25 › Bodega 25/General</t>
        </is>
      </c>
      <c r="B713" s="5">
        <f>IF($I2="","",INDEX(Productos!$A:$A,$I2))</f>
        <v/>
      </c>
      <c r="C713" s="134" t="inlineStr">
        <is>
          <t>WG168-W012CF</t>
        </is>
      </c>
      <c r="D713" s="5">
        <f>IF($I2="","",INDEX(Productos!$B:$B,$I2))</f>
        <v/>
      </c>
      <c r="E713" s="5">
        <f>IF($I2="","",INDEX(Productos!$H:$H,$I2))</f>
        <v/>
      </c>
      <c r="F713" s="5">
        <f>IF($I2="","",INDEX(Productos!$I:$I,$I2))</f>
        <v/>
      </c>
      <c r="G713" s="135" t="n">
        <v>2</v>
      </c>
      <c r="H713" s="5">
        <f>IF($I2="","",INDEX(Productos!$AG:$AG,$I2))</f>
        <v/>
      </c>
      <c r="I713" s="136">
        <f>LET(_xlpm.r,Productos!$E$2:$E$1063,_xlpm.m,IFERROR(_xlfn.XMATCH(C713,_xlpm.r),IFERROR(_xlfn.XMATCH(VALUE(C713),_xlpm.r),0)),IF(_xlpm.m=0,"",_xlpm.m+1))</f>
        <v/>
      </c>
      <c r="J713" s="137" t="inlineStr">
        <is>
          <t>Odoo</t>
        </is>
      </c>
    </row>
    <row r="714">
      <c r="A714" s="5" t="inlineStr">
        <is>
          <t>Odoo Universal Unique Brands › Bodega 25 › Bodega 25/General</t>
        </is>
      </c>
      <c r="B714" s="5">
        <f>IF($I2="","",INDEX(Productos!$A:$A,$I2))</f>
        <v/>
      </c>
      <c r="C714" s="134" t="inlineStr">
        <is>
          <t>WG169-1812CF</t>
        </is>
      </c>
      <c r="D714" s="5">
        <f>IF($I2="","",INDEX(Productos!$B:$B,$I2))</f>
        <v/>
      </c>
      <c r="E714" s="5">
        <f>IF($I2="","",INDEX(Productos!$H:$H,$I2))</f>
        <v/>
      </c>
      <c r="F714" s="5">
        <f>IF($I2="","",INDEX(Productos!$I:$I,$I2))</f>
        <v/>
      </c>
      <c r="G714" s="135" t="n">
        <v>22</v>
      </c>
      <c r="H714" s="5">
        <f>IF($I2="","",INDEX(Productos!$AG:$AG,$I2))</f>
        <v/>
      </c>
      <c r="I714" s="136">
        <f>LET(_xlpm.r,Productos!$E$2:$E$1063,_xlpm.m,IFERROR(_xlfn.XMATCH(C714,_xlpm.r),IFERROR(_xlfn.XMATCH(VALUE(C714),_xlpm.r),0)),IF(_xlpm.m=0,"",_xlpm.m+1))</f>
        <v/>
      </c>
      <c r="J714" s="137" t="inlineStr">
        <is>
          <t>Odoo</t>
        </is>
      </c>
    </row>
    <row r="715">
      <c r="A715" s="5" t="inlineStr">
        <is>
          <t>Odoo Universal Unique Brands › Bodega 25 › Bodega 25/General</t>
        </is>
      </c>
      <c r="B715" s="5">
        <f>IF($I2="","",INDEX(Productos!$A:$A,$I2))</f>
        <v/>
      </c>
      <c r="C715" s="134" t="inlineStr">
        <is>
          <t>WG169-2022BR</t>
        </is>
      </c>
      <c r="D715" s="5">
        <f>IF($I2="","",INDEX(Productos!$B:$B,$I2))</f>
        <v/>
      </c>
      <c r="E715" s="5">
        <f>IF($I2="","",INDEX(Productos!$H:$H,$I2))</f>
        <v/>
      </c>
      <c r="F715" s="5">
        <f>IF($I2="","",INDEX(Productos!$I:$I,$I2))</f>
        <v/>
      </c>
      <c r="G715" s="135" t="n">
        <v>49</v>
      </c>
      <c r="H715" s="5">
        <f>IF($I2="","",INDEX(Productos!$AG:$AG,$I2))</f>
        <v/>
      </c>
      <c r="I715" s="136">
        <f>LET(_xlpm.r,Productos!$E$2:$E$1063,_xlpm.m,IFERROR(_xlfn.XMATCH(C715,_xlpm.r),IFERROR(_xlfn.XMATCH(VALUE(C715),_xlpm.r),0)),IF(_xlpm.m=0,"",_xlpm.m+1))</f>
        <v/>
      </c>
      <c r="J715" s="137" t="inlineStr">
        <is>
          <t>Odoo</t>
        </is>
      </c>
    </row>
    <row r="716">
      <c r="A716" s="5" t="inlineStr">
        <is>
          <t>Odoo Universal Unique Brands › Bodega 25 › Bodega 25/General</t>
        </is>
      </c>
      <c r="B716" s="5">
        <f>IF($I2="","",INDEX(Productos!$A:$A,$I2))</f>
        <v/>
      </c>
      <c r="C716" s="134" t="inlineStr">
        <is>
          <t>WG169-2022CF</t>
        </is>
      </c>
      <c r="D716" s="5">
        <f>IF($I2="","",INDEX(Productos!$B:$B,$I2))</f>
        <v/>
      </c>
      <c r="E716" s="5">
        <f>IF($I2="","",INDEX(Productos!$H:$H,$I2))</f>
        <v/>
      </c>
      <c r="F716" s="5">
        <f>IF($I2="","",INDEX(Productos!$I:$I,$I2))</f>
        <v/>
      </c>
      <c r="G716" s="135" t="n">
        <v>112</v>
      </c>
      <c r="H716" s="5">
        <f>IF($I2="","",INDEX(Productos!$AG:$AG,$I2))</f>
        <v/>
      </c>
      <c r="I716" s="136">
        <f>LET(_xlpm.r,Productos!$E$2:$E$1063,_xlpm.m,IFERROR(_xlfn.XMATCH(C716,_xlpm.r),IFERROR(_xlfn.XMATCH(VALUE(C716),_xlpm.r),0)),IF(_xlpm.m=0,"",_xlpm.m+1))</f>
        <v/>
      </c>
      <c r="J716" s="137" t="inlineStr">
        <is>
          <t>Odoo</t>
        </is>
      </c>
    </row>
    <row r="717">
      <c r="A717" s="5" t="inlineStr">
        <is>
          <t>Odoo Universal Unique Brands › Bodega 25 › Bodega 25/General</t>
        </is>
      </c>
      <c r="B717" s="5">
        <f>IF($I2="","",INDEX(Productos!$A:$A,$I2))</f>
        <v/>
      </c>
      <c r="C717" s="134" t="inlineStr">
        <is>
          <t>WG169-9112BR</t>
        </is>
      </c>
      <c r="D717" s="5">
        <f>IF($I2="","",INDEX(Productos!$B:$B,$I2))</f>
        <v/>
      </c>
      <c r="E717" s="5">
        <f>IF($I2="","",INDEX(Productos!$H:$H,$I2))</f>
        <v/>
      </c>
      <c r="F717" s="5">
        <f>IF($I2="","",INDEX(Productos!$I:$I,$I2))</f>
        <v/>
      </c>
      <c r="G717" s="135" t="n">
        <v>2</v>
      </c>
      <c r="H717" s="5">
        <f>IF($I2="","",INDEX(Productos!$AG:$AG,$I2))</f>
        <v/>
      </c>
      <c r="I717" s="136">
        <f>LET(_xlpm.r,Productos!$E$2:$E$1063,_xlpm.m,IFERROR(_xlfn.XMATCH(C717,_xlpm.r),IFERROR(_xlfn.XMATCH(VALUE(C717),_xlpm.r),0)),IF(_xlpm.m=0,"",_xlpm.m+1))</f>
        <v/>
      </c>
      <c r="J717" s="137" t="inlineStr">
        <is>
          <t>Odoo</t>
        </is>
      </c>
    </row>
    <row r="718">
      <c r="A718" s="5" t="inlineStr">
        <is>
          <t>Odoo Universal Unique Brands › Bodega 25 › Bodega 25/General</t>
        </is>
      </c>
      <c r="B718" s="5">
        <f>IF($I2="","",INDEX(Productos!$A:$A,$I2))</f>
        <v/>
      </c>
      <c r="C718" s="134" t="inlineStr">
        <is>
          <t>WG169-W030BK</t>
        </is>
      </c>
      <c r="D718" s="5">
        <f>IF($I2="","",INDEX(Productos!$B:$B,$I2))</f>
        <v/>
      </c>
      <c r="E718" s="5">
        <f>IF($I2="","",INDEX(Productos!$H:$H,$I2))</f>
        <v/>
      </c>
      <c r="F718" s="5">
        <f>IF($I2="","",INDEX(Productos!$I:$I,$I2))</f>
        <v/>
      </c>
      <c r="G718" s="135" t="n">
        <v>33</v>
      </c>
      <c r="H718" s="5">
        <f>IF($I2="","",INDEX(Productos!$AG:$AG,$I2))</f>
        <v/>
      </c>
      <c r="I718" s="136">
        <f>LET(_xlpm.r,Productos!$E$2:$E$1063,_xlpm.m,IFERROR(_xlfn.XMATCH(C718,_xlpm.r),IFERROR(_xlfn.XMATCH(VALUE(C718),_xlpm.r),0)),IF(_xlpm.m=0,"",_xlpm.m+1))</f>
        <v/>
      </c>
      <c r="J718" s="137" t="inlineStr">
        <is>
          <t>Odoo</t>
        </is>
      </c>
    </row>
    <row r="719">
      <c r="A719" s="5" t="inlineStr">
        <is>
          <t>Odoo Universal Unique Brands › Bodega 25 › Bodega 25/General</t>
        </is>
      </c>
      <c r="B719" s="5">
        <f>IF($I2="","",INDEX(Productos!$A:$A,$I2))</f>
        <v/>
      </c>
      <c r="C719" s="134" t="inlineStr">
        <is>
          <t>WG169-W030BR</t>
        </is>
      </c>
      <c r="D719" s="5">
        <f>IF($I2="","",INDEX(Productos!$B:$B,$I2))</f>
        <v/>
      </c>
      <c r="E719" s="5">
        <f>IF($I2="","",INDEX(Productos!$H:$H,$I2))</f>
        <v/>
      </c>
      <c r="F719" s="5">
        <f>IF($I2="","",INDEX(Productos!$I:$I,$I2))</f>
        <v/>
      </c>
      <c r="G719" s="135" t="n">
        <v>78</v>
      </c>
      <c r="H719" s="5">
        <f>IF($I2="","",INDEX(Productos!$AG:$AG,$I2))</f>
        <v/>
      </c>
      <c r="I719" s="136">
        <f>LET(_xlpm.r,Productos!$E$2:$E$1063,_xlpm.m,IFERROR(_xlfn.XMATCH(C719,_xlpm.r),IFERROR(_xlfn.XMATCH(VALUE(C719),_xlpm.r),0)),IF(_xlpm.m=0,"",_xlpm.m+1))</f>
        <v/>
      </c>
      <c r="J719" s="137" t="inlineStr">
        <is>
          <t>Odoo</t>
        </is>
      </c>
    </row>
    <row r="720">
      <c r="A720" s="5" t="inlineStr">
        <is>
          <t>Odoo Universal Unique Brands › Bodega 25 › Bodega 25/General</t>
        </is>
      </c>
      <c r="B720" s="5">
        <f>IF($I2="","",INDEX(Productos!$A:$A,$I2))</f>
        <v/>
      </c>
      <c r="C720" s="134" t="inlineStr">
        <is>
          <t>WG171-1833JN</t>
        </is>
      </c>
      <c r="D720" s="5">
        <f>IF($I2="","",INDEX(Productos!$B:$B,$I2))</f>
        <v/>
      </c>
      <c r="E720" s="5">
        <f>IF($I2="","",INDEX(Productos!$H:$H,$I2))</f>
        <v/>
      </c>
      <c r="F720" s="5">
        <f>IF($I2="","",INDEX(Productos!$I:$I,$I2))</f>
        <v/>
      </c>
      <c r="G720" s="135" t="n">
        <v>5</v>
      </c>
      <c r="H720" s="5">
        <f>IF($I2="","",INDEX(Productos!$AG:$AG,$I2))</f>
        <v/>
      </c>
      <c r="I720" s="136">
        <f>LET(_xlpm.r,Productos!$E$2:$E$1063,_xlpm.m,IFERROR(_xlfn.XMATCH(C720,_xlpm.r),IFERROR(_xlfn.XMATCH(VALUE(C720),_xlpm.r),0)),IF(_xlpm.m=0,"",_xlpm.m+1))</f>
        <v/>
      </c>
      <c r="J720" s="137" t="inlineStr">
        <is>
          <t>Odoo</t>
        </is>
      </c>
    </row>
    <row r="721">
      <c r="A721" s="5" t="inlineStr">
        <is>
          <t>Odoo Universal Unique Brands › Bodega 25 › Bodega 25/General</t>
        </is>
      </c>
      <c r="B721" s="5">
        <f>IF($I2="","",INDEX(Productos!$A:$A,$I2))</f>
        <v/>
      </c>
      <c r="C721" s="134" t="inlineStr">
        <is>
          <t>WG171-1833KH</t>
        </is>
      </c>
      <c r="D721" s="5">
        <f>IF($I2="","",INDEX(Productos!$B:$B,$I2))</f>
        <v/>
      </c>
      <c r="E721" s="5">
        <f>IF($I2="","",INDEX(Productos!$H:$H,$I2))</f>
        <v/>
      </c>
      <c r="F721" s="5">
        <f>IF($I2="","",INDEX(Productos!$I:$I,$I2))</f>
        <v/>
      </c>
      <c r="G721" s="135" t="n">
        <v>2</v>
      </c>
      <c r="H721" s="5">
        <f>IF($I2="","",INDEX(Productos!$AG:$AG,$I2))</f>
        <v/>
      </c>
      <c r="I721" s="136">
        <f>LET(_xlpm.r,Productos!$E$2:$E$1063,_xlpm.m,IFERROR(_xlfn.XMATCH(C721,_xlpm.r),IFERROR(_xlfn.XMATCH(VALUE(C721),_xlpm.r),0)),IF(_xlpm.m=0,"",_xlpm.m+1))</f>
        <v/>
      </c>
      <c r="J721" s="137" t="inlineStr">
        <is>
          <t>Odoo</t>
        </is>
      </c>
    </row>
    <row r="722">
      <c r="A722" s="5" t="inlineStr">
        <is>
          <t>Odoo Universal Unique Brands › Bodega 25 › Bodega 25/General</t>
        </is>
      </c>
      <c r="B722" s="5">
        <f>IF($I2="","",INDEX(Productos!$A:$A,$I2))</f>
        <v/>
      </c>
      <c r="C722" s="134" t="inlineStr">
        <is>
          <t>WG171-1833PK</t>
        </is>
      </c>
      <c r="D722" s="5">
        <f>IF($I2="","",INDEX(Productos!$B:$B,$I2))</f>
        <v/>
      </c>
      <c r="E722" s="5">
        <f>IF($I2="","",INDEX(Productos!$H:$H,$I2))</f>
        <v/>
      </c>
      <c r="F722" s="5">
        <f>IF($I2="","",INDEX(Productos!$I:$I,$I2))</f>
        <v/>
      </c>
      <c r="G722" s="135" t="n">
        <v>6</v>
      </c>
      <c r="H722" s="5">
        <f>IF($I2="","",INDEX(Productos!$AG:$AG,$I2))</f>
        <v/>
      </c>
      <c r="I722" s="136">
        <f>LET(_xlpm.r,Productos!$E$2:$E$1063,_xlpm.m,IFERROR(_xlfn.XMATCH(C722,_xlpm.r),IFERROR(_xlfn.XMATCH(VALUE(C722),_xlpm.r),0)),IF(_xlpm.m=0,"",_xlpm.m+1))</f>
        <v/>
      </c>
      <c r="J722" s="137" t="inlineStr">
        <is>
          <t>Odoo</t>
        </is>
      </c>
    </row>
    <row r="723">
      <c r="A723" s="5" t="inlineStr">
        <is>
          <t>Odoo Universal Unique Brands › Bodega 25 › Bodega 25/General</t>
        </is>
      </c>
      <c r="B723" s="5">
        <f>IF($I2="","",INDEX(Productos!$A:$A,$I2))</f>
        <v/>
      </c>
      <c r="C723" s="134" t="inlineStr">
        <is>
          <t>WG171-2811JN</t>
        </is>
      </c>
      <c r="D723" s="5">
        <f>IF($I2="","",INDEX(Productos!$B:$B,$I2))</f>
        <v/>
      </c>
      <c r="E723" s="5">
        <f>IF($I2="","",INDEX(Productos!$H:$H,$I2))</f>
        <v/>
      </c>
      <c r="F723" s="5">
        <f>IF($I2="","",INDEX(Productos!$I:$I,$I2))</f>
        <v/>
      </c>
      <c r="G723" s="135" t="n">
        <v>17</v>
      </c>
      <c r="H723" s="5">
        <f>IF($I2="","",INDEX(Productos!$AG:$AG,$I2))</f>
        <v/>
      </c>
      <c r="I723" s="136">
        <f>LET(_xlpm.r,Productos!$E$2:$E$1063,_xlpm.m,IFERROR(_xlfn.XMATCH(C723,_xlpm.r),IFERROR(_xlfn.XMATCH(VALUE(C723),_xlpm.r),0)),IF(_xlpm.m=0,"",_xlpm.m+1))</f>
        <v/>
      </c>
      <c r="J723" s="137" t="inlineStr">
        <is>
          <t>Odoo</t>
        </is>
      </c>
    </row>
    <row r="724">
      <c r="A724" s="5" t="inlineStr">
        <is>
          <t>Odoo Universal Unique Brands › Bodega 25 › Bodega 25/General</t>
        </is>
      </c>
      <c r="B724" s="5">
        <f>IF($I2="","",INDEX(Productos!$A:$A,$I2))</f>
        <v/>
      </c>
      <c r="C724" s="134" t="inlineStr">
        <is>
          <t>WG171-2811KH</t>
        </is>
      </c>
      <c r="D724" s="5">
        <f>IF($I2="","",INDEX(Productos!$B:$B,$I2))</f>
        <v/>
      </c>
      <c r="E724" s="5">
        <f>IF($I2="","",INDEX(Productos!$H:$H,$I2))</f>
        <v/>
      </c>
      <c r="F724" s="5">
        <f>IF($I2="","",INDEX(Productos!$I:$I,$I2))</f>
        <v/>
      </c>
      <c r="G724" s="135" t="n">
        <v>2</v>
      </c>
      <c r="H724" s="5">
        <f>IF($I2="","",INDEX(Productos!$AG:$AG,$I2))</f>
        <v/>
      </c>
      <c r="I724" s="136">
        <f>LET(_xlpm.r,Productos!$E$2:$E$1063,_xlpm.m,IFERROR(_xlfn.XMATCH(C724,_xlpm.r),IFERROR(_xlfn.XMATCH(VALUE(C724),_xlpm.r),0)),IF(_xlpm.m=0,"",_xlpm.m+1))</f>
        <v/>
      </c>
      <c r="J724" s="137" t="inlineStr">
        <is>
          <t>Odoo</t>
        </is>
      </c>
    </row>
    <row r="725">
      <c r="A725" s="5" t="inlineStr">
        <is>
          <t>Odoo Universal Unique Brands › Bodega 25 › Bodega 25/General</t>
        </is>
      </c>
      <c r="B725" s="5">
        <f>IF($I2="","",INDEX(Productos!$A:$A,$I2))</f>
        <v/>
      </c>
      <c r="C725" s="134" t="inlineStr">
        <is>
          <t>WG171G-2002KH</t>
        </is>
      </c>
      <c r="D725" s="5">
        <f>IF($I2="","",INDEX(Productos!$B:$B,$I2))</f>
        <v/>
      </c>
      <c r="E725" s="5">
        <f>IF($I2="","",INDEX(Productos!$H:$H,$I2))</f>
        <v/>
      </c>
      <c r="F725" s="5">
        <f>IF($I2="","",INDEX(Productos!$I:$I,$I2))</f>
        <v/>
      </c>
      <c r="G725" s="135" t="n">
        <v>3</v>
      </c>
      <c r="H725" s="5">
        <f>IF($I2="","",INDEX(Productos!$AG:$AG,$I2))</f>
        <v/>
      </c>
      <c r="I725" s="136">
        <f>LET(_xlpm.r,Productos!$E$2:$E$1063,_xlpm.m,IFERROR(_xlfn.XMATCH(C725,_xlpm.r),IFERROR(_xlfn.XMATCH(VALUE(C725),_xlpm.r),0)),IF(_xlpm.m=0,"",_xlpm.m+1))</f>
        <v/>
      </c>
      <c r="J725" s="137" t="inlineStr">
        <is>
          <t>Odoo</t>
        </is>
      </c>
    </row>
    <row r="726">
      <c r="A726" s="5" t="inlineStr">
        <is>
          <t>Odoo Universal Unique Brands › Bodega 25 › Bodega 25/General</t>
        </is>
      </c>
      <c r="B726" s="5">
        <f>IF($I2="","",INDEX(Productos!$A:$A,$I2))</f>
        <v/>
      </c>
      <c r="C726" s="134" t="inlineStr">
        <is>
          <t>WG174-1832BK</t>
        </is>
      </c>
      <c r="D726" s="5">
        <f>IF($I2="","",INDEX(Productos!$B:$B,$I2))</f>
        <v/>
      </c>
      <c r="E726" s="5">
        <f>IF($I2="","",INDEX(Productos!$H:$H,$I2))</f>
        <v/>
      </c>
      <c r="F726" s="5">
        <f>IF($I2="","",INDEX(Productos!$I:$I,$I2))</f>
        <v/>
      </c>
      <c r="G726" s="135" t="n">
        <v>47</v>
      </c>
      <c r="H726" s="5">
        <f>IF($I2="","",INDEX(Productos!$AG:$AG,$I2))</f>
        <v/>
      </c>
      <c r="I726" s="136">
        <f>LET(_xlpm.r,Productos!$E$2:$E$1063,_xlpm.m,IFERROR(_xlfn.XMATCH(C726,_xlpm.r),IFERROR(_xlfn.XMATCH(VALUE(C726),_xlpm.r),0)),IF(_xlpm.m=0,"",_xlpm.m+1))</f>
        <v/>
      </c>
      <c r="J726" s="137" t="inlineStr">
        <is>
          <t>Odoo</t>
        </is>
      </c>
    </row>
    <row r="727">
      <c r="A727" s="5" t="inlineStr">
        <is>
          <t>Odoo Universal Unique Brands › Bodega 25 › Bodega 25/General</t>
        </is>
      </c>
      <c r="B727" s="5">
        <f>IF($I2="","",INDEX(Productos!$A:$A,$I2))</f>
        <v/>
      </c>
      <c r="C727" s="134" t="inlineStr">
        <is>
          <t>WG174-1832BR</t>
        </is>
      </c>
      <c r="D727" s="5">
        <f>IF($I2="","",INDEX(Productos!$B:$B,$I2))</f>
        <v/>
      </c>
      <c r="E727" s="5">
        <f>IF($I2="","",INDEX(Productos!$H:$H,$I2))</f>
        <v/>
      </c>
      <c r="F727" s="5">
        <f>IF($I2="","",INDEX(Productos!$I:$I,$I2))</f>
        <v/>
      </c>
      <c r="G727" s="135" t="n">
        <v>180</v>
      </c>
      <c r="H727" s="5">
        <f>IF($I2="","",INDEX(Productos!$AG:$AG,$I2))</f>
        <v/>
      </c>
      <c r="I727" s="136">
        <f>LET(_xlpm.r,Productos!$E$2:$E$1063,_xlpm.m,IFERROR(_xlfn.XMATCH(C727,_xlpm.r),IFERROR(_xlfn.XMATCH(VALUE(C727),_xlpm.r),0)),IF(_xlpm.m=0,"",_xlpm.m+1))</f>
        <v/>
      </c>
      <c r="J727" s="137" t="inlineStr">
        <is>
          <t>Odoo</t>
        </is>
      </c>
    </row>
    <row r="728">
      <c r="A728" s="5" t="inlineStr">
        <is>
          <t>Odoo Universal Unique Brands › Bodega 25 › Bodega 25/General</t>
        </is>
      </c>
      <c r="B728" s="5">
        <f>IF($I2="","",INDEX(Productos!$A:$A,$I2))</f>
        <v/>
      </c>
      <c r="C728" s="134" t="inlineStr">
        <is>
          <t>WG174-1832JN</t>
        </is>
      </c>
      <c r="D728" s="5">
        <f>IF($I2="","",INDEX(Productos!$B:$B,$I2))</f>
        <v/>
      </c>
      <c r="E728" s="5">
        <f>IF($I2="","",INDEX(Productos!$H:$H,$I2))</f>
        <v/>
      </c>
      <c r="F728" s="5">
        <f>IF($I2="","",INDEX(Productos!$I:$I,$I2))</f>
        <v/>
      </c>
      <c r="G728" s="135" t="n">
        <v>5</v>
      </c>
      <c r="H728" s="5">
        <f>IF($I2="","",INDEX(Productos!$AG:$AG,$I2))</f>
        <v/>
      </c>
      <c r="I728" s="136">
        <f>LET(_xlpm.r,Productos!$E$2:$E$1063,_xlpm.m,IFERROR(_xlfn.XMATCH(C728,_xlpm.r),IFERROR(_xlfn.XMATCH(VALUE(C728),_xlpm.r),0)),IF(_xlpm.m=0,"",_xlpm.m+1))</f>
        <v/>
      </c>
      <c r="J728" s="137" t="inlineStr">
        <is>
          <t>Odoo</t>
        </is>
      </c>
    </row>
    <row r="729">
      <c r="A729" s="5" t="inlineStr">
        <is>
          <t>Odoo Universal Unique Brands › Bodega 25 › Bodega 25/General</t>
        </is>
      </c>
      <c r="B729" s="5">
        <f>IF($I2="","",INDEX(Productos!$A:$A,$I2))</f>
        <v/>
      </c>
      <c r="C729" s="134" t="inlineStr">
        <is>
          <t>WG174-1833BK</t>
        </is>
      </c>
      <c r="D729" s="5">
        <f>IF($I2="","",INDEX(Productos!$B:$B,$I2))</f>
        <v/>
      </c>
      <c r="E729" s="5">
        <f>IF($I2="","",INDEX(Productos!$H:$H,$I2))</f>
        <v/>
      </c>
      <c r="F729" s="5">
        <f>IF($I2="","",INDEX(Productos!$I:$I,$I2))</f>
        <v/>
      </c>
      <c r="G729" s="135" t="n">
        <v>5</v>
      </c>
      <c r="H729" s="5">
        <f>IF($I2="","",INDEX(Productos!$AG:$AG,$I2))</f>
        <v/>
      </c>
      <c r="I729" s="136">
        <f>LET(_xlpm.r,Productos!$E$2:$E$1063,_xlpm.m,IFERROR(_xlfn.XMATCH(C729,_xlpm.r),IFERROR(_xlfn.XMATCH(VALUE(C729),_xlpm.r),0)),IF(_xlpm.m=0,"",_xlpm.m+1))</f>
        <v/>
      </c>
      <c r="J729" s="137" t="inlineStr">
        <is>
          <t>Odoo</t>
        </is>
      </c>
    </row>
    <row r="730">
      <c r="A730" s="5" t="inlineStr">
        <is>
          <t>Odoo Universal Unique Brands › Bodega 25 › Bodega 25/General</t>
        </is>
      </c>
      <c r="B730" s="5">
        <f>IF($I2="","",INDEX(Productos!$A:$A,$I2))</f>
        <v/>
      </c>
      <c r="C730" s="134" t="inlineStr">
        <is>
          <t>WG174-1833JN</t>
        </is>
      </c>
      <c r="D730" s="5">
        <f>IF($I2="","",INDEX(Productos!$B:$B,$I2))</f>
        <v/>
      </c>
      <c r="E730" s="5">
        <f>IF($I2="","",INDEX(Productos!$H:$H,$I2))</f>
        <v/>
      </c>
      <c r="F730" s="5">
        <f>IF($I2="","",INDEX(Productos!$I:$I,$I2))</f>
        <v/>
      </c>
      <c r="G730" s="135" t="n">
        <v>9</v>
      </c>
      <c r="H730" s="5">
        <f>IF($I2="","",INDEX(Productos!$AG:$AG,$I2))</f>
        <v/>
      </c>
      <c r="I730" s="136">
        <f>LET(_xlpm.r,Productos!$E$2:$E$1063,_xlpm.m,IFERROR(_xlfn.XMATCH(C730,_xlpm.r),IFERROR(_xlfn.XMATCH(VALUE(C730),_xlpm.r),0)),IF(_xlpm.m=0,"",_xlpm.m+1))</f>
        <v/>
      </c>
      <c r="J730" s="137" t="inlineStr">
        <is>
          <t>Odoo</t>
        </is>
      </c>
    </row>
    <row r="731">
      <c r="A731" s="5" t="inlineStr">
        <is>
          <t>Odoo Universal Unique Brands › Bodega 25 › Bodega 25/General</t>
        </is>
      </c>
      <c r="B731" s="5">
        <f>IF($I2="","",INDEX(Productos!$A:$A,$I2))</f>
        <v/>
      </c>
      <c r="C731" s="134" t="inlineStr">
        <is>
          <t>WG174-2029BK</t>
        </is>
      </c>
      <c r="D731" s="5">
        <f>IF($I2="","",INDEX(Productos!$B:$B,$I2))</f>
        <v/>
      </c>
      <c r="E731" s="5">
        <f>IF($I2="","",INDEX(Productos!$H:$H,$I2))</f>
        <v/>
      </c>
      <c r="F731" s="5">
        <f>IF($I2="","",INDEX(Productos!$I:$I,$I2))</f>
        <v/>
      </c>
      <c r="G731" s="135" t="n">
        <v>5</v>
      </c>
      <c r="H731" s="5">
        <f>IF($I2="","",INDEX(Productos!$AG:$AG,$I2))</f>
        <v/>
      </c>
      <c r="I731" s="136">
        <f>LET(_xlpm.r,Productos!$E$2:$E$1063,_xlpm.m,IFERROR(_xlfn.XMATCH(C731,_xlpm.r),IFERROR(_xlfn.XMATCH(VALUE(C731),_xlpm.r),0)),IF(_xlpm.m=0,"",_xlpm.m+1))</f>
        <v/>
      </c>
      <c r="J731" s="137" t="inlineStr">
        <is>
          <t>Odoo</t>
        </is>
      </c>
    </row>
    <row r="732">
      <c r="A732" s="5" t="inlineStr">
        <is>
          <t>Odoo Universal Unique Brands › Bodega 25 › Bodega 25/General</t>
        </is>
      </c>
      <c r="B732" s="5">
        <f>IF($I2="","",INDEX(Productos!$A:$A,$I2))</f>
        <v/>
      </c>
      <c r="C732" s="134" t="inlineStr">
        <is>
          <t>WG174-210BR</t>
        </is>
      </c>
      <c r="D732" s="5">
        <f>IF($I2="","",INDEX(Productos!$B:$B,$I2))</f>
        <v/>
      </c>
      <c r="E732" s="5">
        <f>IF($I2="","",INDEX(Productos!$H:$H,$I2))</f>
        <v/>
      </c>
      <c r="F732" s="5">
        <f>IF($I2="","",INDEX(Productos!$I:$I,$I2))</f>
        <v/>
      </c>
      <c r="G732" s="135" t="n">
        <v>34</v>
      </c>
      <c r="H732" s="5">
        <f>IF($I2="","",INDEX(Productos!$AG:$AG,$I2))</f>
        <v/>
      </c>
      <c r="I732" s="136">
        <f>LET(_xlpm.r,Productos!$E$2:$E$1063,_xlpm.m,IFERROR(_xlfn.XMATCH(C732,_xlpm.r),IFERROR(_xlfn.XMATCH(VALUE(C732),_xlpm.r),0)),IF(_xlpm.m=0,"",_xlpm.m+1))</f>
        <v/>
      </c>
      <c r="J732" s="137" t="inlineStr">
        <is>
          <t>Odoo</t>
        </is>
      </c>
    </row>
    <row r="733">
      <c r="A733" s="5" t="inlineStr">
        <is>
          <t>Odoo Universal Unique Brands › Bodega 25 › Bodega 25/General</t>
        </is>
      </c>
      <c r="B733" s="5">
        <f>IF($I2="","",INDEX(Productos!$A:$A,$I2))</f>
        <v/>
      </c>
      <c r="C733" s="134" t="inlineStr">
        <is>
          <t>WG174-5110BK</t>
        </is>
      </c>
      <c r="D733" s="5">
        <f>IF($I2="","",INDEX(Productos!$B:$B,$I2))</f>
        <v/>
      </c>
      <c r="E733" s="5">
        <f>IF($I2="","",INDEX(Productos!$H:$H,$I2))</f>
        <v/>
      </c>
      <c r="F733" s="5">
        <f>IF($I2="","",INDEX(Productos!$I:$I,$I2))</f>
        <v/>
      </c>
      <c r="G733" s="135" t="n">
        <v>6</v>
      </c>
      <c r="H733" s="5">
        <f>IF($I2="","",INDEX(Productos!$AG:$AG,$I2))</f>
        <v/>
      </c>
      <c r="I733" s="136">
        <f>LET(_xlpm.r,Productos!$E$2:$E$1063,_xlpm.m,IFERROR(_xlfn.XMATCH(C733,_xlpm.r),IFERROR(_xlfn.XMATCH(VALUE(C733),_xlpm.r),0)),IF(_xlpm.m=0,"",_xlpm.m+1))</f>
        <v/>
      </c>
      <c r="J733" s="137" t="inlineStr">
        <is>
          <t>Odoo</t>
        </is>
      </c>
    </row>
    <row r="734">
      <c r="A734" s="5" t="inlineStr">
        <is>
          <t>Odoo Universal Unique Brands › Bodega 25 › Bodega 25/General</t>
        </is>
      </c>
      <c r="B734" s="5">
        <f>IF($I2="","",INDEX(Productos!$A:$A,$I2))</f>
        <v/>
      </c>
      <c r="C734" s="134" t="inlineStr">
        <is>
          <t>WG174-5110BR</t>
        </is>
      </c>
      <c r="D734" s="5">
        <f>IF($I2="","",INDEX(Productos!$B:$B,$I2))</f>
        <v/>
      </c>
      <c r="E734" s="5">
        <f>IF($I2="","",INDEX(Productos!$H:$H,$I2))</f>
        <v/>
      </c>
      <c r="F734" s="5">
        <f>IF($I2="","",INDEX(Productos!$I:$I,$I2))</f>
        <v/>
      </c>
      <c r="G734" s="135" t="n">
        <v>36</v>
      </c>
      <c r="H734" s="5">
        <f>IF($I2="","",INDEX(Productos!$AG:$AG,$I2))</f>
        <v/>
      </c>
      <c r="I734" s="136">
        <f>LET(_xlpm.r,Productos!$E$2:$E$1063,_xlpm.m,IFERROR(_xlfn.XMATCH(C734,_xlpm.r),IFERROR(_xlfn.XMATCH(VALUE(C734),_xlpm.r),0)),IF(_xlpm.m=0,"",_xlpm.m+1))</f>
        <v/>
      </c>
      <c r="J734" s="137" t="inlineStr">
        <is>
          <t>Odoo</t>
        </is>
      </c>
    </row>
    <row r="735">
      <c r="A735" s="5" t="inlineStr">
        <is>
          <t>Odoo Universal Unique Brands › Bodega 25 › Bodega 25/General</t>
        </is>
      </c>
      <c r="B735" s="5">
        <f>IF($I2="","",INDEX(Productos!$A:$A,$I2))</f>
        <v/>
      </c>
      <c r="C735" s="134" t="inlineStr">
        <is>
          <t>WG174-5110JN</t>
        </is>
      </c>
      <c r="D735" s="5">
        <f>IF($I2="","",INDEX(Productos!$B:$B,$I2))</f>
        <v/>
      </c>
      <c r="E735" s="5">
        <f>IF($I2="","",INDEX(Productos!$H:$H,$I2))</f>
        <v/>
      </c>
      <c r="F735" s="5">
        <f>IF($I2="","",INDEX(Productos!$I:$I,$I2))</f>
        <v/>
      </c>
      <c r="G735" s="135" t="n">
        <v>11</v>
      </c>
      <c r="H735" s="5">
        <f>IF($I2="","",INDEX(Productos!$AG:$AG,$I2))</f>
        <v/>
      </c>
      <c r="I735" s="136">
        <f>LET(_xlpm.r,Productos!$E$2:$E$1063,_xlpm.m,IFERROR(_xlfn.XMATCH(C735,_xlpm.r),IFERROR(_xlfn.XMATCH(VALUE(C735),_xlpm.r),0)),IF(_xlpm.m=0,"",_xlpm.m+1))</f>
        <v/>
      </c>
      <c r="J735" s="137" t="inlineStr">
        <is>
          <t>Odoo</t>
        </is>
      </c>
    </row>
    <row r="736">
      <c r="A736" s="5" t="inlineStr">
        <is>
          <t>Odoo Universal Unique Brands › Bodega 25 › Bodega 25/General</t>
        </is>
      </c>
      <c r="B736" s="5">
        <f>IF($I2="","",INDEX(Productos!$A:$A,$I2))</f>
        <v/>
      </c>
      <c r="C736" s="134" t="inlineStr">
        <is>
          <t>WG174-8601BR</t>
        </is>
      </c>
      <c r="D736" s="5">
        <f>IF($I2="","",INDEX(Productos!$B:$B,$I2))</f>
        <v/>
      </c>
      <c r="E736" s="5">
        <f>IF($I2="","",INDEX(Productos!$H:$H,$I2))</f>
        <v/>
      </c>
      <c r="F736" s="5">
        <f>IF($I2="","",INDEX(Productos!$I:$I,$I2))</f>
        <v/>
      </c>
      <c r="G736" s="135" t="n">
        <v>26</v>
      </c>
      <c r="H736" s="5">
        <f>IF($I2="","",INDEX(Productos!$AG:$AG,$I2))</f>
        <v/>
      </c>
      <c r="I736" s="136">
        <f>LET(_xlpm.r,Productos!$E$2:$E$1063,_xlpm.m,IFERROR(_xlfn.XMATCH(C736,_xlpm.r),IFERROR(_xlfn.XMATCH(VALUE(C736),_xlpm.r),0)),IF(_xlpm.m=0,"",_xlpm.m+1))</f>
        <v/>
      </c>
      <c r="J736" s="137" t="inlineStr">
        <is>
          <t>Odoo</t>
        </is>
      </c>
    </row>
    <row r="737">
      <c r="A737" s="5" t="inlineStr">
        <is>
          <t>Odoo Universal Unique Brands › Bodega 25 › Bodega 25/General</t>
        </is>
      </c>
      <c r="B737" s="5">
        <f>IF($I2="","",INDEX(Productos!$A:$A,$I2))</f>
        <v/>
      </c>
      <c r="C737" s="134" t="inlineStr">
        <is>
          <t>WG174-91153RD</t>
        </is>
      </c>
      <c r="D737" s="5">
        <f>IF($I2="","",INDEX(Productos!$B:$B,$I2))</f>
        <v/>
      </c>
      <c r="E737" s="5">
        <f>IF($I2="","",INDEX(Productos!$H:$H,$I2))</f>
        <v/>
      </c>
      <c r="F737" s="5">
        <f>IF($I2="","",INDEX(Productos!$I:$I,$I2))</f>
        <v/>
      </c>
      <c r="G737" s="135" t="n">
        <v>25</v>
      </c>
      <c r="H737" s="5">
        <f>IF($I2="","",INDEX(Productos!$AG:$AG,$I2))</f>
        <v/>
      </c>
      <c r="I737" s="136">
        <f>LET(_xlpm.r,Productos!$E$2:$E$1063,_xlpm.m,IFERROR(_xlfn.XMATCH(C737,_xlpm.r),IFERROR(_xlfn.XMATCH(VALUE(C737),_xlpm.r),0)),IF(_xlpm.m=0,"",_xlpm.m+1))</f>
        <v/>
      </c>
      <c r="J737" s="137" t="inlineStr">
        <is>
          <t>Odoo</t>
        </is>
      </c>
    </row>
    <row r="738">
      <c r="A738" s="5" t="inlineStr">
        <is>
          <t>Odoo Universal Unique Brands › Bodega 25 › Bodega 25/General</t>
        </is>
      </c>
      <c r="B738" s="5">
        <f>IF($I2="","",INDEX(Productos!$A:$A,$I2))</f>
        <v/>
      </c>
      <c r="C738" s="134" t="inlineStr">
        <is>
          <t>WG174-91153TQ</t>
        </is>
      </c>
      <c r="D738" s="5">
        <f>IF($I2="","",INDEX(Productos!$B:$B,$I2))</f>
        <v/>
      </c>
      <c r="E738" s="5">
        <f>IF($I2="","",INDEX(Productos!$H:$H,$I2))</f>
        <v/>
      </c>
      <c r="F738" s="5">
        <f>IF($I2="","",INDEX(Productos!$I:$I,$I2))</f>
        <v/>
      </c>
      <c r="G738" s="135" t="n">
        <v>12</v>
      </c>
      <c r="H738" s="5">
        <f>IF($I2="","",INDEX(Productos!$AG:$AG,$I2))</f>
        <v/>
      </c>
      <c r="I738" s="136">
        <f>LET(_xlpm.r,Productos!$E$2:$E$1063,_xlpm.m,IFERROR(_xlfn.XMATCH(C738,_xlpm.r),IFERROR(_xlfn.XMATCH(VALUE(C738),_xlpm.r),0)),IF(_xlpm.m=0,"",_xlpm.m+1))</f>
        <v/>
      </c>
      <c r="J738" s="137" t="inlineStr">
        <is>
          <t>Odoo</t>
        </is>
      </c>
    </row>
    <row r="739">
      <c r="A739" s="5" t="inlineStr">
        <is>
          <t>Odoo Universal Unique Brands › Bodega 25 › Bodega 25/General</t>
        </is>
      </c>
      <c r="B739" s="5">
        <f>IF($I2="","",INDEX(Productos!$A:$A,$I2))</f>
        <v/>
      </c>
      <c r="C739" s="134" t="inlineStr">
        <is>
          <t>WG174-9115BR</t>
        </is>
      </c>
      <c r="D739" s="5">
        <f>IF($I2="","",INDEX(Productos!$B:$B,$I2))</f>
        <v/>
      </c>
      <c r="E739" s="5">
        <f>IF($I2="","",INDEX(Productos!$H:$H,$I2))</f>
        <v/>
      </c>
      <c r="F739" s="5">
        <f>IF($I2="","",INDEX(Productos!$I:$I,$I2))</f>
        <v/>
      </c>
      <c r="G739" s="135" t="n">
        <v>46</v>
      </c>
      <c r="H739" s="5">
        <f>IF($I2="","",INDEX(Productos!$AG:$AG,$I2))</f>
        <v/>
      </c>
      <c r="I739" s="136">
        <f>LET(_xlpm.r,Productos!$E$2:$E$1063,_xlpm.m,IFERROR(_xlfn.XMATCH(C739,_xlpm.r),IFERROR(_xlfn.XMATCH(VALUE(C739),_xlpm.r),0)),IF(_xlpm.m=0,"",_xlpm.m+1))</f>
        <v/>
      </c>
      <c r="J739" s="137" t="inlineStr">
        <is>
          <t>Odoo</t>
        </is>
      </c>
    </row>
    <row r="740">
      <c r="A740" s="5" t="inlineStr">
        <is>
          <t>Odoo Universal Unique Brands › Bodega 25 › Bodega 25/General</t>
        </is>
      </c>
      <c r="B740" s="5">
        <f>IF($I2="","",INDEX(Productos!$A:$A,$I2))</f>
        <v/>
      </c>
      <c r="C740" s="134" t="inlineStr">
        <is>
          <t>WG174-9115JN</t>
        </is>
      </c>
      <c r="D740" s="5">
        <f>IF($I2="","",INDEX(Productos!$B:$B,$I2))</f>
        <v/>
      </c>
      <c r="E740" s="5">
        <f>IF($I2="","",INDEX(Productos!$H:$H,$I2))</f>
        <v/>
      </c>
      <c r="F740" s="5">
        <f>IF($I2="","",INDEX(Productos!$I:$I,$I2))</f>
        <v/>
      </c>
      <c r="G740" s="135" t="n">
        <v>6</v>
      </c>
      <c r="H740" s="5">
        <f>IF($I2="","",INDEX(Productos!$AG:$AG,$I2))</f>
        <v/>
      </c>
      <c r="I740" s="136">
        <f>LET(_xlpm.r,Productos!$E$2:$E$1063,_xlpm.m,IFERROR(_xlfn.XMATCH(C740,_xlpm.r),IFERROR(_xlfn.XMATCH(VALUE(C740),_xlpm.r),0)),IF(_xlpm.m=0,"",_xlpm.m+1))</f>
        <v/>
      </c>
      <c r="J740" s="137" t="inlineStr">
        <is>
          <t>Odoo</t>
        </is>
      </c>
    </row>
    <row r="741">
      <c r="A741" s="5" t="inlineStr">
        <is>
          <t>Odoo Universal Unique Brands › Bodega 25 › Bodega 25/General</t>
        </is>
      </c>
      <c r="B741" s="5">
        <f>IF($I2="","",INDEX(Productos!$A:$A,$I2))</f>
        <v/>
      </c>
      <c r="C741" s="134" t="inlineStr">
        <is>
          <t>WG174-W006BK</t>
        </is>
      </c>
      <c r="D741" s="5">
        <f>IF($I2="","",INDEX(Productos!$B:$B,$I2))</f>
        <v/>
      </c>
      <c r="E741" s="5">
        <f>IF($I2="","",INDEX(Productos!$H:$H,$I2))</f>
        <v/>
      </c>
      <c r="F741" s="5">
        <f>IF($I2="","",INDEX(Productos!$I:$I,$I2))</f>
        <v/>
      </c>
      <c r="G741" s="135" t="n">
        <v>8</v>
      </c>
      <c r="H741" s="5">
        <f>IF($I2="","",INDEX(Productos!$AG:$AG,$I2))</f>
        <v/>
      </c>
      <c r="I741" s="136">
        <f>LET(_xlpm.r,Productos!$E$2:$E$1063,_xlpm.m,IFERROR(_xlfn.XMATCH(C741,_xlpm.r),IFERROR(_xlfn.XMATCH(VALUE(C741),_xlpm.r),0)),IF(_xlpm.m=0,"",_xlpm.m+1))</f>
        <v/>
      </c>
      <c r="J741" s="137" t="inlineStr">
        <is>
          <t>Odoo</t>
        </is>
      </c>
    </row>
    <row r="742">
      <c r="A742" s="5" t="inlineStr">
        <is>
          <t>Odoo Universal Unique Brands › Bodega 25 › Bodega 25/General</t>
        </is>
      </c>
      <c r="B742" s="5">
        <f>IF($I2="","",INDEX(Productos!$A:$A,$I2))</f>
        <v/>
      </c>
      <c r="C742" s="134" t="inlineStr">
        <is>
          <t>WG174-W006BR</t>
        </is>
      </c>
      <c r="D742" s="5">
        <f>IF($I2="","",INDEX(Productos!$B:$B,$I2))</f>
        <v/>
      </c>
      <c r="E742" s="5">
        <f>IF($I2="","",INDEX(Productos!$H:$H,$I2))</f>
        <v/>
      </c>
      <c r="F742" s="5">
        <f>IF($I2="","",INDEX(Productos!$I:$I,$I2))</f>
        <v/>
      </c>
      <c r="G742" s="135" t="n">
        <v>19</v>
      </c>
      <c r="H742" s="5">
        <f>IF($I2="","",INDEX(Productos!$AG:$AG,$I2))</f>
        <v/>
      </c>
      <c r="I742" s="136">
        <f>LET(_xlpm.r,Productos!$E$2:$E$1063,_xlpm.m,IFERROR(_xlfn.XMATCH(C742,_xlpm.r),IFERROR(_xlfn.XMATCH(VALUE(C742),_xlpm.r),0)),IF(_xlpm.m=0,"",_xlpm.m+1))</f>
        <v/>
      </c>
      <c r="J742" s="137" t="inlineStr">
        <is>
          <t>Odoo</t>
        </is>
      </c>
    </row>
    <row r="743">
      <c r="A743" s="5" t="inlineStr">
        <is>
          <t>Odoo Universal Unique Brands › Bodega 25 › Bodega 25/General</t>
        </is>
      </c>
      <c r="B743" s="5">
        <f>IF($I2="","",INDEX(Productos!$A:$A,$I2))</f>
        <v/>
      </c>
      <c r="C743" s="134" t="inlineStr">
        <is>
          <t>WG174-W006HPK</t>
        </is>
      </c>
      <c r="D743" s="5">
        <f>IF($I2="","",INDEX(Productos!$B:$B,$I2))</f>
        <v/>
      </c>
      <c r="E743" s="5">
        <f>IF($I2="","",INDEX(Productos!$H:$H,$I2))</f>
        <v/>
      </c>
      <c r="F743" s="5">
        <f>IF($I2="","",INDEX(Productos!$I:$I,$I2))</f>
        <v/>
      </c>
      <c r="G743" s="135" t="n">
        <v>14</v>
      </c>
      <c r="H743" s="5">
        <f>IF($I2="","",INDEX(Productos!$AG:$AG,$I2))</f>
        <v/>
      </c>
      <c r="I743" s="136">
        <f>LET(_xlpm.r,Productos!$E$2:$E$1063,_xlpm.m,IFERROR(_xlfn.XMATCH(C743,_xlpm.r),IFERROR(_xlfn.XMATCH(VALUE(C743),_xlpm.r),0)),IF(_xlpm.m=0,"",_xlpm.m+1))</f>
        <v/>
      </c>
      <c r="J743" s="137" t="inlineStr">
        <is>
          <t>Odoo</t>
        </is>
      </c>
    </row>
    <row r="744">
      <c r="A744" s="5" t="inlineStr">
        <is>
          <t>Odoo Universal Unique Brands › Bodega 25 › Bodega 25/General</t>
        </is>
      </c>
      <c r="B744" s="5">
        <f>IF($I2="","",INDEX(Productos!$A:$A,$I2))</f>
        <v/>
      </c>
      <c r="C744" s="134" t="inlineStr">
        <is>
          <t>WG174-W006JN</t>
        </is>
      </c>
      <c r="D744" s="5">
        <f>IF($I2="","",INDEX(Productos!$B:$B,$I2))</f>
        <v/>
      </c>
      <c r="E744" s="5">
        <f>IF($I2="","",INDEX(Productos!$H:$H,$I2))</f>
        <v/>
      </c>
      <c r="F744" s="5">
        <f>IF($I2="","",INDEX(Productos!$I:$I,$I2))</f>
        <v/>
      </c>
      <c r="G744" s="135" t="n">
        <v>2</v>
      </c>
      <c r="H744" s="5">
        <f>IF($I2="","",INDEX(Productos!$AG:$AG,$I2))</f>
        <v/>
      </c>
      <c r="I744" s="136">
        <f>LET(_xlpm.r,Productos!$E$2:$E$1063,_xlpm.m,IFERROR(_xlfn.XMATCH(C744,_xlpm.r),IFERROR(_xlfn.XMATCH(VALUE(C744),_xlpm.r),0)),IF(_xlpm.m=0,"",_xlpm.m+1))</f>
        <v/>
      </c>
      <c r="J744" s="137" t="inlineStr">
        <is>
          <t>Odoo</t>
        </is>
      </c>
    </row>
    <row r="745">
      <c r="A745" s="5" t="inlineStr">
        <is>
          <t>Odoo Universal Unique Brands › Bodega 25 › Bodega 25/General</t>
        </is>
      </c>
      <c r="B745" s="5">
        <f>IF($I2="","",INDEX(Productos!$A:$A,$I2))</f>
        <v/>
      </c>
      <c r="C745" s="134" t="inlineStr">
        <is>
          <t>WG181-8120SBK</t>
        </is>
      </c>
      <c r="D745" s="5">
        <f>IF($I2="","",INDEX(Productos!$B:$B,$I2))</f>
        <v/>
      </c>
      <c r="E745" s="5">
        <f>IF($I2="","",INDEX(Productos!$H:$H,$I2))</f>
        <v/>
      </c>
      <c r="F745" s="5">
        <f>IF($I2="","",INDEX(Productos!$I:$I,$I2))</f>
        <v/>
      </c>
      <c r="G745" s="135" t="n">
        <v>24</v>
      </c>
      <c r="H745" s="5">
        <f>IF($I2="","",INDEX(Productos!$AG:$AG,$I2))</f>
        <v/>
      </c>
      <c r="I745" s="136">
        <f>LET(_xlpm.r,Productos!$E$2:$E$1063,_xlpm.m,IFERROR(_xlfn.XMATCH(C745,_xlpm.r),IFERROR(_xlfn.XMATCH(VALUE(C745),_xlpm.r),0)),IF(_xlpm.m=0,"",_xlpm.m+1))</f>
        <v/>
      </c>
      <c r="J745" s="137" t="inlineStr">
        <is>
          <t>Odoo</t>
        </is>
      </c>
    </row>
    <row r="746">
      <c r="A746" s="5" t="inlineStr">
        <is>
          <t>Odoo Universal Unique Brands › Bodega 25 › Bodega 25/General</t>
        </is>
      </c>
      <c r="B746" s="5">
        <f>IF($I2="","",INDEX(Productos!$A:$A,$I2))</f>
        <v/>
      </c>
      <c r="C746" s="134" t="inlineStr">
        <is>
          <t>WG181-8120SBR</t>
        </is>
      </c>
      <c r="D746" s="5">
        <f>IF($I2="","",INDEX(Productos!$B:$B,$I2))</f>
        <v/>
      </c>
      <c r="E746" s="5">
        <f>IF($I2="","",INDEX(Productos!$H:$H,$I2))</f>
        <v/>
      </c>
      <c r="F746" s="5">
        <f>IF($I2="","",INDEX(Productos!$I:$I,$I2))</f>
        <v/>
      </c>
      <c r="G746" s="135" t="n">
        <v>25</v>
      </c>
      <c r="H746" s="5">
        <f>IF($I2="","",INDEX(Productos!$AG:$AG,$I2))</f>
        <v/>
      </c>
      <c r="I746" s="136">
        <f>LET(_xlpm.r,Productos!$E$2:$E$1063,_xlpm.m,IFERROR(_xlfn.XMATCH(C746,_xlpm.r),IFERROR(_xlfn.XMATCH(VALUE(C746),_xlpm.r),0)),IF(_xlpm.m=0,"",_xlpm.m+1))</f>
        <v/>
      </c>
      <c r="J746" s="137" t="inlineStr">
        <is>
          <t>Odoo</t>
        </is>
      </c>
    </row>
    <row r="747">
      <c r="A747" s="5" t="inlineStr">
        <is>
          <t>Odoo Universal Unique Brands › Bodega 25 › Bodega 25/General</t>
        </is>
      </c>
      <c r="B747" s="5">
        <f>IF($I2="","",INDEX(Productos!$A:$A,$I2))</f>
        <v/>
      </c>
      <c r="C747" s="134" t="inlineStr">
        <is>
          <t>WG181-8120SCF</t>
        </is>
      </c>
      <c r="D747" s="5">
        <f>IF($I2="","",INDEX(Productos!$B:$B,$I2))</f>
        <v/>
      </c>
      <c r="E747" s="5">
        <f>IF($I2="","",INDEX(Productos!$H:$H,$I2))</f>
        <v/>
      </c>
      <c r="F747" s="5">
        <f>IF($I2="","",INDEX(Productos!$I:$I,$I2))</f>
        <v/>
      </c>
      <c r="G747" s="135" t="n">
        <v>35</v>
      </c>
      <c r="H747" s="5">
        <f>IF($I2="","",INDEX(Productos!$AG:$AG,$I2))</f>
        <v/>
      </c>
      <c r="I747" s="136">
        <f>LET(_xlpm.r,Productos!$E$2:$E$1063,_xlpm.m,IFERROR(_xlfn.XMATCH(C747,_xlpm.r),IFERROR(_xlfn.XMATCH(VALUE(C747),_xlpm.r),0)),IF(_xlpm.m=0,"",_xlpm.m+1))</f>
        <v/>
      </c>
      <c r="J747" s="137" t="inlineStr">
        <is>
          <t>Odoo</t>
        </is>
      </c>
    </row>
    <row r="748">
      <c r="A748" s="5" t="inlineStr">
        <is>
          <t>Odoo Universal Unique Brands › Bodega 25 › Bodega 25/General</t>
        </is>
      </c>
      <c r="B748" s="5">
        <f>IF($I2="","",INDEX(Productos!$A:$A,$I2))</f>
        <v/>
      </c>
      <c r="C748" s="134" t="inlineStr">
        <is>
          <t>WG181-8120SGN</t>
        </is>
      </c>
      <c r="D748" s="5">
        <f>IF($I2="","",INDEX(Productos!$B:$B,$I2))</f>
        <v/>
      </c>
      <c r="E748" s="5">
        <f>IF($I2="","",INDEX(Productos!$H:$H,$I2))</f>
        <v/>
      </c>
      <c r="F748" s="5">
        <f>IF($I2="","",INDEX(Productos!$I:$I,$I2))</f>
        <v/>
      </c>
      <c r="G748" s="135" t="n">
        <v>43</v>
      </c>
      <c r="H748" s="5">
        <f>IF($I2="","",INDEX(Productos!$AG:$AG,$I2))</f>
        <v/>
      </c>
      <c r="I748" s="136">
        <f>LET(_xlpm.r,Productos!$E$2:$E$1063,_xlpm.m,IFERROR(_xlfn.XMATCH(C748,_xlpm.r),IFERROR(_xlfn.XMATCH(VALUE(C748),_xlpm.r),0)),IF(_xlpm.m=0,"",_xlpm.m+1))</f>
        <v/>
      </c>
      <c r="J748" s="137" t="inlineStr">
        <is>
          <t>Odoo</t>
        </is>
      </c>
    </row>
    <row r="749">
      <c r="A749" s="5" t="inlineStr">
        <is>
          <t>Odoo Universal Unique Brands › Bodega 25 › Bodega 25/General</t>
        </is>
      </c>
      <c r="B749" s="5">
        <f>IF($I2="","",INDEX(Productos!$A:$A,$I2))</f>
        <v/>
      </c>
      <c r="C749" s="134" t="inlineStr">
        <is>
          <t>WG181-8120SKH</t>
        </is>
      </c>
      <c r="D749" s="5">
        <f>IF($I2="","",INDEX(Productos!$B:$B,$I2))</f>
        <v/>
      </c>
      <c r="E749" s="5">
        <f>IF($I2="","",INDEX(Productos!$H:$H,$I2))</f>
        <v/>
      </c>
      <c r="F749" s="5">
        <f>IF($I2="","",INDEX(Productos!$I:$I,$I2))</f>
        <v/>
      </c>
      <c r="G749" s="135" t="n">
        <v>14</v>
      </c>
      <c r="H749" s="5">
        <f>IF($I2="","",INDEX(Productos!$AG:$AG,$I2))</f>
        <v/>
      </c>
      <c r="I749" s="136">
        <f>LET(_xlpm.r,Productos!$E$2:$E$1063,_xlpm.m,IFERROR(_xlfn.XMATCH(C749,_xlpm.r),IFERROR(_xlfn.XMATCH(VALUE(C749),_xlpm.r),0)),IF(_xlpm.m=0,"",_xlpm.m+1))</f>
        <v/>
      </c>
      <c r="J749" s="137" t="inlineStr">
        <is>
          <t>Odoo</t>
        </is>
      </c>
    </row>
    <row r="750">
      <c r="A750" s="5" t="inlineStr">
        <is>
          <t>Odoo Universal Unique Brands › Bodega 25 › Bodega 25/General</t>
        </is>
      </c>
      <c r="B750" s="5">
        <f>IF($I2="","",INDEX(Productos!$A:$A,$I2))</f>
        <v/>
      </c>
      <c r="C750" s="134" t="inlineStr">
        <is>
          <t>WG183-8300TN</t>
        </is>
      </c>
      <c r="D750" s="5">
        <f>IF($I2="","",INDEX(Productos!$B:$B,$I2))</f>
        <v/>
      </c>
      <c r="E750" s="5">
        <f>IF($I2="","",INDEX(Productos!$H:$H,$I2))</f>
        <v/>
      </c>
      <c r="F750" s="5">
        <f>IF($I2="","",INDEX(Productos!$I:$I,$I2))</f>
        <v/>
      </c>
      <c r="G750" s="135" t="n">
        <v>13</v>
      </c>
      <c r="H750" s="5">
        <f>IF($I2="","",INDEX(Productos!$AG:$AG,$I2))</f>
        <v/>
      </c>
      <c r="I750" s="136">
        <f>LET(_xlpm.r,Productos!$E$2:$E$1063,_xlpm.m,IFERROR(_xlfn.XMATCH(C750,_xlpm.r),IFERROR(_xlfn.XMATCH(VALUE(C750),_xlpm.r),0)),IF(_xlpm.m=0,"",_xlpm.m+1))</f>
        <v/>
      </c>
      <c r="J750" s="137" t="inlineStr">
        <is>
          <t>Odoo</t>
        </is>
      </c>
    </row>
    <row r="751">
      <c r="A751" s="5" t="inlineStr">
        <is>
          <t>Odoo Universal Unique Brands › Bodega 25 › Bodega 25/General</t>
        </is>
      </c>
      <c r="B751" s="5">
        <f>IF($I2="","",INDEX(Productos!$A:$A,$I2))</f>
        <v/>
      </c>
      <c r="C751" s="134" t="inlineStr">
        <is>
          <t>WG183-8312BK</t>
        </is>
      </c>
      <c r="D751" s="5">
        <f>IF($I2="","",INDEX(Productos!$B:$B,$I2))</f>
        <v/>
      </c>
      <c r="E751" s="5">
        <f>IF($I2="","",INDEX(Productos!$H:$H,$I2))</f>
        <v/>
      </c>
      <c r="F751" s="5">
        <f>IF($I2="","",INDEX(Productos!$I:$I,$I2))</f>
        <v/>
      </c>
      <c r="G751" s="135" t="n">
        <v>38</v>
      </c>
      <c r="H751" s="5">
        <f>IF($I2="","",INDEX(Productos!$AG:$AG,$I2))</f>
        <v/>
      </c>
      <c r="I751" s="136">
        <f>LET(_xlpm.r,Productos!$E$2:$E$1063,_xlpm.m,IFERROR(_xlfn.XMATCH(C751,_xlpm.r),IFERROR(_xlfn.XMATCH(VALUE(C751),_xlpm.r),0)),IF(_xlpm.m=0,"",_xlpm.m+1))</f>
        <v/>
      </c>
      <c r="J751" s="137" t="inlineStr">
        <is>
          <t>Odoo</t>
        </is>
      </c>
    </row>
    <row r="752">
      <c r="A752" s="5" t="inlineStr">
        <is>
          <t>Odoo Universal Unique Brands › Bodega 25 › Bodega 25/General</t>
        </is>
      </c>
      <c r="B752" s="5">
        <f>IF($I2="","",INDEX(Productos!$A:$A,$I2))</f>
        <v/>
      </c>
      <c r="C752" s="134" t="inlineStr">
        <is>
          <t>WG183-8312BR</t>
        </is>
      </c>
      <c r="D752" s="5">
        <f>IF($I2="","",INDEX(Productos!$B:$B,$I2))</f>
        <v/>
      </c>
      <c r="E752" s="5">
        <f>IF($I2="","",INDEX(Productos!$H:$H,$I2))</f>
        <v/>
      </c>
      <c r="F752" s="5">
        <f>IF($I2="","",INDEX(Productos!$I:$I,$I2))</f>
        <v/>
      </c>
      <c r="G752" s="135" t="n">
        <v>34</v>
      </c>
      <c r="H752" s="5">
        <f>IF($I2="","",INDEX(Productos!$AG:$AG,$I2))</f>
        <v/>
      </c>
      <c r="I752" s="136">
        <f>LET(_xlpm.r,Productos!$E$2:$E$1063,_xlpm.m,IFERROR(_xlfn.XMATCH(C752,_xlpm.r),IFERROR(_xlfn.XMATCH(VALUE(C752),_xlpm.r),0)),IF(_xlpm.m=0,"",_xlpm.m+1))</f>
        <v/>
      </c>
      <c r="J752" s="137" t="inlineStr">
        <is>
          <t>Odoo</t>
        </is>
      </c>
    </row>
    <row r="753">
      <c r="A753" s="5" t="inlineStr">
        <is>
          <t>Odoo Universal Unique Brands › Bodega 25 › Bodega 25/General</t>
        </is>
      </c>
      <c r="B753" s="5">
        <f>IF($I2="","",INDEX(Productos!$A:$A,$I2))</f>
        <v/>
      </c>
      <c r="C753" s="134" t="inlineStr">
        <is>
          <t>WG183-W048BK</t>
        </is>
      </c>
      <c r="D753" s="5">
        <f>IF($I2="","",INDEX(Productos!$B:$B,$I2))</f>
        <v/>
      </c>
      <c r="E753" s="5">
        <f>IF($I2="","",INDEX(Productos!$H:$H,$I2))</f>
        <v/>
      </c>
      <c r="F753" s="5">
        <f>IF($I2="","",INDEX(Productos!$I:$I,$I2))</f>
        <v/>
      </c>
      <c r="G753" s="135" t="n">
        <v>3</v>
      </c>
      <c r="H753" s="5">
        <f>IF($I2="","",INDEX(Productos!$AG:$AG,$I2))</f>
        <v/>
      </c>
      <c r="I753" s="136">
        <f>LET(_xlpm.r,Productos!$E$2:$E$1063,_xlpm.m,IFERROR(_xlfn.XMATCH(C753,_xlpm.r),IFERROR(_xlfn.XMATCH(VALUE(C753),_xlpm.r),0)),IF(_xlpm.m=0,"",_xlpm.m+1))</f>
        <v/>
      </c>
      <c r="J753" s="137" t="inlineStr">
        <is>
          <t>Odoo</t>
        </is>
      </c>
    </row>
    <row r="754">
      <c r="A754" s="5" t="inlineStr">
        <is>
          <t>Odoo Universal Unique Brands › Bodega 25 › Bodega 25/General</t>
        </is>
      </c>
      <c r="B754" s="5">
        <f>IF($I2="","",INDEX(Productos!$A:$A,$I2))</f>
        <v/>
      </c>
      <c r="C754" s="134" t="inlineStr">
        <is>
          <t>WG183-W048BR</t>
        </is>
      </c>
      <c r="D754" s="5">
        <f>IF($I2="","",INDEX(Productos!$B:$B,$I2))</f>
        <v/>
      </c>
      <c r="E754" s="5">
        <f>IF($I2="","",INDEX(Productos!$H:$H,$I2))</f>
        <v/>
      </c>
      <c r="F754" s="5">
        <f>IF($I2="","",INDEX(Productos!$I:$I,$I2))</f>
        <v/>
      </c>
      <c r="G754" s="135" t="n">
        <v>21</v>
      </c>
      <c r="H754" s="5">
        <f>IF($I2="","",INDEX(Productos!$AG:$AG,$I2))</f>
        <v/>
      </c>
      <c r="I754" s="136">
        <f>LET(_xlpm.r,Productos!$E$2:$E$1063,_xlpm.m,IFERROR(_xlfn.XMATCH(C754,_xlpm.r),IFERROR(_xlfn.XMATCH(VALUE(C754),_xlpm.r),0)),IF(_xlpm.m=0,"",_xlpm.m+1))</f>
        <v/>
      </c>
      <c r="J754" s="137" t="inlineStr">
        <is>
          <t>Odoo</t>
        </is>
      </c>
    </row>
    <row r="755">
      <c r="A755" s="5" t="inlineStr">
        <is>
          <t>Odoo Universal Unique Brands › Bodega 25 › Bodega 25/General</t>
        </is>
      </c>
      <c r="B755" s="5">
        <f>IF($I2="","",INDEX(Productos!$A:$A,$I2))</f>
        <v/>
      </c>
      <c r="C755" s="134" t="inlineStr">
        <is>
          <t>WG184-W049CF</t>
        </is>
      </c>
      <c r="D755" s="5">
        <f>IF($I2="","",INDEX(Productos!$B:$B,$I2))</f>
        <v/>
      </c>
      <c r="E755" s="5">
        <f>IF($I2="","",INDEX(Productos!$H:$H,$I2))</f>
        <v/>
      </c>
      <c r="F755" s="5">
        <f>IF($I2="","",INDEX(Productos!$I:$I,$I2))</f>
        <v/>
      </c>
      <c r="G755" s="135" t="n">
        <v>3</v>
      </c>
      <c r="H755" s="5">
        <f>IF($I2="","",INDEX(Productos!$AG:$AG,$I2))</f>
        <v/>
      </c>
      <c r="I755" s="136">
        <f>LET(_xlpm.r,Productos!$E$2:$E$1063,_xlpm.m,IFERROR(_xlfn.XMATCH(C755,_xlpm.r),IFERROR(_xlfn.XMATCH(VALUE(C755),_xlpm.r),0)),IF(_xlpm.m=0,"",_xlpm.m+1))</f>
        <v/>
      </c>
      <c r="J755" s="137" t="inlineStr">
        <is>
          <t>Odoo</t>
        </is>
      </c>
    </row>
    <row r="756">
      <c r="A756" s="5" t="inlineStr">
        <is>
          <t>Odoo Universal Unique Brands › Bodega 25 › Bodega 25/General</t>
        </is>
      </c>
      <c r="B756" s="5">
        <f>IF($I2="","",INDEX(Productos!$A:$A,$I2))</f>
        <v/>
      </c>
      <c r="C756" s="134" t="inlineStr">
        <is>
          <t>WG185-5110BK</t>
        </is>
      </c>
      <c r="D756" s="5">
        <f>IF($I2="","",INDEX(Productos!$B:$B,$I2))</f>
        <v/>
      </c>
      <c r="E756" s="5">
        <f>IF($I2="","",INDEX(Productos!$H:$H,$I2))</f>
        <v/>
      </c>
      <c r="F756" s="5">
        <f>IF($I2="","",INDEX(Productos!$I:$I,$I2))</f>
        <v/>
      </c>
      <c r="G756" s="135" t="n">
        <v>9</v>
      </c>
      <c r="H756" s="5">
        <f>IF($I2="","",INDEX(Productos!$AG:$AG,$I2))</f>
        <v/>
      </c>
      <c r="I756" s="136">
        <f>LET(_xlpm.r,Productos!$E$2:$E$1063,_xlpm.m,IFERROR(_xlfn.XMATCH(C756,_xlpm.r),IFERROR(_xlfn.XMATCH(VALUE(C756),_xlpm.r),0)),IF(_xlpm.m=0,"",_xlpm.m+1))</f>
        <v/>
      </c>
      <c r="J756" s="137" t="inlineStr">
        <is>
          <t>Odoo</t>
        </is>
      </c>
    </row>
    <row r="757">
      <c r="A757" s="5" t="inlineStr">
        <is>
          <t>Odoo Universal Unique Brands › Bodega 25 › Bodega 25/General</t>
        </is>
      </c>
      <c r="B757" s="5">
        <f>IF($I2="","",INDEX(Productos!$A:$A,$I2))</f>
        <v/>
      </c>
      <c r="C757" s="134" t="inlineStr">
        <is>
          <t>WG185-5110TN</t>
        </is>
      </c>
      <c r="D757" s="5">
        <f>IF($I2="","",INDEX(Productos!$B:$B,$I2))</f>
        <v/>
      </c>
      <c r="E757" s="5">
        <f>IF($I2="","",INDEX(Productos!$H:$H,$I2))</f>
        <v/>
      </c>
      <c r="F757" s="5">
        <f>IF($I2="","",INDEX(Productos!$I:$I,$I2))</f>
        <v/>
      </c>
      <c r="G757" s="135" t="n">
        <v>10</v>
      </c>
      <c r="H757" s="5">
        <f>IF($I2="","",INDEX(Productos!$AG:$AG,$I2))</f>
        <v/>
      </c>
      <c r="I757" s="136">
        <f>LET(_xlpm.r,Productos!$E$2:$E$1063,_xlpm.m,IFERROR(_xlfn.XMATCH(C757,_xlpm.r),IFERROR(_xlfn.XMATCH(VALUE(C757),_xlpm.r),0)),IF(_xlpm.m=0,"",_xlpm.m+1))</f>
        <v/>
      </c>
      <c r="J757" s="137" t="inlineStr">
        <is>
          <t>Odoo</t>
        </is>
      </c>
    </row>
    <row r="758">
      <c r="A758" s="5" t="inlineStr">
        <is>
          <t>Odoo Universal Unique Brands › Bodega 25 › Bodega 25/General</t>
        </is>
      </c>
      <c r="B758" s="5">
        <f>IF($I2="","",INDEX(Productos!$A:$A,$I2))</f>
        <v/>
      </c>
      <c r="C758" s="134" t="inlineStr">
        <is>
          <t>WG185-5112BG</t>
        </is>
      </c>
      <c r="D758" s="5">
        <f>IF($I2="","",INDEX(Productos!$B:$B,$I2))</f>
        <v/>
      </c>
      <c r="E758" s="5">
        <f>IF($I2="","",INDEX(Productos!$H:$H,$I2))</f>
        <v/>
      </c>
      <c r="F758" s="5">
        <f>IF($I2="","",INDEX(Productos!$I:$I,$I2))</f>
        <v/>
      </c>
      <c r="G758" s="135" t="n">
        <v>43</v>
      </c>
      <c r="H758" s="5">
        <f>IF($I2="","",INDEX(Productos!$AG:$AG,$I2))</f>
        <v/>
      </c>
      <c r="I758" s="136">
        <f>LET(_xlpm.r,Productos!$E$2:$E$1063,_xlpm.m,IFERROR(_xlfn.XMATCH(C758,_xlpm.r),IFERROR(_xlfn.XMATCH(VALUE(C758),_xlpm.r),0)),IF(_xlpm.m=0,"",_xlpm.m+1))</f>
        <v/>
      </c>
      <c r="J758" s="137" t="inlineStr">
        <is>
          <t>Odoo</t>
        </is>
      </c>
    </row>
    <row r="759">
      <c r="A759" s="5" t="inlineStr">
        <is>
          <t>Odoo Universal Unique Brands › Bodega 25 › Bodega 25/General</t>
        </is>
      </c>
      <c r="B759" s="5">
        <f>IF($I2="","",INDEX(Productos!$A:$A,$I2))</f>
        <v/>
      </c>
      <c r="C759" s="134" t="inlineStr">
        <is>
          <t>WG185-5112BR</t>
        </is>
      </c>
      <c r="D759" s="5">
        <f>IF($I2="","",INDEX(Productos!$B:$B,$I2))</f>
        <v/>
      </c>
      <c r="E759" s="5">
        <f>IF($I2="","",INDEX(Productos!$H:$H,$I2))</f>
        <v/>
      </c>
      <c r="F759" s="5">
        <f>IF($I2="","",INDEX(Productos!$I:$I,$I2))</f>
        <v/>
      </c>
      <c r="G759" s="135" t="n">
        <v>46</v>
      </c>
      <c r="H759" s="5">
        <f>IF($I2="","",INDEX(Productos!$AG:$AG,$I2))</f>
        <v/>
      </c>
      <c r="I759" s="136">
        <f>LET(_xlpm.r,Productos!$E$2:$E$1063,_xlpm.m,IFERROR(_xlfn.XMATCH(C759,_xlpm.r),IFERROR(_xlfn.XMATCH(VALUE(C759),_xlpm.r),0)),IF(_xlpm.m=0,"",_xlpm.m+1))</f>
        <v/>
      </c>
      <c r="J759" s="137" t="inlineStr">
        <is>
          <t>Odoo</t>
        </is>
      </c>
    </row>
    <row r="760">
      <c r="A760" s="5" t="inlineStr">
        <is>
          <t>Odoo Universal Unique Brands › Bodega 25 › Bodega 25/General</t>
        </is>
      </c>
      <c r="B760" s="5">
        <f>IF($I2="","",INDEX(Productos!$A:$A,$I2))</f>
        <v/>
      </c>
      <c r="C760" s="134" t="inlineStr">
        <is>
          <t>WG185-5112JN</t>
        </is>
      </c>
      <c r="D760" s="5">
        <f>IF($I2="","",INDEX(Productos!$B:$B,$I2))</f>
        <v/>
      </c>
      <c r="E760" s="5">
        <f>IF($I2="","",INDEX(Productos!$H:$H,$I2))</f>
        <v/>
      </c>
      <c r="F760" s="5">
        <f>IF($I2="","",INDEX(Productos!$I:$I,$I2))</f>
        <v/>
      </c>
      <c r="G760" s="135" t="n">
        <v>27</v>
      </c>
      <c r="H760" s="5">
        <f>IF($I2="","",INDEX(Productos!$AG:$AG,$I2))</f>
        <v/>
      </c>
      <c r="I760" s="136">
        <f>LET(_xlpm.r,Productos!$E$2:$E$1063,_xlpm.m,IFERROR(_xlfn.XMATCH(C760,_xlpm.r),IFERROR(_xlfn.XMATCH(VALUE(C760),_xlpm.r),0)),IF(_xlpm.m=0,"",_xlpm.m+1))</f>
        <v/>
      </c>
      <c r="J760" s="137" t="inlineStr">
        <is>
          <t>Odoo</t>
        </is>
      </c>
    </row>
    <row r="761">
      <c r="A761" s="5" t="inlineStr">
        <is>
          <t>Odoo Universal Unique Brands › Bodega 25 › Bodega 25/General</t>
        </is>
      </c>
      <c r="B761" s="5">
        <f>IF($I2="","",INDEX(Productos!$A:$A,$I2))</f>
        <v/>
      </c>
      <c r="C761" s="134" t="inlineStr">
        <is>
          <t>WG185-5112LGY</t>
        </is>
      </c>
      <c r="D761" s="5">
        <f>IF($I2="","",INDEX(Productos!$B:$B,$I2))</f>
        <v/>
      </c>
      <c r="E761" s="5">
        <f>IF($I2="","",INDEX(Productos!$H:$H,$I2))</f>
        <v/>
      </c>
      <c r="F761" s="5">
        <f>IF($I2="","",INDEX(Productos!$I:$I,$I2))</f>
        <v/>
      </c>
      <c r="G761" s="135" t="n">
        <v>7</v>
      </c>
      <c r="H761" s="5">
        <f>IF($I2="","",INDEX(Productos!$AG:$AG,$I2))</f>
        <v/>
      </c>
      <c r="I761" s="136">
        <f>LET(_xlpm.r,Productos!$E$2:$E$1063,_xlpm.m,IFERROR(_xlfn.XMATCH(C761,_xlpm.r),IFERROR(_xlfn.XMATCH(VALUE(C761),_xlpm.r),0)),IF(_xlpm.m=0,"",_xlpm.m+1))</f>
        <v/>
      </c>
      <c r="J761" s="137" t="inlineStr">
        <is>
          <t>Odoo</t>
        </is>
      </c>
    </row>
    <row r="762">
      <c r="A762" s="5" t="inlineStr">
        <is>
          <t>Odoo Universal Unique Brands › Bodega 25 › Bodega 25/General</t>
        </is>
      </c>
      <c r="B762" s="5">
        <f>IF($I2="","",INDEX(Productos!$A:$A,$I2))</f>
        <v/>
      </c>
      <c r="C762" s="134" t="inlineStr">
        <is>
          <t>WG185-W050BK</t>
        </is>
      </c>
      <c r="D762" s="5">
        <f>IF($I2="","",INDEX(Productos!$B:$B,$I2))</f>
        <v/>
      </c>
      <c r="E762" s="5">
        <f>IF($I2="","",INDEX(Productos!$H:$H,$I2))</f>
        <v/>
      </c>
      <c r="F762" s="5">
        <f>IF($I2="","",INDEX(Productos!$I:$I,$I2))</f>
        <v/>
      </c>
      <c r="G762" s="135" t="n">
        <v>11</v>
      </c>
      <c r="H762" s="5">
        <f>IF($I2="","",INDEX(Productos!$AG:$AG,$I2))</f>
        <v/>
      </c>
      <c r="I762" s="136">
        <f>LET(_xlpm.r,Productos!$E$2:$E$1063,_xlpm.m,IFERROR(_xlfn.XMATCH(C762,_xlpm.r),IFERROR(_xlfn.XMATCH(VALUE(C762),_xlpm.r),0)),IF(_xlpm.m=0,"",_xlpm.m+1))</f>
        <v/>
      </c>
      <c r="J762" s="137" t="inlineStr">
        <is>
          <t>Odoo</t>
        </is>
      </c>
    </row>
    <row r="763">
      <c r="A763" s="5" t="inlineStr">
        <is>
          <t>Odoo Universal Unique Brands › Bodega 25 › Bodega 25/General</t>
        </is>
      </c>
      <c r="B763" s="5">
        <f>IF($I2="","",INDEX(Productos!$A:$A,$I2))</f>
        <v/>
      </c>
      <c r="C763" s="134" t="inlineStr">
        <is>
          <t>WG185-W050LGY</t>
        </is>
      </c>
      <c r="D763" s="5">
        <f>IF($I2="","",INDEX(Productos!$B:$B,$I2))</f>
        <v/>
      </c>
      <c r="E763" s="5">
        <f>IF($I2="","",INDEX(Productos!$H:$H,$I2))</f>
        <v/>
      </c>
      <c r="F763" s="5">
        <f>IF($I2="","",INDEX(Productos!$I:$I,$I2))</f>
        <v/>
      </c>
      <c r="G763" s="135" t="n">
        <v>4</v>
      </c>
      <c r="H763" s="5">
        <f>IF($I2="","",INDEX(Productos!$AG:$AG,$I2))</f>
        <v/>
      </c>
      <c r="I763" s="136">
        <f>LET(_xlpm.r,Productos!$E$2:$E$1063,_xlpm.m,IFERROR(_xlfn.XMATCH(C763,_xlpm.r),IFERROR(_xlfn.XMATCH(VALUE(C763),_xlpm.r),0)),IF(_xlpm.m=0,"",_xlpm.m+1))</f>
        <v/>
      </c>
      <c r="J763" s="137" t="inlineStr">
        <is>
          <t>Odoo</t>
        </is>
      </c>
    </row>
    <row r="764">
      <c r="A764" s="5" t="inlineStr">
        <is>
          <t>Odoo Universal Unique Brands › Bodega 25 › Bodega 25/General</t>
        </is>
      </c>
      <c r="B764" s="5">
        <f>IF($I2="","",INDEX(Productos!$A:$A,$I2))</f>
        <v/>
      </c>
      <c r="C764" s="134" t="inlineStr">
        <is>
          <t>WG187-8318BDY</t>
        </is>
      </c>
      <c r="D764" s="5">
        <f>IF($I2="","",INDEX(Productos!$B:$B,$I2))</f>
        <v/>
      </c>
      <c r="E764" s="5">
        <f>IF($I2="","",INDEX(Productos!$H:$H,$I2))</f>
        <v/>
      </c>
      <c r="F764" s="5">
        <f>IF($I2="","",INDEX(Productos!$I:$I,$I2))</f>
        <v/>
      </c>
      <c r="G764" s="135" t="n">
        <v>24</v>
      </c>
      <c r="H764" s="5">
        <f>IF($I2="","",INDEX(Productos!$AG:$AG,$I2))</f>
        <v/>
      </c>
      <c r="I764" s="136">
        <f>LET(_xlpm.r,Productos!$E$2:$E$1063,_xlpm.m,IFERROR(_xlfn.XMATCH(C764,_xlpm.r),IFERROR(_xlfn.XMATCH(VALUE(C764),_xlpm.r),0)),IF(_xlpm.m=0,"",_xlpm.m+1))</f>
        <v/>
      </c>
      <c r="J764" s="137" t="inlineStr">
        <is>
          <t>Odoo</t>
        </is>
      </c>
    </row>
    <row r="765">
      <c r="A765" s="5" t="inlineStr">
        <is>
          <t>Odoo Universal Unique Brands › Bodega 25 › Bodega 25/General</t>
        </is>
      </c>
      <c r="B765" s="5">
        <f>IF($I2="","",INDEX(Productos!$A:$A,$I2))</f>
        <v/>
      </c>
      <c r="C765" s="134" t="inlineStr">
        <is>
          <t>WG187-8318BK</t>
        </is>
      </c>
      <c r="D765" s="5">
        <f>IF($I2="","",INDEX(Productos!$B:$B,$I2))</f>
        <v/>
      </c>
      <c r="E765" s="5">
        <f>IF($I2="","",INDEX(Productos!$H:$H,$I2))</f>
        <v/>
      </c>
      <c r="F765" s="5">
        <f>IF($I2="","",INDEX(Productos!$I:$I,$I2))</f>
        <v/>
      </c>
      <c r="G765" s="135" t="n">
        <v>21</v>
      </c>
      <c r="H765" s="5">
        <f>IF($I2="","",INDEX(Productos!$AG:$AG,$I2))</f>
        <v/>
      </c>
      <c r="I765" s="136">
        <f>LET(_xlpm.r,Productos!$E$2:$E$1063,_xlpm.m,IFERROR(_xlfn.XMATCH(C765,_xlpm.r),IFERROR(_xlfn.XMATCH(VALUE(C765),_xlpm.r),0)),IF(_xlpm.m=0,"",_xlpm.m+1))</f>
        <v/>
      </c>
      <c r="J765" s="137" t="inlineStr">
        <is>
          <t>Odoo</t>
        </is>
      </c>
    </row>
    <row r="766">
      <c r="A766" s="5" t="inlineStr">
        <is>
          <t>Odoo Universal Unique Brands › Bodega 25 › Bodega 25/General</t>
        </is>
      </c>
      <c r="B766" s="5">
        <f>IF($I2="","",INDEX(Productos!$A:$A,$I2))</f>
        <v/>
      </c>
      <c r="C766" s="134" t="inlineStr">
        <is>
          <t>WG187-8318BR</t>
        </is>
      </c>
      <c r="D766" s="5">
        <f>IF($I2="","",INDEX(Productos!$B:$B,$I2))</f>
        <v/>
      </c>
      <c r="E766" s="5">
        <f>IF($I2="","",INDEX(Productos!$H:$H,$I2))</f>
        <v/>
      </c>
      <c r="F766" s="5">
        <f>IF($I2="","",INDEX(Productos!$I:$I,$I2))</f>
        <v/>
      </c>
      <c r="G766" s="135" t="n">
        <v>12</v>
      </c>
      <c r="H766" s="5">
        <f>IF($I2="","",INDEX(Productos!$AG:$AG,$I2))</f>
        <v/>
      </c>
      <c r="I766" s="136">
        <f>LET(_xlpm.r,Productos!$E$2:$E$1063,_xlpm.m,IFERROR(_xlfn.XMATCH(C766,_xlpm.r),IFERROR(_xlfn.XMATCH(VALUE(C766),_xlpm.r),0)),IF(_xlpm.m=0,"",_xlpm.m+1))</f>
        <v/>
      </c>
      <c r="J766" s="137" t="inlineStr">
        <is>
          <t>Odoo</t>
        </is>
      </c>
    </row>
    <row r="767">
      <c r="A767" s="5" t="inlineStr">
        <is>
          <t>Odoo Universal Unique Brands › Bodega 25 › Bodega 25/General</t>
        </is>
      </c>
      <c r="B767" s="5">
        <f>IF($I2="","",INDEX(Productos!$A:$A,$I2))</f>
        <v/>
      </c>
      <c r="C767" s="134" t="inlineStr">
        <is>
          <t>WG187-8318TN</t>
        </is>
      </c>
      <c r="D767" s="5">
        <f>IF($I2="","",INDEX(Productos!$B:$B,$I2))</f>
        <v/>
      </c>
      <c r="E767" s="5">
        <f>IF($I2="","",INDEX(Productos!$H:$H,$I2))</f>
        <v/>
      </c>
      <c r="F767" s="5">
        <f>IF($I2="","",INDEX(Productos!$I:$I,$I2))</f>
        <v/>
      </c>
      <c r="G767" s="135" t="n">
        <v>17</v>
      </c>
      <c r="H767" s="5">
        <f>IF($I2="","",INDEX(Productos!$AG:$AG,$I2))</f>
        <v/>
      </c>
      <c r="I767" s="136">
        <f>LET(_xlpm.r,Productos!$E$2:$E$1063,_xlpm.m,IFERROR(_xlfn.XMATCH(C767,_xlpm.r),IFERROR(_xlfn.XMATCH(VALUE(C767),_xlpm.r),0)),IF(_xlpm.m=0,"",_xlpm.m+1))</f>
        <v/>
      </c>
      <c r="J767" s="137" t="inlineStr">
        <is>
          <t>Odoo</t>
        </is>
      </c>
    </row>
    <row r="768">
      <c r="A768" s="5" t="inlineStr">
        <is>
          <t>Odoo Universal Unique Brands › Bodega 25 › Bodega 25/General</t>
        </is>
      </c>
      <c r="B768" s="5">
        <f>IF($I2="","",INDEX(Productos!$A:$A,$I2))</f>
        <v/>
      </c>
      <c r="C768" s="134" t="inlineStr">
        <is>
          <t>WG190-8319BG</t>
        </is>
      </c>
      <c r="D768" s="5">
        <f>IF($I2="","",INDEX(Productos!$B:$B,$I2))</f>
        <v/>
      </c>
      <c r="E768" s="5">
        <f>IF($I2="","",INDEX(Productos!$H:$H,$I2))</f>
        <v/>
      </c>
      <c r="F768" s="5">
        <f>IF($I2="","",INDEX(Productos!$I:$I,$I2))</f>
        <v/>
      </c>
      <c r="G768" s="135" t="n">
        <v>4</v>
      </c>
      <c r="H768" s="5">
        <f>IF($I2="","",INDEX(Productos!$AG:$AG,$I2))</f>
        <v/>
      </c>
      <c r="I768" s="136">
        <f>LET(_xlpm.r,Productos!$E$2:$E$1063,_xlpm.m,IFERROR(_xlfn.XMATCH(C768,_xlpm.r),IFERROR(_xlfn.XMATCH(VALUE(C768),_xlpm.r),0)),IF(_xlpm.m=0,"",_xlpm.m+1))</f>
        <v/>
      </c>
      <c r="J768" s="137" t="inlineStr">
        <is>
          <t>Odoo</t>
        </is>
      </c>
    </row>
    <row r="769">
      <c r="A769" s="5" t="inlineStr">
        <is>
          <t>Odoo Universal Unique Brands › Bodega 25 › Bodega 25/General</t>
        </is>
      </c>
      <c r="B769" s="5">
        <f>IF($I2="","",INDEX(Productos!$A:$A,$I2))</f>
        <v/>
      </c>
      <c r="C769" s="134" t="inlineStr">
        <is>
          <t>WG190-8319DPK</t>
        </is>
      </c>
      <c r="D769" s="5">
        <f>IF($I2="","",INDEX(Productos!$B:$B,$I2))</f>
        <v/>
      </c>
      <c r="E769" s="5">
        <f>IF($I2="","",INDEX(Productos!$H:$H,$I2))</f>
        <v/>
      </c>
      <c r="F769" s="5">
        <f>IF($I2="","",INDEX(Productos!$I:$I,$I2))</f>
        <v/>
      </c>
      <c r="G769" s="135" t="n">
        <v>5</v>
      </c>
      <c r="H769" s="5">
        <f>IF($I2="","",INDEX(Productos!$AG:$AG,$I2))</f>
        <v/>
      </c>
      <c r="I769" s="136">
        <f>LET(_xlpm.r,Productos!$E$2:$E$1063,_xlpm.m,IFERROR(_xlfn.XMATCH(C769,_xlpm.r),IFERROR(_xlfn.XMATCH(VALUE(C769),_xlpm.r),0)),IF(_xlpm.m=0,"",_xlpm.m+1))</f>
        <v/>
      </c>
      <c r="J769" s="137" t="inlineStr">
        <is>
          <t>Odoo</t>
        </is>
      </c>
    </row>
    <row r="770">
      <c r="A770" s="5" t="inlineStr">
        <is>
          <t>Odoo Universal Unique Brands › Bodega 25 › Bodega 25/General</t>
        </is>
      </c>
      <c r="B770" s="5">
        <f>IF($I2="","",INDEX(Productos!$A:$A,$I2))</f>
        <v/>
      </c>
      <c r="C770" s="134" t="inlineStr">
        <is>
          <t>WG190-8319LBR</t>
        </is>
      </c>
      <c r="D770" s="5">
        <f>IF($I2="","",INDEX(Productos!$B:$B,$I2))</f>
        <v/>
      </c>
      <c r="E770" s="5">
        <f>IF($I2="","",INDEX(Productos!$H:$H,$I2))</f>
        <v/>
      </c>
      <c r="F770" s="5">
        <f>IF($I2="","",INDEX(Productos!$I:$I,$I2))</f>
        <v/>
      </c>
      <c r="G770" s="135" t="n">
        <v>17</v>
      </c>
      <c r="H770" s="5">
        <f>IF($I2="","",INDEX(Productos!$AG:$AG,$I2))</f>
        <v/>
      </c>
      <c r="I770" s="136">
        <f>LET(_xlpm.r,Productos!$E$2:$E$1063,_xlpm.m,IFERROR(_xlfn.XMATCH(C770,_xlpm.r),IFERROR(_xlfn.XMATCH(VALUE(C770),_xlpm.r),0)),IF(_xlpm.m=0,"",_xlpm.m+1))</f>
        <v/>
      </c>
      <c r="J770" s="137" t="inlineStr">
        <is>
          <t>Odoo</t>
        </is>
      </c>
    </row>
    <row r="771">
      <c r="A771" s="5" t="inlineStr">
        <is>
          <t>Odoo Universal Unique Brands › Bodega 25 › Bodega 25/General</t>
        </is>
      </c>
      <c r="B771" s="5">
        <f>IF($I2="","",INDEX(Productos!$A:$A,$I2))</f>
        <v/>
      </c>
      <c r="C771" s="134" t="inlineStr">
        <is>
          <t>WG190-8319NY</t>
        </is>
      </c>
      <c r="D771" s="5">
        <f>IF($I2="","",INDEX(Productos!$B:$B,$I2))</f>
        <v/>
      </c>
      <c r="E771" s="5">
        <f>IF($I2="","",INDEX(Productos!$H:$H,$I2))</f>
        <v/>
      </c>
      <c r="F771" s="5">
        <f>IF($I2="","",INDEX(Productos!$I:$I,$I2))</f>
        <v/>
      </c>
      <c r="G771" s="135" t="n">
        <v>5</v>
      </c>
      <c r="H771" s="5">
        <f>IF($I2="","",INDEX(Productos!$AG:$AG,$I2))</f>
        <v/>
      </c>
      <c r="I771" s="136">
        <f>LET(_xlpm.r,Productos!$E$2:$E$1063,_xlpm.m,IFERROR(_xlfn.XMATCH(C771,_xlpm.r),IFERROR(_xlfn.XMATCH(VALUE(C771),_xlpm.r),0)),IF(_xlpm.m=0,"",_xlpm.m+1))</f>
        <v/>
      </c>
      <c r="J771" s="137" t="inlineStr">
        <is>
          <t>Odoo</t>
        </is>
      </c>
    </row>
    <row r="772">
      <c r="A772" s="5" t="inlineStr">
        <is>
          <t>Odoo Universal Unique Brands › Bodega 25 › Bodega 25/General</t>
        </is>
      </c>
      <c r="B772" s="5">
        <f>IF($I2="","",INDEX(Productos!$A:$A,$I2))</f>
        <v/>
      </c>
      <c r="C772" s="134" t="inlineStr">
        <is>
          <t>WG193-2003BG</t>
        </is>
      </c>
      <c r="D772" s="5">
        <f>IF($I2="","",INDEX(Productos!$B:$B,$I2))</f>
        <v/>
      </c>
      <c r="E772" s="5">
        <f>IF($I2="","",INDEX(Productos!$H:$H,$I2))</f>
        <v/>
      </c>
      <c r="F772" s="5">
        <f>IF($I2="","",INDEX(Productos!$I:$I,$I2))</f>
        <v/>
      </c>
      <c r="G772" s="135" t="n">
        <v>33</v>
      </c>
      <c r="H772" s="5">
        <f>IF($I2="","",INDEX(Productos!$AG:$AG,$I2))</f>
        <v/>
      </c>
      <c r="I772" s="136">
        <f>LET(_xlpm.r,Productos!$E$2:$E$1063,_xlpm.m,IFERROR(_xlfn.XMATCH(C772,_xlpm.r),IFERROR(_xlfn.XMATCH(VALUE(C772),_xlpm.r),0)),IF(_xlpm.m=0,"",_xlpm.m+1))</f>
        <v/>
      </c>
      <c r="J772" s="137" t="inlineStr">
        <is>
          <t>Odoo</t>
        </is>
      </c>
    </row>
    <row r="773">
      <c r="A773" s="5" t="inlineStr">
        <is>
          <t>Odoo Universal Unique Brands › Bodega 25 › Bodega 25/General</t>
        </is>
      </c>
      <c r="B773" s="5">
        <f>IF($I2="","",INDEX(Productos!$A:$A,$I2))</f>
        <v/>
      </c>
      <c r="C773" s="134" t="inlineStr">
        <is>
          <t>WG193-2003BK</t>
        </is>
      </c>
      <c r="D773" s="5">
        <f>IF($I2="","",INDEX(Productos!$B:$B,$I2))</f>
        <v/>
      </c>
      <c r="E773" s="5">
        <f>IF($I2="","",INDEX(Productos!$H:$H,$I2))</f>
        <v/>
      </c>
      <c r="F773" s="5">
        <f>IF($I2="","",INDEX(Productos!$I:$I,$I2))</f>
        <v/>
      </c>
      <c r="G773" s="135" t="n">
        <v>197</v>
      </c>
      <c r="H773" s="5">
        <f>IF($I2="","",INDEX(Productos!$AG:$AG,$I2))</f>
        <v/>
      </c>
      <c r="I773" s="136">
        <f>LET(_xlpm.r,Productos!$E$2:$E$1063,_xlpm.m,IFERROR(_xlfn.XMATCH(C773,_xlpm.r),IFERROR(_xlfn.XMATCH(VALUE(C773),_xlpm.r),0)),IF(_xlpm.m=0,"",_xlpm.m+1))</f>
        <v/>
      </c>
      <c r="J773" s="137" t="inlineStr">
        <is>
          <t>Odoo</t>
        </is>
      </c>
    </row>
    <row r="774">
      <c r="A774" s="5" t="inlineStr">
        <is>
          <t>Odoo Universal Unique Brands › Bodega 25 › Bodega 25/General</t>
        </is>
      </c>
      <c r="B774" s="5">
        <f>IF($I2="","",INDEX(Productos!$A:$A,$I2))</f>
        <v/>
      </c>
      <c r="C774" s="134" t="inlineStr">
        <is>
          <t>WG193-2003BR</t>
        </is>
      </c>
      <c r="D774" s="5">
        <f>IF($I2="","",INDEX(Productos!$B:$B,$I2))</f>
        <v/>
      </c>
      <c r="E774" s="5">
        <f>IF($I2="","",INDEX(Productos!$H:$H,$I2))</f>
        <v/>
      </c>
      <c r="F774" s="5">
        <f>IF($I2="","",INDEX(Productos!$I:$I,$I2))</f>
        <v/>
      </c>
      <c r="G774" s="135" t="n">
        <v>31</v>
      </c>
      <c r="H774" s="5">
        <f>IF($I2="","",INDEX(Productos!$AG:$AG,$I2))</f>
        <v/>
      </c>
      <c r="I774" s="136">
        <f>LET(_xlpm.r,Productos!$E$2:$E$1063,_xlpm.m,IFERROR(_xlfn.XMATCH(C774,_xlpm.r),IFERROR(_xlfn.XMATCH(VALUE(C774),_xlpm.r),0)),IF(_xlpm.m=0,"",_xlpm.m+1))</f>
        <v/>
      </c>
      <c r="J774" s="137" t="inlineStr">
        <is>
          <t>Odoo</t>
        </is>
      </c>
    </row>
    <row r="775">
      <c r="A775" s="5" t="inlineStr">
        <is>
          <t>Odoo Universal Unique Brands › Bodega 25 › Bodega 25/General</t>
        </is>
      </c>
      <c r="B775" s="5">
        <f>IF($I2="","",INDEX(Productos!$A:$A,$I2))</f>
        <v/>
      </c>
      <c r="C775" s="134" t="inlineStr">
        <is>
          <t>WG193-2003CF</t>
        </is>
      </c>
      <c r="D775" s="5">
        <f>IF($I2="","",INDEX(Productos!$B:$B,$I2))</f>
        <v/>
      </c>
      <c r="E775" s="5">
        <f>IF($I2="","",INDEX(Productos!$H:$H,$I2))</f>
        <v/>
      </c>
      <c r="F775" s="5">
        <f>IF($I2="","",INDEX(Productos!$I:$I,$I2))</f>
        <v/>
      </c>
      <c r="G775" s="135" t="n">
        <v>94</v>
      </c>
      <c r="H775" s="5">
        <f>IF($I2="","",INDEX(Productos!$AG:$AG,$I2))</f>
        <v/>
      </c>
      <c r="I775" s="136">
        <f>LET(_xlpm.r,Productos!$E$2:$E$1063,_xlpm.m,IFERROR(_xlfn.XMATCH(C775,_xlpm.r),IFERROR(_xlfn.XMATCH(VALUE(C775),_xlpm.r),0)),IF(_xlpm.m=0,"",_xlpm.m+1))</f>
        <v/>
      </c>
      <c r="J775" s="137" t="inlineStr">
        <is>
          <t>Odoo</t>
        </is>
      </c>
    </row>
    <row r="776">
      <c r="A776" s="5" t="inlineStr">
        <is>
          <t>Odoo Universal Unique Brands › Bodega 25 › Bodega 25/General</t>
        </is>
      </c>
      <c r="B776" s="5">
        <f>IF($I2="","",INDEX(Productos!$A:$A,$I2))</f>
        <v/>
      </c>
      <c r="C776" s="134" t="inlineStr">
        <is>
          <t>WG195-W054BG</t>
        </is>
      </c>
      <c r="D776" s="5">
        <f>IF($I2="","",INDEX(Productos!$B:$B,$I2))</f>
        <v/>
      </c>
      <c r="E776" s="5">
        <f>IF($I2="","",INDEX(Productos!$H:$H,$I2))</f>
        <v/>
      </c>
      <c r="F776" s="5">
        <f>IF($I2="","",INDEX(Productos!$I:$I,$I2))</f>
        <v/>
      </c>
      <c r="G776" s="135" t="n">
        <v>3</v>
      </c>
      <c r="H776" s="5">
        <f>IF($I2="","",INDEX(Productos!$AG:$AG,$I2))</f>
        <v/>
      </c>
      <c r="I776" s="136">
        <f>LET(_xlpm.r,Productos!$E$2:$E$1063,_xlpm.m,IFERROR(_xlfn.XMATCH(C776,_xlpm.r),IFERROR(_xlfn.XMATCH(VALUE(C776),_xlpm.r),0)),IF(_xlpm.m=0,"",_xlpm.m+1))</f>
        <v/>
      </c>
      <c r="J776" s="137" t="inlineStr">
        <is>
          <t>Odoo</t>
        </is>
      </c>
    </row>
    <row r="777">
      <c r="A777" s="5" t="inlineStr">
        <is>
          <t>Odoo Universal Unique Brands › Bodega 25 › Bodega 25/General</t>
        </is>
      </c>
      <c r="B777" s="5">
        <f>IF($I2="","",INDEX(Productos!$A:$A,$I2))</f>
        <v/>
      </c>
      <c r="C777" s="134" t="inlineStr">
        <is>
          <t>WG195-W054TQ</t>
        </is>
      </c>
      <c r="D777" s="5">
        <f>IF($I2="","",INDEX(Productos!$B:$B,$I2))</f>
        <v/>
      </c>
      <c r="E777" s="5">
        <f>IF($I2="","",INDEX(Productos!$H:$H,$I2))</f>
        <v/>
      </c>
      <c r="F777" s="5">
        <f>IF($I2="","",INDEX(Productos!$I:$I,$I2))</f>
        <v/>
      </c>
      <c r="G777" s="135" t="n">
        <v>8</v>
      </c>
      <c r="H777" s="5">
        <f>IF($I2="","",INDEX(Productos!$AG:$AG,$I2))</f>
        <v/>
      </c>
      <c r="I777" s="136">
        <f>LET(_xlpm.r,Productos!$E$2:$E$1063,_xlpm.m,IFERROR(_xlfn.XMATCH(C777,_xlpm.r),IFERROR(_xlfn.XMATCH(VALUE(C777),_xlpm.r),0)),IF(_xlpm.m=0,"",_xlpm.m+1))</f>
        <v/>
      </c>
      <c r="J777" s="137" t="inlineStr">
        <is>
          <t>Odoo</t>
        </is>
      </c>
    </row>
    <row r="778">
      <c r="A778" s="5" t="inlineStr">
        <is>
          <t>Odoo Universal Unique Brands › Bodega 25 › Bodega 25/General</t>
        </is>
      </c>
      <c r="B778" s="5">
        <f>IF($I2="","",INDEX(Productos!$A:$A,$I2))</f>
        <v/>
      </c>
      <c r="C778" s="134" t="inlineStr">
        <is>
          <t>WG195-W055BK</t>
        </is>
      </c>
      <c r="D778" s="5">
        <f>IF($I2="","",INDEX(Productos!$B:$B,$I2))</f>
        <v/>
      </c>
      <c r="E778" s="5">
        <f>IF($I2="","",INDEX(Productos!$H:$H,$I2))</f>
        <v/>
      </c>
      <c r="F778" s="5">
        <f>IF($I2="","",INDEX(Productos!$I:$I,$I2))</f>
        <v/>
      </c>
      <c r="G778" s="135" t="n">
        <v>12</v>
      </c>
      <c r="H778" s="5">
        <f>IF($I2="","",INDEX(Productos!$AG:$AG,$I2))</f>
        <v/>
      </c>
      <c r="I778" s="136">
        <f>LET(_xlpm.r,Productos!$E$2:$E$1063,_xlpm.m,IFERROR(_xlfn.XMATCH(C778,_xlpm.r),IFERROR(_xlfn.XMATCH(VALUE(C778),_xlpm.r),0)),IF(_xlpm.m=0,"",_xlpm.m+1))</f>
        <v/>
      </c>
      <c r="J778" s="137" t="inlineStr">
        <is>
          <t>Odoo</t>
        </is>
      </c>
    </row>
    <row r="779">
      <c r="A779" s="5" t="inlineStr">
        <is>
          <t>Odoo Universal Unique Brands › Bodega 25 › Bodega 25/General</t>
        </is>
      </c>
      <c r="B779" s="5">
        <f>IF($I2="","",INDEX(Productos!$A:$A,$I2))</f>
        <v/>
      </c>
      <c r="C779" s="134" t="inlineStr">
        <is>
          <t>WG195-W055BK-UNI</t>
        </is>
      </c>
      <c r="D779" s="5">
        <f>IF($I2="","",INDEX(Productos!$B:$B,$I2))</f>
        <v/>
      </c>
      <c r="E779" s="5">
        <f>IF($I2="","",INDEX(Productos!$H:$H,$I2))</f>
        <v/>
      </c>
      <c r="F779" s="5">
        <f>IF($I2="","",INDEX(Productos!$I:$I,$I2))</f>
        <v/>
      </c>
      <c r="G779" s="135" t="n">
        <v>33</v>
      </c>
      <c r="H779" s="5">
        <f>IF($I2="","",INDEX(Productos!$AG:$AG,$I2))</f>
        <v/>
      </c>
      <c r="I779" s="136">
        <f>LET(_xlpm.r,Productos!$E$2:$E$1063,_xlpm.m,IFERROR(_xlfn.XMATCH(C779,_xlpm.r),IFERROR(_xlfn.XMATCH(VALUE(C779),_xlpm.r),0)),IF(_xlpm.m=0,"",_xlpm.m+1))</f>
        <v/>
      </c>
      <c r="J779" s="137" t="inlineStr">
        <is>
          <t>Odoo</t>
        </is>
      </c>
    </row>
    <row r="780">
      <c r="A780" s="5" t="inlineStr">
        <is>
          <t>Odoo Universal Unique Brands › Bodega 25 › Bodega 25/General</t>
        </is>
      </c>
      <c r="B780" s="5">
        <f>IF($I2="","",INDEX(Productos!$A:$A,$I2))</f>
        <v/>
      </c>
      <c r="C780" s="134" t="inlineStr">
        <is>
          <t>WG195-W055BR-TN</t>
        </is>
      </c>
      <c r="D780" s="5">
        <f>IF($I2="","",INDEX(Productos!$B:$B,$I2))</f>
        <v/>
      </c>
      <c r="E780" s="5">
        <f>IF($I2="","",INDEX(Productos!$H:$H,$I2))</f>
        <v/>
      </c>
      <c r="F780" s="5">
        <f>IF($I2="","",INDEX(Productos!$I:$I,$I2))</f>
        <v/>
      </c>
      <c r="G780" s="135" t="n">
        <v>29</v>
      </c>
      <c r="H780" s="5">
        <f>IF($I2="","",INDEX(Productos!$AG:$AG,$I2))</f>
        <v/>
      </c>
      <c r="I780" s="136">
        <f>LET(_xlpm.r,Productos!$E$2:$E$1063,_xlpm.m,IFERROR(_xlfn.XMATCH(C780,_xlpm.r),IFERROR(_xlfn.XMATCH(VALUE(C780),_xlpm.r),0)),IF(_xlpm.m=0,"",_xlpm.m+1))</f>
        <v/>
      </c>
      <c r="J780" s="137" t="inlineStr">
        <is>
          <t>Odoo</t>
        </is>
      </c>
    </row>
    <row r="781">
      <c r="A781" s="5" t="inlineStr">
        <is>
          <t>Odoo Universal Unique Brands › Bodega 25 › Bodega 25/General</t>
        </is>
      </c>
      <c r="B781" s="5">
        <f>IF($I2="","",INDEX(Productos!$A:$A,$I2))</f>
        <v/>
      </c>
      <c r="C781" s="134" t="inlineStr">
        <is>
          <t>WG195-W055CF</t>
        </is>
      </c>
      <c r="D781" s="5">
        <f>IF($I2="","",INDEX(Productos!$B:$B,$I2))</f>
        <v/>
      </c>
      <c r="E781" s="5">
        <f>IF($I2="","",INDEX(Productos!$H:$H,$I2))</f>
        <v/>
      </c>
      <c r="F781" s="5">
        <f>IF($I2="","",INDEX(Productos!$I:$I,$I2))</f>
        <v/>
      </c>
      <c r="G781" s="135" t="n">
        <v>36</v>
      </c>
      <c r="H781" s="5">
        <f>IF($I2="","",INDEX(Productos!$AG:$AG,$I2))</f>
        <v/>
      </c>
      <c r="I781" s="136">
        <f>LET(_xlpm.r,Productos!$E$2:$E$1063,_xlpm.m,IFERROR(_xlfn.XMATCH(C781,_xlpm.r),IFERROR(_xlfn.XMATCH(VALUE(C781),_xlpm.r),0)),IF(_xlpm.m=0,"",_xlpm.m+1))</f>
        <v/>
      </c>
      <c r="J781" s="137" t="inlineStr">
        <is>
          <t>Odoo</t>
        </is>
      </c>
    </row>
    <row r="782">
      <c r="A782" s="5" t="inlineStr">
        <is>
          <t>Odoo Universal Unique Brands › Bodega 25 › Bodega 25/General</t>
        </is>
      </c>
      <c r="B782" s="5">
        <f>IF($I2="","",INDEX(Productos!$A:$A,$I2))</f>
        <v/>
      </c>
      <c r="C782" s="134" t="inlineStr">
        <is>
          <t>WG195-W055CF-UNI</t>
        </is>
      </c>
      <c r="D782" s="5">
        <f>IF($I2="","",INDEX(Productos!$B:$B,$I2))</f>
        <v/>
      </c>
      <c r="E782" s="5">
        <f>IF($I2="","",INDEX(Productos!$H:$H,$I2))</f>
        <v/>
      </c>
      <c r="F782" s="5">
        <f>IF($I2="","",INDEX(Productos!$I:$I,$I2))</f>
        <v/>
      </c>
      <c r="G782" s="135" t="n">
        <v>109</v>
      </c>
      <c r="H782" s="5">
        <f>IF($I2="","",INDEX(Productos!$AG:$AG,$I2))</f>
        <v/>
      </c>
      <c r="I782" s="136">
        <f>LET(_xlpm.r,Productos!$E$2:$E$1063,_xlpm.m,IFERROR(_xlfn.XMATCH(C782,_xlpm.r),IFERROR(_xlfn.XMATCH(VALUE(C782),_xlpm.r),0)),IF(_xlpm.m=0,"",_xlpm.m+1))</f>
        <v/>
      </c>
      <c r="J782" s="137" t="inlineStr">
        <is>
          <t>Odoo</t>
        </is>
      </c>
    </row>
    <row r="783">
      <c r="A783" s="5" t="inlineStr">
        <is>
          <t>Odoo Universal Unique Brands › Bodega 25 › Bodega 25/General</t>
        </is>
      </c>
      <c r="B783" s="5">
        <f>IF($I2="","",INDEX(Productos!$A:$A,$I2))</f>
        <v/>
      </c>
      <c r="C783" s="134" t="inlineStr">
        <is>
          <t>WG195-W055KH</t>
        </is>
      </c>
      <c r="D783" s="5">
        <f>IF($I2="","",INDEX(Productos!$B:$B,$I2))</f>
        <v/>
      </c>
      <c r="E783" s="5">
        <f>IF($I2="","",INDEX(Productos!$H:$H,$I2))</f>
        <v/>
      </c>
      <c r="F783" s="5">
        <f>IF($I2="","",INDEX(Productos!$I:$I,$I2))</f>
        <v/>
      </c>
      <c r="G783" s="135" t="n">
        <v>18</v>
      </c>
      <c r="H783" s="5">
        <f>IF($I2="","",INDEX(Productos!$AG:$AG,$I2))</f>
        <v/>
      </c>
      <c r="I783" s="136">
        <f>LET(_xlpm.r,Productos!$E$2:$E$1063,_xlpm.m,IFERROR(_xlfn.XMATCH(C783,_xlpm.r),IFERROR(_xlfn.XMATCH(VALUE(C783),_xlpm.r),0)),IF(_xlpm.m=0,"",_xlpm.m+1))</f>
        <v/>
      </c>
      <c r="J783" s="137" t="inlineStr">
        <is>
          <t>Odoo</t>
        </is>
      </c>
    </row>
    <row r="784">
      <c r="A784" s="5" t="inlineStr">
        <is>
          <t>Odoo Universal Unique Brands › Bodega 25 › Bodega 25/General</t>
        </is>
      </c>
      <c r="B784" s="5">
        <f>IF($I2="","",INDEX(Productos!$A:$A,$I2))</f>
        <v/>
      </c>
      <c r="C784" s="134" t="inlineStr">
        <is>
          <t>WG195-W055KH-UNI</t>
        </is>
      </c>
      <c r="D784" s="5">
        <f>IF($I2="","",INDEX(Productos!$B:$B,$I2))</f>
        <v/>
      </c>
      <c r="E784" s="5">
        <f>IF($I2="","",INDEX(Productos!$H:$H,$I2))</f>
        <v/>
      </c>
      <c r="F784" s="5">
        <f>IF($I2="","",INDEX(Productos!$I:$I,$I2))</f>
        <v/>
      </c>
      <c r="G784" s="135" t="n">
        <v>10</v>
      </c>
      <c r="H784" s="5">
        <f>IF($I2="","",INDEX(Productos!$AG:$AG,$I2))</f>
        <v/>
      </c>
      <c r="I784" s="136">
        <f>LET(_xlpm.r,Productos!$E$2:$E$1063,_xlpm.m,IFERROR(_xlfn.XMATCH(C784,_xlpm.r),IFERROR(_xlfn.XMATCH(VALUE(C784),_xlpm.r),0)),IF(_xlpm.m=0,"",_xlpm.m+1))</f>
        <v/>
      </c>
      <c r="J784" s="137" t="inlineStr">
        <is>
          <t>Odoo</t>
        </is>
      </c>
    </row>
    <row r="785">
      <c r="A785" s="5" t="inlineStr">
        <is>
          <t>Odoo Universal Unique Brands › Bodega 25 › Bodega 25/General</t>
        </is>
      </c>
      <c r="B785" s="5">
        <f>IF($I2="","",INDEX(Productos!$A:$A,$I2))</f>
        <v/>
      </c>
      <c r="C785" s="134" t="inlineStr">
        <is>
          <t>WG195-W055LIME</t>
        </is>
      </c>
      <c r="D785" s="5">
        <f>IF($I2="","",INDEX(Productos!$B:$B,$I2))</f>
        <v/>
      </c>
      <c r="E785" s="5">
        <f>IF($I2="","",INDEX(Productos!$H:$H,$I2))</f>
        <v/>
      </c>
      <c r="F785" s="5">
        <f>IF($I2="","",INDEX(Productos!$I:$I,$I2))</f>
        <v/>
      </c>
      <c r="G785" s="135" t="n">
        <v>28</v>
      </c>
      <c r="H785" s="5">
        <f>IF($I2="","",INDEX(Productos!$AG:$AG,$I2))</f>
        <v/>
      </c>
      <c r="I785" s="136">
        <f>LET(_xlpm.r,Productos!$E$2:$E$1063,_xlpm.m,IFERROR(_xlfn.XMATCH(C785,_xlpm.r),IFERROR(_xlfn.XMATCH(VALUE(C785),_xlpm.r),0)),IF(_xlpm.m=0,"",_xlpm.m+1))</f>
        <v/>
      </c>
      <c r="J785" s="137" t="inlineStr">
        <is>
          <t>Odoo</t>
        </is>
      </c>
    </row>
    <row r="786">
      <c r="A786" s="5" t="inlineStr">
        <is>
          <t>Odoo Universal Unique Brands › Bodega 25 › Bodega 25/General</t>
        </is>
      </c>
      <c r="B786" s="5">
        <f>IF($I2="","",INDEX(Productos!$A:$A,$I2))</f>
        <v/>
      </c>
      <c r="C786" s="134" t="inlineStr">
        <is>
          <t>WG195-W055TN</t>
        </is>
      </c>
      <c r="D786" s="5">
        <f>IF($I2="","",INDEX(Productos!$B:$B,$I2))</f>
        <v/>
      </c>
      <c r="E786" s="5">
        <f>IF($I2="","",INDEX(Productos!$H:$H,$I2))</f>
        <v/>
      </c>
      <c r="F786" s="5">
        <f>IF($I2="","",INDEX(Productos!$I:$I,$I2))</f>
        <v/>
      </c>
      <c r="G786" s="135" t="n">
        <v>43</v>
      </c>
      <c r="H786" s="5">
        <f>IF($I2="","",INDEX(Productos!$AG:$AG,$I2))</f>
        <v/>
      </c>
      <c r="I786" s="136">
        <f>LET(_xlpm.r,Productos!$E$2:$E$1063,_xlpm.m,IFERROR(_xlfn.XMATCH(C786,_xlpm.r),IFERROR(_xlfn.XMATCH(VALUE(C786),_xlpm.r),0)),IF(_xlpm.m=0,"",_xlpm.m+1))</f>
        <v/>
      </c>
      <c r="J786" s="137" t="inlineStr">
        <is>
          <t>Odoo</t>
        </is>
      </c>
    </row>
    <row r="787">
      <c r="A787" s="5" t="inlineStr">
        <is>
          <t>Odoo Universal Unique Brands › Bodega 25 › Bodega 25/General</t>
        </is>
      </c>
      <c r="B787" s="5">
        <f>IF($I2="","",INDEX(Productos!$A:$A,$I2))</f>
        <v/>
      </c>
      <c r="C787" s="134" t="inlineStr">
        <is>
          <t>WG196-W056BG</t>
        </is>
      </c>
      <c r="D787" s="5">
        <f>IF($I2="","",INDEX(Productos!$B:$B,$I2))</f>
        <v/>
      </c>
      <c r="E787" s="5">
        <f>IF($I2="","",INDEX(Productos!$H:$H,$I2))</f>
        <v/>
      </c>
      <c r="F787" s="5">
        <f>IF($I2="","",INDEX(Productos!$I:$I,$I2))</f>
        <v/>
      </c>
      <c r="G787" s="135" t="n">
        <v>47</v>
      </c>
      <c r="H787" s="5">
        <f>IF($I2="","",INDEX(Productos!$AG:$AG,$I2))</f>
        <v/>
      </c>
      <c r="I787" s="136">
        <f>LET(_xlpm.r,Productos!$E$2:$E$1063,_xlpm.m,IFERROR(_xlfn.XMATCH(C787,_xlpm.r),IFERROR(_xlfn.XMATCH(VALUE(C787),_xlpm.r),0)),IF(_xlpm.m=0,"",_xlpm.m+1))</f>
        <v/>
      </c>
      <c r="J787" s="137" t="inlineStr">
        <is>
          <t>Odoo</t>
        </is>
      </c>
    </row>
    <row r="788">
      <c r="A788" s="5" t="inlineStr">
        <is>
          <t>Odoo Universal Unique Brands › Bodega 25 › Bodega 25/General</t>
        </is>
      </c>
      <c r="B788" s="5">
        <f>IF($I2="","",INDEX(Productos!$A:$A,$I2))</f>
        <v/>
      </c>
      <c r="C788" s="134" t="inlineStr">
        <is>
          <t>WG196-W056BK</t>
        </is>
      </c>
      <c r="D788" s="5">
        <f>IF($I2="","",INDEX(Productos!$B:$B,$I2))</f>
        <v/>
      </c>
      <c r="E788" s="5">
        <f>IF($I2="","",INDEX(Productos!$H:$H,$I2))</f>
        <v/>
      </c>
      <c r="F788" s="5">
        <f>IF($I2="","",INDEX(Productos!$I:$I,$I2))</f>
        <v/>
      </c>
      <c r="G788" s="135" t="n">
        <v>3</v>
      </c>
      <c r="H788" s="5">
        <f>IF($I2="","",INDEX(Productos!$AG:$AG,$I2))</f>
        <v/>
      </c>
      <c r="I788" s="136">
        <f>LET(_xlpm.r,Productos!$E$2:$E$1063,_xlpm.m,IFERROR(_xlfn.XMATCH(C788,_xlpm.r),IFERROR(_xlfn.XMATCH(VALUE(C788),_xlpm.r),0)),IF(_xlpm.m=0,"",_xlpm.m+1))</f>
        <v/>
      </c>
      <c r="J788" s="137" t="inlineStr">
        <is>
          <t>Odoo</t>
        </is>
      </c>
    </row>
    <row r="789">
      <c r="A789" s="5" t="inlineStr">
        <is>
          <t>Odoo Universal Unique Brands › Bodega 25 › Bodega 25/General</t>
        </is>
      </c>
      <c r="B789" s="5">
        <f>IF($I2="","",INDEX(Productos!$A:$A,$I2))</f>
        <v/>
      </c>
      <c r="C789" s="134" t="inlineStr">
        <is>
          <t>WG196-W056BR</t>
        </is>
      </c>
      <c r="D789" s="5">
        <f>IF($I2="","",INDEX(Productos!$B:$B,$I2))</f>
        <v/>
      </c>
      <c r="E789" s="5">
        <f>IF($I2="","",INDEX(Productos!$H:$H,$I2))</f>
        <v/>
      </c>
      <c r="F789" s="5">
        <f>IF($I2="","",INDEX(Productos!$I:$I,$I2))</f>
        <v/>
      </c>
      <c r="G789" s="135" t="n">
        <v>18</v>
      </c>
      <c r="H789" s="5">
        <f>IF($I2="","",INDEX(Productos!$AG:$AG,$I2))</f>
        <v/>
      </c>
      <c r="I789" s="136">
        <f>LET(_xlpm.r,Productos!$E$2:$E$1063,_xlpm.m,IFERROR(_xlfn.XMATCH(C789,_xlpm.r),IFERROR(_xlfn.XMATCH(VALUE(C789),_xlpm.r),0)),IF(_xlpm.m=0,"",_xlpm.m+1))</f>
        <v/>
      </c>
      <c r="J789" s="137" t="inlineStr">
        <is>
          <t>Odoo</t>
        </is>
      </c>
    </row>
    <row r="790">
      <c r="A790" s="5" t="inlineStr">
        <is>
          <t>Odoo Universal Unique Brands › Bodega 25 › Bodega 25/General</t>
        </is>
      </c>
      <c r="B790" s="5">
        <f>IF($I2="","",INDEX(Productos!$A:$A,$I2))</f>
        <v/>
      </c>
      <c r="C790" s="134" t="inlineStr">
        <is>
          <t>WG196-W056BR-UNI</t>
        </is>
      </c>
      <c r="D790" s="5">
        <f>IF($I2="","",INDEX(Productos!$B:$B,$I2))</f>
        <v/>
      </c>
      <c r="E790" s="5">
        <f>IF($I2="","",INDEX(Productos!$H:$H,$I2))</f>
        <v/>
      </c>
      <c r="F790" s="5">
        <f>IF($I2="","",INDEX(Productos!$I:$I,$I2))</f>
        <v/>
      </c>
      <c r="G790" s="135" t="n">
        <v>34</v>
      </c>
      <c r="H790" s="5">
        <f>IF($I2="","",INDEX(Productos!$AG:$AG,$I2))</f>
        <v/>
      </c>
      <c r="I790" s="136">
        <f>LET(_xlpm.r,Productos!$E$2:$E$1063,_xlpm.m,IFERROR(_xlfn.XMATCH(C790,_xlpm.r),IFERROR(_xlfn.XMATCH(VALUE(C790),_xlpm.r),0)),IF(_xlpm.m=0,"",_xlpm.m+1))</f>
        <v/>
      </c>
      <c r="J790" s="137" t="inlineStr">
        <is>
          <t>Odoo</t>
        </is>
      </c>
    </row>
    <row r="791">
      <c r="A791" s="5" t="inlineStr">
        <is>
          <t>Odoo Universal Unique Brands › Bodega 25 › Bodega 25/General</t>
        </is>
      </c>
      <c r="B791" s="5">
        <f>IF($I2="","",INDEX(Productos!$A:$A,$I2))</f>
        <v/>
      </c>
      <c r="C791" s="134" t="inlineStr">
        <is>
          <t>WG196-W056LIME</t>
        </is>
      </c>
      <c r="D791" s="5">
        <f>IF($I2="","",INDEX(Productos!$B:$B,$I2))</f>
        <v/>
      </c>
      <c r="E791" s="5">
        <f>IF($I2="","",INDEX(Productos!$H:$H,$I2))</f>
        <v/>
      </c>
      <c r="F791" s="5">
        <f>IF($I2="","",INDEX(Productos!$I:$I,$I2))</f>
        <v/>
      </c>
      <c r="G791" s="135" t="n">
        <v>42</v>
      </c>
      <c r="H791" s="5">
        <f>IF($I2="","",INDEX(Productos!$AG:$AG,$I2))</f>
        <v/>
      </c>
      <c r="I791" s="136">
        <f>LET(_xlpm.r,Productos!$E$2:$E$1063,_xlpm.m,IFERROR(_xlfn.XMATCH(C791,_xlpm.r),IFERROR(_xlfn.XMATCH(VALUE(C791),_xlpm.r),0)),IF(_xlpm.m=0,"",_xlpm.m+1))</f>
        <v/>
      </c>
      <c r="J791" s="137" t="inlineStr">
        <is>
          <t>Odoo</t>
        </is>
      </c>
    </row>
    <row r="792">
      <c r="A792" s="5" t="inlineStr">
        <is>
          <t>Odoo Universal Unique Brands › Bodega 25 › Bodega 25/General</t>
        </is>
      </c>
      <c r="B792" s="5">
        <f>IF($I2="","",INDEX(Productos!$A:$A,$I2))</f>
        <v/>
      </c>
      <c r="C792" s="134" t="inlineStr">
        <is>
          <t>WG196-W056PK</t>
        </is>
      </c>
      <c r="D792" s="5">
        <f>IF($I2="","",INDEX(Productos!$B:$B,$I2))</f>
        <v/>
      </c>
      <c r="E792" s="5">
        <f>IF($I2="","",INDEX(Productos!$H:$H,$I2))</f>
        <v/>
      </c>
      <c r="F792" s="5">
        <f>IF($I2="","",INDEX(Productos!$I:$I,$I2))</f>
        <v/>
      </c>
      <c r="G792" s="135" t="n">
        <v>16</v>
      </c>
      <c r="H792" s="5">
        <f>IF($I2="","",INDEX(Productos!$AG:$AG,$I2))</f>
        <v/>
      </c>
      <c r="I792" s="136">
        <f>LET(_xlpm.r,Productos!$E$2:$E$1063,_xlpm.m,IFERROR(_xlfn.XMATCH(C792,_xlpm.r),IFERROR(_xlfn.XMATCH(VALUE(C792),_xlpm.r),0)),IF(_xlpm.m=0,"",_xlpm.m+1))</f>
        <v/>
      </c>
      <c r="J792" s="137" t="inlineStr">
        <is>
          <t>Odoo</t>
        </is>
      </c>
    </row>
    <row r="793">
      <c r="A793" s="5" t="inlineStr">
        <is>
          <t>Odoo Universal Unique Brands › Bodega 25 › Bodega 25/General</t>
        </is>
      </c>
      <c r="B793" s="5">
        <f>IF($I2="","",INDEX(Productos!$A:$A,$I2))</f>
        <v/>
      </c>
      <c r="C793" s="134" t="inlineStr">
        <is>
          <t>WG196-W056TN</t>
        </is>
      </c>
      <c r="D793" s="5">
        <f>IF($I2="","",INDEX(Productos!$B:$B,$I2))</f>
        <v/>
      </c>
      <c r="E793" s="5">
        <f>IF($I2="","",INDEX(Productos!$H:$H,$I2))</f>
        <v/>
      </c>
      <c r="F793" s="5">
        <f>IF($I2="","",INDEX(Productos!$I:$I,$I2))</f>
        <v/>
      </c>
      <c r="G793" s="135" t="n">
        <v>3</v>
      </c>
      <c r="H793" s="5">
        <f>IF($I2="","",INDEX(Productos!$AG:$AG,$I2))</f>
        <v/>
      </c>
      <c r="I793" s="136">
        <f>LET(_xlpm.r,Productos!$E$2:$E$1063,_xlpm.m,IFERROR(_xlfn.XMATCH(C793,_xlpm.r),IFERROR(_xlfn.XMATCH(VALUE(C793),_xlpm.r),0)),IF(_xlpm.m=0,"",_xlpm.m+1))</f>
        <v/>
      </c>
      <c r="J793" s="137" t="inlineStr">
        <is>
          <t>Odoo</t>
        </is>
      </c>
    </row>
    <row r="794">
      <c r="A794" s="5" t="inlineStr">
        <is>
          <t>Odoo Universal Unique Brands › Bodega 25 › Bodega 25/General</t>
        </is>
      </c>
      <c r="B794" s="5">
        <f>IF($I2="","",INDEX(Productos!$A:$A,$I2))</f>
        <v/>
      </c>
      <c r="C794" s="134" t="inlineStr">
        <is>
          <t>WG198-W063BR</t>
        </is>
      </c>
      <c r="D794" s="5">
        <f>IF($I2="","",INDEX(Productos!$B:$B,$I2))</f>
        <v/>
      </c>
      <c r="E794" s="5">
        <f>IF($I2="","",INDEX(Productos!$H:$H,$I2))</f>
        <v/>
      </c>
      <c r="F794" s="5">
        <f>IF($I2="","",INDEX(Productos!$I:$I,$I2))</f>
        <v/>
      </c>
      <c r="G794" s="135" t="n">
        <v>26</v>
      </c>
      <c r="H794" s="5">
        <f>IF($I2="","",INDEX(Productos!$AG:$AG,$I2))</f>
        <v/>
      </c>
      <c r="I794" s="136">
        <f>LET(_xlpm.r,Productos!$E$2:$E$1063,_xlpm.m,IFERROR(_xlfn.XMATCH(C794,_xlpm.r),IFERROR(_xlfn.XMATCH(VALUE(C794),_xlpm.r),0)),IF(_xlpm.m=0,"",_xlpm.m+1))</f>
        <v/>
      </c>
      <c r="J794" s="137" t="inlineStr">
        <is>
          <t>Odoo</t>
        </is>
      </c>
    </row>
    <row r="795">
      <c r="A795" s="5" t="inlineStr">
        <is>
          <t>Odoo Universal Unique Brands › Bodega 25 › Bodega 25/General</t>
        </is>
      </c>
      <c r="B795" s="5">
        <f>IF($I2="","",INDEX(Productos!$A:$A,$I2))</f>
        <v/>
      </c>
      <c r="C795" s="134" t="inlineStr">
        <is>
          <t>WG198-W063TN</t>
        </is>
      </c>
      <c r="D795" s="5">
        <f>IF($I2="","",INDEX(Productos!$B:$B,$I2))</f>
        <v/>
      </c>
      <c r="E795" s="5">
        <f>IF($I2="","",INDEX(Productos!$H:$H,$I2))</f>
        <v/>
      </c>
      <c r="F795" s="5">
        <f>IF($I2="","",INDEX(Productos!$I:$I,$I2))</f>
        <v/>
      </c>
      <c r="G795" s="135" t="n">
        <v>43</v>
      </c>
      <c r="H795" s="5">
        <f>IF($I2="","",INDEX(Productos!$AG:$AG,$I2))</f>
        <v/>
      </c>
      <c r="I795" s="136">
        <f>LET(_xlpm.r,Productos!$E$2:$E$1063,_xlpm.m,IFERROR(_xlfn.XMATCH(C795,_xlpm.r),IFERROR(_xlfn.XMATCH(VALUE(C795),_xlpm.r),0)),IF(_xlpm.m=0,"",_xlpm.m+1))</f>
        <v/>
      </c>
      <c r="J795" s="137" t="inlineStr">
        <is>
          <t>Odoo</t>
        </is>
      </c>
    </row>
    <row r="796">
      <c r="A796" s="5" t="inlineStr">
        <is>
          <t>Odoo Universal Unique Brands › Bodega 25 › Bodega 25/General</t>
        </is>
      </c>
      <c r="B796" s="5">
        <f>IF($I2="","",INDEX(Productos!$A:$A,$I2))</f>
        <v/>
      </c>
      <c r="C796" s="134" t="inlineStr">
        <is>
          <t>WG2000-006BR</t>
        </is>
      </c>
      <c r="D796" s="5">
        <f>IF($I2="","",INDEX(Productos!$B:$B,$I2))</f>
        <v/>
      </c>
      <c r="E796" s="5">
        <f>IF($I2="","",INDEX(Productos!$H:$H,$I2))</f>
        <v/>
      </c>
      <c r="F796" s="5">
        <f>IF($I2="","",INDEX(Productos!$I:$I,$I2))</f>
        <v/>
      </c>
      <c r="G796" s="135" t="n">
        <v>28</v>
      </c>
      <c r="H796" s="5">
        <f>IF($I2="","",INDEX(Productos!$AG:$AG,$I2))</f>
        <v/>
      </c>
      <c r="I796" s="136">
        <f>LET(_xlpm.r,Productos!$E$2:$E$1063,_xlpm.m,IFERROR(_xlfn.XMATCH(C796,_xlpm.r),IFERROR(_xlfn.XMATCH(VALUE(C796),_xlpm.r),0)),IF(_xlpm.m=0,"",_xlpm.m+1))</f>
        <v/>
      </c>
      <c r="J796" s="137" t="inlineStr">
        <is>
          <t>Odoo</t>
        </is>
      </c>
    </row>
    <row r="797">
      <c r="A797" s="5" t="inlineStr">
        <is>
          <t>Odoo Universal Unique Brands › Bodega 25 › Bodega 25/General</t>
        </is>
      </c>
      <c r="B797" s="5">
        <f>IF($I2="","",INDEX(Productos!$A:$A,$I2))</f>
        <v/>
      </c>
      <c r="C797" s="134" t="inlineStr">
        <is>
          <t>WG2000-007BK</t>
        </is>
      </c>
      <c r="D797" s="5">
        <f>IF($I2="","",INDEX(Productos!$B:$B,$I2))</f>
        <v/>
      </c>
      <c r="E797" s="5">
        <f>IF($I2="","",INDEX(Productos!$H:$H,$I2))</f>
        <v/>
      </c>
      <c r="F797" s="5">
        <f>IF($I2="","",INDEX(Productos!$I:$I,$I2))</f>
        <v/>
      </c>
      <c r="G797" s="135" t="n">
        <v>24</v>
      </c>
      <c r="H797" s="5">
        <f>IF($I2="","",INDEX(Productos!$AG:$AG,$I2))</f>
        <v/>
      </c>
      <c r="I797" s="136">
        <f>LET(_xlpm.r,Productos!$E$2:$E$1063,_xlpm.m,IFERROR(_xlfn.XMATCH(C797,_xlpm.r),IFERROR(_xlfn.XMATCH(VALUE(C797),_xlpm.r),0)),IF(_xlpm.m=0,"",_xlpm.m+1))</f>
        <v/>
      </c>
      <c r="J797" s="137" t="inlineStr">
        <is>
          <t>Odoo</t>
        </is>
      </c>
    </row>
    <row r="798">
      <c r="A798" s="5" t="inlineStr">
        <is>
          <t>Odoo Universal Unique Brands › Bodega 25 › Bodega 25/General</t>
        </is>
      </c>
      <c r="B798" s="5">
        <f>IF($I2="","",INDEX(Productos!$A:$A,$I2))</f>
        <v/>
      </c>
      <c r="C798" s="134" t="inlineStr">
        <is>
          <t>WG201-8012LIME</t>
        </is>
      </c>
      <c r="D798" s="5">
        <f>IF($I2="","",INDEX(Productos!$B:$B,$I2))</f>
        <v/>
      </c>
      <c r="E798" s="5">
        <f>IF($I2="","",INDEX(Productos!$H:$H,$I2))</f>
        <v/>
      </c>
      <c r="F798" s="5">
        <f>IF($I2="","",INDEX(Productos!$I:$I,$I2))</f>
        <v/>
      </c>
      <c r="G798" s="135" t="n">
        <v>2</v>
      </c>
      <c r="H798" s="5">
        <f>IF($I2="","",INDEX(Productos!$AG:$AG,$I2))</f>
        <v/>
      </c>
      <c r="I798" s="136">
        <f>LET(_xlpm.r,Productos!$E$2:$E$1063,_xlpm.m,IFERROR(_xlfn.XMATCH(C798,_xlpm.r),IFERROR(_xlfn.XMATCH(VALUE(C798),_xlpm.r),0)),IF(_xlpm.m=0,"",_xlpm.m+1))</f>
        <v/>
      </c>
      <c r="J798" s="137" t="inlineStr">
        <is>
          <t>Odoo</t>
        </is>
      </c>
    </row>
    <row r="799">
      <c r="A799" s="5" t="inlineStr">
        <is>
          <t>Odoo Universal Unique Brands › Bodega 25 › Bodega 25/General</t>
        </is>
      </c>
      <c r="B799" s="5">
        <f>IF($I2="","",INDEX(Productos!$A:$A,$I2))</f>
        <v/>
      </c>
      <c r="C799" s="134" t="inlineStr">
        <is>
          <t>WG201-8012PK</t>
        </is>
      </c>
      <c r="D799" s="5">
        <f>IF($I2="","",INDEX(Productos!$B:$B,$I2))</f>
        <v/>
      </c>
      <c r="E799" s="5">
        <f>IF($I2="","",INDEX(Productos!$H:$H,$I2))</f>
        <v/>
      </c>
      <c r="F799" s="5">
        <f>IF($I2="","",INDEX(Productos!$I:$I,$I2))</f>
        <v/>
      </c>
      <c r="G799" s="135" t="n">
        <v>6</v>
      </c>
      <c r="H799" s="5">
        <f>IF($I2="","",INDEX(Productos!$AG:$AG,$I2))</f>
        <v/>
      </c>
      <c r="I799" s="136">
        <f>LET(_xlpm.r,Productos!$E$2:$E$1063,_xlpm.m,IFERROR(_xlfn.XMATCH(C799,_xlpm.r),IFERROR(_xlfn.XMATCH(VALUE(C799),_xlpm.r),0)),IF(_xlpm.m=0,"",_xlpm.m+1))</f>
        <v/>
      </c>
      <c r="J799" s="137" t="inlineStr">
        <is>
          <t>Odoo</t>
        </is>
      </c>
    </row>
    <row r="800">
      <c r="A800" s="5" t="inlineStr">
        <is>
          <t>Odoo Universal Unique Brands › Bodega 25 › Bodega 25/General</t>
        </is>
      </c>
      <c r="B800" s="5">
        <f>IF($I2="","",INDEX(Productos!$A:$A,$I2))</f>
        <v/>
      </c>
      <c r="C800" s="134" t="inlineStr">
        <is>
          <t>WG201-8012TN</t>
        </is>
      </c>
      <c r="D800" s="5">
        <f>IF($I2="","",INDEX(Productos!$B:$B,$I2))</f>
        <v/>
      </c>
      <c r="E800" s="5">
        <f>IF($I2="","",INDEX(Productos!$H:$H,$I2))</f>
        <v/>
      </c>
      <c r="F800" s="5">
        <f>IF($I2="","",INDEX(Productos!$I:$I,$I2))</f>
        <v/>
      </c>
      <c r="G800" s="135" t="n">
        <v>5</v>
      </c>
      <c r="H800" s="5">
        <f>IF($I2="","",INDEX(Productos!$AG:$AG,$I2))</f>
        <v/>
      </c>
      <c r="I800" s="136">
        <f>LET(_xlpm.r,Productos!$E$2:$E$1063,_xlpm.m,IFERROR(_xlfn.XMATCH(C800,_xlpm.r),IFERROR(_xlfn.XMATCH(VALUE(C800),_xlpm.r),0)),IF(_xlpm.m=0,"",_xlpm.m+1))</f>
        <v/>
      </c>
      <c r="J800" s="137" t="inlineStr">
        <is>
          <t>Odoo</t>
        </is>
      </c>
    </row>
    <row r="801">
      <c r="A801" s="5" t="inlineStr">
        <is>
          <t>Odoo Universal Unique Brands › Bodega 25 › Bodega 25/General</t>
        </is>
      </c>
      <c r="B801" s="5">
        <f>IF($I2="","",INDEX(Productos!$A:$A,$I2))</f>
        <v/>
      </c>
      <c r="C801" s="134" t="inlineStr">
        <is>
          <t>WG206-8122KH</t>
        </is>
      </c>
      <c r="D801" s="5">
        <f>IF($I2="","",INDEX(Productos!$B:$B,$I2))</f>
        <v/>
      </c>
      <c r="E801" s="5">
        <f>IF($I2="","",INDEX(Productos!$H:$H,$I2))</f>
        <v/>
      </c>
      <c r="F801" s="5">
        <f>IF($I2="","",INDEX(Productos!$I:$I,$I2))</f>
        <v/>
      </c>
      <c r="G801" s="135" t="n">
        <v>134</v>
      </c>
      <c r="H801" s="5">
        <f>IF($I2="","",INDEX(Productos!$AG:$AG,$I2))</f>
        <v/>
      </c>
      <c r="I801" s="136">
        <f>LET(_xlpm.r,Productos!$E$2:$E$1063,_xlpm.m,IFERROR(_xlfn.XMATCH(C801,_xlpm.r),IFERROR(_xlfn.XMATCH(VALUE(C801),_xlpm.r),0)),IF(_xlpm.m=0,"",_xlpm.m+1))</f>
        <v/>
      </c>
      <c r="J801" s="137" t="inlineStr">
        <is>
          <t>Odoo</t>
        </is>
      </c>
    </row>
    <row r="802">
      <c r="A802" s="5" t="inlineStr">
        <is>
          <t>Odoo Universal Unique Brands › Bodega 25 › Bodega 25/General</t>
        </is>
      </c>
      <c r="B802" s="5">
        <f>IF($I2="","",INDEX(Productos!$A:$A,$I2))</f>
        <v/>
      </c>
      <c r="C802" s="134" t="inlineStr">
        <is>
          <t>WG211-8014BR</t>
        </is>
      </c>
      <c r="D802" s="5">
        <f>IF($I2="","",INDEX(Productos!$B:$B,$I2))</f>
        <v/>
      </c>
      <c r="E802" s="5">
        <f>IF($I2="","",INDEX(Productos!$H:$H,$I2))</f>
        <v/>
      </c>
      <c r="F802" s="5">
        <f>IF($I2="","",INDEX(Productos!$I:$I,$I2))</f>
        <v/>
      </c>
      <c r="G802" s="135" t="n">
        <v>32</v>
      </c>
      <c r="H802" s="5">
        <f>IF($I2="","",INDEX(Productos!$AG:$AG,$I2))</f>
        <v/>
      </c>
      <c r="I802" s="136">
        <f>LET(_xlpm.r,Productos!$E$2:$E$1063,_xlpm.m,IFERROR(_xlfn.XMATCH(C802,_xlpm.r),IFERROR(_xlfn.XMATCH(VALUE(C802),_xlpm.r),0)),IF(_xlpm.m=0,"",_xlpm.m+1))</f>
        <v/>
      </c>
      <c r="J802" s="137" t="inlineStr">
        <is>
          <t>Odoo</t>
        </is>
      </c>
    </row>
    <row r="803">
      <c r="A803" s="5" t="inlineStr">
        <is>
          <t>Odoo Universal Unique Brands › Bodega 25 › Bodega 25/General</t>
        </is>
      </c>
      <c r="B803" s="5">
        <f>IF($I2="","",INDEX(Productos!$A:$A,$I2))</f>
        <v/>
      </c>
      <c r="C803" s="134" t="inlineStr">
        <is>
          <t>WG211-8014CF</t>
        </is>
      </c>
      <c r="D803" s="5">
        <f>IF($I2="","",INDEX(Productos!$B:$B,$I2))</f>
        <v/>
      </c>
      <c r="E803" s="5">
        <f>IF($I2="","",INDEX(Productos!$H:$H,$I2))</f>
        <v/>
      </c>
      <c r="F803" s="5">
        <f>IF($I2="","",INDEX(Productos!$I:$I,$I2))</f>
        <v/>
      </c>
      <c r="G803" s="135" t="n">
        <v>233</v>
      </c>
      <c r="H803" s="5">
        <f>IF($I2="","",INDEX(Productos!$AG:$AG,$I2))</f>
        <v/>
      </c>
      <c r="I803" s="136">
        <f>LET(_xlpm.r,Productos!$E$2:$E$1063,_xlpm.m,IFERROR(_xlfn.XMATCH(C803,_xlpm.r),IFERROR(_xlfn.XMATCH(VALUE(C803),_xlpm.r),0)),IF(_xlpm.m=0,"",_xlpm.m+1))</f>
        <v/>
      </c>
      <c r="J803" s="137" t="inlineStr">
        <is>
          <t>Odoo</t>
        </is>
      </c>
    </row>
    <row r="804">
      <c r="A804" s="5" t="inlineStr">
        <is>
          <t>Odoo Universal Unique Brands › Bodega 25 › Bodega 25/General</t>
        </is>
      </c>
      <c r="B804" s="5">
        <f>IF($I2="","",INDEX(Productos!$A:$A,$I2))</f>
        <v/>
      </c>
      <c r="C804" s="134" t="inlineStr">
        <is>
          <t>WG211-8014DPK</t>
        </is>
      </c>
      <c r="D804" s="5">
        <f>IF($I2="","",INDEX(Productos!$B:$B,$I2))</f>
        <v/>
      </c>
      <c r="E804" s="5">
        <f>IF($I2="","",INDEX(Productos!$H:$H,$I2))</f>
        <v/>
      </c>
      <c r="F804" s="5">
        <f>IF($I2="","",INDEX(Productos!$I:$I,$I2))</f>
        <v/>
      </c>
      <c r="G804" s="135" t="n">
        <v>1</v>
      </c>
      <c r="H804" s="5">
        <f>IF($I2="","",INDEX(Productos!$AG:$AG,$I2))</f>
        <v/>
      </c>
      <c r="I804" s="136">
        <f>LET(_xlpm.r,Productos!$E$2:$E$1063,_xlpm.m,IFERROR(_xlfn.XMATCH(C804,_xlpm.r),IFERROR(_xlfn.XMATCH(VALUE(C804),_xlpm.r),0)),IF(_xlpm.m=0,"",_xlpm.m+1))</f>
        <v/>
      </c>
      <c r="J804" s="137" t="inlineStr">
        <is>
          <t>Odoo</t>
        </is>
      </c>
    </row>
    <row r="805">
      <c r="A805" s="5" t="inlineStr">
        <is>
          <t>Odoo Universal Unique Brands › Bodega 25 › Bodega 25/General</t>
        </is>
      </c>
      <c r="B805" s="5">
        <f>IF($I2="","",INDEX(Productos!$A:$A,$I2))</f>
        <v/>
      </c>
      <c r="C805" s="134" t="inlineStr">
        <is>
          <t>WG214-W064BK</t>
        </is>
      </c>
      <c r="D805" s="5">
        <f>IF($I2="","",INDEX(Productos!$B:$B,$I2))</f>
        <v/>
      </c>
      <c r="E805" s="5">
        <f>IF($I2="","",INDEX(Productos!$H:$H,$I2))</f>
        <v/>
      </c>
      <c r="F805" s="5">
        <f>IF($I2="","",INDEX(Productos!$I:$I,$I2))</f>
        <v/>
      </c>
      <c r="G805" s="135" t="n">
        <v>6</v>
      </c>
      <c r="H805" s="5">
        <f>IF($I2="","",INDEX(Productos!$AG:$AG,$I2))</f>
        <v/>
      </c>
      <c r="I805" s="136">
        <f>LET(_xlpm.r,Productos!$E$2:$E$1063,_xlpm.m,IFERROR(_xlfn.XMATCH(C805,_xlpm.r),IFERROR(_xlfn.XMATCH(VALUE(C805),_xlpm.r),0)),IF(_xlpm.m=0,"",_xlpm.m+1))</f>
        <v/>
      </c>
      <c r="J805" s="137" t="inlineStr">
        <is>
          <t>Odoo</t>
        </is>
      </c>
    </row>
    <row r="806">
      <c r="A806" s="5" t="inlineStr">
        <is>
          <t>Odoo Universal Unique Brands › Bodega 25 › Bodega 25/General</t>
        </is>
      </c>
      <c r="B806" s="5">
        <f>IF($I2="","",INDEX(Productos!$A:$A,$I2))</f>
        <v/>
      </c>
      <c r="C806" s="134" t="inlineStr">
        <is>
          <t>WG217-2002TN</t>
        </is>
      </c>
      <c r="D806" s="5">
        <f>IF($I2="","",INDEX(Productos!$B:$B,$I2))</f>
        <v/>
      </c>
      <c r="E806" s="5">
        <f>IF($I2="","",INDEX(Productos!$H:$H,$I2))</f>
        <v/>
      </c>
      <c r="F806" s="5">
        <f>IF($I2="","",INDEX(Productos!$I:$I,$I2))</f>
        <v/>
      </c>
      <c r="G806" s="135" t="n">
        <v>4</v>
      </c>
      <c r="H806" s="5">
        <f>IF($I2="","",INDEX(Productos!$AG:$AG,$I2))</f>
        <v/>
      </c>
      <c r="I806" s="136">
        <f>LET(_xlpm.r,Productos!$E$2:$E$1063,_xlpm.m,IFERROR(_xlfn.XMATCH(C806,_xlpm.r),IFERROR(_xlfn.XMATCH(VALUE(C806),_xlpm.r),0)),IF(_xlpm.m=0,"",_xlpm.m+1))</f>
        <v/>
      </c>
      <c r="J806" s="137" t="inlineStr">
        <is>
          <t>Odoo</t>
        </is>
      </c>
    </row>
    <row r="807">
      <c r="A807" s="5" t="inlineStr">
        <is>
          <t>Odoo Universal Unique Brands › Bodega 25 › Bodega 25/General</t>
        </is>
      </c>
      <c r="B807" s="5">
        <f>IF($I2="","",INDEX(Productos!$A:$A,$I2))</f>
        <v/>
      </c>
      <c r="C807" s="134" t="inlineStr">
        <is>
          <t>WG218-8250BR</t>
        </is>
      </c>
      <c r="D807" s="5">
        <f>IF($I2="","",INDEX(Productos!$B:$B,$I2))</f>
        <v/>
      </c>
      <c r="E807" s="5">
        <f>IF($I2="","",INDEX(Productos!$H:$H,$I2))</f>
        <v/>
      </c>
      <c r="F807" s="5">
        <f>IF($I2="","",INDEX(Productos!$I:$I,$I2))</f>
        <v/>
      </c>
      <c r="G807" s="135" t="n">
        <v>143</v>
      </c>
      <c r="H807" s="5">
        <f>IF($I2="","",INDEX(Productos!$AG:$AG,$I2))</f>
        <v/>
      </c>
      <c r="I807" s="136">
        <f>LET(_xlpm.r,Productos!$E$2:$E$1063,_xlpm.m,IFERROR(_xlfn.XMATCH(C807,_xlpm.r),IFERROR(_xlfn.XMATCH(VALUE(C807),_xlpm.r),0)),IF(_xlpm.m=0,"",_xlpm.m+1))</f>
        <v/>
      </c>
      <c r="J807" s="137" t="inlineStr">
        <is>
          <t>Odoo</t>
        </is>
      </c>
    </row>
    <row r="808">
      <c r="A808" s="5" t="inlineStr">
        <is>
          <t>Odoo Universal Unique Brands › Bodega 25 › Bodega 25/General</t>
        </is>
      </c>
      <c r="B808" s="5">
        <f>IF($I2="","",INDEX(Productos!$A:$A,$I2))</f>
        <v/>
      </c>
      <c r="C808" s="134" t="inlineStr">
        <is>
          <t>WG218-8900BK</t>
        </is>
      </c>
      <c r="D808" s="5">
        <f>IF($I2="","",INDEX(Productos!$B:$B,$I2))</f>
        <v/>
      </c>
      <c r="E808" s="5">
        <f>IF($I2="","",INDEX(Productos!$H:$H,$I2))</f>
        <v/>
      </c>
      <c r="F808" s="5">
        <f>IF($I2="","",INDEX(Productos!$I:$I,$I2))</f>
        <v/>
      </c>
      <c r="G808" s="135" t="n">
        <v>117</v>
      </c>
      <c r="H808" s="5">
        <f>IF($I2="","",INDEX(Productos!$AG:$AG,$I2))</f>
        <v/>
      </c>
      <c r="I808" s="136">
        <f>LET(_xlpm.r,Productos!$E$2:$E$1063,_xlpm.m,IFERROR(_xlfn.XMATCH(C808,_xlpm.r),IFERROR(_xlfn.XMATCH(VALUE(C808),_xlpm.r),0)),IF(_xlpm.m=0,"",_xlpm.m+1))</f>
        <v/>
      </c>
      <c r="J808" s="137" t="inlineStr">
        <is>
          <t>Odoo</t>
        </is>
      </c>
    </row>
    <row r="809">
      <c r="A809" s="5" t="inlineStr">
        <is>
          <t>Odoo Universal Unique Brands › Bodega 25 › Bodega 25/General</t>
        </is>
      </c>
      <c r="B809" s="5">
        <f>IF($I2="","",INDEX(Productos!$A:$A,$I2))</f>
        <v/>
      </c>
      <c r="C809" s="134" t="inlineStr">
        <is>
          <t>WG218-8900BR</t>
        </is>
      </c>
      <c r="D809" s="5">
        <f>IF($I2="","",INDEX(Productos!$B:$B,$I2))</f>
        <v/>
      </c>
      <c r="E809" s="5">
        <f>IF($I2="","",INDEX(Productos!$H:$H,$I2))</f>
        <v/>
      </c>
      <c r="F809" s="5">
        <f>IF($I2="","",INDEX(Productos!$I:$I,$I2))</f>
        <v/>
      </c>
      <c r="G809" s="135" t="n">
        <v>105</v>
      </c>
      <c r="H809" s="5">
        <f>IF($I2="","",INDEX(Productos!$AG:$AG,$I2))</f>
        <v/>
      </c>
      <c r="I809" s="136">
        <f>LET(_xlpm.r,Productos!$E$2:$E$1063,_xlpm.m,IFERROR(_xlfn.XMATCH(C809,_xlpm.r),IFERROR(_xlfn.XMATCH(VALUE(C809),_xlpm.r),0)),IF(_xlpm.m=0,"",_xlpm.m+1))</f>
        <v/>
      </c>
      <c r="J809" s="137" t="inlineStr">
        <is>
          <t>Odoo</t>
        </is>
      </c>
    </row>
    <row r="810">
      <c r="A810" s="5" t="inlineStr">
        <is>
          <t>Odoo Universal Unique Brands › Bodega 25 › Bodega 25/General</t>
        </is>
      </c>
      <c r="B810" s="5">
        <f>IF($I2="","",INDEX(Productos!$A:$A,$I2))</f>
        <v/>
      </c>
      <c r="C810" s="134" t="inlineStr">
        <is>
          <t>WG218-8900DPK</t>
        </is>
      </c>
      <c r="D810" s="5">
        <f>IF($I2="","",INDEX(Productos!$B:$B,$I2))</f>
        <v/>
      </c>
      <c r="E810" s="5">
        <f>IF($I2="","",INDEX(Productos!$H:$H,$I2))</f>
        <v/>
      </c>
      <c r="F810" s="5">
        <f>IF($I2="","",INDEX(Productos!$I:$I,$I2))</f>
        <v/>
      </c>
      <c r="G810" s="135" t="n">
        <v>29</v>
      </c>
      <c r="H810" s="5">
        <f>IF($I2="","",INDEX(Productos!$AG:$AG,$I2))</f>
        <v/>
      </c>
      <c r="I810" s="136">
        <f>LET(_xlpm.r,Productos!$E$2:$E$1063,_xlpm.m,IFERROR(_xlfn.XMATCH(C810,_xlpm.r),IFERROR(_xlfn.XMATCH(VALUE(C810),_xlpm.r),0)),IF(_xlpm.m=0,"",_xlpm.m+1))</f>
        <v/>
      </c>
      <c r="J810" s="137" t="inlineStr">
        <is>
          <t>Odoo</t>
        </is>
      </c>
    </row>
    <row r="811">
      <c r="A811" s="5" t="inlineStr">
        <is>
          <t>Odoo Universal Unique Brands › Bodega 25 › Bodega 25/General</t>
        </is>
      </c>
      <c r="B811" s="5">
        <f>IF($I2="","",INDEX(Productos!$A:$A,$I2))</f>
        <v/>
      </c>
      <c r="C811" s="134" t="inlineStr">
        <is>
          <t>WG218-W068BR</t>
        </is>
      </c>
      <c r="D811" s="5">
        <f>IF($I2="","",INDEX(Productos!$B:$B,$I2))</f>
        <v/>
      </c>
      <c r="E811" s="5">
        <f>IF($I2="","",INDEX(Productos!$H:$H,$I2))</f>
        <v/>
      </c>
      <c r="F811" s="5">
        <f>IF($I2="","",INDEX(Productos!$I:$I,$I2))</f>
        <v/>
      </c>
      <c r="G811" s="135" t="n">
        <v>104</v>
      </c>
      <c r="H811" s="5">
        <f>IF($I2="","",INDEX(Productos!$AG:$AG,$I2))</f>
        <v/>
      </c>
      <c r="I811" s="136">
        <f>LET(_xlpm.r,Productos!$E$2:$E$1063,_xlpm.m,IFERROR(_xlfn.XMATCH(C811,_xlpm.r),IFERROR(_xlfn.XMATCH(VALUE(C811),_xlpm.r),0)),IF(_xlpm.m=0,"",_xlpm.m+1))</f>
        <v/>
      </c>
      <c r="J811" s="137" t="inlineStr">
        <is>
          <t>Odoo</t>
        </is>
      </c>
    </row>
    <row r="812">
      <c r="A812" s="5" t="inlineStr">
        <is>
          <t>Odoo Universal Unique Brands › Bodega 25 › Bodega 25/General</t>
        </is>
      </c>
      <c r="B812" s="5">
        <f>IF($I2="","",INDEX(Productos!$A:$A,$I2))</f>
        <v/>
      </c>
      <c r="C812" s="134" t="inlineStr">
        <is>
          <t>WG218-W068DPK</t>
        </is>
      </c>
      <c r="D812" s="5">
        <f>IF($I2="","",INDEX(Productos!$B:$B,$I2))</f>
        <v/>
      </c>
      <c r="E812" s="5">
        <f>IF($I2="","",INDEX(Productos!$H:$H,$I2))</f>
        <v/>
      </c>
      <c r="F812" s="5">
        <f>IF($I2="","",INDEX(Productos!$I:$I,$I2))</f>
        <v/>
      </c>
      <c r="G812" s="135" t="n">
        <v>51</v>
      </c>
      <c r="H812" s="5">
        <f>IF($I2="","",INDEX(Productos!$AG:$AG,$I2))</f>
        <v/>
      </c>
      <c r="I812" s="136">
        <f>LET(_xlpm.r,Productos!$E$2:$E$1063,_xlpm.m,IFERROR(_xlfn.XMATCH(C812,_xlpm.r),IFERROR(_xlfn.XMATCH(VALUE(C812),_xlpm.r),0)),IF(_xlpm.m=0,"",_xlpm.m+1))</f>
        <v/>
      </c>
      <c r="J812" s="137" t="inlineStr">
        <is>
          <t>Odoo</t>
        </is>
      </c>
    </row>
    <row r="813">
      <c r="A813" s="5" t="inlineStr">
        <is>
          <t>Odoo Universal Unique Brands › Bodega 25 › Bodega 25/General</t>
        </is>
      </c>
      <c r="B813" s="5">
        <f>IF($I2="","",INDEX(Productos!$A:$A,$I2))</f>
        <v/>
      </c>
      <c r="C813" s="134" t="inlineStr">
        <is>
          <t>WG218-W068TN</t>
        </is>
      </c>
      <c r="D813" s="5">
        <f>IF($I2="","",INDEX(Productos!$B:$B,$I2))</f>
        <v/>
      </c>
      <c r="E813" s="5">
        <f>IF($I2="","",INDEX(Productos!$H:$H,$I2))</f>
        <v/>
      </c>
      <c r="F813" s="5">
        <f>IF($I2="","",INDEX(Productos!$I:$I,$I2))</f>
        <v/>
      </c>
      <c r="G813" s="135" t="n">
        <v>19</v>
      </c>
      <c r="H813" s="5">
        <f>IF($I2="","",INDEX(Productos!$AG:$AG,$I2))</f>
        <v/>
      </c>
      <c r="I813" s="136">
        <f>LET(_xlpm.r,Productos!$E$2:$E$1063,_xlpm.m,IFERROR(_xlfn.XMATCH(C813,_xlpm.r),IFERROR(_xlfn.XMATCH(VALUE(C813),_xlpm.r),0)),IF(_xlpm.m=0,"",_xlpm.m+1))</f>
        <v/>
      </c>
      <c r="J813" s="137" t="inlineStr">
        <is>
          <t>Odoo</t>
        </is>
      </c>
    </row>
    <row r="814">
      <c r="A814" s="5" t="inlineStr">
        <is>
          <t>Odoo Universal Unique Brands › Bodega 25 › Bodega 25/General</t>
        </is>
      </c>
      <c r="B814" s="5">
        <f>IF($I2="","",INDEX(Productos!$A:$A,$I2))</f>
        <v/>
      </c>
      <c r="C814" s="134" t="inlineStr">
        <is>
          <t>WG219-183BG</t>
        </is>
      </c>
      <c r="D814" s="5">
        <f>IF($I2="","",INDEX(Productos!$B:$B,$I2))</f>
        <v/>
      </c>
      <c r="E814" s="5">
        <f>IF($I2="","",INDEX(Productos!$H:$H,$I2))</f>
        <v/>
      </c>
      <c r="F814" s="5">
        <f>IF($I2="","",INDEX(Productos!$I:$I,$I2))</f>
        <v/>
      </c>
      <c r="G814" s="135" t="n">
        <v>3</v>
      </c>
      <c r="H814" s="5">
        <f>IF($I2="","",INDEX(Productos!$AG:$AG,$I2))</f>
        <v/>
      </c>
      <c r="I814" s="136">
        <f>LET(_xlpm.r,Productos!$E$2:$E$1063,_xlpm.m,IFERROR(_xlfn.XMATCH(C814,_xlpm.r),IFERROR(_xlfn.XMATCH(VALUE(C814),_xlpm.r),0)),IF(_xlpm.m=0,"",_xlpm.m+1))</f>
        <v/>
      </c>
      <c r="J814" s="137" t="inlineStr">
        <is>
          <t>Odoo</t>
        </is>
      </c>
    </row>
    <row r="815">
      <c r="A815" s="5" t="inlineStr">
        <is>
          <t>Odoo Universal Unique Brands › Bodega 25 › Bodega 25/General</t>
        </is>
      </c>
      <c r="B815" s="5">
        <f>IF($I2="","",INDEX(Productos!$A:$A,$I2))</f>
        <v/>
      </c>
      <c r="C815" s="134" t="inlineStr">
        <is>
          <t>WG219-183BK</t>
        </is>
      </c>
      <c r="D815" s="5">
        <f>IF($I2="","",INDEX(Productos!$B:$B,$I2))</f>
        <v/>
      </c>
      <c r="E815" s="5">
        <f>IF($I2="","",INDEX(Productos!$H:$H,$I2))</f>
        <v/>
      </c>
      <c r="F815" s="5">
        <f>IF($I2="","",INDEX(Productos!$I:$I,$I2))</f>
        <v/>
      </c>
      <c r="G815" s="135" t="n">
        <v>13</v>
      </c>
      <c r="H815" s="5">
        <f>IF($I2="","",INDEX(Productos!$AG:$AG,$I2))</f>
        <v/>
      </c>
      <c r="I815" s="136">
        <f>LET(_xlpm.r,Productos!$E$2:$E$1063,_xlpm.m,IFERROR(_xlfn.XMATCH(C815,_xlpm.r),IFERROR(_xlfn.XMATCH(VALUE(C815),_xlpm.r),0)),IF(_xlpm.m=0,"",_xlpm.m+1))</f>
        <v/>
      </c>
      <c r="J815" s="137" t="inlineStr">
        <is>
          <t>Odoo</t>
        </is>
      </c>
    </row>
    <row r="816">
      <c r="A816" s="5" t="inlineStr">
        <is>
          <t>Odoo Universal Unique Brands › Bodega 25 › Bodega 25/General</t>
        </is>
      </c>
      <c r="B816" s="5">
        <f>IF($I2="","",INDEX(Productos!$A:$A,$I2))</f>
        <v/>
      </c>
      <c r="C816" s="134" t="inlineStr">
        <is>
          <t>WG219-8317BK</t>
        </is>
      </c>
      <c r="D816" s="5">
        <f>IF($I2="","",INDEX(Productos!$B:$B,$I2))</f>
        <v/>
      </c>
      <c r="E816" s="5">
        <f>IF($I2="","",INDEX(Productos!$H:$H,$I2))</f>
        <v/>
      </c>
      <c r="F816" s="5">
        <f>IF($I2="","",INDEX(Productos!$I:$I,$I2))</f>
        <v/>
      </c>
      <c r="G816" s="135" t="n">
        <v>17</v>
      </c>
      <c r="H816" s="5">
        <f>IF($I2="","",INDEX(Productos!$AG:$AG,$I2))</f>
        <v/>
      </c>
      <c r="I816" s="136">
        <f>LET(_xlpm.r,Productos!$E$2:$E$1063,_xlpm.m,IFERROR(_xlfn.XMATCH(C816,_xlpm.r),IFERROR(_xlfn.XMATCH(VALUE(C816),_xlpm.r),0)),IF(_xlpm.m=0,"",_xlpm.m+1))</f>
        <v/>
      </c>
      <c r="J816" s="137" t="inlineStr">
        <is>
          <t>Odoo</t>
        </is>
      </c>
    </row>
    <row r="817">
      <c r="A817" s="5" t="inlineStr">
        <is>
          <t>Odoo Universal Unique Brands › Bodega 25 › Bodega 25/General</t>
        </is>
      </c>
      <c r="B817" s="5">
        <f>IF($I2="","",INDEX(Productos!$A:$A,$I2))</f>
        <v/>
      </c>
      <c r="C817" s="134" t="inlineStr">
        <is>
          <t>WG219-8317BR</t>
        </is>
      </c>
      <c r="D817" s="5">
        <f>IF($I2="","",INDEX(Productos!$B:$B,$I2))</f>
        <v/>
      </c>
      <c r="E817" s="5">
        <f>IF($I2="","",INDEX(Productos!$H:$H,$I2))</f>
        <v/>
      </c>
      <c r="F817" s="5">
        <f>IF($I2="","",INDEX(Productos!$I:$I,$I2))</f>
        <v/>
      </c>
      <c r="G817" s="135" t="n">
        <v>20</v>
      </c>
      <c r="H817" s="5">
        <f>IF($I2="","",INDEX(Productos!$AG:$AG,$I2))</f>
        <v/>
      </c>
      <c r="I817" s="136">
        <f>LET(_xlpm.r,Productos!$E$2:$E$1063,_xlpm.m,IFERROR(_xlfn.XMATCH(C817,_xlpm.r),IFERROR(_xlfn.XMATCH(VALUE(C817),_xlpm.r),0)),IF(_xlpm.m=0,"",_xlpm.m+1))</f>
        <v/>
      </c>
      <c r="J817" s="137" t="inlineStr">
        <is>
          <t>Odoo</t>
        </is>
      </c>
    </row>
    <row r="818">
      <c r="A818" s="5" t="inlineStr">
        <is>
          <t>Odoo Universal Unique Brands › Bodega 25 › Bodega 25/General</t>
        </is>
      </c>
      <c r="B818" s="5">
        <f>IF($I2="","",INDEX(Productos!$A:$A,$I2))</f>
        <v/>
      </c>
      <c r="C818" s="134" t="inlineStr">
        <is>
          <t>WG219-8317JN</t>
        </is>
      </c>
      <c r="D818" s="5">
        <f>IF($I2="","",INDEX(Productos!$B:$B,$I2))</f>
        <v/>
      </c>
      <c r="E818" s="5">
        <f>IF($I2="","",INDEX(Productos!$H:$H,$I2))</f>
        <v/>
      </c>
      <c r="F818" s="5">
        <f>IF($I2="","",INDEX(Productos!$I:$I,$I2))</f>
        <v/>
      </c>
      <c r="G818" s="135" t="n">
        <v>17</v>
      </c>
      <c r="H818" s="5">
        <f>IF($I2="","",INDEX(Productos!$AG:$AG,$I2))</f>
        <v/>
      </c>
      <c r="I818" s="136">
        <f>LET(_xlpm.r,Productos!$E$2:$E$1063,_xlpm.m,IFERROR(_xlfn.XMATCH(C818,_xlpm.r),IFERROR(_xlfn.XMATCH(VALUE(C818),_xlpm.r),0)),IF(_xlpm.m=0,"",_xlpm.m+1))</f>
        <v/>
      </c>
      <c r="J818" s="137" t="inlineStr">
        <is>
          <t>Odoo</t>
        </is>
      </c>
    </row>
    <row r="819">
      <c r="A819" s="5" t="inlineStr">
        <is>
          <t>Odoo Universal Unique Brands › Bodega 25 › Bodega 25/General</t>
        </is>
      </c>
      <c r="B819" s="5">
        <f>IF($I2="","",INDEX(Productos!$A:$A,$I2))</f>
        <v/>
      </c>
      <c r="C819" s="134" t="inlineStr">
        <is>
          <t>WG2202-8119BR</t>
        </is>
      </c>
      <c r="D819" s="5">
        <f>IF($I2="","",INDEX(Productos!$B:$B,$I2))</f>
        <v/>
      </c>
      <c r="E819" s="5">
        <f>IF($I2="","",INDEX(Productos!$H:$H,$I2))</f>
        <v/>
      </c>
      <c r="F819" s="5">
        <f>IF($I2="","",INDEX(Productos!$I:$I,$I2))</f>
        <v/>
      </c>
      <c r="G819" s="135" t="n">
        <v>24</v>
      </c>
      <c r="H819" s="5">
        <f>IF($I2="","",INDEX(Productos!$AG:$AG,$I2))</f>
        <v/>
      </c>
      <c r="I819" s="136">
        <f>LET(_xlpm.r,Productos!$E$2:$E$1063,_xlpm.m,IFERROR(_xlfn.XMATCH(C819,_xlpm.r),IFERROR(_xlfn.XMATCH(VALUE(C819),_xlpm.r),0)),IF(_xlpm.m=0,"",_xlpm.m+1))</f>
        <v/>
      </c>
      <c r="J819" s="137" t="inlineStr">
        <is>
          <t>Odoo</t>
        </is>
      </c>
    </row>
    <row r="820">
      <c r="A820" s="5" t="inlineStr">
        <is>
          <t>Odoo Universal Unique Brands › Bodega 25 › Bodega 25/General</t>
        </is>
      </c>
      <c r="B820" s="5">
        <f>IF($I2="","",INDEX(Productos!$A:$A,$I2))</f>
        <v/>
      </c>
      <c r="C820" s="134" t="inlineStr">
        <is>
          <t>WG2202-8120SBR</t>
        </is>
      </c>
      <c r="D820" s="5">
        <f>IF($I2="","",INDEX(Productos!$B:$B,$I2))</f>
        <v/>
      </c>
      <c r="E820" s="5">
        <f>IF($I2="","",INDEX(Productos!$H:$H,$I2))</f>
        <v/>
      </c>
      <c r="F820" s="5">
        <f>IF($I2="","",INDEX(Productos!$I:$I,$I2))</f>
        <v/>
      </c>
      <c r="G820" s="135" t="n">
        <v>4</v>
      </c>
      <c r="H820" s="5">
        <f>IF($I2="","",INDEX(Productos!$AG:$AG,$I2))</f>
        <v/>
      </c>
      <c r="I820" s="136">
        <f>LET(_xlpm.r,Productos!$E$2:$E$1063,_xlpm.m,IFERROR(_xlfn.XMATCH(C820,_xlpm.r),IFERROR(_xlfn.XMATCH(VALUE(C820),_xlpm.r),0)),IF(_xlpm.m=0,"",_xlpm.m+1))</f>
        <v/>
      </c>
      <c r="J820" s="137" t="inlineStr">
        <is>
          <t>Odoo</t>
        </is>
      </c>
    </row>
    <row r="821">
      <c r="A821" s="5" t="inlineStr">
        <is>
          <t>Odoo Universal Unique Brands › Bodega 25 › Bodega 25/General</t>
        </is>
      </c>
      <c r="B821" s="5">
        <f>IF($I2="","",INDEX(Productos!$A:$A,$I2))</f>
        <v/>
      </c>
      <c r="C821" s="134" t="inlineStr">
        <is>
          <t>WG2202-8120SCF</t>
        </is>
      </c>
      <c r="D821" s="5">
        <f>IF($I2="","",INDEX(Productos!$B:$B,$I2))</f>
        <v/>
      </c>
      <c r="E821" s="5">
        <f>IF($I2="","",INDEX(Productos!$H:$H,$I2))</f>
        <v/>
      </c>
      <c r="F821" s="5">
        <f>IF($I2="","",INDEX(Productos!$I:$I,$I2))</f>
        <v/>
      </c>
      <c r="G821" s="135" t="n">
        <v>393</v>
      </c>
      <c r="H821" s="5">
        <f>IF($I2="","",INDEX(Productos!$AG:$AG,$I2))</f>
        <v/>
      </c>
      <c r="I821" s="136">
        <f>LET(_xlpm.r,Productos!$E$2:$E$1063,_xlpm.m,IFERROR(_xlfn.XMATCH(C821,_xlpm.r),IFERROR(_xlfn.XMATCH(VALUE(C821),_xlpm.r),0)),IF(_xlpm.m=0,"",_xlpm.m+1))</f>
        <v/>
      </c>
      <c r="J821" s="137" t="inlineStr">
        <is>
          <t>Odoo</t>
        </is>
      </c>
    </row>
    <row r="822">
      <c r="A822" s="5" t="inlineStr">
        <is>
          <t>Odoo Universal Unique Brands › Bodega 25 › Bodega 25/General</t>
        </is>
      </c>
      <c r="B822" s="5">
        <f>IF($I2="","",INDEX(Productos!$A:$A,$I2))</f>
        <v/>
      </c>
      <c r="C822" s="134" t="inlineStr">
        <is>
          <t>WG2203-8120SBDY</t>
        </is>
      </c>
      <c r="D822" s="5">
        <f>IF($I2="","",INDEX(Productos!$B:$B,$I2))</f>
        <v/>
      </c>
      <c r="E822" s="5">
        <f>IF($I2="","",INDEX(Productos!$H:$H,$I2))</f>
        <v/>
      </c>
      <c r="F822" s="5">
        <f>IF($I2="","",INDEX(Productos!$I:$I,$I2))</f>
        <v/>
      </c>
      <c r="G822" s="135" t="n">
        <v>37</v>
      </c>
      <c r="H822" s="5">
        <f>IF($I2="","",INDEX(Productos!$AG:$AG,$I2))</f>
        <v/>
      </c>
      <c r="I822" s="136">
        <f>LET(_xlpm.r,Productos!$E$2:$E$1063,_xlpm.m,IFERROR(_xlfn.XMATCH(C822,_xlpm.r),IFERROR(_xlfn.XMATCH(VALUE(C822),_xlpm.r),0)),IF(_xlpm.m=0,"",_xlpm.m+1))</f>
        <v/>
      </c>
      <c r="J822" s="137" t="inlineStr">
        <is>
          <t>Odoo</t>
        </is>
      </c>
    </row>
    <row r="823">
      <c r="A823" s="5" t="inlineStr">
        <is>
          <t>Odoo Universal Unique Brands › Bodega 25 › Bodega 25/General</t>
        </is>
      </c>
      <c r="B823" s="5">
        <f>IF($I2="","",INDEX(Productos!$A:$A,$I2))</f>
        <v/>
      </c>
      <c r="C823" s="134" t="inlineStr">
        <is>
          <t>WG2203-8120SCF</t>
        </is>
      </c>
      <c r="D823" s="5">
        <f>IF($I2="","",INDEX(Productos!$B:$B,$I2))</f>
        <v/>
      </c>
      <c r="E823" s="5">
        <f>IF($I2="","",INDEX(Productos!$H:$H,$I2))</f>
        <v/>
      </c>
      <c r="F823" s="5">
        <f>IF($I2="","",INDEX(Productos!$I:$I,$I2))</f>
        <v/>
      </c>
      <c r="G823" s="135" t="n">
        <v>44</v>
      </c>
      <c r="H823" s="5">
        <f>IF($I2="","",INDEX(Productos!$AG:$AG,$I2))</f>
        <v/>
      </c>
      <c r="I823" s="136">
        <f>LET(_xlpm.r,Productos!$E$2:$E$1063,_xlpm.m,IFERROR(_xlfn.XMATCH(C823,_xlpm.r),IFERROR(_xlfn.XMATCH(VALUE(C823),_xlpm.r),0)),IF(_xlpm.m=0,"",_xlpm.m+1))</f>
        <v/>
      </c>
      <c r="J823" s="137" t="inlineStr">
        <is>
          <t>Odoo</t>
        </is>
      </c>
    </row>
    <row r="824">
      <c r="A824" s="5" t="inlineStr">
        <is>
          <t>Odoo Universal Unique Brands › Bodega 25 › Bodega 25/General</t>
        </is>
      </c>
      <c r="B824" s="5">
        <f>IF($I2="","",INDEX(Productos!$A:$A,$I2))</f>
        <v/>
      </c>
      <c r="C824" s="134" t="inlineStr">
        <is>
          <t>WG2203-8120SDGY</t>
        </is>
      </c>
      <c r="D824" s="5">
        <f>IF($I2="","",INDEX(Productos!$B:$B,$I2))</f>
        <v/>
      </c>
      <c r="E824" s="5">
        <f>IF($I2="","",INDEX(Productos!$H:$H,$I2))</f>
        <v/>
      </c>
      <c r="F824" s="5">
        <f>IF($I2="","",INDEX(Productos!$I:$I,$I2))</f>
        <v/>
      </c>
      <c r="G824" s="135" t="n">
        <v>21</v>
      </c>
      <c r="H824" s="5">
        <f>IF($I2="","",INDEX(Productos!$AG:$AG,$I2))</f>
        <v/>
      </c>
      <c r="I824" s="136">
        <f>LET(_xlpm.r,Productos!$E$2:$E$1063,_xlpm.m,IFERROR(_xlfn.XMATCH(C824,_xlpm.r),IFERROR(_xlfn.XMATCH(VALUE(C824),_xlpm.r),0)),IF(_xlpm.m=0,"",_xlpm.m+1))</f>
        <v/>
      </c>
      <c r="J824" s="137" t="inlineStr">
        <is>
          <t>Odoo</t>
        </is>
      </c>
    </row>
    <row r="825">
      <c r="A825" s="5" t="inlineStr">
        <is>
          <t>Odoo Universal Unique Brands › Bodega 25 › Bodega 25/General</t>
        </is>
      </c>
      <c r="B825" s="5">
        <f>IF($I2="","",INDEX(Productos!$A:$A,$I2))</f>
        <v/>
      </c>
      <c r="C825" s="134" t="inlineStr">
        <is>
          <t>WG2203-8120STQ</t>
        </is>
      </c>
      <c r="D825" s="5">
        <f>IF($I2="","",INDEX(Productos!$B:$B,$I2))</f>
        <v/>
      </c>
      <c r="E825" s="5">
        <f>IF($I2="","",INDEX(Productos!$H:$H,$I2))</f>
        <v/>
      </c>
      <c r="F825" s="5">
        <f>IF($I2="","",INDEX(Productos!$I:$I,$I2))</f>
        <v/>
      </c>
      <c r="G825" s="135" t="n">
        <v>53</v>
      </c>
      <c r="H825" s="5">
        <f>IF($I2="","",INDEX(Productos!$AG:$AG,$I2))</f>
        <v/>
      </c>
      <c r="I825" s="136">
        <f>LET(_xlpm.r,Productos!$E$2:$E$1063,_xlpm.m,IFERROR(_xlfn.XMATCH(C825,_xlpm.r),IFERROR(_xlfn.XMATCH(VALUE(C825),_xlpm.r),0)),IF(_xlpm.m=0,"",_xlpm.m+1))</f>
        <v/>
      </c>
      <c r="J825" s="137" t="inlineStr">
        <is>
          <t>Odoo</t>
        </is>
      </c>
    </row>
    <row r="826">
      <c r="A826" s="5" t="inlineStr">
        <is>
          <t>Odoo Universal Unique Brands › Bodega 25 › Bodega 25/General</t>
        </is>
      </c>
      <c r="B826" s="5">
        <f>IF($I2="","",INDEX(Productos!$A:$A,$I2))</f>
        <v/>
      </c>
      <c r="C826" s="134" t="inlineStr">
        <is>
          <t>WG2203-W005TQ</t>
        </is>
      </c>
      <c r="D826" s="5">
        <f>IF($I2="","",INDEX(Productos!$B:$B,$I2))</f>
        <v/>
      </c>
      <c r="E826" s="5">
        <f>IF($I2="","",INDEX(Productos!$H:$H,$I2))</f>
        <v/>
      </c>
      <c r="F826" s="5">
        <f>IF($I2="","",INDEX(Productos!$I:$I,$I2))</f>
        <v/>
      </c>
      <c r="G826" s="135" t="n">
        <v>21</v>
      </c>
      <c r="H826" s="5">
        <f>IF($I2="","",INDEX(Productos!$AG:$AG,$I2))</f>
        <v/>
      </c>
      <c r="I826" s="136">
        <f>LET(_xlpm.r,Productos!$E$2:$E$1063,_xlpm.m,IFERROR(_xlfn.XMATCH(C826,_xlpm.r),IFERROR(_xlfn.XMATCH(VALUE(C826),_xlpm.r),0)),IF(_xlpm.m=0,"",_xlpm.m+1))</f>
        <v/>
      </c>
      <c r="J826" s="137" t="inlineStr">
        <is>
          <t>Odoo</t>
        </is>
      </c>
    </row>
    <row r="827">
      <c r="A827" s="5" t="inlineStr">
        <is>
          <t>Odoo Universal Unique Brands › Bodega 25 › Bodega 25/General</t>
        </is>
      </c>
      <c r="B827" s="5">
        <f>IF($I2="","",INDEX(Productos!$A:$A,$I2))</f>
        <v/>
      </c>
      <c r="C827" s="134" t="inlineStr">
        <is>
          <t>WG2204-9110BR</t>
        </is>
      </c>
      <c r="D827" s="5">
        <f>IF($I2="","",INDEX(Productos!$B:$B,$I2))</f>
        <v/>
      </c>
      <c r="E827" s="5">
        <f>IF($I2="","",INDEX(Productos!$H:$H,$I2))</f>
        <v/>
      </c>
      <c r="F827" s="5">
        <f>IF($I2="","",INDEX(Productos!$I:$I,$I2))</f>
        <v/>
      </c>
      <c r="G827" s="135" t="n">
        <v>18</v>
      </c>
      <c r="H827" s="5">
        <f>IF($I2="","",INDEX(Productos!$AG:$AG,$I2))</f>
        <v/>
      </c>
      <c r="I827" s="136">
        <f>LET(_xlpm.r,Productos!$E$2:$E$1063,_xlpm.m,IFERROR(_xlfn.XMATCH(C827,_xlpm.r),IFERROR(_xlfn.XMATCH(VALUE(C827),_xlpm.r),0)),IF(_xlpm.m=0,"",_xlpm.m+1))</f>
        <v/>
      </c>
      <c r="J827" s="137" t="inlineStr">
        <is>
          <t>Odoo</t>
        </is>
      </c>
    </row>
    <row r="828">
      <c r="A828" s="5" t="inlineStr">
        <is>
          <t>Odoo Universal Unique Brands › Bodega 25 › Bodega 25/General</t>
        </is>
      </c>
      <c r="B828" s="5">
        <f>IF($I2="","",INDEX(Productos!$A:$A,$I2))</f>
        <v/>
      </c>
      <c r="C828" s="134" t="inlineStr">
        <is>
          <t>WG2204-9110LV</t>
        </is>
      </c>
      <c r="D828" s="5">
        <f>IF($I2="","",INDEX(Productos!$B:$B,$I2))</f>
        <v/>
      </c>
      <c r="E828" s="5">
        <f>IF($I2="","",INDEX(Productos!$H:$H,$I2))</f>
        <v/>
      </c>
      <c r="F828" s="5">
        <f>IF($I2="","",INDEX(Productos!$I:$I,$I2))</f>
        <v/>
      </c>
      <c r="G828" s="135" t="n">
        <v>11</v>
      </c>
      <c r="H828" s="5">
        <f>IF($I2="","",INDEX(Productos!$AG:$AG,$I2))</f>
        <v/>
      </c>
      <c r="I828" s="136">
        <f>LET(_xlpm.r,Productos!$E$2:$E$1063,_xlpm.m,IFERROR(_xlfn.XMATCH(C828,_xlpm.r),IFERROR(_xlfn.XMATCH(VALUE(C828),_xlpm.r),0)),IF(_xlpm.m=0,"",_xlpm.m+1))</f>
        <v/>
      </c>
      <c r="J828" s="137" t="inlineStr">
        <is>
          <t>Odoo</t>
        </is>
      </c>
    </row>
    <row r="829">
      <c r="A829" s="5" t="inlineStr">
        <is>
          <t>Odoo Universal Unique Brands › Bodega 25 › Bodega 25/General</t>
        </is>
      </c>
      <c r="B829" s="5">
        <f>IF($I2="","",INDEX(Productos!$A:$A,$I2))</f>
        <v/>
      </c>
      <c r="C829" s="134" t="inlineStr">
        <is>
          <t>WG2204-9110TN</t>
        </is>
      </c>
      <c r="D829" s="5">
        <f>IF($I2="","",INDEX(Productos!$B:$B,$I2))</f>
        <v/>
      </c>
      <c r="E829" s="5">
        <f>IF($I2="","",INDEX(Productos!$H:$H,$I2))</f>
        <v/>
      </c>
      <c r="F829" s="5">
        <f>IF($I2="","",INDEX(Productos!$I:$I,$I2))</f>
        <v/>
      </c>
      <c r="G829" s="135" t="n">
        <v>1</v>
      </c>
      <c r="H829" s="5">
        <f>IF($I2="","",INDEX(Productos!$AG:$AG,$I2))</f>
        <v/>
      </c>
      <c r="I829" s="136">
        <f>LET(_xlpm.r,Productos!$E$2:$E$1063,_xlpm.m,IFERROR(_xlfn.XMATCH(C829,_xlpm.r),IFERROR(_xlfn.XMATCH(VALUE(C829),_xlpm.r),0)),IF(_xlpm.m=0,"",_xlpm.m+1))</f>
        <v/>
      </c>
      <c r="J829" s="137" t="inlineStr">
        <is>
          <t>Odoo</t>
        </is>
      </c>
    </row>
    <row r="830">
      <c r="A830" s="5" t="inlineStr">
        <is>
          <t>Odoo Universal Unique Brands › Bodega 25 › Bodega 25/General</t>
        </is>
      </c>
      <c r="B830" s="5">
        <f>IF($I2="","",INDEX(Productos!$A:$A,$I2))</f>
        <v/>
      </c>
      <c r="C830" s="134" t="inlineStr">
        <is>
          <t>WG2206-9110CF</t>
        </is>
      </c>
      <c r="D830" s="5">
        <f>IF($I2="","",INDEX(Productos!$B:$B,$I2))</f>
        <v/>
      </c>
      <c r="E830" s="5">
        <f>IF($I2="","",INDEX(Productos!$H:$H,$I2))</f>
        <v/>
      </c>
      <c r="F830" s="5">
        <f>IF($I2="","",INDEX(Productos!$I:$I,$I2))</f>
        <v/>
      </c>
      <c r="G830" s="135" t="n">
        <v>21</v>
      </c>
      <c r="H830" s="5">
        <f>IF($I2="","",INDEX(Productos!$AG:$AG,$I2))</f>
        <v/>
      </c>
      <c r="I830" s="136">
        <f>LET(_xlpm.r,Productos!$E$2:$E$1063,_xlpm.m,IFERROR(_xlfn.XMATCH(C830,_xlpm.r),IFERROR(_xlfn.XMATCH(VALUE(C830),_xlpm.r),0)),IF(_xlpm.m=0,"",_xlpm.m+1))</f>
        <v/>
      </c>
      <c r="J830" s="137" t="inlineStr">
        <is>
          <t>Odoo</t>
        </is>
      </c>
    </row>
    <row r="831">
      <c r="A831" s="5" t="inlineStr">
        <is>
          <t>Odoo Universal Unique Brands › Bodega 25 › Bodega 25/General</t>
        </is>
      </c>
      <c r="B831" s="5">
        <f>IF($I2="","",INDEX(Productos!$A:$A,$I2))</f>
        <v/>
      </c>
      <c r="C831" s="134" t="inlineStr">
        <is>
          <t>WG2206-9110TQ</t>
        </is>
      </c>
      <c r="D831" s="5">
        <f>IF($I2="","",INDEX(Productos!$B:$B,$I2))</f>
        <v/>
      </c>
      <c r="E831" s="5">
        <f>IF($I2="","",INDEX(Productos!$H:$H,$I2))</f>
        <v/>
      </c>
      <c r="F831" s="5">
        <f>IF($I2="","",INDEX(Productos!$I:$I,$I2))</f>
        <v/>
      </c>
      <c r="G831" s="135" t="n">
        <v>8</v>
      </c>
      <c r="H831" s="5">
        <f>IF($I2="","",INDEX(Productos!$AG:$AG,$I2))</f>
        <v/>
      </c>
      <c r="I831" s="136">
        <f>LET(_xlpm.r,Productos!$E$2:$E$1063,_xlpm.m,IFERROR(_xlfn.XMATCH(C831,_xlpm.r),IFERROR(_xlfn.XMATCH(VALUE(C831),_xlpm.r),0)),IF(_xlpm.m=0,"",_xlpm.m+1))</f>
        <v/>
      </c>
      <c r="J831" s="137" t="inlineStr">
        <is>
          <t>Odoo</t>
        </is>
      </c>
    </row>
    <row r="832">
      <c r="A832" s="5" t="inlineStr">
        <is>
          <t>Odoo Universal Unique Brands › Bodega 25 › Bodega 25/General</t>
        </is>
      </c>
      <c r="B832" s="5">
        <f>IF($I2="","",INDEX(Productos!$A:$A,$I2))</f>
        <v/>
      </c>
      <c r="C832" s="134" t="inlineStr">
        <is>
          <t>WG2207-3003NY</t>
        </is>
      </c>
      <c r="D832" s="5">
        <f>IF($I2="","",INDEX(Productos!$B:$B,$I2))</f>
        <v/>
      </c>
      <c r="E832" s="5">
        <f>IF($I2="","",INDEX(Productos!$H:$H,$I2))</f>
        <v/>
      </c>
      <c r="F832" s="5">
        <f>IF($I2="","",INDEX(Productos!$I:$I,$I2))</f>
        <v/>
      </c>
      <c r="G832" s="135" t="n">
        <v>42</v>
      </c>
      <c r="H832" s="5">
        <f>IF($I2="","",INDEX(Productos!$AG:$AG,$I2))</f>
        <v/>
      </c>
      <c r="I832" s="136">
        <f>LET(_xlpm.r,Productos!$E$2:$E$1063,_xlpm.m,IFERROR(_xlfn.XMATCH(C832,_xlpm.r),IFERROR(_xlfn.XMATCH(VALUE(C832),_xlpm.r),0)),IF(_xlpm.m=0,"",_xlpm.m+1))</f>
        <v/>
      </c>
      <c r="J832" s="137" t="inlineStr">
        <is>
          <t>Odoo</t>
        </is>
      </c>
    </row>
    <row r="833">
      <c r="A833" s="5" t="inlineStr">
        <is>
          <t>Odoo Universal Unique Brands › Bodega 25 › Bodega 25/General</t>
        </is>
      </c>
      <c r="B833" s="5">
        <f>IF($I2="","",INDEX(Productos!$A:$A,$I2))</f>
        <v/>
      </c>
      <c r="C833" s="134" t="inlineStr">
        <is>
          <t>WG2207-3003PK</t>
        </is>
      </c>
      <c r="D833" s="5">
        <f>IF($I2="","",INDEX(Productos!$B:$B,$I2))</f>
        <v/>
      </c>
      <c r="E833" s="5">
        <f>IF($I2="","",INDEX(Productos!$H:$H,$I2))</f>
        <v/>
      </c>
      <c r="F833" s="5">
        <f>IF($I2="","",INDEX(Productos!$I:$I,$I2))</f>
        <v/>
      </c>
      <c r="G833" s="135" t="n">
        <v>4</v>
      </c>
      <c r="H833" s="5">
        <f>IF($I2="","",INDEX(Productos!$AG:$AG,$I2))</f>
        <v/>
      </c>
      <c r="I833" s="136">
        <f>LET(_xlpm.r,Productos!$E$2:$E$1063,_xlpm.m,IFERROR(_xlfn.XMATCH(C833,_xlpm.r),IFERROR(_xlfn.XMATCH(VALUE(C833),_xlpm.r),0)),IF(_xlpm.m=0,"",_xlpm.m+1))</f>
        <v/>
      </c>
      <c r="J833" s="137" t="inlineStr">
        <is>
          <t>Odoo</t>
        </is>
      </c>
    </row>
    <row r="834">
      <c r="A834" s="5" t="inlineStr">
        <is>
          <t>Odoo Universal Unique Brands › Bodega 25 › Bodega 25/General</t>
        </is>
      </c>
      <c r="B834" s="5">
        <f>IF($I2="","",INDEX(Productos!$A:$A,$I2))</f>
        <v/>
      </c>
      <c r="C834" s="134" t="inlineStr">
        <is>
          <t>WG2207-3003RD</t>
        </is>
      </c>
      <c r="D834" s="5">
        <f>IF($I2="","",INDEX(Productos!$B:$B,$I2))</f>
        <v/>
      </c>
      <c r="E834" s="5">
        <f>IF($I2="","",INDEX(Productos!$H:$H,$I2))</f>
        <v/>
      </c>
      <c r="F834" s="5">
        <f>IF($I2="","",INDEX(Productos!$I:$I,$I2))</f>
        <v/>
      </c>
      <c r="G834" s="135" t="n">
        <v>253</v>
      </c>
      <c r="H834" s="5">
        <f>IF($I2="","",INDEX(Productos!$AG:$AG,$I2))</f>
        <v/>
      </c>
      <c r="I834" s="136">
        <f>LET(_xlpm.r,Productos!$E$2:$E$1063,_xlpm.m,IFERROR(_xlfn.XMATCH(C834,_xlpm.r),IFERROR(_xlfn.XMATCH(VALUE(C834),_xlpm.r),0)),IF(_xlpm.m=0,"",_xlpm.m+1))</f>
        <v/>
      </c>
      <c r="J834" s="137" t="inlineStr">
        <is>
          <t>Odoo</t>
        </is>
      </c>
    </row>
    <row r="835">
      <c r="A835" s="5" t="inlineStr">
        <is>
          <t>Odoo Universal Unique Brands › Bodega 25 › Bodega 25/General</t>
        </is>
      </c>
      <c r="B835" s="5">
        <f>IF($I2="","",INDEX(Productos!$A:$A,$I2))</f>
        <v/>
      </c>
      <c r="C835" s="134" t="inlineStr">
        <is>
          <t>WG2207-3003TQ</t>
        </is>
      </c>
      <c r="D835" s="5">
        <f>IF($I2="","",INDEX(Productos!$B:$B,$I2))</f>
        <v/>
      </c>
      <c r="E835" s="5">
        <f>IF($I2="","",INDEX(Productos!$H:$H,$I2))</f>
        <v/>
      </c>
      <c r="F835" s="5">
        <f>IF($I2="","",INDEX(Productos!$I:$I,$I2))</f>
        <v/>
      </c>
      <c r="G835" s="135" t="n">
        <v>214</v>
      </c>
      <c r="H835" s="5">
        <f>IF($I2="","",INDEX(Productos!$AG:$AG,$I2))</f>
        <v/>
      </c>
      <c r="I835" s="136">
        <f>LET(_xlpm.r,Productos!$E$2:$E$1063,_xlpm.m,IFERROR(_xlfn.XMATCH(C835,_xlpm.r),IFERROR(_xlfn.XMATCH(VALUE(C835),_xlpm.r),0)),IF(_xlpm.m=0,"",_xlpm.m+1))</f>
        <v/>
      </c>
      <c r="J835" s="137" t="inlineStr">
        <is>
          <t>Odoo</t>
        </is>
      </c>
    </row>
    <row r="836">
      <c r="A836" s="5" t="inlineStr">
        <is>
          <t>Odoo Universal Unique Brands › Bodega 25 › Bodega 25/General</t>
        </is>
      </c>
      <c r="B836" s="5">
        <f>IF($I2="","",INDEX(Productos!$A:$A,$I2))</f>
        <v/>
      </c>
      <c r="C836" s="134" t="inlineStr">
        <is>
          <t>WG2210-9110CF</t>
        </is>
      </c>
      <c r="D836" s="5">
        <f>IF($I2="","",INDEX(Productos!$B:$B,$I2))</f>
        <v/>
      </c>
      <c r="E836" s="5">
        <f>IF($I2="","",INDEX(Productos!$H:$H,$I2))</f>
        <v/>
      </c>
      <c r="F836" s="5">
        <f>IF($I2="","",INDEX(Productos!$I:$I,$I2))</f>
        <v/>
      </c>
      <c r="G836" s="135" t="n">
        <v>11</v>
      </c>
      <c r="H836" s="5">
        <f>IF($I2="","",INDEX(Productos!$AG:$AG,$I2))</f>
        <v/>
      </c>
      <c r="I836" s="136">
        <f>LET(_xlpm.r,Productos!$E$2:$E$1063,_xlpm.m,IFERROR(_xlfn.XMATCH(C836,_xlpm.r),IFERROR(_xlfn.XMATCH(VALUE(C836),_xlpm.r),0)),IF(_xlpm.m=0,"",_xlpm.m+1))</f>
        <v/>
      </c>
      <c r="J836" s="137" t="inlineStr">
        <is>
          <t>Odoo</t>
        </is>
      </c>
    </row>
    <row r="837">
      <c r="A837" s="5" t="inlineStr">
        <is>
          <t>Odoo Universal Unique Brands › Bodega 25 › Bodega 25/General</t>
        </is>
      </c>
      <c r="B837" s="5">
        <f>IF($I2="","",INDEX(Productos!$A:$A,$I2))</f>
        <v/>
      </c>
      <c r="C837" s="134" t="inlineStr">
        <is>
          <t>WG2211-190BK</t>
        </is>
      </c>
      <c r="D837" s="5">
        <f>IF($I2="","",INDEX(Productos!$B:$B,$I2))</f>
        <v/>
      </c>
      <c r="E837" s="5">
        <f>IF($I2="","",INDEX(Productos!$H:$H,$I2))</f>
        <v/>
      </c>
      <c r="F837" s="5">
        <f>IF($I2="","",INDEX(Productos!$I:$I,$I2))</f>
        <v/>
      </c>
      <c r="G837" s="135" t="n">
        <v>3</v>
      </c>
      <c r="H837" s="5">
        <f>IF($I2="","",INDEX(Productos!$AG:$AG,$I2))</f>
        <v/>
      </c>
      <c r="I837" s="136">
        <f>LET(_xlpm.r,Productos!$E$2:$E$1063,_xlpm.m,IFERROR(_xlfn.XMATCH(C837,_xlpm.r),IFERROR(_xlfn.XMATCH(VALUE(C837),_xlpm.r),0)),IF(_xlpm.m=0,"",_xlpm.m+1))</f>
        <v/>
      </c>
      <c r="J837" s="137" t="inlineStr">
        <is>
          <t>Odoo</t>
        </is>
      </c>
    </row>
    <row r="838">
      <c r="A838" s="5" t="inlineStr">
        <is>
          <t>Odoo Universal Unique Brands › Bodega 25 › Bodega 25/General</t>
        </is>
      </c>
      <c r="B838" s="5">
        <f>IF($I2="","",INDEX(Productos!$A:$A,$I2))</f>
        <v/>
      </c>
      <c r="C838" s="134" t="inlineStr">
        <is>
          <t>WG2211-190JN</t>
        </is>
      </c>
      <c r="D838" s="5">
        <f>IF($I2="","",INDEX(Productos!$B:$B,$I2))</f>
        <v/>
      </c>
      <c r="E838" s="5">
        <f>IF($I2="","",INDEX(Productos!$H:$H,$I2))</f>
        <v/>
      </c>
      <c r="F838" s="5">
        <f>IF($I2="","",INDEX(Productos!$I:$I,$I2))</f>
        <v/>
      </c>
      <c r="G838" s="135" t="n">
        <v>2</v>
      </c>
      <c r="H838" s="5">
        <f>IF($I2="","",INDEX(Productos!$AG:$AG,$I2))</f>
        <v/>
      </c>
      <c r="I838" s="136">
        <f>LET(_xlpm.r,Productos!$E$2:$E$1063,_xlpm.m,IFERROR(_xlfn.XMATCH(C838,_xlpm.r),IFERROR(_xlfn.XMATCH(VALUE(C838),_xlpm.r),0)),IF(_xlpm.m=0,"",_xlpm.m+1))</f>
        <v/>
      </c>
      <c r="J838" s="137" t="inlineStr">
        <is>
          <t>Odoo</t>
        </is>
      </c>
    </row>
    <row r="839">
      <c r="A839" s="5" t="inlineStr">
        <is>
          <t>Odoo Universal Unique Brands › Bodega 25 › Bodega 25/General</t>
        </is>
      </c>
      <c r="B839" s="5">
        <f>IF($I2="","",INDEX(Productos!$A:$A,$I2))</f>
        <v/>
      </c>
      <c r="C839" s="134" t="inlineStr">
        <is>
          <t>WG2211-3003BK</t>
        </is>
      </c>
      <c r="D839" s="5">
        <f>IF($I2="","",INDEX(Productos!$B:$B,$I2))</f>
        <v/>
      </c>
      <c r="E839" s="5">
        <f>IF($I2="","",INDEX(Productos!$H:$H,$I2))</f>
        <v/>
      </c>
      <c r="F839" s="5">
        <f>IF($I2="","",INDEX(Productos!$I:$I,$I2))</f>
        <v/>
      </c>
      <c r="G839" s="135" t="n">
        <v>29</v>
      </c>
      <c r="H839" s="5">
        <f>IF($I2="","",INDEX(Productos!$AG:$AG,$I2))</f>
        <v/>
      </c>
      <c r="I839" s="136">
        <f>LET(_xlpm.r,Productos!$E$2:$E$1063,_xlpm.m,IFERROR(_xlfn.XMATCH(C839,_xlpm.r),IFERROR(_xlfn.XMATCH(VALUE(C839),_xlpm.r),0)),IF(_xlpm.m=0,"",_xlpm.m+1))</f>
        <v/>
      </c>
      <c r="J839" s="137" t="inlineStr">
        <is>
          <t>Odoo</t>
        </is>
      </c>
    </row>
    <row r="840">
      <c r="A840" s="5" t="inlineStr">
        <is>
          <t>Odoo Universal Unique Brands › Bodega 25 › Bodega 25/General</t>
        </is>
      </c>
      <c r="B840" s="5">
        <f>IF($I2="","",INDEX(Productos!$A:$A,$I2))</f>
        <v/>
      </c>
      <c r="C840" s="134" t="inlineStr">
        <is>
          <t>WG2211-3003BR</t>
        </is>
      </c>
      <c r="D840" s="5">
        <f>IF($I2="","",INDEX(Productos!$B:$B,$I2))</f>
        <v/>
      </c>
      <c r="E840" s="5">
        <f>IF($I2="","",INDEX(Productos!$H:$H,$I2))</f>
        <v/>
      </c>
      <c r="F840" s="5">
        <f>IF($I2="","",INDEX(Productos!$I:$I,$I2))</f>
        <v/>
      </c>
      <c r="G840" s="135" t="n">
        <v>50</v>
      </c>
      <c r="H840" s="5">
        <f>IF($I2="","",INDEX(Productos!$AG:$AG,$I2))</f>
        <v/>
      </c>
      <c r="I840" s="136">
        <f>LET(_xlpm.r,Productos!$E$2:$E$1063,_xlpm.m,IFERROR(_xlfn.XMATCH(C840,_xlpm.r),IFERROR(_xlfn.XMATCH(VALUE(C840),_xlpm.r),0)),IF(_xlpm.m=0,"",_xlpm.m+1))</f>
        <v/>
      </c>
      <c r="J840" s="137" t="inlineStr">
        <is>
          <t>Odoo</t>
        </is>
      </c>
    </row>
    <row r="841">
      <c r="A841" s="5" t="inlineStr">
        <is>
          <t>Odoo Universal Unique Brands › Bodega 25 › Bodega 25/General</t>
        </is>
      </c>
      <c r="B841" s="5">
        <f>IF($I2="","",INDEX(Productos!$A:$A,$I2))</f>
        <v/>
      </c>
      <c r="C841" s="134" t="inlineStr">
        <is>
          <t>WG2211-3003DPK</t>
        </is>
      </c>
      <c r="D841" s="5">
        <f>IF($I2="","",INDEX(Productos!$B:$B,$I2))</f>
        <v/>
      </c>
      <c r="E841" s="5">
        <f>IF($I2="","",INDEX(Productos!$H:$H,$I2))</f>
        <v/>
      </c>
      <c r="F841" s="5">
        <f>IF($I2="","",INDEX(Productos!$I:$I,$I2))</f>
        <v/>
      </c>
      <c r="G841" s="135" t="n">
        <v>49</v>
      </c>
      <c r="H841" s="5">
        <f>IF($I2="","",INDEX(Productos!$AG:$AG,$I2))</f>
        <v/>
      </c>
      <c r="I841" s="136">
        <f>LET(_xlpm.r,Productos!$E$2:$E$1063,_xlpm.m,IFERROR(_xlfn.XMATCH(C841,_xlpm.r),IFERROR(_xlfn.XMATCH(VALUE(C841),_xlpm.r),0)),IF(_xlpm.m=0,"",_xlpm.m+1))</f>
        <v/>
      </c>
      <c r="J841" s="137" t="inlineStr">
        <is>
          <t>Odoo</t>
        </is>
      </c>
    </row>
    <row r="842">
      <c r="A842" s="5" t="inlineStr">
        <is>
          <t>Odoo Universal Unique Brands › Bodega 25 › Bodega 25/General</t>
        </is>
      </c>
      <c r="B842" s="5">
        <f>IF($I2="","",INDEX(Productos!$A:$A,$I2))</f>
        <v/>
      </c>
      <c r="C842" s="134" t="inlineStr">
        <is>
          <t>WG2211-3003JN</t>
        </is>
      </c>
      <c r="D842" s="5">
        <f>IF($I2="","",INDEX(Productos!$B:$B,$I2))</f>
        <v/>
      </c>
      <c r="E842" s="5">
        <f>IF($I2="","",INDEX(Productos!$H:$H,$I2))</f>
        <v/>
      </c>
      <c r="F842" s="5">
        <f>IF($I2="","",INDEX(Productos!$I:$I,$I2))</f>
        <v/>
      </c>
      <c r="G842" s="135" t="n">
        <v>47</v>
      </c>
      <c r="H842" s="5">
        <f>IF($I2="","",INDEX(Productos!$AG:$AG,$I2))</f>
        <v/>
      </c>
      <c r="I842" s="136">
        <f>LET(_xlpm.r,Productos!$E$2:$E$1063,_xlpm.m,IFERROR(_xlfn.XMATCH(C842,_xlpm.r),IFERROR(_xlfn.XMATCH(VALUE(C842),_xlpm.r),0)),IF(_xlpm.m=0,"",_xlpm.m+1))</f>
        <v/>
      </c>
      <c r="J842" s="137" t="inlineStr">
        <is>
          <t>Odoo</t>
        </is>
      </c>
    </row>
    <row r="843">
      <c r="A843" s="5" t="inlineStr">
        <is>
          <t>Odoo Universal Unique Brands › Bodega 25 › Bodega 25/General</t>
        </is>
      </c>
      <c r="B843" s="5">
        <f>IF($I2="","",INDEX(Productos!$A:$A,$I2))</f>
        <v/>
      </c>
      <c r="C843" s="134" t="inlineStr">
        <is>
          <t>WG2211-3003TN</t>
        </is>
      </c>
      <c r="D843" s="5">
        <f>IF($I2="","",INDEX(Productos!$B:$B,$I2))</f>
        <v/>
      </c>
      <c r="E843" s="5">
        <f>IF($I2="","",INDEX(Productos!$H:$H,$I2))</f>
        <v/>
      </c>
      <c r="F843" s="5">
        <f>IF($I2="","",INDEX(Productos!$I:$I,$I2))</f>
        <v/>
      </c>
      <c r="G843" s="135" t="n">
        <v>47</v>
      </c>
      <c r="H843" s="5">
        <f>IF($I2="","",INDEX(Productos!$AG:$AG,$I2))</f>
        <v/>
      </c>
      <c r="I843" s="136">
        <f>LET(_xlpm.r,Productos!$E$2:$E$1063,_xlpm.m,IFERROR(_xlfn.XMATCH(C843,_xlpm.r),IFERROR(_xlfn.XMATCH(VALUE(C843),_xlpm.r),0)),IF(_xlpm.m=0,"",_xlpm.m+1))</f>
        <v/>
      </c>
      <c r="J843" s="137" t="inlineStr">
        <is>
          <t>Odoo</t>
        </is>
      </c>
    </row>
    <row r="844">
      <c r="A844" s="5" t="inlineStr">
        <is>
          <t>Odoo Universal Unique Brands › Bodega 25 › Bodega 25/General</t>
        </is>
      </c>
      <c r="B844" s="5">
        <f>IF($I2="","",INDEX(Productos!$A:$A,$I2))</f>
        <v/>
      </c>
      <c r="C844" s="134" t="inlineStr">
        <is>
          <t>WG2211-8119BK</t>
        </is>
      </c>
      <c r="D844" s="5">
        <f>IF($I2="","",INDEX(Productos!$B:$B,$I2))</f>
        <v/>
      </c>
      <c r="E844" s="5">
        <f>IF($I2="","",INDEX(Productos!$H:$H,$I2))</f>
        <v/>
      </c>
      <c r="F844" s="5">
        <f>IF($I2="","",INDEX(Productos!$I:$I,$I2))</f>
        <v/>
      </c>
      <c r="G844" s="135" t="n">
        <v>24</v>
      </c>
      <c r="H844" s="5">
        <f>IF($I2="","",INDEX(Productos!$AG:$AG,$I2))</f>
        <v/>
      </c>
      <c r="I844" s="136">
        <f>LET(_xlpm.r,Productos!$E$2:$E$1063,_xlpm.m,IFERROR(_xlfn.XMATCH(C844,_xlpm.r),IFERROR(_xlfn.XMATCH(VALUE(C844),_xlpm.r),0)),IF(_xlpm.m=0,"",_xlpm.m+1))</f>
        <v/>
      </c>
      <c r="J844" s="137" t="inlineStr">
        <is>
          <t>Odoo</t>
        </is>
      </c>
    </row>
    <row r="845">
      <c r="A845" s="5" t="inlineStr">
        <is>
          <t>Odoo Universal Unique Brands › Bodega 25 › Bodega 25/General</t>
        </is>
      </c>
      <c r="B845" s="5">
        <f>IF($I2="","",INDEX(Productos!$A:$A,$I2))</f>
        <v/>
      </c>
      <c r="C845" s="134" t="inlineStr">
        <is>
          <t>WG2211-8119DPK</t>
        </is>
      </c>
      <c r="D845" s="5">
        <f>IF($I2="","",INDEX(Productos!$B:$B,$I2))</f>
        <v/>
      </c>
      <c r="E845" s="5">
        <f>IF($I2="","",INDEX(Productos!$H:$H,$I2))</f>
        <v/>
      </c>
      <c r="F845" s="5">
        <f>IF($I2="","",INDEX(Productos!$I:$I,$I2))</f>
        <v/>
      </c>
      <c r="G845" s="135" t="n">
        <v>7</v>
      </c>
      <c r="H845" s="5">
        <f>IF($I2="","",INDEX(Productos!$AG:$AG,$I2))</f>
        <v/>
      </c>
      <c r="I845" s="136">
        <f>LET(_xlpm.r,Productos!$E$2:$E$1063,_xlpm.m,IFERROR(_xlfn.XMATCH(C845,_xlpm.r),IFERROR(_xlfn.XMATCH(VALUE(C845),_xlpm.r),0)),IF(_xlpm.m=0,"",_xlpm.m+1))</f>
        <v/>
      </c>
      <c r="J845" s="137" t="inlineStr">
        <is>
          <t>Odoo</t>
        </is>
      </c>
    </row>
    <row r="846">
      <c r="A846" s="5" t="inlineStr">
        <is>
          <t>Odoo Universal Unique Brands › Bodega 25 › Bodega 25/General</t>
        </is>
      </c>
      <c r="B846" s="5">
        <f>IF($I2="","",INDEX(Productos!$A:$A,$I2))</f>
        <v/>
      </c>
      <c r="C846" s="134" t="inlineStr">
        <is>
          <t>WG2211-8119GY</t>
        </is>
      </c>
      <c r="D846" s="5">
        <f>IF($I2="","",INDEX(Productos!$B:$B,$I2))</f>
        <v/>
      </c>
      <c r="E846" s="5">
        <f>IF($I2="","",INDEX(Productos!$H:$H,$I2))</f>
        <v/>
      </c>
      <c r="F846" s="5">
        <f>IF($I2="","",INDEX(Productos!$I:$I,$I2))</f>
        <v/>
      </c>
      <c r="G846" s="135" t="n">
        <v>21</v>
      </c>
      <c r="H846" s="5">
        <f>IF($I2="","",INDEX(Productos!$AG:$AG,$I2))</f>
        <v/>
      </c>
      <c r="I846" s="136">
        <f>LET(_xlpm.r,Productos!$E$2:$E$1063,_xlpm.m,IFERROR(_xlfn.XMATCH(C846,_xlpm.r),IFERROR(_xlfn.XMATCH(VALUE(C846),_xlpm.r),0)),IF(_xlpm.m=0,"",_xlpm.m+1))</f>
        <v/>
      </c>
      <c r="J846" s="137" t="inlineStr">
        <is>
          <t>Odoo</t>
        </is>
      </c>
    </row>
    <row r="847">
      <c r="A847" s="5" t="inlineStr">
        <is>
          <t>Odoo Universal Unique Brands › Bodega 25 › Bodega 25/General</t>
        </is>
      </c>
      <c r="B847" s="5">
        <f>IF($I2="","",INDEX(Productos!$A:$A,$I2))</f>
        <v/>
      </c>
      <c r="C847" s="134" t="inlineStr">
        <is>
          <t>WG2211-8120SBR</t>
        </is>
      </c>
      <c r="D847" s="5">
        <f>IF($I2="","",INDEX(Productos!$B:$B,$I2))</f>
        <v/>
      </c>
      <c r="E847" s="5">
        <f>IF($I2="","",INDEX(Productos!$H:$H,$I2))</f>
        <v/>
      </c>
      <c r="F847" s="5">
        <f>IF($I2="","",INDEX(Productos!$I:$I,$I2))</f>
        <v/>
      </c>
      <c r="G847" s="135" t="n">
        <v>8</v>
      </c>
      <c r="H847" s="5">
        <f>IF($I2="","",INDEX(Productos!$AG:$AG,$I2))</f>
        <v/>
      </c>
      <c r="I847" s="136">
        <f>LET(_xlpm.r,Productos!$E$2:$E$1063,_xlpm.m,IFERROR(_xlfn.XMATCH(C847,_xlpm.r),IFERROR(_xlfn.XMATCH(VALUE(C847),_xlpm.r),0)),IF(_xlpm.m=0,"",_xlpm.m+1))</f>
        <v/>
      </c>
      <c r="J847" s="137" t="inlineStr">
        <is>
          <t>Odoo</t>
        </is>
      </c>
    </row>
    <row r="848">
      <c r="A848" s="5" t="inlineStr">
        <is>
          <t>Odoo Universal Unique Brands › Bodega 25 › Bodega 25/General</t>
        </is>
      </c>
      <c r="B848" s="5">
        <f>IF($I2="","",INDEX(Productos!$A:$A,$I2))</f>
        <v/>
      </c>
      <c r="C848" s="134" t="inlineStr">
        <is>
          <t>WG2211-8120SGY</t>
        </is>
      </c>
      <c r="D848" s="5">
        <f>IF($I2="","",INDEX(Productos!$B:$B,$I2))</f>
        <v/>
      </c>
      <c r="E848" s="5">
        <f>IF($I2="","",INDEX(Productos!$H:$H,$I2))</f>
        <v/>
      </c>
      <c r="F848" s="5">
        <f>IF($I2="","",INDEX(Productos!$I:$I,$I2))</f>
        <v/>
      </c>
      <c r="G848" s="135" t="n">
        <v>5</v>
      </c>
      <c r="H848" s="5">
        <f>IF($I2="","",INDEX(Productos!$AG:$AG,$I2))</f>
        <v/>
      </c>
      <c r="I848" s="136">
        <f>LET(_xlpm.r,Productos!$E$2:$E$1063,_xlpm.m,IFERROR(_xlfn.XMATCH(C848,_xlpm.r),IFERROR(_xlfn.XMATCH(VALUE(C848),_xlpm.r),0)),IF(_xlpm.m=0,"",_xlpm.m+1))</f>
        <v/>
      </c>
      <c r="J848" s="137" t="inlineStr">
        <is>
          <t>Odoo</t>
        </is>
      </c>
    </row>
    <row r="849">
      <c r="A849" s="5" t="inlineStr">
        <is>
          <t>Odoo Universal Unique Brands › Bodega 25 › Bodega 25/General</t>
        </is>
      </c>
      <c r="B849" s="5">
        <f>IF($I2="","",INDEX(Productos!$A:$A,$I2))</f>
        <v/>
      </c>
      <c r="C849" s="134" t="inlineStr">
        <is>
          <t>WG2211-W0051BK</t>
        </is>
      </c>
      <c r="D849" s="5">
        <f>IF($I2="","",INDEX(Productos!$B:$B,$I2))</f>
        <v/>
      </c>
      <c r="E849" s="5">
        <f>IF($I2="","",INDEX(Productos!$H:$H,$I2))</f>
        <v/>
      </c>
      <c r="F849" s="5">
        <f>IF($I2="","",INDEX(Productos!$I:$I,$I2))</f>
        <v/>
      </c>
      <c r="G849" s="135" t="n">
        <v>42</v>
      </c>
      <c r="H849" s="5">
        <f>IF($I2="","",INDEX(Productos!$AG:$AG,$I2))</f>
        <v/>
      </c>
      <c r="I849" s="136">
        <f>LET(_xlpm.r,Productos!$E$2:$E$1063,_xlpm.m,IFERROR(_xlfn.XMATCH(C849,_xlpm.r),IFERROR(_xlfn.XMATCH(VALUE(C849),_xlpm.r),0)),IF(_xlpm.m=0,"",_xlpm.m+1))</f>
        <v/>
      </c>
      <c r="J849" s="137" t="inlineStr">
        <is>
          <t>Odoo</t>
        </is>
      </c>
    </row>
    <row r="850">
      <c r="A850" s="5" t="inlineStr">
        <is>
          <t>Odoo Universal Unique Brands › Bodega 25 › Bodega 25/General</t>
        </is>
      </c>
      <c r="B850" s="5">
        <f>IF($I2="","",INDEX(Productos!$A:$A,$I2))</f>
        <v/>
      </c>
      <c r="C850" s="134" t="inlineStr">
        <is>
          <t>WG2211-W0051BR</t>
        </is>
      </c>
      <c r="D850" s="5">
        <f>IF($I2="","",INDEX(Productos!$B:$B,$I2))</f>
        <v/>
      </c>
      <c r="E850" s="5">
        <f>IF($I2="","",INDEX(Productos!$H:$H,$I2))</f>
        <v/>
      </c>
      <c r="F850" s="5">
        <f>IF($I2="","",INDEX(Productos!$I:$I,$I2))</f>
        <v/>
      </c>
      <c r="G850" s="135" t="n">
        <v>50</v>
      </c>
      <c r="H850" s="5">
        <f>IF($I2="","",INDEX(Productos!$AG:$AG,$I2))</f>
        <v/>
      </c>
      <c r="I850" s="136">
        <f>LET(_xlpm.r,Productos!$E$2:$E$1063,_xlpm.m,IFERROR(_xlfn.XMATCH(C850,_xlpm.r),IFERROR(_xlfn.XMATCH(VALUE(C850),_xlpm.r),0)),IF(_xlpm.m=0,"",_xlpm.m+1))</f>
        <v/>
      </c>
      <c r="J850" s="137" t="inlineStr">
        <is>
          <t>Odoo</t>
        </is>
      </c>
    </row>
    <row r="851">
      <c r="A851" s="5" t="inlineStr">
        <is>
          <t>Odoo Universal Unique Brands › Bodega 25 › Bodega 25/General</t>
        </is>
      </c>
      <c r="B851" s="5">
        <f>IF($I2="","",INDEX(Productos!$A:$A,$I2))</f>
        <v/>
      </c>
      <c r="C851" s="134" t="inlineStr">
        <is>
          <t>WG2211-W0051DPK</t>
        </is>
      </c>
      <c r="D851" s="5">
        <f>IF($I2="","",INDEX(Productos!$B:$B,$I2))</f>
        <v/>
      </c>
      <c r="E851" s="5">
        <f>IF($I2="","",INDEX(Productos!$H:$H,$I2))</f>
        <v/>
      </c>
      <c r="F851" s="5">
        <f>IF($I2="","",INDEX(Productos!$I:$I,$I2))</f>
        <v/>
      </c>
      <c r="G851" s="135" t="n">
        <v>25</v>
      </c>
      <c r="H851" s="5">
        <f>IF($I2="","",INDEX(Productos!$AG:$AG,$I2))</f>
        <v/>
      </c>
      <c r="I851" s="136">
        <f>LET(_xlpm.r,Productos!$E$2:$E$1063,_xlpm.m,IFERROR(_xlfn.XMATCH(C851,_xlpm.r),IFERROR(_xlfn.XMATCH(VALUE(C851),_xlpm.r),0)),IF(_xlpm.m=0,"",_xlpm.m+1))</f>
        <v/>
      </c>
      <c r="J851" s="137" t="inlineStr">
        <is>
          <t>Odoo</t>
        </is>
      </c>
    </row>
    <row r="852">
      <c r="A852" s="5" t="inlineStr">
        <is>
          <t>Odoo Universal Unique Brands › Bodega 25 › Bodega 25/General</t>
        </is>
      </c>
      <c r="B852" s="5">
        <f>IF($I2="","",INDEX(Productos!$A:$A,$I2))</f>
        <v/>
      </c>
      <c r="C852" s="134" t="inlineStr">
        <is>
          <t>WG2211-W0051GY</t>
        </is>
      </c>
      <c r="D852" s="5">
        <f>IF($I2="","",INDEX(Productos!$B:$B,$I2))</f>
        <v/>
      </c>
      <c r="E852" s="5">
        <f>IF($I2="","",INDEX(Productos!$H:$H,$I2))</f>
        <v/>
      </c>
      <c r="F852" s="5">
        <f>IF($I2="","",INDEX(Productos!$I:$I,$I2))</f>
        <v/>
      </c>
      <c r="G852" s="135" t="n">
        <v>29</v>
      </c>
      <c r="H852" s="5">
        <f>IF($I2="","",INDEX(Productos!$AG:$AG,$I2))</f>
        <v/>
      </c>
      <c r="I852" s="136">
        <f>LET(_xlpm.r,Productos!$E$2:$E$1063,_xlpm.m,IFERROR(_xlfn.XMATCH(C852,_xlpm.r),IFERROR(_xlfn.XMATCH(VALUE(C852),_xlpm.r),0)),IF(_xlpm.m=0,"",_xlpm.m+1))</f>
        <v/>
      </c>
      <c r="J852" s="137" t="inlineStr">
        <is>
          <t>Odoo</t>
        </is>
      </c>
    </row>
    <row r="853">
      <c r="A853" s="5" t="inlineStr">
        <is>
          <t>Odoo Universal Unique Brands › Bodega 25 › Bodega 25/General</t>
        </is>
      </c>
      <c r="B853" s="5">
        <f>IF($I2="","",INDEX(Productos!$A:$A,$I2))</f>
        <v/>
      </c>
      <c r="C853" s="134" t="inlineStr">
        <is>
          <t>WG2211-W0051JN</t>
        </is>
      </c>
      <c r="D853" s="5">
        <f>IF($I2="","",INDEX(Productos!$B:$B,$I2))</f>
        <v/>
      </c>
      <c r="E853" s="5">
        <f>IF($I2="","",INDEX(Productos!$H:$H,$I2))</f>
        <v/>
      </c>
      <c r="F853" s="5">
        <f>IF($I2="","",INDEX(Productos!$I:$I,$I2))</f>
        <v/>
      </c>
      <c r="G853" s="135" t="n">
        <v>34</v>
      </c>
      <c r="H853" s="5">
        <f>IF($I2="","",INDEX(Productos!$AG:$AG,$I2))</f>
        <v/>
      </c>
      <c r="I853" s="136">
        <f>LET(_xlpm.r,Productos!$E$2:$E$1063,_xlpm.m,IFERROR(_xlfn.XMATCH(C853,_xlpm.r),IFERROR(_xlfn.XMATCH(VALUE(C853),_xlpm.r),0)),IF(_xlpm.m=0,"",_xlpm.m+1))</f>
        <v/>
      </c>
      <c r="J853" s="137" t="inlineStr">
        <is>
          <t>Odoo</t>
        </is>
      </c>
    </row>
    <row r="854">
      <c r="A854" s="5" t="inlineStr">
        <is>
          <t>Odoo Universal Unique Brands › Bodega 25 › Bodega 25/General</t>
        </is>
      </c>
      <c r="B854" s="5">
        <f>IF($I2="","",INDEX(Productos!$A:$A,$I2))</f>
        <v/>
      </c>
      <c r="C854" s="134" t="inlineStr">
        <is>
          <t>WG2211-W006BK</t>
        </is>
      </c>
      <c r="D854" s="5">
        <f>IF($I2="","",INDEX(Productos!$B:$B,$I2))</f>
        <v/>
      </c>
      <c r="E854" s="5">
        <f>IF($I2="","",INDEX(Productos!$H:$H,$I2))</f>
        <v/>
      </c>
      <c r="F854" s="5">
        <f>IF($I2="","",INDEX(Productos!$I:$I,$I2))</f>
        <v/>
      </c>
      <c r="G854" s="135" t="n">
        <v>2</v>
      </c>
      <c r="H854" s="5">
        <f>IF($I2="","",INDEX(Productos!$AG:$AG,$I2))</f>
        <v/>
      </c>
      <c r="I854" s="136">
        <f>LET(_xlpm.r,Productos!$E$2:$E$1063,_xlpm.m,IFERROR(_xlfn.XMATCH(C854,_xlpm.r),IFERROR(_xlfn.XMATCH(VALUE(C854),_xlpm.r),0)),IF(_xlpm.m=0,"",_xlpm.m+1))</f>
        <v/>
      </c>
      <c r="J854" s="137" t="inlineStr">
        <is>
          <t>Odoo</t>
        </is>
      </c>
    </row>
    <row r="855">
      <c r="A855" s="5" t="inlineStr">
        <is>
          <t>Odoo Universal Unique Brands › Bodega 25 › Bodega 25/General</t>
        </is>
      </c>
      <c r="B855" s="5">
        <f>IF($I2="","",INDEX(Productos!$A:$A,$I2))</f>
        <v/>
      </c>
      <c r="C855" s="134" t="inlineStr">
        <is>
          <t>WG2211-W006BR</t>
        </is>
      </c>
      <c r="D855" s="5">
        <f>IF($I2="","",INDEX(Productos!$B:$B,$I2))</f>
        <v/>
      </c>
      <c r="E855" s="5">
        <f>IF($I2="","",INDEX(Productos!$H:$H,$I2))</f>
        <v/>
      </c>
      <c r="F855" s="5">
        <f>IF($I2="","",INDEX(Productos!$I:$I,$I2))</f>
        <v/>
      </c>
      <c r="G855" s="135" t="n">
        <v>49</v>
      </c>
      <c r="H855" s="5">
        <f>IF($I2="","",INDEX(Productos!$AG:$AG,$I2))</f>
        <v/>
      </c>
      <c r="I855" s="136">
        <f>LET(_xlpm.r,Productos!$E$2:$E$1063,_xlpm.m,IFERROR(_xlfn.XMATCH(C855,_xlpm.r),IFERROR(_xlfn.XMATCH(VALUE(C855),_xlpm.r),0)),IF(_xlpm.m=0,"",_xlpm.m+1))</f>
        <v/>
      </c>
      <c r="J855" s="137" t="inlineStr">
        <is>
          <t>Odoo</t>
        </is>
      </c>
    </row>
    <row r="856">
      <c r="A856" s="5" t="inlineStr">
        <is>
          <t>Odoo Universal Unique Brands › Bodega 25 › Bodega 25/General</t>
        </is>
      </c>
      <c r="B856" s="5">
        <f>IF($I2="","",INDEX(Productos!$A:$A,$I2))</f>
        <v/>
      </c>
      <c r="C856" s="134" t="inlineStr">
        <is>
          <t>WG2211-W006GY</t>
        </is>
      </c>
      <c r="D856" s="5">
        <f>IF($I2="","",INDEX(Productos!$B:$B,$I2))</f>
        <v/>
      </c>
      <c r="E856" s="5">
        <f>IF($I2="","",INDEX(Productos!$H:$H,$I2))</f>
        <v/>
      </c>
      <c r="F856" s="5">
        <f>IF($I2="","",INDEX(Productos!$I:$I,$I2))</f>
        <v/>
      </c>
      <c r="G856" s="135" t="n">
        <v>22</v>
      </c>
      <c r="H856" s="5">
        <f>IF($I2="","",INDEX(Productos!$AG:$AG,$I2))</f>
        <v/>
      </c>
      <c r="I856" s="136">
        <f>LET(_xlpm.r,Productos!$E$2:$E$1063,_xlpm.m,IFERROR(_xlfn.XMATCH(C856,_xlpm.r),IFERROR(_xlfn.XMATCH(VALUE(C856),_xlpm.r),0)),IF(_xlpm.m=0,"",_xlpm.m+1))</f>
        <v/>
      </c>
      <c r="J856" s="137" t="inlineStr">
        <is>
          <t>Odoo</t>
        </is>
      </c>
    </row>
    <row r="857">
      <c r="A857" s="5" t="inlineStr">
        <is>
          <t>Odoo Universal Unique Brands › Bodega 25 › Bodega 25/General</t>
        </is>
      </c>
      <c r="B857" s="5">
        <f>IF($I2="","",INDEX(Productos!$A:$A,$I2))</f>
        <v/>
      </c>
      <c r="C857" s="134" t="inlineStr">
        <is>
          <t>WG2211-W006JN</t>
        </is>
      </c>
      <c r="D857" s="5">
        <f>IF($I2="","",INDEX(Productos!$B:$B,$I2))</f>
        <v/>
      </c>
      <c r="E857" s="5">
        <f>IF($I2="","",INDEX(Productos!$H:$H,$I2))</f>
        <v/>
      </c>
      <c r="F857" s="5">
        <f>IF($I2="","",INDEX(Productos!$I:$I,$I2))</f>
        <v/>
      </c>
      <c r="G857" s="135" t="n">
        <v>26</v>
      </c>
      <c r="H857" s="5">
        <f>IF($I2="","",INDEX(Productos!$AG:$AG,$I2))</f>
        <v/>
      </c>
      <c r="I857" s="136">
        <f>LET(_xlpm.r,Productos!$E$2:$E$1063,_xlpm.m,IFERROR(_xlfn.XMATCH(C857,_xlpm.r),IFERROR(_xlfn.XMATCH(VALUE(C857),_xlpm.r),0)),IF(_xlpm.m=0,"",_xlpm.m+1))</f>
        <v/>
      </c>
      <c r="J857" s="137" t="inlineStr">
        <is>
          <t>Odoo</t>
        </is>
      </c>
    </row>
    <row r="858">
      <c r="A858" s="5" t="inlineStr">
        <is>
          <t>Odoo Universal Unique Brands › Bodega 25 › Bodega 25/General</t>
        </is>
      </c>
      <c r="B858" s="5">
        <f>IF($I2="","",INDEX(Productos!$A:$A,$I2))</f>
        <v/>
      </c>
      <c r="C858" s="134" t="inlineStr">
        <is>
          <t>WG2212-8120BR</t>
        </is>
      </c>
      <c r="D858" s="5">
        <f>IF($I2="","",INDEX(Productos!$B:$B,$I2))</f>
        <v/>
      </c>
      <c r="E858" s="5">
        <f>IF($I2="","",INDEX(Productos!$H:$H,$I2))</f>
        <v/>
      </c>
      <c r="F858" s="5">
        <f>IF($I2="","",INDEX(Productos!$I:$I,$I2))</f>
        <v/>
      </c>
      <c r="G858" s="135" t="n">
        <v>29</v>
      </c>
      <c r="H858" s="5">
        <f>IF($I2="","",INDEX(Productos!$AG:$AG,$I2))</f>
        <v/>
      </c>
      <c r="I858" s="136">
        <f>LET(_xlpm.r,Productos!$E$2:$E$1063,_xlpm.m,IFERROR(_xlfn.XMATCH(C858,_xlpm.r),IFERROR(_xlfn.XMATCH(VALUE(C858),_xlpm.r),0)),IF(_xlpm.m=0,"",_xlpm.m+1))</f>
        <v/>
      </c>
      <c r="J858" s="137" t="inlineStr">
        <is>
          <t>Odoo</t>
        </is>
      </c>
    </row>
    <row r="859">
      <c r="A859" s="5" t="inlineStr">
        <is>
          <t>Odoo Universal Unique Brands › Bodega 25 › Bodega 25/General</t>
        </is>
      </c>
      <c r="B859" s="5">
        <f>IF($I2="","",INDEX(Productos!$A:$A,$I2))</f>
        <v/>
      </c>
      <c r="C859" s="134" t="inlineStr">
        <is>
          <t>WG2212-8136BR</t>
        </is>
      </c>
      <c r="D859" s="5">
        <f>IF($I2="","",INDEX(Productos!$B:$B,$I2))</f>
        <v/>
      </c>
      <c r="E859" s="5">
        <f>IF($I2="","",INDEX(Productos!$H:$H,$I2))</f>
        <v/>
      </c>
      <c r="F859" s="5">
        <f>IF($I2="","",INDEX(Productos!$I:$I,$I2))</f>
        <v/>
      </c>
      <c r="G859" s="135" t="n">
        <v>56</v>
      </c>
      <c r="H859" s="5">
        <f>IF($I2="","",INDEX(Productos!$AG:$AG,$I2))</f>
        <v/>
      </c>
      <c r="I859" s="136">
        <f>LET(_xlpm.r,Productos!$E$2:$E$1063,_xlpm.m,IFERROR(_xlfn.XMATCH(C859,_xlpm.r),IFERROR(_xlfn.XMATCH(VALUE(C859),_xlpm.r),0)),IF(_xlpm.m=0,"",_xlpm.m+1))</f>
        <v/>
      </c>
      <c r="J859" s="137" t="inlineStr">
        <is>
          <t>Odoo</t>
        </is>
      </c>
    </row>
    <row r="860">
      <c r="A860" s="5" t="inlineStr">
        <is>
          <t>Odoo Universal Unique Brands › Bodega 25 › Bodega 25/General</t>
        </is>
      </c>
      <c r="B860" s="5">
        <f>IF($I2="","",INDEX(Productos!$A:$A,$I2))</f>
        <v/>
      </c>
      <c r="C860" s="134" t="inlineStr">
        <is>
          <t>WG2212-8136JN</t>
        </is>
      </c>
      <c r="D860" s="5">
        <f>IF($I2="","",INDEX(Productos!$B:$B,$I2))</f>
        <v/>
      </c>
      <c r="E860" s="5">
        <f>IF($I2="","",INDEX(Productos!$H:$H,$I2))</f>
        <v/>
      </c>
      <c r="F860" s="5">
        <f>IF($I2="","",INDEX(Productos!$I:$I,$I2))</f>
        <v/>
      </c>
      <c r="G860" s="135" t="n">
        <v>41</v>
      </c>
      <c r="H860" s="5">
        <f>IF($I2="","",INDEX(Productos!$AG:$AG,$I2))</f>
        <v/>
      </c>
      <c r="I860" s="136">
        <f>LET(_xlpm.r,Productos!$E$2:$E$1063,_xlpm.m,IFERROR(_xlfn.XMATCH(C860,_xlpm.r),IFERROR(_xlfn.XMATCH(VALUE(C860),_xlpm.r),0)),IF(_xlpm.m=0,"",_xlpm.m+1))</f>
        <v/>
      </c>
      <c r="J860" s="137" t="inlineStr">
        <is>
          <t>Odoo</t>
        </is>
      </c>
    </row>
    <row r="861">
      <c r="A861" s="5" t="inlineStr">
        <is>
          <t>Odoo Universal Unique Brands › Bodega 25 › Bodega 25/General</t>
        </is>
      </c>
      <c r="B861" s="5">
        <f>IF($I2="","",INDEX(Productos!$A:$A,$I2))</f>
        <v/>
      </c>
      <c r="C861" s="134" t="inlineStr">
        <is>
          <t>WG2212-C012BK</t>
        </is>
      </c>
      <c r="D861" s="5">
        <f>IF($I2="","",INDEX(Productos!$B:$B,$I2))</f>
        <v/>
      </c>
      <c r="E861" s="5">
        <f>IF($I2="","",INDEX(Productos!$H:$H,$I2))</f>
        <v/>
      </c>
      <c r="F861" s="5">
        <f>IF($I2="","",INDEX(Productos!$I:$I,$I2))</f>
        <v/>
      </c>
      <c r="G861" s="135" t="n">
        <v>32</v>
      </c>
      <c r="H861" s="5">
        <f>IF($I2="","",INDEX(Productos!$AG:$AG,$I2))</f>
        <v/>
      </c>
      <c r="I861" s="136">
        <f>LET(_xlpm.r,Productos!$E$2:$E$1063,_xlpm.m,IFERROR(_xlfn.XMATCH(C861,_xlpm.r),IFERROR(_xlfn.XMATCH(VALUE(C861),_xlpm.r),0)),IF(_xlpm.m=0,"",_xlpm.m+1))</f>
        <v/>
      </c>
      <c r="J861" s="137" t="inlineStr">
        <is>
          <t>Odoo</t>
        </is>
      </c>
    </row>
    <row r="862">
      <c r="A862" s="5" t="inlineStr">
        <is>
          <t>Odoo Universal Unique Brands › Bodega 25 › Bodega 25/General</t>
        </is>
      </c>
      <c r="B862" s="5">
        <f>IF($I2="","",INDEX(Productos!$A:$A,$I2))</f>
        <v/>
      </c>
      <c r="C862" s="134" t="inlineStr">
        <is>
          <t>WG2212-C012BR</t>
        </is>
      </c>
      <c r="D862" s="5">
        <f>IF($I2="","",INDEX(Productos!$B:$B,$I2))</f>
        <v/>
      </c>
      <c r="E862" s="5">
        <f>IF($I2="","",INDEX(Productos!$H:$H,$I2))</f>
        <v/>
      </c>
      <c r="F862" s="5">
        <f>IF($I2="","",INDEX(Productos!$I:$I,$I2))</f>
        <v/>
      </c>
      <c r="G862" s="135" t="n">
        <v>10</v>
      </c>
      <c r="H862" s="5">
        <f>IF($I2="","",INDEX(Productos!$AG:$AG,$I2))</f>
        <v/>
      </c>
      <c r="I862" s="136">
        <f>LET(_xlpm.r,Productos!$E$2:$E$1063,_xlpm.m,IFERROR(_xlfn.XMATCH(C862,_xlpm.r),IFERROR(_xlfn.XMATCH(VALUE(C862),_xlpm.r),0)),IF(_xlpm.m=0,"",_xlpm.m+1))</f>
        <v/>
      </c>
      <c r="J862" s="137" t="inlineStr">
        <is>
          <t>Odoo</t>
        </is>
      </c>
    </row>
    <row r="863">
      <c r="A863" s="5" t="inlineStr">
        <is>
          <t>Odoo Universal Unique Brands › Bodega 25 › Bodega 25/General</t>
        </is>
      </c>
      <c r="B863" s="5">
        <f>IF($I2="","",INDEX(Productos!$A:$A,$I2))</f>
        <v/>
      </c>
      <c r="C863" s="134" t="inlineStr">
        <is>
          <t>WG2212-W0051BK</t>
        </is>
      </c>
      <c r="D863" s="5">
        <f>IF($I2="","",INDEX(Productos!$B:$B,$I2))</f>
        <v/>
      </c>
      <c r="E863" s="5">
        <f>IF($I2="","",INDEX(Productos!$H:$H,$I2))</f>
        <v/>
      </c>
      <c r="F863" s="5">
        <f>IF($I2="","",INDEX(Productos!$I:$I,$I2))</f>
        <v/>
      </c>
      <c r="G863" s="135" t="n">
        <v>22</v>
      </c>
      <c r="H863" s="5">
        <f>IF($I2="","",INDEX(Productos!$AG:$AG,$I2))</f>
        <v/>
      </c>
      <c r="I863" s="136">
        <f>LET(_xlpm.r,Productos!$E$2:$E$1063,_xlpm.m,IFERROR(_xlfn.XMATCH(C863,_xlpm.r),IFERROR(_xlfn.XMATCH(VALUE(C863),_xlpm.r),0)),IF(_xlpm.m=0,"",_xlpm.m+1))</f>
        <v/>
      </c>
      <c r="J863" s="137" t="inlineStr">
        <is>
          <t>Odoo</t>
        </is>
      </c>
    </row>
    <row r="864">
      <c r="A864" s="5" t="inlineStr">
        <is>
          <t>Odoo Universal Unique Brands › Bodega 25 › Bodega 25/General</t>
        </is>
      </c>
      <c r="B864" s="5">
        <f>IF($I2="","",INDEX(Productos!$A:$A,$I2))</f>
        <v/>
      </c>
      <c r="C864" s="134" t="inlineStr">
        <is>
          <t>WG2212-W0051JN</t>
        </is>
      </c>
      <c r="D864" s="5">
        <f>IF($I2="","",INDEX(Productos!$B:$B,$I2))</f>
        <v/>
      </c>
      <c r="E864" s="5">
        <f>IF($I2="","",INDEX(Productos!$H:$H,$I2))</f>
        <v/>
      </c>
      <c r="F864" s="5">
        <f>IF($I2="","",INDEX(Productos!$I:$I,$I2))</f>
        <v/>
      </c>
      <c r="G864" s="135" t="n">
        <v>4</v>
      </c>
      <c r="H864" s="5">
        <f>IF($I2="","",INDEX(Productos!$AG:$AG,$I2))</f>
        <v/>
      </c>
      <c r="I864" s="136">
        <f>LET(_xlpm.r,Productos!$E$2:$E$1063,_xlpm.m,IFERROR(_xlfn.XMATCH(C864,_xlpm.r),IFERROR(_xlfn.XMATCH(VALUE(C864),_xlpm.r),0)),IF(_xlpm.m=0,"",_xlpm.m+1))</f>
        <v/>
      </c>
      <c r="J864" s="137" t="inlineStr">
        <is>
          <t>Odoo</t>
        </is>
      </c>
    </row>
    <row r="865">
      <c r="A865" s="5" t="inlineStr">
        <is>
          <t>Odoo Universal Unique Brands › Bodega 25 › Bodega 25/General</t>
        </is>
      </c>
      <c r="B865" s="5">
        <f>IF($I2="","",INDEX(Productos!$A:$A,$I2))</f>
        <v/>
      </c>
      <c r="C865" s="134" t="inlineStr">
        <is>
          <t>WG2212-W012BK</t>
        </is>
      </c>
      <c r="D865" s="5">
        <f>IF($I2="","",INDEX(Productos!$B:$B,$I2))</f>
        <v/>
      </c>
      <c r="E865" s="5">
        <f>IF($I2="","",INDEX(Productos!$H:$H,$I2))</f>
        <v/>
      </c>
      <c r="F865" s="5">
        <f>IF($I2="","",INDEX(Productos!$I:$I,$I2))</f>
        <v/>
      </c>
      <c r="G865" s="135" t="n">
        <v>6</v>
      </c>
      <c r="H865" s="5">
        <f>IF($I2="","",INDEX(Productos!$AG:$AG,$I2))</f>
        <v/>
      </c>
      <c r="I865" s="136">
        <f>LET(_xlpm.r,Productos!$E$2:$E$1063,_xlpm.m,IFERROR(_xlfn.XMATCH(C865,_xlpm.r),IFERROR(_xlfn.XMATCH(VALUE(C865),_xlpm.r),0)),IF(_xlpm.m=0,"",_xlpm.m+1))</f>
        <v/>
      </c>
      <c r="J865" s="137" t="inlineStr">
        <is>
          <t>Odoo</t>
        </is>
      </c>
    </row>
    <row r="866">
      <c r="A866" s="5" t="inlineStr">
        <is>
          <t>Odoo Universal Unique Brands › Bodega 25 › Bodega 25/General</t>
        </is>
      </c>
      <c r="B866" s="5">
        <f>IF($I2="","",INDEX(Productos!$A:$A,$I2))</f>
        <v/>
      </c>
      <c r="C866" s="134" t="inlineStr">
        <is>
          <t>WG2212-W012BR</t>
        </is>
      </c>
      <c r="D866" s="5">
        <f>IF($I2="","",INDEX(Productos!$B:$B,$I2))</f>
        <v/>
      </c>
      <c r="E866" s="5">
        <f>IF($I2="","",INDEX(Productos!$H:$H,$I2))</f>
        <v/>
      </c>
      <c r="F866" s="5">
        <f>IF($I2="","",INDEX(Productos!$I:$I,$I2))</f>
        <v/>
      </c>
      <c r="G866" s="135" t="n">
        <v>30</v>
      </c>
      <c r="H866" s="5">
        <f>IF($I2="","",INDEX(Productos!$AG:$AG,$I2))</f>
        <v/>
      </c>
      <c r="I866" s="136">
        <f>LET(_xlpm.r,Productos!$E$2:$E$1063,_xlpm.m,IFERROR(_xlfn.XMATCH(C866,_xlpm.r),IFERROR(_xlfn.XMATCH(VALUE(C866),_xlpm.r),0)),IF(_xlpm.m=0,"",_xlpm.m+1))</f>
        <v/>
      </c>
      <c r="J866" s="137" t="inlineStr">
        <is>
          <t>Odoo</t>
        </is>
      </c>
    </row>
    <row r="867">
      <c r="A867" s="5" t="inlineStr">
        <is>
          <t>Odoo Universal Unique Brands › Bodega 25 › Bodega 25/General</t>
        </is>
      </c>
      <c r="B867" s="5">
        <f>IF($I2="","",INDEX(Productos!$A:$A,$I2))</f>
        <v/>
      </c>
      <c r="C867" s="134" t="inlineStr">
        <is>
          <t>WG2213-8120SBR</t>
        </is>
      </c>
      <c r="D867" s="5">
        <f>IF($I2="","",INDEX(Productos!$B:$B,$I2))</f>
        <v/>
      </c>
      <c r="E867" s="5">
        <f>IF($I2="","",INDEX(Productos!$H:$H,$I2))</f>
        <v/>
      </c>
      <c r="F867" s="5">
        <f>IF($I2="","",INDEX(Productos!$I:$I,$I2))</f>
        <v/>
      </c>
      <c r="G867" s="135" t="n">
        <v>145</v>
      </c>
      <c r="H867" s="5">
        <f>IF($I2="","",INDEX(Productos!$AG:$AG,$I2))</f>
        <v/>
      </c>
      <c r="I867" s="136">
        <f>LET(_xlpm.r,Productos!$E$2:$E$1063,_xlpm.m,IFERROR(_xlfn.XMATCH(C867,_xlpm.r),IFERROR(_xlfn.XMATCH(VALUE(C867),_xlpm.r),0)),IF(_xlpm.m=0,"",_xlpm.m+1))</f>
        <v/>
      </c>
      <c r="J867" s="137" t="inlineStr">
        <is>
          <t>Odoo</t>
        </is>
      </c>
    </row>
    <row r="868">
      <c r="A868" s="5" t="inlineStr">
        <is>
          <t>Odoo Universal Unique Brands › Bodega 25 › Bodega 25/General</t>
        </is>
      </c>
      <c r="B868" s="5">
        <f>IF($I2="","",INDEX(Productos!$A:$A,$I2))</f>
        <v/>
      </c>
      <c r="C868" s="134" t="inlineStr">
        <is>
          <t>WG2213-8120SCF</t>
        </is>
      </c>
      <c r="D868" s="5">
        <f>IF($I2="","",INDEX(Productos!$B:$B,$I2))</f>
        <v/>
      </c>
      <c r="E868" s="5">
        <f>IF($I2="","",INDEX(Productos!$H:$H,$I2))</f>
        <v/>
      </c>
      <c r="F868" s="5">
        <f>IF($I2="","",INDEX(Productos!$I:$I,$I2))</f>
        <v/>
      </c>
      <c r="G868" s="135" t="n">
        <v>52</v>
      </c>
      <c r="H868" s="5">
        <f>IF($I2="","",INDEX(Productos!$AG:$AG,$I2))</f>
        <v/>
      </c>
      <c r="I868" s="136">
        <f>LET(_xlpm.r,Productos!$E$2:$E$1063,_xlpm.m,IFERROR(_xlfn.XMATCH(C868,_xlpm.r),IFERROR(_xlfn.XMATCH(VALUE(C868),_xlpm.r),0)),IF(_xlpm.m=0,"",_xlpm.m+1))</f>
        <v/>
      </c>
      <c r="J868" s="137" t="inlineStr">
        <is>
          <t>Odoo</t>
        </is>
      </c>
    </row>
    <row r="869">
      <c r="A869" s="5" t="inlineStr">
        <is>
          <t>Odoo Universal Unique Brands › Bodega 25 › Bodega 25/General</t>
        </is>
      </c>
      <c r="B869" s="5">
        <f>IF($I2="","",INDEX(Productos!$A:$A,$I2))</f>
        <v/>
      </c>
      <c r="C869" s="134" t="inlineStr">
        <is>
          <t>WG2213-8120SDPK</t>
        </is>
      </c>
      <c r="D869" s="5">
        <f>IF($I2="","",INDEX(Productos!$B:$B,$I2))</f>
        <v/>
      </c>
      <c r="E869" s="5">
        <f>IF($I2="","",INDEX(Productos!$H:$H,$I2))</f>
        <v/>
      </c>
      <c r="F869" s="5">
        <f>IF($I2="","",INDEX(Productos!$I:$I,$I2))</f>
        <v/>
      </c>
      <c r="G869" s="135" t="n">
        <v>96</v>
      </c>
      <c r="H869" s="5">
        <f>IF($I2="","",INDEX(Productos!$AG:$AG,$I2))</f>
        <v/>
      </c>
      <c r="I869" s="136">
        <f>LET(_xlpm.r,Productos!$E$2:$E$1063,_xlpm.m,IFERROR(_xlfn.XMATCH(C869,_xlpm.r),IFERROR(_xlfn.XMATCH(VALUE(C869),_xlpm.r),0)),IF(_xlpm.m=0,"",_xlpm.m+1))</f>
        <v/>
      </c>
      <c r="J869" s="137" t="inlineStr">
        <is>
          <t>Odoo</t>
        </is>
      </c>
    </row>
    <row r="870">
      <c r="A870" s="5" t="inlineStr">
        <is>
          <t>Odoo Universal Unique Brands › Bodega 25 › Bodega 25/General</t>
        </is>
      </c>
      <c r="B870" s="5">
        <f>IF($I2="","",INDEX(Productos!$A:$A,$I2))</f>
        <v/>
      </c>
      <c r="C870" s="134" t="inlineStr">
        <is>
          <t>WG2213-8120SNY</t>
        </is>
      </c>
      <c r="D870" s="5">
        <f>IF($I2="","",INDEX(Productos!$B:$B,$I2))</f>
        <v/>
      </c>
      <c r="E870" s="5">
        <f>IF($I2="","",INDEX(Productos!$H:$H,$I2))</f>
        <v/>
      </c>
      <c r="F870" s="5">
        <f>IF($I2="","",INDEX(Productos!$I:$I,$I2))</f>
        <v/>
      </c>
      <c r="G870" s="135" t="n">
        <v>53</v>
      </c>
      <c r="H870" s="5">
        <f>IF($I2="","",INDEX(Productos!$AG:$AG,$I2))</f>
        <v/>
      </c>
      <c r="I870" s="136">
        <f>LET(_xlpm.r,Productos!$E$2:$E$1063,_xlpm.m,IFERROR(_xlfn.XMATCH(C870,_xlpm.r),IFERROR(_xlfn.XMATCH(VALUE(C870),_xlpm.r),0)),IF(_xlpm.m=0,"",_xlpm.m+1))</f>
        <v/>
      </c>
      <c r="J870" s="137" t="inlineStr">
        <is>
          <t>Odoo</t>
        </is>
      </c>
    </row>
    <row r="871">
      <c r="A871" s="5" t="inlineStr">
        <is>
          <t>Odoo Universal Unique Brands › Bodega 25 › Bodega 25/General</t>
        </is>
      </c>
      <c r="B871" s="5">
        <f>IF($I2="","",INDEX(Productos!$A:$A,$I2))</f>
        <v/>
      </c>
      <c r="C871" s="134" t="inlineStr">
        <is>
          <t>WG2213-8866SBK</t>
        </is>
      </c>
      <c r="D871" s="5">
        <f>IF($I2="","",INDEX(Productos!$B:$B,$I2))</f>
        <v/>
      </c>
      <c r="E871" s="5">
        <f>IF($I2="","",INDEX(Productos!$H:$H,$I2))</f>
        <v/>
      </c>
      <c r="F871" s="5">
        <f>IF($I2="","",INDEX(Productos!$I:$I,$I2))</f>
        <v/>
      </c>
      <c r="G871" s="135" t="n">
        <v>12</v>
      </c>
      <c r="H871" s="5">
        <f>IF($I2="","",INDEX(Productos!$AG:$AG,$I2))</f>
        <v/>
      </c>
      <c r="I871" s="136">
        <f>LET(_xlpm.r,Productos!$E$2:$E$1063,_xlpm.m,IFERROR(_xlfn.XMATCH(C871,_xlpm.r),IFERROR(_xlfn.XMATCH(VALUE(C871),_xlpm.r),0)),IF(_xlpm.m=0,"",_xlpm.m+1))</f>
        <v/>
      </c>
      <c r="J871" s="137" t="inlineStr">
        <is>
          <t>Odoo</t>
        </is>
      </c>
    </row>
    <row r="872">
      <c r="A872" s="5" t="inlineStr">
        <is>
          <t>Odoo Universal Unique Brands › Bodega 25 › Bodega 25/General</t>
        </is>
      </c>
      <c r="B872" s="5">
        <f>IF($I2="","",INDEX(Productos!$A:$A,$I2))</f>
        <v/>
      </c>
      <c r="C872" s="134" t="inlineStr">
        <is>
          <t>WG2213-8866SCF</t>
        </is>
      </c>
      <c r="D872" s="5">
        <f>IF($I2="","",INDEX(Productos!$B:$B,$I2))</f>
        <v/>
      </c>
      <c r="E872" s="5">
        <f>IF($I2="","",INDEX(Productos!$H:$H,$I2))</f>
        <v/>
      </c>
      <c r="F872" s="5">
        <f>IF($I2="","",INDEX(Productos!$I:$I,$I2))</f>
        <v/>
      </c>
      <c r="G872" s="135" t="n">
        <v>61</v>
      </c>
      <c r="H872" s="5">
        <f>IF($I2="","",INDEX(Productos!$AG:$AG,$I2))</f>
        <v/>
      </c>
      <c r="I872" s="136">
        <f>LET(_xlpm.r,Productos!$E$2:$E$1063,_xlpm.m,IFERROR(_xlfn.XMATCH(C872,_xlpm.r),IFERROR(_xlfn.XMATCH(VALUE(C872),_xlpm.r),0)),IF(_xlpm.m=0,"",_xlpm.m+1))</f>
        <v/>
      </c>
      <c r="J872" s="137" t="inlineStr">
        <is>
          <t>Odoo</t>
        </is>
      </c>
    </row>
    <row r="873">
      <c r="A873" s="5" t="inlineStr">
        <is>
          <t>Odoo Universal Unique Brands › Bodega 25 › Bodega 25/General</t>
        </is>
      </c>
      <c r="B873" s="5">
        <f>IF($I2="","",INDEX(Productos!$A:$A,$I2))</f>
        <v/>
      </c>
      <c r="C873" s="134" t="inlineStr">
        <is>
          <t>WG2213-8866SDPK</t>
        </is>
      </c>
      <c r="D873" s="5">
        <f>IF($I2="","",INDEX(Productos!$B:$B,$I2))</f>
        <v/>
      </c>
      <c r="E873" s="5">
        <f>IF($I2="","",INDEX(Productos!$H:$H,$I2))</f>
        <v/>
      </c>
      <c r="F873" s="5">
        <f>IF($I2="","",INDEX(Productos!$I:$I,$I2))</f>
        <v/>
      </c>
      <c r="G873" s="135" t="n">
        <v>6</v>
      </c>
      <c r="H873" s="5">
        <f>IF($I2="","",INDEX(Productos!$AG:$AG,$I2))</f>
        <v/>
      </c>
      <c r="I873" s="136">
        <f>LET(_xlpm.r,Productos!$E$2:$E$1063,_xlpm.m,IFERROR(_xlfn.XMATCH(C873,_xlpm.r),IFERROR(_xlfn.XMATCH(VALUE(C873),_xlpm.r),0)),IF(_xlpm.m=0,"",_xlpm.m+1))</f>
        <v/>
      </c>
      <c r="J873" s="137" t="inlineStr">
        <is>
          <t>Odoo</t>
        </is>
      </c>
    </row>
    <row r="874">
      <c r="A874" s="5" t="inlineStr">
        <is>
          <t>Odoo Universal Unique Brands › Bodega 25 › Bodega 25/General</t>
        </is>
      </c>
      <c r="B874" s="5">
        <f>IF($I2="","",INDEX(Productos!$A:$A,$I2))</f>
        <v/>
      </c>
      <c r="C874" s="134" t="inlineStr">
        <is>
          <t>WG2213-W0051CF</t>
        </is>
      </c>
      <c r="D874" s="5">
        <f>IF($I2="","",INDEX(Productos!$B:$B,$I2))</f>
        <v/>
      </c>
      <c r="E874" s="5">
        <f>IF($I2="","",INDEX(Productos!$H:$H,$I2))</f>
        <v/>
      </c>
      <c r="F874" s="5">
        <f>IF($I2="","",INDEX(Productos!$I:$I,$I2))</f>
        <v/>
      </c>
      <c r="G874" s="135" t="n">
        <v>5</v>
      </c>
      <c r="H874" s="5">
        <f>IF($I2="","",INDEX(Productos!$AG:$AG,$I2))</f>
        <v/>
      </c>
      <c r="I874" s="136">
        <f>LET(_xlpm.r,Productos!$E$2:$E$1063,_xlpm.m,IFERROR(_xlfn.XMATCH(C874,_xlpm.r),IFERROR(_xlfn.XMATCH(VALUE(C874),_xlpm.r),0)),IF(_xlpm.m=0,"",_xlpm.m+1))</f>
        <v/>
      </c>
      <c r="J874" s="137" t="inlineStr">
        <is>
          <t>Odoo</t>
        </is>
      </c>
    </row>
    <row r="875">
      <c r="A875" s="5" t="inlineStr">
        <is>
          <t>Odoo Universal Unique Brands › Bodega 25 › Bodega 25/General</t>
        </is>
      </c>
      <c r="B875" s="5">
        <f>IF($I2="","",INDEX(Productos!$A:$A,$I2))</f>
        <v/>
      </c>
      <c r="C875" s="134" t="inlineStr">
        <is>
          <t>WG2213-W006BK</t>
        </is>
      </c>
      <c r="D875" s="5">
        <f>IF($I2="","",INDEX(Productos!$B:$B,$I2))</f>
        <v/>
      </c>
      <c r="E875" s="5">
        <f>IF($I2="","",INDEX(Productos!$H:$H,$I2))</f>
        <v/>
      </c>
      <c r="F875" s="5">
        <f>IF($I2="","",INDEX(Productos!$I:$I,$I2))</f>
        <v/>
      </c>
      <c r="G875" s="135" t="n">
        <v>16</v>
      </c>
      <c r="H875" s="5">
        <f>IF($I2="","",INDEX(Productos!$AG:$AG,$I2))</f>
        <v/>
      </c>
      <c r="I875" s="136">
        <f>LET(_xlpm.r,Productos!$E$2:$E$1063,_xlpm.m,IFERROR(_xlfn.XMATCH(C875,_xlpm.r),IFERROR(_xlfn.XMATCH(VALUE(C875),_xlpm.r),0)),IF(_xlpm.m=0,"",_xlpm.m+1))</f>
        <v/>
      </c>
      <c r="J875" s="137" t="inlineStr">
        <is>
          <t>Odoo</t>
        </is>
      </c>
    </row>
    <row r="876">
      <c r="A876" s="5" t="inlineStr">
        <is>
          <t>Odoo Universal Unique Brands › Bodega 25 › Bodega 25/General</t>
        </is>
      </c>
      <c r="B876" s="5">
        <f>IF($I2="","",INDEX(Productos!$A:$A,$I2))</f>
        <v/>
      </c>
      <c r="C876" s="134" t="inlineStr">
        <is>
          <t>WG2213-W006BR</t>
        </is>
      </c>
      <c r="D876" s="5">
        <f>IF($I2="","",INDEX(Productos!$B:$B,$I2))</f>
        <v/>
      </c>
      <c r="E876" s="5">
        <f>IF($I2="","",INDEX(Productos!$H:$H,$I2))</f>
        <v/>
      </c>
      <c r="F876" s="5">
        <f>IF($I2="","",INDEX(Productos!$I:$I,$I2))</f>
        <v/>
      </c>
      <c r="G876" s="135" t="n">
        <v>42</v>
      </c>
      <c r="H876" s="5">
        <f>IF($I2="","",INDEX(Productos!$AG:$AG,$I2))</f>
        <v/>
      </c>
      <c r="I876" s="136">
        <f>LET(_xlpm.r,Productos!$E$2:$E$1063,_xlpm.m,IFERROR(_xlfn.XMATCH(C876,_xlpm.r),IFERROR(_xlfn.XMATCH(VALUE(C876),_xlpm.r),0)),IF(_xlpm.m=0,"",_xlpm.m+1))</f>
        <v/>
      </c>
      <c r="J876" s="137" t="inlineStr">
        <is>
          <t>Odoo</t>
        </is>
      </c>
    </row>
    <row r="877">
      <c r="A877" s="5" t="inlineStr">
        <is>
          <t>Odoo Universal Unique Brands › Bodega 25 › Bodega 25/General</t>
        </is>
      </c>
      <c r="B877" s="5">
        <f>IF($I2="","",INDEX(Productos!$A:$A,$I2))</f>
        <v/>
      </c>
      <c r="C877" s="134" t="inlineStr">
        <is>
          <t>WG2213-W006CF</t>
        </is>
      </c>
      <c r="D877" s="5">
        <f>IF($I2="","",INDEX(Productos!$B:$B,$I2))</f>
        <v/>
      </c>
      <c r="E877" s="5">
        <f>IF($I2="","",INDEX(Productos!$H:$H,$I2))</f>
        <v/>
      </c>
      <c r="F877" s="5">
        <f>IF($I2="","",INDEX(Productos!$I:$I,$I2))</f>
        <v/>
      </c>
      <c r="G877" s="135" t="n">
        <v>54</v>
      </c>
      <c r="H877" s="5">
        <f>IF($I2="","",INDEX(Productos!$AG:$AG,$I2))</f>
        <v/>
      </c>
      <c r="I877" s="136">
        <f>LET(_xlpm.r,Productos!$E$2:$E$1063,_xlpm.m,IFERROR(_xlfn.XMATCH(C877,_xlpm.r),IFERROR(_xlfn.XMATCH(VALUE(C877),_xlpm.r),0)),IF(_xlpm.m=0,"",_xlpm.m+1))</f>
        <v/>
      </c>
      <c r="J877" s="137" t="inlineStr">
        <is>
          <t>Odoo</t>
        </is>
      </c>
    </row>
    <row r="878">
      <c r="A878" s="5" t="inlineStr">
        <is>
          <t>Odoo Universal Unique Brands › Bodega 25 › Bodega 25/General</t>
        </is>
      </c>
      <c r="B878" s="5">
        <f>IF($I2="","",INDEX(Productos!$A:$A,$I2))</f>
        <v/>
      </c>
      <c r="C878" s="134" t="inlineStr">
        <is>
          <t>WG2213-W006DPK</t>
        </is>
      </c>
      <c r="D878" s="5">
        <f>IF($I2="","",INDEX(Productos!$B:$B,$I2))</f>
        <v/>
      </c>
      <c r="E878" s="5">
        <f>IF($I2="","",INDEX(Productos!$H:$H,$I2))</f>
        <v/>
      </c>
      <c r="F878" s="5">
        <f>IF($I2="","",INDEX(Productos!$I:$I,$I2))</f>
        <v/>
      </c>
      <c r="G878" s="135" t="n">
        <v>5</v>
      </c>
      <c r="H878" s="5">
        <f>IF($I2="","",INDEX(Productos!$AG:$AG,$I2))</f>
        <v/>
      </c>
      <c r="I878" s="136">
        <f>LET(_xlpm.r,Productos!$E$2:$E$1063,_xlpm.m,IFERROR(_xlfn.XMATCH(C878,_xlpm.r),IFERROR(_xlfn.XMATCH(VALUE(C878),_xlpm.r),0)),IF(_xlpm.m=0,"",_xlpm.m+1))</f>
        <v/>
      </c>
      <c r="J878" s="137" t="inlineStr">
        <is>
          <t>Odoo</t>
        </is>
      </c>
    </row>
    <row r="879">
      <c r="A879" s="5" t="inlineStr">
        <is>
          <t>Odoo Universal Unique Brands › Bodega 25 › Bodega 25/General</t>
        </is>
      </c>
      <c r="B879" s="5">
        <f>IF($I2="","",INDEX(Productos!$A:$A,$I2))</f>
        <v/>
      </c>
      <c r="C879" s="134" t="inlineStr">
        <is>
          <t>WG2213-W006NY</t>
        </is>
      </c>
      <c r="D879" s="5">
        <f>IF($I2="","",INDEX(Productos!$B:$B,$I2))</f>
        <v/>
      </c>
      <c r="E879" s="5">
        <f>IF($I2="","",INDEX(Productos!$H:$H,$I2))</f>
        <v/>
      </c>
      <c r="F879" s="5">
        <f>IF($I2="","",INDEX(Productos!$I:$I,$I2))</f>
        <v/>
      </c>
      <c r="G879" s="135" t="n">
        <v>22</v>
      </c>
      <c r="H879" s="5">
        <f>IF($I2="","",INDEX(Productos!$AG:$AG,$I2))</f>
        <v/>
      </c>
      <c r="I879" s="136">
        <f>LET(_xlpm.r,Productos!$E$2:$E$1063,_xlpm.m,IFERROR(_xlfn.XMATCH(C879,_xlpm.r),IFERROR(_xlfn.XMATCH(VALUE(C879),_xlpm.r),0)),IF(_xlpm.m=0,"",_xlpm.m+1))</f>
        <v/>
      </c>
      <c r="J879" s="137" t="inlineStr">
        <is>
          <t>Odoo</t>
        </is>
      </c>
    </row>
    <row r="880">
      <c r="A880" s="5" t="inlineStr">
        <is>
          <t>Odoo Universal Unique Brands › Bodega 25 › Bodega 25/General</t>
        </is>
      </c>
      <c r="B880" s="5">
        <f>IF($I2="","",INDEX(Productos!$A:$A,$I2))</f>
        <v/>
      </c>
      <c r="C880" s="134" t="inlineStr">
        <is>
          <t>WG2214-210BK</t>
        </is>
      </c>
      <c r="D880" s="5">
        <f>IF($I2="","",INDEX(Productos!$B:$B,$I2))</f>
        <v/>
      </c>
      <c r="E880" s="5">
        <f>IF($I2="","",INDEX(Productos!$H:$H,$I2))</f>
        <v/>
      </c>
      <c r="F880" s="5">
        <f>IF($I2="","",INDEX(Productos!$I:$I,$I2))</f>
        <v/>
      </c>
      <c r="G880" s="135" t="n">
        <v>6</v>
      </c>
      <c r="H880" s="5">
        <f>IF($I2="","",INDEX(Productos!$AG:$AG,$I2))</f>
        <v/>
      </c>
      <c r="I880" s="136">
        <f>LET(_xlpm.r,Productos!$E$2:$E$1063,_xlpm.m,IFERROR(_xlfn.XMATCH(C880,_xlpm.r),IFERROR(_xlfn.XMATCH(VALUE(C880),_xlpm.r),0)),IF(_xlpm.m=0,"",_xlpm.m+1))</f>
        <v/>
      </c>
      <c r="J880" s="137" t="inlineStr">
        <is>
          <t>Odoo</t>
        </is>
      </c>
    </row>
    <row r="881">
      <c r="A881" s="5" t="inlineStr">
        <is>
          <t>Odoo Universal Unique Brands › Bodega 25 › Bodega 25/General</t>
        </is>
      </c>
      <c r="B881" s="5">
        <f>IF($I2="","",INDEX(Productos!$A:$A,$I2))</f>
        <v/>
      </c>
      <c r="C881" s="134" t="inlineStr">
        <is>
          <t>WG224-W070BK</t>
        </is>
      </c>
      <c r="D881" s="5">
        <f>IF($I2="","",INDEX(Productos!$B:$B,$I2))</f>
        <v/>
      </c>
      <c r="E881" s="5">
        <f>IF($I2="","",INDEX(Productos!$H:$H,$I2))</f>
        <v/>
      </c>
      <c r="F881" s="5">
        <f>IF($I2="","",INDEX(Productos!$I:$I,$I2))</f>
        <v/>
      </c>
      <c r="G881" s="135" t="n">
        <v>2</v>
      </c>
      <c r="H881" s="5">
        <f>IF($I2="","",INDEX(Productos!$AG:$AG,$I2))</f>
        <v/>
      </c>
      <c r="I881" s="136">
        <f>LET(_xlpm.r,Productos!$E$2:$E$1063,_xlpm.m,IFERROR(_xlfn.XMATCH(C881,_xlpm.r),IFERROR(_xlfn.XMATCH(VALUE(C881),_xlpm.r),0)),IF(_xlpm.m=0,"",_xlpm.m+1))</f>
        <v/>
      </c>
      <c r="J881" s="137" t="inlineStr">
        <is>
          <t>Odoo</t>
        </is>
      </c>
    </row>
    <row r="882">
      <c r="A882" s="5" t="inlineStr">
        <is>
          <t>Odoo Universal Unique Brands › Bodega 25 › Bodega 25/General</t>
        </is>
      </c>
      <c r="B882" s="5">
        <f>IF($I2="","",INDEX(Productos!$A:$A,$I2))</f>
        <v/>
      </c>
      <c r="C882" s="134" t="inlineStr">
        <is>
          <t>WG224-W070TN</t>
        </is>
      </c>
      <c r="D882" s="5">
        <f>IF($I2="","",INDEX(Productos!$B:$B,$I2))</f>
        <v/>
      </c>
      <c r="E882" s="5">
        <f>IF($I2="","",INDEX(Productos!$H:$H,$I2))</f>
        <v/>
      </c>
      <c r="F882" s="5">
        <f>IF($I2="","",INDEX(Productos!$I:$I,$I2))</f>
        <v/>
      </c>
      <c r="G882" s="135" t="n">
        <v>7</v>
      </c>
      <c r="H882" s="5">
        <f>IF($I2="","",INDEX(Productos!$AG:$AG,$I2))</f>
        <v/>
      </c>
      <c r="I882" s="136">
        <f>LET(_xlpm.r,Productos!$E$2:$E$1063,_xlpm.m,IFERROR(_xlfn.XMATCH(C882,_xlpm.r),IFERROR(_xlfn.XMATCH(VALUE(C882),_xlpm.r),0)),IF(_xlpm.m=0,"",_xlpm.m+1))</f>
        <v/>
      </c>
      <c r="J882" s="137" t="inlineStr">
        <is>
          <t>Odoo</t>
        </is>
      </c>
    </row>
    <row r="883">
      <c r="A883" s="5" t="inlineStr">
        <is>
          <t>Odoo Universal Unique Brands › Bodega 25 › Bodega 25/General</t>
        </is>
      </c>
      <c r="B883" s="5">
        <f>IF($I2="","",INDEX(Productos!$A:$A,$I2))</f>
        <v/>
      </c>
      <c r="C883" s="134" t="inlineStr">
        <is>
          <t>WG225-8120TN</t>
        </is>
      </c>
      <c r="D883" s="5">
        <f>IF($I2="","",INDEX(Productos!$B:$B,$I2))</f>
        <v/>
      </c>
      <c r="E883" s="5">
        <f>IF($I2="","",INDEX(Productos!$H:$H,$I2))</f>
        <v/>
      </c>
      <c r="F883" s="5">
        <f>IF($I2="","",INDEX(Productos!$I:$I,$I2))</f>
        <v/>
      </c>
      <c r="G883" s="135" t="n">
        <v>14</v>
      </c>
      <c r="H883" s="5">
        <f>IF($I2="","",INDEX(Productos!$AG:$AG,$I2))</f>
        <v/>
      </c>
      <c r="I883" s="136">
        <f>LET(_xlpm.r,Productos!$E$2:$E$1063,_xlpm.m,IFERROR(_xlfn.XMATCH(C883,_xlpm.r),IFERROR(_xlfn.XMATCH(VALUE(C883),_xlpm.r),0)),IF(_xlpm.m=0,"",_xlpm.m+1))</f>
        <v/>
      </c>
      <c r="J883" s="137" t="inlineStr">
        <is>
          <t>Odoo</t>
        </is>
      </c>
    </row>
    <row r="884">
      <c r="A884" s="5" t="inlineStr">
        <is>
          <t>Odoo Universal Unique Brands › Bodega 25 › Bodega 25/General</t>
        </is>
      </c>
      <c r="B884" s="5">
        <f>IF($I2="","",INDEX(Productos!$A:$A,$I2))</f>
        <v/>
      </c>
      <c r="C884" s="134" t="inlineStr">
        <is>
          <t>WG226-8120BG</t>
        </is>
      </c>
      <c r="D884" s="5">
        <f>IF($I2="","",INDEX(Productos!$B:$B,$I2))</f>
        <v/>
      </c>
      <c r="E884" s="5">
        <f>IF($I2="","",INDEX(Productos!$H:$H,$I2))</f>
        <v/>
      </c>
      <c r="F884" s="5">
        <f>IF($I2="","",INDEX(Productos!$I:$I,$I2))</f>
        <v/>
      </c>
      <c r="G884" s="135" t="n">
        <v>55</v>
      </c>
      <c r="H884" s="5">
        <f>IF($I2="","",INDEX(Productos!$AG:$AG,$I2))</f>
        <v/>
      </c>
      <c r="I884" s="136">
        <f>LET(_xlpm.r,Productos!$E$2:$E$1063,_xlpm.m,IFERROR(_xlfn.XMATCH(C884,_xlpm.r),IFERROR(_xlfn.XMATCH(VALUE(C884),_xlpm.r),0)),IF(_xlpm.m=0,"",_xlpm.m+1))</f>
        <v/>
      </c>
      <c r="J884" s="137" t="inlineStr">
        <is>
          <t>Odoo</t>
        </is>
      </c>
    </row>
    <row r="885">
      <c r="A885" s="5" t="inlineStr">
        <is>
          <t>Odoo Universal Unique Brands › Bodega 25 › Bodega 25/General</t>
        </is>
      </c>
      <c r="B885" s="5">
        <f>IF($I2="","",INDEX(Productos!$A:$A,$I2))</f>
        <v/>
      </c>
      <c r="C885" s="134" t="inlineStr">
        <is>
          <t>WG226-8120BK</t>
        </is>
      </c>
      <c r="D885" s="5">
        <f>IF($I2="","",INDEX(Productos!$B:$B,$I2))</f>
        <v/>
      </c>
      <c r="E885" s="5">
        <f>IF($I2="","",INDEX(Productos!$H:$H,$I2))</f>
        <v/>
      </c>
      <c r="F885" s="5">
        <f>IF($I2="","",INDEX(Productos!$I:$I,$I2))</f>
        <v/>
      </c>
      <c r="G885" s="135" t="n">
        <v>189</v>
      </c>
      <c r="H885" s="5">
        <f>IF($I2="","",INDEX(Productos!$AG:$AG,$I2))</f>
        <v/>
      </c>
      <c r="I885" s="136">
        <f>LET(_xlpm.r,Productos!$E$2:$E$1063,_xlpm.m,IFERROR(_xlfn.XMATCH(C885,_xlpm.r),IFERROR(_xlfn.XMATCH(VALUE(C885),_xlpm.r),0)),IF(_xlpm.m=0,"",_xlpm.m+1))</f>
        <v/>
      </c>
      <c r="J885" s="137" t="inlineStr">
        <is>
          <t>Odoo</t>
        </is>
      </c>
    </row>
    <row r="886">
      <c r="A886" s="5" t="inlineStr">
        <is>
          <t>Odoo Universal Unique Brands › Bodega 25 › Bodega 25/General</t>
        </is>
      </c>
      <c r="B886" s="5">
        <f>IF($I2="","",INDEX(Productos!$A:$A,$I2))</f>
        <v/>
      </c>
      <c r="C886" s="134" t="inlineStr">
        <is>
          <t>WG226-8120DPK</t>
        </is>
      </c>
      <c r="D886" s="5">
        <f>IF($I2="","",INDEX(Productos!$B:$B,$I2))</f>
        <v/>
      </c>
      <c r="E886" s="5">
        <f>IF($I2="","",INDEX(Productos!$H:$H,$I2))</f>
        <v/>
      </c>
      <c r="F886" s="5">
        <f>IF($I2="","",INDEX(Productos!$I:$I,$I2))</f>
        <v/>
      </c>
      <c r="G886" s="135" t="n">
        <v>17</v>
      </c>
      <c r="H886" s="5">
        <f>IF($I2="","",INDEX(Productos!$AG:$AG,$I2))</f>
        <v/>
      </c>
      <c r="I886" s="136">
        <f>LET(_xlpm.r,Productos!$E$2:$E$1063,_xlpm.m,IFERROR(_xlfn.XMATCH(C886,_xlpm.r),IFERROR(_xlfn.XMATCH(VALUE(C886),_xlpm.r),0)),IF(_xlpm.m=0,"",_xlpm.m+1))</f>
        <v/>
      </c>
      <c r="J886" s="137" t="inlineStr">
        <is>
          <t>Odoo</t>
        </is>
      </c>
    </row>
    <row r="887">
      <c r="A887" s="5" t="inlineStr">
        <is>
          <t>Odoo Universal Unique Brands › Bodega 25 › Bodega 25/General</t>
        </is>
      </c>
      <c r="B887" s="5">
        <f>IF($I2="","",INDEX(Productos!$A:$A,$I2))</f>
        <v/>
      </c>
      <c r="C887" s="134" t="inlineStr">
        <is>
          <t>WG226-8120TN</t>
        </is>
      </c>
      <c r="D887" s="5">
        <f>IF($I2="","",INDEX(Productos!$B:$B,$I2))</f>
        <v/>
      </c>
      <c r="E887" s="5">
        <f>IF($I2="","",INDEX(Productos!$H:$H,$I2))</f>
        <v/>
      </c>
      <c r="F887" s="5">
        <f>IF($I2="","",INDEX(Productos!$I:$I,$I2))</f>
        <v/>
      </c>
      <c r="G887" s="135" t="n">
        <v>7</v>
      </c>
      <c r="H887" s="5">
        <f>IF($I2="","",INDEX(Productos!$AG:$AG,$I2))</f>
        <v/>
      </c>
      <c r="I887" s="136">
        <f>LET(_xlpm.r,Productos!$E$2:$E$1063,_xlpm.m,IFERROR(_xlfn.XMATCH(C887,_xlpm.r),IFERROR(_xlfn.XMATCH(VALUE(C887),_xlpm.r),0)),IF(_xlpm.m=0,"",_xlpm.m+1))</f>
        <v/>
      </c>
      <c r="J887" s="137" t="inlineStr">
        <is>
          <t>Odoo</t>
        </is>
      </c>
    </row>
    <row r="888">
      <c r="A888" s="5" t="inlineStr">
        <is>
          <t>Odoo Universal Unique Brands › Bodega 25 › Bodega 25/General</t>
        </is>
      </c>
      <c r="B888" s="5">
        <f>IF($I2="","",INDEX(Productos!$A:$A,$I2))</f>
        <v/>
      </c>
      <c r="C888" s="134" t="inlineStr">
        <is>
          <t>WG226-8605TN</t>
        </is>
      </c>
      <c r="D888" s="5">
        <f>IF($I2="","",INDEX(Productos!$B:$B,$I2))</f>
        <v/>
      </c>
      <c r="E888" s="5">
        <f>IF($I2="","",INDEX(Productos!$H:$H,$I2))</f>
        <v/>
      </c>
      <c r="F888" s="5">
        <f>IF($I2="","",INDEX(Productos!$I:$I,$I2))</f>
        <v/>
      </c>
      <c r="G888" s="135" t="n">
        <v>2</v>
      </c>
      <c r="H888" s="5">
        <f>IF($I2="","",INDEX(Productos!$AG:$AG,$I2))</f>
        <v/>
      </c>
      <c r="I888" s="136">
        <f>LET(_xlpm.r,Productos!$E$2:$E$1063,_xlpm.m,IFERROR(_xlfn.XMATCH(C888,_xlpm.r),IFERROR(_xlfn.XMATCH(VALUE(C888),_xlpm.r),0)),IF(_xlpm.m=0,"",_xlpm.m+1))</f>
        <v/>
      </c>
      <c r="J888" s="137" t="inlineStr">
        <is>
          <t>Odoo</t>
        </is>
      </c>
    </row>
    <row r="889">
      <c r="A889" s="5" t="inlineStr">
        <is>
          <t>Odoo Universal Unique Brands › Bodega 25 › Bodega 25/General</t>
        </is>
      </c>
      <c r="B889" s="5">
        <f>IF($I2="","",INDEX(Productos!$A:$A,$I2))</f>
        <v/>
      </c>
      <c r="C889" s="134" t="inlineStr">
        <is>
          <t>WG226-W069BG</t>
        </is>
      </c>
      <c r="D889" s="5">
        <f>IF($I2="","",INDEX(Productos!$B:$B,$I2))</f>
        <v/>
      </c>
      <c r="E889" s="5">
        <f>IF($I2="","",INDEX(Productos!$H:$H,$I2))</f>
        <v/>
      </c>
      <c r="F889" s="5">
        <f>IF($I2="","",INDEX(Productos!$I:$I,$I2))</f>
        <v/>
      </c>
      <c r="G889" s="135" t="n">
        <v>50</v>
      </c>
      <c r="H889" s="5">
        <f>IF($I2="","",INDEX(Productos!$AG:$AG,$I2))</f>
        <v/>
      </c>
      <c r="I889" s="136">
        <f>LET(_xlpm.r,Productos!$E$2:$E$1063,_xlpm.m,IFERROR(_xlfn.XMATCH(C889,_xlpm.r),IFERROR(_xlfn.XMATCH(VALUE(C889),_xlpm.r),0)),IF(_xlpm.m=0,"",_xlpm.m+1))</f>
        <v/>
      </c>
      <c r="J889" s="137" t="inlineStr">
        <is>
          <t>Odoo</t>
        </is>
      </c>
    </row>
    <row r="890">
      <c r="A890" s="5" t="inlineStr">
        <is>
          <t>Odoo Universal Unique Brands › Bodega 25 › Bodega 25/General</t>
        </is>
      </c>
      <c r="B890" s="5">
        <f>IF($I2="","",INDEX(Productos!$A:$A,$I2))</f>
        <v/>
      </c>
      <c r="C890" s="134" t="inlineStr">
        <is>
          <t>WG226-W069BR</t>
        </is>
      </c>
      <c r="D890" s="5">
        <f>IF($I2="","",INDEX(Productos!$B:$B,$I2))</f>
        <v/>
      </c>
      <c r="E890" s="5">
        <f>IF($I2="","",INDEX(Productos!$H:$H,$I2))</f>
        <v/>
      </c>
      <c r="F890" s="5">
        <f>IF($I2="","",INDEX(Productos!$I:$I,$I2))</f>
        <v/>
      </c>
      <c r="G890" s="135" t="n">
        <v>58</v>
      </c>
      <c r="H890" s="5">
        <f>IF($I2="","",INDEX(Productos!$AG:$AG,$I2))</f>
        <v/>
      </c>
      <c r="I890" s="136">
        <f>LET(_xlpm.r,Productos!$E$2:$E$1063,_xlpm.m,IFERROR(_xlfn.XMATCH(C890,_xlpm.r),IFERROR(_xlfn.XMATCH(VALUE(C890),_xlpm.r),0)),IF(_xlpm.m=0,"",_xlpm.m+1))</f>
        <v/>
      </c>
      <c r="J890" s="137" t="inlineStr">
        <is>
          <t>Odoo</t>
        </is>
      </c>
    </row>
    <row r="891">
      <c r="A891" s="5" t="inlineStr">
        <is>
          <t>Odoo Universal Unique Brands › Bodega 25 › Bodega 25/General</t>
        </is>
      </c>
      <c r="B891" s="5">
        <f>IF($I2="","",INDEX(Productos!$A:$A,$I2))</f>
        <v/>
      </c>
      <c r="C891" s="134" t="inlineStr">
        <is>
          <t>WG226-W069DPK</t>
        </is>
      </c>
      <c r="D891" s="5">
        <f>IF($I2="","",INDEX(Productos!$B:$B,$I2))</f>
        <v/>
      </c>
      <c r="E891" s="5">
        <f>IF($I2="","",INDEX(Productos!$H:$H,$I2))</f>
        <v/>
      </c>
      <c r="F891" s="5">
        <f>IF($I2="","",INDEX(Productos!$I:$I,$I2))</f>
        <v/>
      </c>
      <c r="G891" s="135" t="n">
        <v>6</v>
      </c>
      <c r="H891" s="5">
        <f>IF($I2="","",INDEX(Productos!$AG:$AG,$I2))</f>
        <v/>
      </c>
      <c r="I891" s="136">
        <f>LET(_xlpm.r,Productos!$E$2:$E$1063,_xlpm.m,IFERROR(_xlfn.XMATCH(C891,_xlpm.r),IFERROR(_xlfn.XMATCH(VALUE(C891),_xlpm.r),0)),IF(_xlpm.m=0,"",_xlpm.m+1))</f>
        <v/>
      </c>
      <c r="J891" s="137" t="inlineStr">
        <is>
          <t>Odoo</t>
        </is>
      </c>
    </row>
    <row r="892">
      <c r="A892" s="5" t="inlineStr">
        <is>
          <t>Odoo Universal Unique Brands › Bodega 25 › Bodega 25/General</t>
        </is>
      </c>
      <c r="B892" s="5">
        <f>IF($I2="","",INDEX(Productos!$A:$A,$I2))</f>
        <v/>
      </c>
      <c r="C892" s="134" t="inlineStr">
        <is>
          <t>WG226-W069TN</t>
        </is>
      </c>
      <c r="D892" s="5">
        <f>IF($I2="","",INDEX(Productos!$B:$B,$I2))</f>
        <v/>
      </c>
      <c r="E892" s="5">
        <f>IF($I2="","",INDEX(Productos!$H:$H,$I2))</f>
        <v/>
      </c>
      <c r="F892" s="5">
        <f>IF($I2="","",INDEX(Productos!$I:$I,$I2))</f>
        <v/>
      </c>
      <c r="G892" s="135" t="n">
        <v>86</v>
      </c>
      <c r="H892" s="5">
        <f>IF($I2="","",INDEX(Productos!$AG:$AG,$I2))</f>
        <v/>
      </c>
      <c r="I892" s="136">
        <f>LET(_xlpm.r,Productos!$E$2:$E$1063,_xlpm.m,IFERROR(_xlfn.XMATCH(C892,_xlpm.r),IFERROR(_xlfn.XMATCH(VALUE(C892),_xlpm.r),0)),IF(_xlpm.m=0,"",_xlpm.m+1))</f>
        <v/>
      </c>
      <c r="J892" s="137" t="inlineStr">
        <is>
          <t>Odoo</t>
        </is>
      </c>
    </row>
    <row r="893">
      <c r="A893" s="5" t="inlineStr">
        <is>
          <t>Odoo Universal Unique Brands › Bodega 25 › Bodega 25/General</t>
        </is>
      </c>
      <c r="B893" s="5">
        <f>IF($I2="","",INDEX(Productos!$A:$A,$I2))</f>
        <v/>
      </c>
      <c r="C893" s="134" t="inlineStr">
        <is>
          <t>WG226G-8119BK</t>
        </is>
      </c>
      <c r="D893" s="5">
        <f>IF($I2="","",INDEX(Productos!$B:$B,$I2))</f>
        <v/>
      </c>
      <c r="E893" s="5">
        <f>IF($I2="","",INDEX(Productos!$H:$H,$I2))</f>
        <v/>
      </c>
      <c r="F893" s="5">
        <f>IF($I2="","",INDEX(Productos!$I:$I,$I2))</f>
        <v/>
      </c>
      <c r="G893" s="135" t="n">
        <v>8</v>
      </c>
      <c r="H893" s="5">
        <f>IF($I2="","",INDEX(Productos!$AG:$AG,$I2))</f>
        <v/>
      </c>
      <c r="I893" s="136">
        <f>LET(_xlpm.r,Productos!$E$2:$E$1063,_xlpm.m,IFERROR(_xlfn.XMATCH(C893,_xlpm.r),IFERROR(_xlfn.XMATCH(VALUE(C893),_xlpm.r),0)),IF(_xlpm.m=0,"",_xlpm.m+1))</f>
        <v/>
      </c>
      <c r="J893" s="137" t="inlineStr">
        <is>
          <t>Odoo</t>
        </is>
      </c>
    </row>
    <row r="894">
      <c r="A894" s="5" t="inlineStr">
        <is>
          <t>Odoo Universal Unique Brands › Bodega 25 › Bodega 25/General</t>
        </is>
      </c>
      <c r="B894" s="5">
        <f>IF($I2="","",INDEX(Productos!$A:$A,$I2))</f>
        <v/>
      </c>
      <c r="C894" s="134" t="inlineStr">
        <is>
          <t>WG226G-8119BR</t>
        </is>
      </c>
      <c r="D894" s="5">
        <f>IF($I2="","",INDEX(Productos!$B:$B,$I2))</f>
        <v/>
      </c>
      <c r="E894" s="5">
        <f>IF($I2="","",INDEX(Productos!$H:$H,$I2))</f>
        <v/>
      </c>
      <c r="F894" s="5">
        <f>IF($I2="","",INDEX(Productos!$I:$I,$I2))</f>
        <v/>
      </c>
      <c r="G894" s="135" t="n">
        <v>40</v>
      </c>
      <c r="H894" s="5">
        <f>IF($I2="","",INDEX(Productos!$AG:$AG,$I2))</f>
        <v/>
      </c>
      <c r="I894" s="136">
        <f>LET(_xlpm.r,Productos!$E$2:$E$1063,_xlpm.m,IFERROR(_xlfn.XMATCH(C894,_xlpm.r),IFERROR(_xlfn.XMATCH(VALUE(C894),_xlpm.r),0)),IF(_xlpm.m=0,"",_xlpm.m+1))</f>
        <v/>
      </c>
      <c r="J894" s="137" t="inlineStr">
        <is>
          <t>Odoo</t>
        </is>
      </c>
    </row>
    <row r="895">
      <c r="A895" s="5" t="inlineStr">
        <is>
          <t>Odoo Universal Unique Brands › Bodega 25 › Bodega 25/General</t>
        </is>
      </c>
      <c r="B895" s="5">
        <f>IF($I2="","",INDEX(Productos!$A:$A,$I2))</f>
        <v/>
      </c>
      <c r="C895" s="134" t="inlineStr">
        <is>
          <t>WG226G-8119DPK</t>
        </is>
      </c>
      <c r="D895" s="5">
        <f>IF($I2="","",INDEX(Productos!$B:$B,$I2))</f>
        <v/>
      </c>
      <c r="E895" s="5">
        <f>IF($I2="","",INDEX(Productos!$H:$H,$I2))</f>
        <v/>
      </c>
      <c r="F895" s="5">
        <f>IF($I2="","",INDEX(Productos!$I:$I,$I2))</f>
        <v/>
      </c>
      <c r="G895" s="135" t="n">
        <v>34</v>
      </c>
      <c r="H895" s="5">
        <f>IF($I2="","",INDEX(Productos!$AG:$AG,$I2))</f>
        <v/>
      </c>
      <c r="I895" s="136">
        <f>LET(_xlpm.r,Productos!$E$2:$E$1063,_xlpm.m,IFERROR(_xlfn.XMATCH(C895,_xlpm.r),IFERROR(_xlfn.XMATCH(VALUE(C895),_xlpm.r),0)),IF(_xlpm.m=0,"",_xlpm.m+1))</f>
        <v/>
      </c>
      <c r="J895" s="137" t="inlineStr">
        <is>
          <t>Odoo</t>
        </is>
      </c>
    </row>
    <row r="896">
      <c r="A896" s="5" t="inlineStr">
        <is>
          <t>Odoo Universal Unique Brands › Bodega 25 › Bodega 25/General</t>
        </is>
      </c>
      <c r="B896" s="5">
        <f>IF($I2="","",INDEX(Productos!$A:$A,$I2))</f>
        <v/>
      </c>
      <c r="C896" s="134" t="inlineStr">
        <is>
          <t>WG226G-8119TN</t>
        </is>
      </c>
      <c r="D896" s="5">
        <f>IF($I2="","",INDEX(Productos!$B:$B,$I2))</f>
        <v/>
      </c>
      <c r="E896" s="5">
        <f>IF($I2="","",INDEX(Productos!$H:$H,$I2))</f>
        <v/>
      </c>
      <c r="F896" s="5">
        <f>IF($I2="","",INDEX(Productos!$I:$I,$I2))</f>
        <v/>
      </c>
      <c r="G896" s="135" t="n">
        <v>5</v>
      </c>
      <c r="H896" s="5">
        <f>IF($I2="","",INDEX(Productos!$AG:$AG,$I2))</f>
        <v/>
      </c>
      <c r="I896" s="136">
        <f>LET(_xlpm.r,Productos!$E$2:$E$1063,_xlpm.m,IFERROR(_xlfn.XMATCH(C896,_xlpm.r),IFERROR(_xlfn.XMATCH(VALUE(C896),_xlpm.r),0)),IF(_xlpm.m=0,"",_xlpm.m+1))</f>
        <v/>
      </c>
      <c r="J896" s="137" t="inlineStr">
        <is>
          <t>Odoo</t>
        </is>
      </c>
    </row>
    <row r="897">
      <c r="A897" s="5" t="inlineStr">
        <is>
          <t>Odoo Universal Unique Brands › Bodega 25 › Bodega 25/General</t>
        </is>
      </c>
      <c r="B897" s="5">
        <f>IF($I2="","",INDEX(Productos!$A:$A,$I2))</f>
        <v/>
      </c>
      <c r="C897" s="134" t="inlineStr">
        <is>
          <t>WG229-603BK-HPK</t>
        </is>
      </c>
      <c r="D897" s="5">
        <f>IF($I2="","",INDEX(Productos!$B:$B,$I2))</f>
        <v/>
      </c>
      <c r="E897" s="5">
        <f>IF($I2="","",INDEX(Productos!$H:$H,$I2))</f>
        <v/>
      </c>
      <c r="F897" s="5">
        <f>IF($I2="","",INDEX(Productos!$I:$I,$I2))</f>
        <v/>
      </c>
      <c r="G897" s="135" t="n">
        <v>5</v>
      </c>
      <c r="H897" s="5">
        <f>IF($I2="","",INDEX(Productos!$AG:$AG,$I2))</f>
        <v/>
      </c>
      <c r="I897" s="136">
        <f>LET(_xlpm.r,Productos!$E$2:$E$1063,_xlpm.m,IFERROR(_xlfn.XMATCH(C897,_xlpm.r),IFERROR(_xlfn.XMATCH(VALUE(C897),_xlpm.r),0)),IF(_xlpm.m=0,"",_xlpm.m+1))</f>
        <v/>
      </c>
      <c r="J897" s="137" t="inlineStr">
        <is>
          <t>Odoo</t>
        </is>
      </c>
    </row>
    <row r="898">
      <c r="A898" s="5" t="inlineStr">
        <is>
          <t>Odoo Universal Unique Brands › Bodega 25 › Bodega 25/General</t>
        </is>
      </c>
      <c r="B898" s="5">
        <f>IF($I2="","",INDEX(Productos!$A:$A,$I2))</f>
        <v/>
      </c>
      <c r="C898" s="134" t="inlineStr">
        <is>
          <t>WG229-603DPK</t>
        </is>
      </c>
      <c r="D898" s="5">
        <f>IF($I2="","",INDEX(Productos!$B:$B,$I2))</f>
        <v/>
      </c>
      <c r="E898" s="5">
        <f>IF($I2="","",INDEX(Productos!$H:$H,$I2))</f>
        <v/>
      </c>
      <c r="F898" s="5">
        <f>IF($I2="","",INDEX(Productos!$I:$I,$I2))</f>
        <v/>
      </c>
      <c r="G898" s="135" t="n">
        <v>4</v>
      </c>
      <c r="H898" s="5">
        <f>IF($I2="","",INDEX(Productos!$AG:$AG,$I2))</f>
        <v/>
      </c>
      <c r="I898" s="136">
        <f>LET(_xlpm.r,Productos!$E$2:$E$1063,_xlpm.m,IFERROR(_xlfn.XMATCH(C898,_xlpm.r),IFERROR(_xlfn.XMATCH(VALUE(C898),_xlpm.r),0)),IF(_xlpm.m=0,"",_xlpm.m+1))</f>
        <v/>
      </c>
      <c r="J898" s="137" t="inlineStr">
        <is>
          <t>Odoo</t>
        </is>
      </c>
    </row>
    <row r="899">
      <c r="A899" s="5" t="inlineStr">
        <is>
          <t>Odoo Universal Unique Brands › Bodega 25 › Bodega 25/General</t>
        </is>
      </c>
      <c r="B899" s="5">
        <f>IF($I2="","",INDEX(Productos!$A:$A,$I2))</f>
        <v/>
      </c>
      <c r="C899" s="134" t="inlineStr">
        <is>
          <t>WG229-603RD</t>
        </is>
      </c>
      <c r="D899" s="5">
        <f>IF($I2="","",INDEX(Productos!$B:$B,$I2))</f>
        <v/>
      </c>
      <c r="E899" s="5">
        <f>IF($I2="","",INDEX(Productos!$H:$H,$I2))</f>
        <v/>
      </c>
      <c r="F899" s="5">
        <f>IF($I2="","",INDEX(Productos!$I:$I,$I2))</f>
        <v/>
      </c>
      <c r="G899" s="135" t="n">
        <v>4</v>
      </c>
      <c r="H899" s="5">
        <f>IF($I2="","",INDEX(Productos!$AG:$AG,$I2))</f>
        <v/>
      </c>
      <c r="I899" s="136">
        <f>LET(_xlpm.r,Productos!$E$2:$E$1063,_xlpm.m,IFERROR(_xlfn.XMATCH(C899,_xlpm.r),IFERROR(_xlfn.XMATCH(VALUE(C899),_xlpm.r),0)),IF(_xlpm.m=0,"",_xlpm.m+1))</f>
        <v/>
      </c>
      <c r="J899" s="137" t="inlineStr">
        <is>
          <t>Odoo</t>
        </is>
      </c>
    </row>
    <row r="900">
      <c r="A900" s="5" t="inlineStr">
        <is>
          <t>Odoo Universal Unique Brands › Bodega 25 › Bodega 25/General</t>
        </is>
      </c>
      <c r="B900" s="5">
        <f>IF($I2="","",INDEX(Productos!$A:$A,$I2))</f>
        <v/>
      </c>
      <c r="C900" s="134" t="inlineStr">
        <is>
          <t>WG233-2001BK</t>
        </is>
      </c>
      <c r="D900" s="5">
        <f>IF($I2="","",INDEX(Productos!$B:$B,$I2))</f>
        <v/>
      </c>
      <c r="E900" s="5">
        <f>IF($I2="","",INDEX(Productos!$H:$H,$I2))</f>
        <v/>
      </c>
      <c r="F900" s="5">
        <f>IF($I2="","",INDEX(Productos!$I:$I,$I2))</f>
        <v/>
      </c>
      <c r="G900" s="135" t="n">
        <v>3</v>
      </c>
      <c r="H900" s="5">
        <f>IF($I2="","",INDEX(Productos!$AG:$AG,$I2))</f>
        <v/>
      </c>
      <c r="I900" s="136">
        <f>LET(_xlpm.r,Productos!$E$2:$E$1063,_xlpm.m,IFERROR(_xlfn.XMATCH(C900,_xlpm.r),IFERROR(_xlfn.XMATCH(VALUE(C900),_xlpm.r),0)),IF(_xlpm.m=0,"",_xlpm.m+1))</f>
        <v/>
      </c>
      <c r="J900" s="137" t="inlineStr">
        <is>
          <t>Odoo</t>
        </is>
      </c>
    </row>
    <row r="901">
      <c r="A901" s="5" t="inlineStr">
        <is>
          <t>Odoo Universal Unique Brands › Bodega 25 › Bodega 25/General</t>
        </is>
      </c>
      <c r="B901" s="5">
        <f>IF($I2="","",INDEX(Productos!$A:$A,$I2))</f>
        <v/>
      </c>
      <c r="C901" s="134" t="inlineStr">
        <is>
          <t>WG233-2001BR</t>
        </is>
      </c>
      <c r="D901" s="5">
        <f>IF($I2="","",INDEX(Productos!$B:$B,$I2))</f>
        <v/>
      </c>
      <c r="E901" s="5">
        <f>IF($I2="","",INDEX(Productos!$H:$H,$I2))</f>
        <v/>
      </c>
      <c r="F901" s="5">
        <f>IF($I2="","",INDEX(Productos!$I:$I,$I2))</f>
        <v/>
      </c>
      <c r="G901" s="135" t="n">
        <v>19</v>
      </c>
      <c r="H901" s="5">
        <f>IF($I2="","",INDEX(Productos!$AG:$AG,$I2))</f>
        <v/>
      </c>
      <c r="I901" s="136">
        <f>LET(_xlpm.r,Productos!$E$2:$E$1063,_xlpm.m,IFERROR(_xlfn.XMATCH(C901,_xlpm.r),IFERROR(_xlfn.XMATCH(VALUE(C901),_xlpm.r),0)),IF(_xlpm.m=0,"",_xlpm.m+1))</f>
        <v/>
      </c>
      <c r="J901" s="137" t="inlineStr">
        <is>
          <t>Odoo</t>
        </is>
      </c>
    </row>
    <row r="902">
      <c r="A902" s="5" t="inlineStr">
        <is>
          <t>Odoo Universal Unique Brands › Bodega 25 › Bodega 25/General</t>
        </is>
      </c>
      <c r="B902" s="5">
        <f>IF($I2="","",INDEX(Productos!$A:$A,$I2))</f>
        <v/>
      </c>
      <c r="C902" s="134" t="inlineStr">
        <is>
          <t>WG233-2002BK</t>
        </is>
      </c>
      <c r="D902" s="5">
        <f>IF($I2="","",INDEX(Productos!$B:$B,$I2))</f>
        <v/>
      </c>
      <c r="E902" s="5">
        <f>IF($I2="","",INDEX(Productos!$H:$H,$I2))</f>
        <v/>
      </c>
      <c r="F902" s="5">
        <f>IF($I2="","",INDEX(Productos!$I:$I,$I2))</f>
        <v/>
      </c>
      <c r="G902" s="135" t="n">
        <v>4</v>
      </c>
      <c r="H902" s="5">
        <f>IF($I2="","",INDEX(Productos!$AG:$AG,$I2))</f>
        <v/>
      </c>
      <c r="I902" s="136">
        <f>LET(_xlpm.r,Productos!$E$2:$E$1063,_xlpm.m,IFERROR(_xlfn.XMATCH(C902,_xlpm.r),IFERROR(_xlfn.XMATCH(VALUE(C902),_xlpm.r),0)),IF(_xlpm.m=0,"",_xlpm.m+1))</f>
        <v/>
      </c>
      <c r="J902" s="137" t="inlineStr">
        <is>
          <t>Odoo</t>
        </is>
      </c>
    </row>
    <row r="903">
      <c r="A903" s="5" t="inlineStr">
        <is>
          <t>Odoo Universal Unique Brands › Bodega 25 › Bodega 25/General</t>
        </is>
      </c>
      <c r="B903" s="5">
        <f>IF($I2="","",INDEX(Productos!$A:$A,$I2))</f>
        <v/>
      </c>
      <c r="C903" s="134" t="inlineStr">
        <is>
          <t>WG233-2002BR</t>
        </is>
      </c>
      <c r="D903" s="5">
        <f>IF($I2="","",INDEX(Productos!$B:$B,$I2))</f>
        <v/>
      </c>
      <c r="E903" s="5">
        <f>IF($I2="","",INDEX(Productos!$H:$H,$I2))</f>
        <v/>
      </c>
      <c r="F903" s="5">
        <f>IF($I2="","",INDEX(Productos!$I:$I,$I2))</f>
        <v/>
      </c>
      <c r="G903" s="135" t="n">
        <v>24</v>
      </c>
      <c r="H903" s="5">
        <f>IF($I2="","",INDEX(Productos!$AG:$AG,$I2))</f>
        <v/>
      </c>
      <c r="I903" s="136">
        <f>LET(_xlpm.r,Productos!$E$2:$E$1063,_xlpm.m,IFERROR(_xlfn.XMATCH(C903,_xlpm.r),IFERROR(_xlfn.XMATCH(VALUE(C903),_xlpm.r),0)),IF(_xlpm.m=0,"",_xlpm.m+1))</f>
        <v/>
      </c>
      <c r="J903" s="137" t="inlineStr">
        <is>
          <t>Odoo</t>
        </is>
      </c>
    </row>
    <row r="904">
      <c r="A904" s="5" t="inlineStr">
        <is>
          <t>Odoo Universal Unique Brands › Bodega 25 › Bodega 25/General</t>
        </is>
      </c>
      <c r="B904" s="5">
        <f>IF($I2="","",INDEX(Productos!$A:$A,$I2))</f>
        <v/>
      </c>
      <c r="C904" s="134" t="inlineStr">
        <is>
          <t>WG233-2009BG</t>
        </is>
      </c>
      <c r="D904" s="5">
        <f>IF($I2="","",INDEX(Productos!$B:$B,$I2))</f>
        <v/>
      </c>
      <c r="E904" s="5">
        <f>IF($I2="","",INDEX(Productos!$H:$H,$I2))</f>
        <v/>
      </c>
      <c r="F904" s="5">
        <f>IF($I2="","",INDEX(Productos!$I:$I,$I2))</f>
        <v/>
      </c>
      <c r="G904" s="135" t="n">
        <v>14</v>
      </c>
      <c r="H904" s="5">
        <f>IF($I2="","",INDEX(Productos!$AG:$AG,$I2))</f>
        <v/>
      </c>
      <c r="I904" s="136">
        <f>LET(_xlpm.r,Productos!$E$2:$E$1063,_xlpm.m,IFERROR(_xlfn.XMATCH(C904,_xlpm.r),IFERROR(_xlfn.XMATCH(VALUE(C904),_xlpm.r),0)),IF(_xlpm.m=0,"",_xlpm.m+1))</f>
        <v/>
      </c>
      <c r="J904" s="137" t="inlineStr">
        <is>
          <t>Odoo</t>
        </is>
      </c>
    </row>
    <row r="905">
      <c r="A905" s="5" t="inlineStr">
        <is>
          <t>Odoo Universal Unique Brands › Bodega 25 › Bodega 25/General</t>
        </is>
      </c>
      <c r="B905" s="5">
        <f>IF($I2="","",INDEX(Productos!$A:$A,$I2))</f>
        <v/>
      </c>
      <c r="C905" s="134" t="inlineStr">
        <is>
          <t>WG233-2009BK</t>
        </is>
      </c>
      <c r="D905" s="5">
        <f>IF($I2="","",INDEX(Productos!$B:$B,$I2))</f>
        <v/>
      </c>
      <c r="E905" s="5">
        <f>IF($I2="","",INDEX(Productos!$H:$H,$I2))</f>
        <v/>
      </c>
      <c r="F905" s="5">
        <f>IF($I2="","",INDEX(Productos!$I:$I,$I2))</f>
        <v/>
      </c>
      <c r="G905" s="135" t="n">
        <v>58</v>
      </c>
      <c r="H905" s="5">
        <f>IF($I2="","",INDEX(Productos!$AG:$AG,$I2))</f>
        <v/>
      </c>
      <c r="I905" s="136">
        <f>LET(_xlpm.r,Productos!$E$2:$E$1063,_xlpm.m,IFERROR(_xlfn.XMATCH(C905,_xlpm.r),IFERROR(_xlfn.XMATCH(VALUE(C905),_xlpm.r),0)),IF(_xlpm.m=0,"",_xlpm.m+1))</f>
        <v/>
      </c>
      <c r="J905" s="137" t="inlineStr">
        <is>
          <t>Odoo</t>
        </is>
      </c>
    </row>
    <row r="906">
      <c r="A906" s="5" t="inlineStr">
        <is>
          <t>Odoo Universal Unique Brands › Bodega 25 › Bodega 25/General</t>
        </is>
      </c>
      <c r="B906" s="5">
        <f>IF($I2="","",INDEX(Productos!$A:$A,$I2))</f>
        <v/>
      </c>
      <c r="C906" s="134" t="inlineStr">
        <is>
          <t>WG233-2009BR</t>
        </is>
      </c>
      <c r="D906" s="5">
        <f>IF($I2="","",INDEX(Productos!$B:$B,$I2))</f>
        <v/>
      </c>
      <c r="E906" s="5">
        <f>IF($I2="","",INDEX(Productos!$H:$H,$I2))</f>
        <v/>
      </c>
      <c r="F906" s="5">
        <f>IF($I2="","",INDEX(Productos!$I:$I,$I2))</f>
        <v/>
      </c>
      <c r="G906" s="135" t="n">
        <v>54</v>
      </c>
      <c r="H906" s="5">
        <f>IF($I2="","",INDEX(Productos!$AG:$AG,$I2))</f>
        <v/>
      </c>
      <c r="I906" s="136">
        <f>LET(_xlpm.r,Productos!$E$2:$E$1063,_xlpm.m,IFERROR(_xlfn.XMATCH(C906,_xlpm.r),IFERROR(_xlfn.XMATCH(VALUE(C906),_xlpm.r),0)),IF(_xlpm.m=0,"",_xlpm.m+1))</f>
        <v/>
      </c>
      <c r="J906" s="137" t="inlineStr">
        <is>
          <t>Odoo</t>
        </is>
      </c>
    </row>
    <row r="907">
      <c r="A907" s="5" t="inlineStr">
        <is>
          <t>Odoo Universal Unique Brands › Bodega 25 › Bodega 25/General</t>
        </is>
      </c>
      <c r="B907" s="5">
        <f>IF($I2="","",INDEX(Productos!$A:$A,$I2))</f>
        <v/>
      </c>
      <c r="C907" s="134" t="inlineStr">
        <is>
          <t>WG233-2009LBR</t>
        </is>
      </c>
      <c r="D907" s="5">
        <f>IF($I2="","",INDEX(Productos!$B:$B,$I2))</f>
        <v/>
      </c>
      <c r="E907" s="5">
        <f>IF($I2="","",INDEX(Productos!$H:$H,$I2))</f>
        <v/>
      </c>
      <c r="F907" s="5">
        <f>IF($I2="","",INDEX(Productos!$I:$I,$I2))</f>
        <v/>
      </c>
      <c r="G907" s="135" t="n">
        <v>35</v>
      </c>
      <c r="H907" s="5">
        <f>IF($I2="","",INDEX(Productos!$AG:$AG,$I2))</f>
        <v/>
      </c>
      <c r="I907" s="136">
        <f>LET(_xlpm.r,Productos!$E$2:$E$1063,_xlpm.m,IFERROR(_xlfn.XMATCH(C907,_xlpm.r),IFERROR(_xlfn.XMATCH(VALUE(C907),_xlpm.r),0)),IF(_xlpm.m=0,"",_xlpm.m+1))</f>
        <v/>
      </c>
      <c r="J907" s="137" t="inlineStr">
        <is>
          <t>Odoo</t>
        </is>
      </c>
    </row>
    <row r="908">
      <c r="A908" s="5" t="inlineStr">
        <is>
          <t>Odoo Universal Unique Brands › Bodega 25 › Bodega 25/General</t>
        </is>
      </c>
      <c r="B908" s="5">
        <f>IF($I2="","",INDEX(Productos!$A:$A,$I2))</f>
        <v/>
      </c>
      <c r="C908" s="134" t="inlineStr">
        <is>
          <t>WG233-2009TN</t>
        </is>
      </c>
      <c r="D908" s="5">
        <f>IF($I2="","",INDEX(Productos!$B:$B,$I2))</f>
        <v/>
      </c>
      <c r="E908" s="5">
        <f>IF($I2="","",INDEX(Productos!$H:$H,$I2))</f>
        <v/>
      </c>
      <c r="F908" s="5">
        <f>IF($I2="","",INDEX(Productos!$I:$I,$I2))</f>
        <v/>
      </c>
      <c r="G908" s="135" t="n">
        <v>2</v>
      </c>
      <c r="H908" s="5">
        <f>IF($I2="","",INDEX(Productos!$AG:$AG,$I2))</f>
        <v/>
      </c>
      <c r="I908" s="136">
        <f>LET(_xlpm.r,Productos!$E$2:$E$1063,_xlpm.m,IFERROR(_xlfn.XMATCH(C908,_xlpm.r),IFERROR(_xlfn.XMATCH(VALUE(C908),_xlpm.r),0)),IF(_xlpm.m=0,"",_xlpm.m+1))</f>
        <v/>
      </c>
      <c r="J908" s="137" t="inlineStr">
        <is>
          <t>Odoo</t>
        </is>
      </c>
    </row>
    <row r="909">
      <c r="A909" s="5" t="inlineStr">
        <is>
          <t>Odoo Universal Unique Brands › Bodega 25 › Bodega 25/General</t>
        </is>
      </c>
      <c r="B909" s="5">
        <f>IF($I2="","",INDEX(Productos!$A:$A,$I2))</f>
        <v/>
      </c>
      <c r="C909" s="134" t="inlineStr">
        <is>
          <t>WG233-3027BG</t>
        </is>
      </c>
      <c r="D909" s="5">
        <f>IF($I2="","",INDEX(Productos!$B:$B,$I2))</f>
        <v/>
      </c>
      <c r="E909" s="5">
        <f>IF($I2="","",INDEX(Productos!$H:$H,$I2))</f>
        <v/>
      </c>
      <c r="F909" s="5">
        <f>IF($I2="","",INDEX(Productos!$I:$I,$I2))</f>
        <v/>
      </c>
      <c r="G909" s="135" t="n">
        <v>27</v>
      </c>
      <c r="H909" s="5">
        <f>IF($I2="","",INDEX(Productos!$AG:$AG,$I2))</f>
        <v/>
      </c>
      <c r="I909" s="136">
        <f>LET(_xlpm.r,Productos!$E$2:$E$1063,_xlpm.m,IFERROR(_xlfn.XMATCH(C909,_xlpm.r),IFERROR(_xlfn.XMATCH(VALUE(C909),_xlpm.r),0)),IF(_xlpm.m=0,"",_xlpm.m+1))</f>
        <v/>
      </c>
      <c r="J909" s="137" t="inlineStr">
        <is>
          <t>Odoo</t>
        </is>
      </c>
    </row>
    <row r="910">
      <c r="A910" s="5" t="inlineStr">
        <is>
          <t>Odoo Universal Unique Brands › Bodega 25 › Bodega 25/General</t>
        </is>
      </c>
      <c r="B910" s="5">
        <f>IF($I2="","",INDEX(Productos!$A:$A,$I2))</f>
        <v/>
      </c>
      <c r="C910" s="134" t="inlineStr">
        <is>
          <t>WG233-3027BK</t>
        </is>
      </c>
      <c r="D910" s="5">
        <f>IF($I2="","",INDEX(Productos!$B:$B,$I2))</f>
        <v/>
      </c>
      <c r="E910" s="5">
        <f>IF($I2="","",INDEX(Productos!$H:$H,$I2))</f>
        <v/>
      </c>
      <c r="F910" s="5">
        <f>IF($I2="","",INDEX(Productos!$I:$I,$I2))</f>
        <v/>
      </c>
      <c r="G910" s="135" t="n">
        <v>4</v>
      </c>
      <c r="H910" s="5">
        <f>IF($I2="","",INDEX(Productos!$AG:$AG,$I2))</f>
        <v/>
      </c>
      <c r="I910" s="136">
        <f>LET(_xlpm.r,Productos!$E$2:$E$1063,_xlpm.m,IFERROR(_xlfn.XMATCH(C910,_xlpm.r),IFERROR(_xlfn.XMATCH(VALUE(C910),_xlpm.r),0)),IF(_xlpm.m=0,"",_xlpm.m+1))</f>
        <v/>
      </c>
      <c r="J910" s="137" t="inlineStr">
        <is>
          <t>Odoo</t>
        </is>
      </c>
    </row>
    <row r="911">
      <c r="A911" s="5" t="inlineStr">
        <is>
          <t>Odoo Universal Unique Brands › Bodega 25 › Bodega 25/General</t>
        </is>
      </c>
      <c r="B911" s="5">
        <f>IF($I2="","",INDEX(Productos!$A:$A,$I2))</f>
        <v/>
      </c>
      <c r="C911" s="134" t="inlineStr">
        <is>
          <t>WG233-3027TN</t>
        </is>
      </c>
      <c r="D911" s="5">
        <f>IF($I2="","",INDEX(Productos!$B:$B,$I2))</f>
        <v/>
      </c>
      <c r="E911" s="5">
        <f>IF($I2="","",INDEX(Productos!$H:$H,$I2))</f>
        <v/>
      </c>
      <c r="F911" s="5">
        <f>IF($I2="","",INDEX(Productos!$I:$I,$I2))</f>
        <v/>
      </c>
      <c r="G911" s="135" t="n">
        <v>6</v>
      </c>
      <c r="H911" s="5">
        <f>IF($I2="","",INDEX(Productos!$AG:$AG,$I2))</f>
        <v/>
      </c>
      <c r="I911" s="136">
        <f>LET(_xlpm.r,Productos!$E$2:$E$1063,_xlpm.m,IFERROR(_xlfn.XMATCH(C911,_xlpm.r),IFERROR(_xlfn.XMATCH(VALUE(C911),_xlpm.r),0)),IF(_xlpm.m=0,"",_xlpm.m+1))</f>
        <v/>
      </c>
      <c r="J911" s="137" t="inlineStr">
        <is>
          <t>Odoo</t>
        </is>
      </c>
    </row>
    <row r="912">
      <c r="A912" s="5" t="inlineStr">
        <is>
          <t>Odoo Universal Unique Brands › Bodega 25 › Bodega 25/General</t>
        </is>
      </c>
      <c r="B912" s="5">
        <f>IF($I2="","",INDEX(Productos!$A:$A,$I2))</f>
        <v/>
      </c>
      <c r="C912" s="134" t="inlineStr">
        <is>
          <t>WG233-8360BR</t>
        </is>
      </c>
      <c r="D912" s="5">
        <f>IF($I2="","",INDEX(Productos!$B:$B,$I2))</f>
        <v/>
      </c>
      <c r="E912" s="5">
        <f>IF($I2="","",INDEX(Productos!$H:$H,$I2))</f>
        <v/>
      </c>
      <c r="F912" s="5">
        <f>IF($I2="","",INDEX(Productos!$I:$I,$I2))</f>
        <v/>
      </c>
      <c r="G912" s="135" t="n">
        <v>4</v>
      </c>
      <c r="H912" s="5">
        <f>IF($I2="","",INDEX(Productos!$AG:$AG,$I2))</f>
        <v/>
      </c>
      <c r="I912" s="136">
        <f>LET(_xlpm.r,Productos!$E$2:$E$1063,_xlpm.m,IFERROR(_xlfn.XMATCH(C912,_xlpm.r),IFERROR(_xlfn.XMATCH(VALUE(C912),_xlpm.r),0)),IF(_xlpm.m=0,"",_xlpm.m+1))</f>
        <v/>
      </c>
      <c r="J912" s="137" t="inlineStr">
        <is>
          <t>Odoo</t>
        </is>
      </c>
    </row>
    <row r="913">
      <c r="A913" s="5" t="inlineStr">
        <is>
          <t>Odoo Universal Unique Brands › Bodega 25 › Bodega 25/General</t>
        </is>
      </c>
      <c r="B913" s="5">
        <f>IF($I2="","",INDEX(Productos!$A:$A,$I2))</f>
        <v/>
      </c>
      <c r="C913" s="134" t="inlineStr">
        <is>
          <t>WG233-8360TN</t>
        </is>
      </c>
      <c r="D913" s="5">
        <f>IF($I2="","",INDEX(Productos!$B:$B,$I2))</f>
        <v/>
      </c>
      <c r="E913" s="5">
        <f>IF($I2="","",INDEX(Productos!$H:$H,$I2))</f>
        <v/>
      </c>
      <c r="F913" s="5">
        <f>IF($I2="","",INDEX(Productos!$I:$I,$I2))</f>
        <v/>
      </c>
      <c r="G913" s="135" t="n">
        <v>6</v>
      </c>
      <c r="H913" s="5">
        <f>IF($I2="","",INDEX(Productos!$AG:$AG,$I2))</f>
        <v/>
      </c>
      <c r="I913" s="136">
        <f>LET(_xlpm.r,Productos!$E$2:$E$1063,_xlpm.m,IFERROR(_xlfn.XMATCH(C913,_xlpm.r),IFERROR(_xlfn.XMATCH(VALUE(C913),_xlpm.r),0)),IF(_xlpm.m=0,"",_xlpm.m+1))</f>
        <v/>
      </c>
      <c r="J913" s="137" t="inlineStr">
        <is>
          <t>Odoo</t>
        </is>
      </c>
    </row>
    <row r="914">
      <c r="A914" s="5" t="inlineStr">
        <is>
          <t>Odoo Universal Unique Brands › Bodega 25 › Bodega 25/General</t>
        </is>
      </c>
      <c r="B914" s="5">
        <f>IF($I2="","",INDEX(Productos!$A:$A,$I2))</f>
        <v/>
      </c>
      <c r="C914" s="134" t="inlineStr">
        <is>
          <t>WG233-W018BG</t>
        </is>
      </c>
      <c r="D914" s="5">
        <f>IF($I2="","",INDEX(Productos!$B:$B,$I2))</f>
        <v/>
      </c>
      <c r="E914" s="5">
        <f>IF($I2="","",INDEX(Productos!$H:$H,$I2))</f>
        <v/>
      </c>
      <c r="F914" s="5">
        <f>IF($I2="","",INDEX(Productos!$I:$I,$I2))</f>
        <v/>
      </c>
      <c r="G914" s="135" t="n">
        <v>4</v>
      </c>
      <c r="H914" s="5">
        <f>IF($I2="","",INDEX(Productos!$AG:$AG,$I2))</f>
        <v/>
      </c>
      <c r="I914" s="136">
        <f>LET(_xlpm.r,Productos!$E$2:$E$1063,_xlpm.m,IFERROR(_xlfn.XMATCH(C914,_xlpm.r),IFERROR(_xlfn.XMATCH(VALUE(C914),_xlpm.r),0)),IF(_xlpm.m=0,"",_xlpm.m+1))</f>
        <v/>
      </c>
      <c r="J914" s="137" t="inlineStr">
        <is>
          <t>Odoo</t>
        </is>
      </c>
    </row>
    <row r="915">
      <c r="A915" s="5" t="inlineStr">
        <is>
          <t>Odoo Universal Unique Brands › Bodega 25 › Bodega 25/General</t>
        </is>
      </c>
      <c r="B915" s="5">
        <f>IF($I2="","",INDEX(Productos!$A:$A,$I2))</f>
        <v/>
      </c>
      <c r="C915" s="134" t="inlineStr">
        <is>
          <t>WG233-W018BR</t>
        </is>
      </c>
      <c r="D915" s="5">
        <f>IF($I2="","",INDEX(Productos!$B:$B,$I2))</f>
        <v/>
      </c>
      <c r="E915" s="5">
        <f>IF($I2="","",INDEX(Productos!$H:$H,$I2))</f>
        <v/>
      </c>
      <c r="F915" s="5">
        <f>IF($I2="","",INDEX(Productos!$I:$I,$I2))</f>
        <v/>
      </c>
      <c r="G915" s="135" t="n">
        <v>44</v>
      </c>
      <c r="H915" s="5">
        <f>IF($I2="","",INDEX(Productos!$AG:$AG,$I2))</f>
        <v/>
      </c>
      <c r="I915" s="136">
        <f>LET(_xlpm.r,Productos!$E$2:$E$1063,_xlpm.m,IFERROR(_xlfn.XMATCH(C915,_xlpm.r),IFERROR(_xlfn.XMATCH(VALUE(C915),_xlpm.r),0)),IF(_xlpm.m=0,"",_xlpm.m+1))</f>
        <v/>
      </c>
      <c r="J915" s="137" t="inlineStr">
        <is>
          <t>Odoo</t>
        </is>
      </c>
    </row>
    <row r="916">
      <c r="A916" s="5" t="inlineStr">
        <is>
          <t>Odoo Universal Unique Brands › Bodega 25 › Bodega 25/General</t>
        </is>
      </c>
      <c r="B916" s="5">
        <f>IF($I2="","",INDEX(Productos!$A:$A,$I2))</f>
        <v/>
      </c>
      <c r="C916" s="134" t="inlineStr">
        <is>
          <t>WG233-W018LBR</t>
        </is>
      </c>
      <c r="D916" s="5">
        <f>IF($I2="","",INDEX(Productos!$B:$B,$I2))</f>
        <v/>
      </c>
      <c r="E916" s="5">
        <f>IF($I2="","",INDEX(Productos!$H:$H,$I2))</f>
        <v/>
      </c>
      <c r="F916" s="5">
        <f>IF($I2="","",INDEX(Productos!$I:$I,$I2))</f>
        <v/>
      </c>
      <c r="G916" s="135" t="n">
        <v>1</v>
      </c>
      <c r="H916" s="5">
        <f>IF($I2="","",INDEX(Productos!$AG:$AG,$I2))</f>
        <v/>
      </c>
      <c r="I916" s="136">
        <f>LET(_xlpm.r,Productos!$E$2:$E$1063,_xlpm.m,IFERROR(_xlfn.XMATCH(C916,_xlpm.r),IFERROR(_xlfn.XMATCH(VALUE(C916),_xlpm.r),0)),IF(_xlpm.m=0,"",_xlpm.m+1))</f>
        <v/>
      </c>
      <c r="J916" s="137" t="inlineStr">
        <is>
          <t>Odoo</t>
        </is>
      </c>
    </row>
    <row r="917">
      <c r="A917" s="5" t="inlineStr">
        <is>
          <t>Odoo Universal Unique Brands › Bodega 25 › Bodega 25/General</t>
        </is>
      </c>
      <c r="B917" s="5">
        <f>IF($I2="","",INDEX(Productos!$A:$A,$I2))</f>
        <v/>
      </c>
      <c r="C917" s="134" t="inlineStr">
        <is>
          <t>WG233-W069BG</t>
        </is>
      </c>
      <c r="D917" s="5">
        <f>IF($I2="","",INDEX(Productos!$B:$B,$I2))</f>
        <v/>
      </c>
      <c r="E917" s="5">
        <f>IF($I2="","",INDEX(Productos!$H:$H,$I2))</f>
        <v/>
      </c>
      <c r="F917" s="5">
        <f>IF($I2="","",INDEX(Productos!$I:$I,$I2))</f>
        <v/>
      </c>
      <c r="G917" s="135" t="n">
        <v>5</v>
      </c>
      <c r="H917" s="5">
        <f>IF($I2="","",INDEX(Productos!$AG:$AG,$I2))</f>
        <v/>
      </c>
      <c r="I917" s="136">
        <f>LET(_xlpm.r,Productos!$E$2:$E$1063,_xlpm.m,IFERROR(_xlfn.XMATCH(C917,_xlpm.r),IFERROR(_xlfn.XMATCH(VALUE(C917),_xlpm.r),0)),IF(_xlpm.m=0,"",_xlpm.m+1))</f>
        <v/>
      </c>
      <c r="J917" s="137" t="inlineStr">
        <is>
          <t>Odoo</t>
        </is>
      </c>
    </row>
    <row r="918">
      <c r="A918" s="5" t="inlineStr">
        <is>
          <t>Odoo Universal Unique Brands › Bodega 25 › Bodega 25/General</t>
        </is>
      </c>
      <c r="B918" s="5">
        <f>IF($I2="","",INDEX(Productos!$A:$A,$I2))</f>
        <v/>
      </c>
      <c r="C918" s="134" t="inlineStr">
        <is>
          <t>WG233-W069BR</t>
        </is>
      </c>
      <c r="D918" s="5">
        <f>IF($I2="","",INDEX(Productos!$B:$B,$I2))</f>
        <v/>
      </c>
      <c r="E918" s="5">
        <f>IF($I2="","",INDEX(Productos!$H:$H,$I2))</f>
        <v/>
      </c>
      <c r="F918" s="5">
        <f>IF($I2="","",INDEX(Productos!$I:$I,$I2))</f>
        <v/>
      </c>
      <c r="G918" s="135" t="n">
        <v>1</v>
      </c>
      <c r="H918" s="5">
        <f>IF($I2="","",INDEX(Productos!$AG:$AG,$I2))</f>
        <v/>
      </c>
      <c r="I918" s="136">
        <f>LET(_xlpm.r,Productos!$E$2:$E$1063,_xlpm.m,IFERROR(_xlfn.XMATCH(C918,_xlpm.r),IFERROR(_xlfn.XMATCH(VALUE(C918),_xlpm.r),0)),IF(_xlpm.m=0,"",_xlpm.m+1))</f>
        <v/>
      </c>
      <c r="J918" s="137" t="inlineStr">
        <is>
          <t>Odoo</t>
        </is>
      </c>
    </row>
    <row r="919">
      <c r="A919" s="5" t="inlineStr">
        <is>
          <t>Odoo Universal Unique Brands › Bodega 25 › Bodega 25/General</t>
        </is>
      </c>
      <c r="B919" s="5">
        <f>IF($I2="","",INDEX(Productos!$A:$A,$I2))</f>
        <v/>
      </c>
      <c r="C919" s="134" t="inlineStr">
        <is>
          <t>WG233-W069LBR</t>
        </is>
      </c>
      <c r="D919" s="5">
        <f>IF($I2="","",INDEX(Productos!$B:$B,$I2))</f>
        <v/>
      </c>
      <c r="E919" s="5">
        <f>IF($I2="","",INDEX(Productos!$H:$H,$I2))</f>
        <v/>
      </c>
      <c r="F919" s="5">
        <f>IF($I2="","",INDEX(Productos!$I:$I,$I2))</f>
        <v/>
      </c>
      <c r="G919" s="135" t="n">
        <v>3</v>
      </c>
      <c r="H919" s="5">
        <f>IF($I2="","",INDEX(Productos!$AG:$AG,$I2))</f>
        <v/>
      </c>
      <c r="I919" s="136">
        <f>LET(_xlpm.r,Productos!$E$2:$E$1063,_xlpm.m,IFERROR(_xlfn.XMATCH(C919,_xlpm.r),IFERROR(_xlfn.XMATCH(VALUE(C919),_xlpm.r),0)),IF(_xlpm.m=0,"",_xlpm.m+1))</f>
        <v/>
      </c>
      <c r="J919" s="137" t="inlineStr">
        <is>
          <t>Odoo</t>
        </is>
      </c>
    </row>
    <row r="920">
      <c r="A920" s="5" t="inlineStr">
        <is>
          <t>Odoo Universal Unique Brands › Bodega 25 › Bodega 25/General</t>
        </is>
      </c>
      <c r="B920" s="5">
        <f>IF($I2="","",INDEX(Productos!$A:$A,$I2))</f>
        <v/>
      </c>
      <c r="C920" s="134" t="inlineStr">
        <is>
          <t>WG233-W069TN</t>
        </is>
      </c>
      <c r="D920" s="5">
        <f>IF($I2="","",INDEX(Productos!$B:$B,$I2))</f>
        <v/>
      </c>
      <c r="E920" s="5">
        <f>IF($I2="","",INDEX(Productos!$H:$H,$I2))</f>
        <v/>
      </c>
      <c r="F920" s="5">
        <f>IF($I2="","",INDEX(Productos!$I:$I,$I2))</f>
        <v/>
      </c>
      <c r="G920" s="135" t="n">
        <v>5</v>
      </c>
      <c r="H920" s="5">
        <f>IF($I2="","",INDEX(Productos!$AG:$AG,$I2))</f>
        <v/>
      </c>
      <c r="I920" s="136">
        <f>LET(_xlpm.r,Productos!$E$2:$E$1063,_xlpm.m,IFERROR(_xlfn.XMATCH(C920,_xlpm.r),IFERROR(_xlfn.XMATCH(VALUE(C920),_xlpm.r),0)),IF(_xlpm.m=0,"",_xlpm.m+1))</f>
        <v/>
      </c>
      <c r="J920" s="137" t="inlineStr">
        <is>
          <t>Odoo</t>
        </is>
      </c>
    </row>
    <row r="921">
      <c r="A921" s="5" t="inlineStr">
        <is>
          <t>Odoo Universal Unique Brands › Bodega 25 › Bodega 25/General</t>
        </is>
      </c>
      <c r="B921" s="5">
        <f>IF($I2="","",INDEX(Productos!$A:$A,$I2))</f>
        <v/>
      </c>
      <c r="C921" s="134" t="inlineStr">
        <is>
          <t>WG239-9182BR</t>
        </is>
      </c>
      <c r="D921" s="5">
        <f>IF($I2="","",INDEX(Productos!$B:$B,$I2))</f>
        <v/>
      </c>
      <c r="E921" s="5">
        <f>IF($I2="","",INDEX(Productos!$H:$H,$I2))</f>
        <v/>
      </c>
      <c r="F921" s="5">
        <f>IF($I2="","",INDEX(Productos!$I:$I,$I2))</f>
        <v/>
      </c>
      <c r="G921" s="135" t="n">
        <v>1</v>
      </c>
      <c r="H921" s="5">
        <f>IF($I2="","",INDEX(Productos!$AG:$AG,$I2))</f>
        <v/>
      </c>
      <c r="I921" s="136">
        <f>LET(_xlpm.r,Productos!$E$2:$E$1063,_xlpm.m,IFERROR(_xlfn.XMATCH(C921,_xlpm.r),IFERROR(_xlfn.XMATCH(VALUE(C921),_xlpm.r),0)),IF(_xlpm.m=0,"",_xlpm.m+1))</f>
        <v/>
      </c>
      <c r="J921" s="137" t="inlineStr">
        <is>
          <t>Odoo</t>
        </is>
      </c>
    </row>
    <row r="922">
      <c r="A922" s="5" t="inlineStr">
        <is>
          <t>Odoo Universal Unique Brands › Bodega 25 › Bodega 25/General</t>
        </is>
      </c>
      <c r="B922" s="5">
        <f>IF($I2="","",INDEX(Productos!$A:$A,$I2))</f>
        <v/>
      </c>
      <c r="C922" s="134" t="inlineStr">
        <is>
          <t>WG239-9182CF</t>
        </is>
      </c>
      <c r="D922" s="5">
        <f>IF($I2="","",INDEX(Productos!$B:$B,$I2))</f>
        <v/>
      </c>
      <c r="E922" s="5">
        <f>IF($I2="","",INDEX(Productos!$H:$H,$I2))</f>
        <v/>
      </c>
      <c r="F922" s="5">
        <f>IF($I2="","",INDEX(Productos!$I:$I,$I2))</f>
        <v/>
      </c>
      <c r="G922" s="135" t="n">
        <v>1</v>
      </c>
      <c r="H922" s="5">
        <f>IF($I2="","",INDEX(Productos!$AG:$AG,$I2))</f>
        <v/>
      </c>
      <c r="I922" s="136">
        <f>LET(_xlpm.r,Productos!$E$2:$E$1063,_xlpm.m,IFERROR(_xlfn.XMATCH(C922,_xlpm.r),IFERROR(_xlfn.XMATCH(VALUE(C922),_xlpm.r),0)),IF(_xlpm.m=0,"",_xlpm.m+1))</f>
        <v/>
      </c>
      <c r="J922" s="137" t="inlineStr">
        <is>
          <t>Odoo</t>
        </is>
      </c>
    </row>
    <row r="923">
      <c r="A923" s="5" t="inlineStr">
        <is>
          <t>Odoo Universal Unique Brands › Bodega 25 › Bodega 25/General</t>
        </is>
      </c>
      <c r="B923" s="5">
        <f>IF($I2="","",INDEX(Productos!$A:$A,$I2))</f>
        <v/>
      </c>
      <c r="C923" s="134" t="inlineStr">
        <is>
          <t>WG241-2022BR</t>
        </is>
      </c>
      <c r="D923" s="5">
        <f>IF($I2="","",INDEX(Productos!$B:$B,$I2))</f>
        <v/>
      </c>
      <c r="E923" s="5">
        <f>IF($I2="","",INDEX(Productos!$H:$H,$I2))</f>
        <v/>
      </c>
      <c r="F923" s="5">
        <f>IF($I2="","",INDEX(Productos!$I:$I,$I2))</f>
        <v/>
      </c>
      <c r="G923" s="135" t="n">
        <v>21</v>
      </c>
      <c r="H923" s="5">
        <f>IF($I2="","",INDEX(Productos!$AG:$AG,$I2))</f>
        <v/>
      </c>
      <c r="I923" s="136">
        <f>LET(_xlpm.r,Productos!$E$2:$E$1063,_xlpm.m,IFERROR(_xlfn.XMATCH(C923,_xlpm.r),IFERROR(_xlfn.XMATCH(VALUE(C923),_xlpm.r),0)),IF(_xlpm.m=0,"",_xlpm.m+1))</f>
        <v/>
      </c>
      <c r="J923" s="137" t="inlineStr">
        <is>
          <t>Odoo</t>
        </is>
      </c>
    </row>
    <row r="924">
      <c r="A924" s="5" t="inlineStr">
        <is>
          <t>Odoo Universal Unique Brands › Bodega 25 › Bodega 25/General</t>
        </is>
      </c>
      <c r="B924" s="5">
        <f>IF($I2="","",INDEX(Productos!$A:$A,$I2))</f>
        <v/>
      </c>
      <c r="C924" s="134" t="inlineStr">
        <is>
          <t>WG241-2022JN</t>
        </is>
      </c>
      <c r="D924" s="5">
        <f>IF($I2="","",INDEX(Productos!$B:$B,$I2))</f>
        <v/>
      </c>
      <c r="E924" s="5">
        <f>IF($I2="","",INDEX(Productos!$H:$H,$I2))</f>
        <v/>
      </c>
      <c r="F924" s="5">
        <f>IF($I2="","",INDEX(Productos!$I:$I,$I2))</f>
        <v/>
      </c>
      <c r="G924" s="135" t="n">
        <v>6</v>
      </c>
      <c r="H924" s="5">
        <f>IF($I2="","",INDEX(Productos!$AG:$AG,$I2))</f>
        <v/>
      </c>
      <c r="I924" s="136">
        <f>LET(_xlpm.r,Productos!$E$2:$E$1063,_xlpm.m,IFERROR(_xlfn.XMATCH(C924,_xlpm.r),IFERROR(_xlfn.XMATCH(VALUE(C924),_xlpm.r),0)),IF(_xlpm.m=0,"",_xlpm.m+1))</f>
        <v/>
      </c>
      <c r="J924" s="137" t="inlineStr">
        <is>
          <t>Odoo</t>
        </is>
      </c>
    </row>
    <row r="925">
      <c r="A925" s="5" t="inlineStr">
        <is>
          <t>Odoo Universal Unique Brands › Bodega 25 › Bodega 25/General</t>
        </is>
      </c>
      <c r="B925" s="5">
        <f>IF($I2="","",INDEX(Productos!$A:$A,$I2))</f>
        <v/>
      </c>
      <c r="C925" s="134" t="inlineStr">
        <is>
          <t>WG241-2022TN</t>
        </is>
      </c>
      <c r="D925" s="5">
        <f>IF($I2="","",INDEX(Productos!$B:$B,$I2))</f>
        <v/>
      </c>
      <c r="E925" s="5">
        <f>IF($I2="","",INDEX(Productos!$H:$H,$I2))</f>
        <v/>
      </c>
      <c r="F925" s="5">
        <f>IF($I2="","",INDEX(Productos!$I:$I,$I2))</f>
        <v/>
      </c>
      <c r="G925" s="135" t="n">
        <v>2</v>
      </c>
      <c r="H925" s="5">
        <f>IF($I2="","",INDEX(Productos!$AG:$AG,$I2))</f>
        <v/>
      </c>
      <c r="I925" s="136">
        <f>LET(_xlpm.r,Productos!$E$2:$E$1063,_xlpm.m,IFERROR(_xlfn.XMATCH(C925,_xlpm.r),IFERROR(_xlfn.XMATCH(VALUE(C925),_xlpm.r),0)),IF(_xlpm.m=0,"",_xlpm.m+1))</f>
        <v/>
      </c>
      <c r="J925" s="137" t="inlineStr">
        <is>
          <t>Odoo</t>
        </is>
      </c>
    </row>
    <row r="926">
      <c r="A926" s="5" t="inlineStr">
        <is>
          <t>Odoo Universal Unique Brands › Bodega 25 › Bodega 25/General</t>
        </is>
      </c>
      <c r="B926" s="5">
        <f>IF($I2="","",INDEX(Productos!$A:$A,$I2))</f>
        <v/>
      </c>
      <c r="C926" s="134" t="inlineStr">
        <is>
          <t>WG244-9182BG</t>
        </is>
      </c>
      <c r="D926" s="5">
        <f>IF($I2="","",INDEX(Productos!$B:$B,$I2))</f>
        <v/>
      </c>
      <c r="E926" s="5">
        <f>IF($I2="","",INDEX(Productos!$H:$H,$I2))</f>
        <v/>
      </c>
      <c r="F926" s="5">
        <f>IF($I2="","",INDEX(Productos!$I:$I,$I2))</f>
        <v/>
      </c>
      <c r="G926" s="135" t="n">
        <v>145</v>
      </c>
      <c r="H926" s="5">
        <f>IF($I2="","",INDEX(Productos!$AG:$AG,$I2))</f>
        <v/>
      </c>
      <c r="I926" s="136">
        <f>LET(_xlpm.r,Productos!$E$2:$E$1063,_xlpm.m,IFERROR(_xlfn.XMATCH(C926,_xlpm.r),IFERROR(_xlfn.XMATCH(VALUE(C926),_xlpm.r),0)),IF(_xlpm.m=0,"",_xlpm.m+1))</f>
        <v/>
      </c>
      <c r="J926" s="137" t="inlineStr">
        <is>
          <t>Odoo</t>
        </is>
      </c>
    </row>
    <row r="927">
      <c r="A927" s="5" t="inlineStr">
        <is>
          <t>Odoo Universal Unique Brands › Bodega 25 › Bodega 25/General</t>
        </is>
      </c>
      <c r="B927" s="5">
        <f>IF($I2="","",INDEX(Productos!$A:$A,$I2))</f>
        <v/>
      </c>
      <c r="C927" s="134" t="inlineStr">
        <is>
          <t>WG244-9182BK</t>
        </is>
      </c>
      <c r="D927" s="5">
        <f>IF($I2="","",INDEX(Productos!$B:$B,$I2))</f>
        <v/>
      </c>
      <c r="E927" s="5">
        <f>IF($I2="","",INDEX(Productos!$H:$H,$I2))</f>
        <v/>
      </c>
      <c r="F927" s="5">
        <f>IF($I2="","",INDEX(Productos!$I:$I,$I2))</f>
        <v/>
      </c>
      <c r="G927" s="135" t="n">
        <v>216</v>
      </c>
      <c r="H927" s="5">
        <f>IF($I2="","",INDEX(Productos!$AG:$AG,$I2))</f>
        <v/>
      </c>
      <c r="I927" s="136">
        <f>LET(_xlpm.r,Productos!$E$2:$E$1063,_xlpm.m,IFERROR(_xlfn.XMATCH(C927,_xlpm.r),IFERROR(_xlfn.XMATCH(VALUE(C927),_xlpm.r),0)),IF(_xlpm.m=0,"",_xlpm.m+1))</f>
        <v/>
      </c>
      <c r="J927" s="137" t="inlineStr">
        <is>
          <t>Odoo</t>
        </is>
      </c>
    </row>
    <row r="928">
      <c r="A928" s="5" t="inlineStr">
        <is>
          <t>Odoo Universal Unique Brands › Bodega 25 › Bodega 25/General</t>
        </is>
      </c>
      <c r="B928" s="5">
        <f>IF($I2="","",INDEX(Productos!$A:$A,$I2))</f>
        <v/>
      </c>
      <c r="C928" s="134" t="inlineStr">
        <is>
          <t>WG244-9182CF</t>
        </is>
      </c>
      <c r="D928" s="5">
        <f>IF($I2="","",INDEX(Productos!$B:$B,$I2))</f>
        <v/>
      </c>
      <c r="E928" s="5">
        <f>IF($I2="","",INDEX(Productos!$H:$H,$I2))</f>
        <v/>
      </c>
      <c r="F928" s="5">
        <f>IF($I2="","",INDEX(Productos!$I:$I,$I2))</f>
        <v/>
      </c>
      <c r="G928" s="135" t="n">
        <v>133</v>
      </c>
      <c r="H928" s="5">
        <f>IF($I2="","",INDEX(Productos!$AG:$AG,$I2))</f>
        <v/>
      </c>
      <c r="I928" s="136">
        <f>LET(_xlpm.r,Productos!$E$2:$E$1063,_xlpm.m,IFERROR(_xlfn.XMATCH(C928,_xlpm.r),IFERROR(_xlfn.XMATCH(VALUE(C928),_xlpm.r),0)),IF(_xlpm.m=0,"",_xlpm.m+1))</f>
        <v/>
      </c>
      <c r="J928" s="137" t="inlineStr">
        <is>
          <t>Odoo</t>
        </is>
      </c>
    </row>
    <row r="929">
      <c r="A929" s="5" t="inlineStr">
        <is>
          <t>Odoo Universal Unique Brands › Bodega 25 › Bodega 25/General</t>
        </is>
      </c>
      <c r="B929" s="5">
        <f>IF($I2="","",INDEX(Productos!$A:$A,$I2))</f>
        <v/>
      </c>
      <c r="C929" s="134" t="inlineStr">
        <is>
          <t>WG244-9182DPK</t>
        </is>
      </c>
      <c r="D929" s="5">
        <f>IF($I2="","",INDEX(Productos!$B:$B,$I2))</f>
        <v/>
      </c>
      <c r="E929" s="5">
        <f>IF($I2="","",INDEX(Productos!$H:$H,$I2))</f>
        <v/>
      </c>
      <c r="F929" s="5">
        <f>IF($I2="","",INDEX(Productos!$I:$I,$I2))</f>
        <v/>
      </c>
      <c r="G929" s="135" t="n">
        <v>7</v>
      </c>
      <c r="H929" s="5">
        <f>IF($I2="","",INDEX(Productos!$AG:$AG,$I2))</f>
        <v/>
      </c>
      <c r="I929" s="136">
        <f>LET(_xlpm.r,Productos!$E$2:$E$1063,_xlpm.m,IFERROR(_xlfn.XMATCH(C929,_xlpm.r),IFERROR(_xlfn.XMATCH(VALUE(C929),_xlpm.r),0)),IF(_xlpm.m=0,"",_xlpm.m+1))</f>
        <v/>
      </c>
      <c r="J929" s="137" t="inlineStr">
        <is>
          <t>Odoo</t>
        </is>
      </c>
    </row>
    <row r="930">
      <c r="A930" s="5" t="inlineStr">
        <is>
          <t>Odoo Universal Unique Brands › Bodega 25 › Bodega 25/General</t>
        </is>
      </c>
      <c r="B930" s="5">
        <f>IF($I2="","",INDEX(Productos!$A:$A,$I2))</f>
        <v/>
      </c>
      <c r="C930" s="134" t="inlineStr">
        <is>
          <t>WG244-9182TQ</t>
        </is>
      </c>
      <c r="D930" s="5">
        <f>IF($I2="","",INDEX(Productos!$B:$B,$I2))</f>
        <v/>
      </c>
      <c r="E930" s="5">
        <f>IF($I2="","",INDEX(Productos!$H:$H,$I2))</f>
        <v/>
      </c>
      <c r="F930" s="5">
        <f>IF($I2="","",INDEX(Productos!$I:$I,$I2))</f>
        <v/>
      </c>
      <c r="G930" s="135" t="n">
        <v>35</v>
      </c>
      <c r="H930" s="5">
        <f>IF($I2="","",INDEX(Productos!$AG:$AG,$I2))</f>
        <v/>
      </c>
      <c r="I930" s="136">
        <f>LET(_xlpm.r,Productos!$E$2:$E$1063,_xlpm.m,IFERROR(_xlfn.XMATCH(C930,_xlpm.r),IFERROR(_xlfn.XMATCH(VALUE(C930),_xlpm.r),0)),IF(_xlpm.m=0,"",_xlpm.m+1))</f>
        <v/>
      </c>
      <c r="J930" s="137" t="inlineStr">
        <is>
          <t>Odoo</t>
        </is>
      </c>
    </row>
    <row r="931">
      <c r="A931" s="5" t="inlineStr">
        <is>
          <t>Odoo Universal Unique Brands › Bodega 25 › Bodega 25/General</t>
        </is>
      </c>
      <c r="B931" s="5">
        <f>IF($I2="","",INDEX(Productos!$A:$A,$I2))</f>
        <v/>
      </c>
      <c r="C931" s="134" t="inlineStr">
        <is>
          <t>WG252-8014BR</t>
        </is>
      </c>
      <c r="D931" s="5">
        <f>IF($I2="","",INDEX(Productos!$B:$B,$I2))</f>
        <v/>
      </c>
      <c r="E931" s="5">
        <f>IF($I2="","",INDEX(Productos!$H:$H,$I2))</f>
        <v/>
      </c>
      <c r="F931" s="5">
        <f>IF($I2="","",INDEX(Productos!$I:$I,$I2))</f>
        <v/>
      </c>
      <c r="G931" s="135" t="n">
        <v>7</v>
      </c>
      <c r="H931" s="5">
        <f>IF($I2="","",INDEX(Productos!$AG:$AG,$I2))</f>
        <v/>
      </c>
      <c r="I931" s="136">
        <f>LET(_xlpm.r,Productos!$E$2:$E$1063,_xlpm.m,IFERROR(_xlfn.XMATCH(C931,_xlpm.r),IFERROR(_xlfn.XMATCH(VALUE(C931),_xlpm.r),0)),IF(_xlpm.m=0,"",_xlpm.m+1))</f>
        <v/>
      </c>
      <c r="J931" s="137" t="inlineStr">
        <is>
          <t>Odoo</t>
        </is>
      </c>
    </row>
    <row r="932">
      <c r="A932" s="5" t="inlineStr">
        <is>
          <t>Odoo Universal Unique Brands › Bodega 25 › Bodega 25/General</t>
        </is>
      </c>
      <c r="B932" s="5">
        <f>IF($I2="","",INDEX(Productos!$A:$A,$I2))</f>
        <v/>
      </c>
      <c r="C932" s="134" t="inlineStr">
        <is>
          <t>WG252-C012BK</t>
        </is>
      </c>
      <c r="D932" s="5">
        <f>IF($I2="","",INDEX(Productos!$B:$B,$I2))</f>
        <v/>
      </c>
      <c r="E932" s="5">
        <f>IF($I2="","",INDEX(Productos!$H:$H,$I2))</f>
        <v/>
      </c>
      <c r="F932" s="5">
        <f>IF($I2="","",INDEX(Productos!$I:$I,$I2))</f>
        <v/>
      </c>
      <c r="G932" s="135" t="n">
        <v>7</v>
      </c>
      <c r="H932" s="5">
        <f>IF($I2="","",INDEX(Productos!$AG:$AG,$I2))</f>
        <v/>
      </c>
      <c r="I932" s="136">
        <f>LET(_xlpm.r,Productos!$E$2:$E$1063,_xlpm.m,IFERROR(_xlfn.XMATCH(C932,_xlpm.r),IFERROR(_xlfn.XMATCH(VALUE(C932),_xlpm.r),0)),IF(_xlpm.m=0,"",_xlpm.m+1))</f>
        <v/>
      </c>
      <c r="J932" s="137" t="inlineStr">
        <is>
          <t>Odoo</t>
        </is>
      </c>
    </row>
    <row r="933">
      <c r="A933" s="5" t="inlineStr">
        <is>
          <t>Odoo Universal Unique Brands › Bodega 25 › Bodega 25/General</t>
        </is>
      </c>
      <c r="B933" s="5">
        <f>IF($I2="","",INDEX(Productos!$A:$A,$I2))</f>
        <v/>
      </c>
      <c r="C933" s="134" t="inlineStr">
        <is>
          <t>WG252-C012BR</t>
        </is>
      </c>
      <c r="D933" s="5">
        <f>IF($I2="","",INDEX(Productos!$B:$B,$I2))</f>
        <v/>
      </c>
      <c r="E933" s="5">
        <f>IF($I2="","",INDEX(Productos!$H:$H,$I2))</f>
        <v/>
      </c>
      <c r="F933" s="5">
        <f>IF($I2="","",INDEX(Productos!$I:$I,$I2))</f>
        <v/>
      </c>
      <c r="G933" s="135" t="n">
        <v>3</v>
      </c>
      <c r="H933" s="5">
        <f>IF($I2="","",INDEX(Productos!$AG:$AG,$I2))</f>
        <v/>
      </c>
      <c r="I933" s="136">
        <f>LET(_xlpm.r,Productos!$E$2:$E$1063,_xlpm.m,IFERROR(_xlfn.XMATCH(C933,_xlpm.r),IFERROR(_xlfn.XMATCH(VALUE(C933),_xlpm.r),0)),IF(_xlpm.m=0,"",_xlpm.m+1))</f>
        <v/>
      </c>
      <c r="J933" s="137" t="inlineStr">
        <is>
          <t>Odoo</t>
        </is>
      </c>
    </row>
    <row r="934">
      <c r="A934" s="5" t="inlineStr">
        <is>
          <t>Odoo Universal Unique Brands › Bodega 25 › Bodega 25/General</t>
        </is>
      </c>
      <c r="B934" s="5">
        <f>IF($I2="","",INDEX(Productos!$A:$A,$I2))</f>
        <v/>
      </c>
      <c r="C934" s="134" t="inlineStr">
        <is>
          <t>WG264-8014RD</t>
        </is>
      </c>
      <c r="D934" s="5">
        <f>IF($I2="","",INDEX(Productos!$B:$B,$I2))</f>
        <v/>
      </c>
      <c r="E934" s="5">
        <f>IF($I2="","",INDEX(Productos!$H:$H,$I2))</f>
        <v/>
      </c>
      <c r="F934" s="5">
        <f>IF($I2="","",INDEX(Productos!$I:$I,$I2))</f>
        <v/>
      </c>
      <c r="G934" s="135" t="n">
        <v>3</v>
      </c>
      <c r="H934" s="5">
        <f>IF($I2="","",INDEX(Productos!$AG:$AG,$I2))</f>
        <v/>
      </c>
      <c r="I934" s="136">
        <f>LET(_xlpm.r,Productos!$E$2:$E$1063,_xlpm.m,IFERROR(_xlfn.XMATCH(C934,_xlpm.r),IFERROR(_xlfn.XMATCH(VALUE(C934),_xlpm.r),0)),IF(_xlpm.m=0,"",_xlpm.m+1))</f>
        <v/>
      </c>
      <c r="J934" s="137" t="inlineStr">
        <is>
          <t>Odoo</t>
        </is>
      </c>
    </row>
    <row r="935">
      <c r="A935" s="5" t="inlineStr">
        <is>
          <t>Odoo Universal Unique Brands › Bodega 25 › Bodega 25/General</t>
        </is>
      </c>
      <c r="B935" s="5">
        <f>IF($I2="","",INDEX(Productos!$A:$A,$I2))</f>
        <v/>
      </c>
      <c r="C935" s="134" t="inlineStr">
        <is>
          <t>WG265-3027KH</t>
        </is>
      </c>
      <c r="D935" s="5">
        <f>IF($I2="","",INDEX(Productos!$B:$B,$I2))</f>
        <v/>
      </c>
      <c r="E935" s="5">
        <f>IF($I2="","",INDEX(Productos!$H:$H,$I2))</f>
        <v/>
      </c>
      <c r="F935" s="5">
        <f>IF($I2="","",INDEX(Productos!$I:$I,$I2))</f>
        <v/>
      </c>
      <c r="G935" s="135" t="n">
        <v>10</v>
      </c>
      <c r="H935" s="5">
        <f>IF($I2="","",INDEX(Productos!$AG:$AG,$I2))</f>
        <v/>
      </c>
      <c r="I935" s="136">
        <f>LET(_xlpm.r,Productos!$E$2:$E$1063,_xlpm.m,IFERROR(_xlfn.XMATCH(C935,_xlpm.r),IFERROR(_xlfn.XMATCH(VALUE(C935),_xlpm.r),0)),IF(_xlpm.m=0,"",_xlpm.m+1))</f>
        <v/>
      </c>
      <c r="J935" s="137" t="inlineStr">
        <is>
          <t>Odoo</t>
        </is>
      </c>
    </row>
    <row r="936">
      <c r="A936" s="5" t="inlineStr">
        <is>
          <t>Odoo Universal Unique Brands › Bodega 25 › Bodega 25/General</t>
        </is>
      </c>
      <c r="B936" s="5">
        <f>IF($I2="","",INDEX(Productos!$A:$A,$I2))</f>
        <v/>
      </c>
      <c r="C936" s="134" t="inlineStr">
        <is>
          <t>WG276-9182BG</t>
        </is>
      </c>
      <c r="D936" s="5">
        <f>IF($I2="","",INDEX(Productos!$B:$B,$I2))</f>
        <v/>
      </c>
      <c r="E936" s="5">
        <f>IF($I2="","",INDEX(Productos!$H:$H,$I2))</f>
        <v/>
      </c>
      <c r="F936" s="5">
        <f>IF($I2="","",INDEX(Productos!$I:$I,$I2))</f>
        <v/>
      </c>
      <c r="G936" s="135" t="n">
        <v>1</v>
      </c>
      <c r="H936" s="5">
        <f>IF($I2="","",INDEX(Productos!$AG:$AG,$I2))</f>
        <v/>
      </c>
      <c r="I936" s="136">
        <f>LET(_xlpm.r,Productos!$E$2:$E$1063,_xlpm.m,IFERROR(_xlfn.XMATCH(C936,_xlpm.r),IFERROR(_xlfn.XMATCH(VALUE(C936),_xlpm.r),0)),IF(_xlpm.m=0,"",_xlpm.m+1))</f>
        <v/>
      </c>
      <c r="J936" s="137" t="inlineStr">
        <is>
          <t>Odoo</t>
        </is>
      </c>
    </row>
    <row r="937">
      <c r="A937" s="5" t="inlineStr">
        <is>
          <t>Odoo Universal Unique Brands › Bodega 25 › Bodega 25/General</t>
        </is>
      </c>
      <c r="B937" s="5">
        <f>IF($I2="","",INDEX(Productos!$A:$A,$I2))</f>
        <v/>
      </c>
      <c r="C937" s="134" t="inlineStr">
        <is>
          <t>WG276-9182BR</t>
        </is>
      </c>
      <c r="D937" s="5">
        <f>IF($I2="","",INDEX(Productos!$B:$B,$I2))</f>
        <v/>
      </c>
      <c r="E937" s="5">
        <f>IF($I2="","",INDEX(Productos!$H:$H,$I2))</f>
        <v/>
      </c>
      <c r="F937" s="5">
        <f>IF($I2="","",INDEX(Productos!$I:$I,$I2))</f>
        <v/>
      </c>
      <c r="G937" s="135" t="n">
        <v>11</v>
      </c>
      <c r="H937" s="5">
        <f>IF($I2="","",INDEX(Productos!$AG:$AG,$I2))</f>
        <v/>
      </c>
      <c r="I937" s="136">
        <f>LET(_xlpm.r,Productos!$E$2:$E$1063,_xlpm.m,IFERROR(_xlfn.XMATCH(C937,_xlpm.r),IFERROR(_xlfn.XMATCH(VALUE(C937),_xlpm.r),0)),IF(_xlpm.m=0,"",_xlpm.m+1))</f>
        <v/>
      </c>
      <c r="J937" s="137" t="inlineStr">
        <is>
          <t>Odoo</t>
        </is>
      </c>
    </row>
    <row r="938">
      <c r="A938" s="5" t="inlineStr">
        <is>
          <t>Odoo Universal Unique Brands › Bodega 25 › Bodega 25/General</t>
        </is>
      </c>
      <c r="B938" s="5">
        <f>IF($I2="","",INDEX(Productos!$A:$A,$I2))</f>
        <v/>
      </c>
      <c r="C938" s="134" t="inlineStr">
        <is>
          <t>WG276-9182KH</t>
        </is>
      </c>
      <c r="D938" s="5">
        <f>IF($I2="","",INDEX(Productos!$B:$B,$I2))</f>
        <v/>
      </c>
      <c r="E938" s="5">
        <f>IF($I2="","",INDEX(Productos!$H:$H,$I2))</f>
        <v/>
      </c>
      <c r="F938" s="5">
        <f>IF($I2="","",INDEX(Productos!$I:$I,$I2))</f>
        <v/>
      </c>
      <c r="G938" s="135" t="n">
        <v>5</v>
      </c>
      <c r="H938" s="5">
        <f>IF($I2="","",INDEX(Productos!$AG:$AG,$I2))</f>
        <v/>
      </c>
      <c r="I938" s="136">
        <f>LET(_xlpm.r,Productos!$E$2:$E$1063,_xlpm.m,IFERROR(_xlfn.XMATCH(C938,_xlpm.r),IFERROR(_xlfn.XMATCH(VALUE(C938),_xlpm.r),0)),IF(_xlpm.m=0,"",_xlpm.m+1))</f>
        <v/>
      </c>
      <c r="J938" s="137" t="inlineStr">
        <is>
          <t>Odoo</t>
        </is>
      </c>
    </row>
    <row r="939">
      <c r="A939" s="5" t="inlineStr">
        <is>
          <t>Odoo Universal Unique Brands › Bodega 25 › Bodega 25/General</t>
        </is>
      </c>
      <c r="B939" s="5">
        <f>IF($I2="","",INDEX(Productos!$A:$A,$I2))</f>
        <v/>
      </c>
      <c r="C939" s="134" t="inlineStr">
        <is>
          <t>WG277-236CF</t>
        </is>
      </c>
      <c r="D939" s="5">
        <f>IF($I2="","",INDEX(Productos!$B:$B,$I2))</f>
        <v/>
      </c>
      <c r="E939" s="5">
        <f>IF($I2="","",INDEX(Productos!$H:$H,$I2))</f>
        <v/>
      </c>
      <c r="F939" s="5">
        <f>IF($I2="","",INDEX(Productos!$I:$I,$I2))</f>
        <v/>
      </c>
      <c r="G939" s="135" t="n">
        <v>10</v>
      </c>
      <c r="H939" s="5">
        <f>IF($I2="","",INDEX(Productos!$AG:$AG,$I2))</f>
        <v/>
      </c>
      <c r="I939" s="136">
        <f>LET(_xlpm.r,Productos!$E$2:$E$1063,_xlpm.m,IFERROR(_xlfn.XMATCH(C939,_xlpm.r),IFERROR(_xlfn.XMATCH(VALUE(C939),_xlpm.r),0)),IF(_xlpm.m=0,"",_xlpm.m+1))</f>
        <v/>
      </c>
      <c r="J939" s="137" t="inlineStr">
        <is>
          <t>Odoo</t>
        </is>
      </c>
    </row>
    <row r="940">
      <c r="A940" s="5" t="inlineStr">
        <is>
          <t>Odoo Universal Unique Brands › Bodega 25 › Bodega 25/General</t>
        </is>
      </c>
      <c r="B940" s="5">
        <f>IF($I2="","",INDEX(Productos!$A:$A,$I2))</f>
        <v/>
      </c>
      <c r="C940" s="134" t="inlineStr">
        <is>
          <t>WG277-9182BK</t>
        </is>
      </c>
      <c r="D940" s="5">
        <f>IF($I2="","",INDEX(Productos!$B:$B,$I2))</f>
        <v/>
      </c>
      <c r="E940" s="5">
        <f>IF($I2="","",INDEX(Productos!$H:$H,$I2))</f>
        <v/>
      </c>
      <c r="F940" s="5">
        <f>IF($I2="","",INDEX(Productos!$I:$I,$I2))</f>
        <v/>
      </c>
      <c r="G940" s="135" t="n">
        <v>4</v>
      </c>
      <c r="H940" s="5">
        <f>IF($I2="","",INDEX(Productos!$AG:$AG,$I2))</f>
        <v/>
      </c>
      <c r="I940" s="136">
        <f>LET(_xlpm.r,Productos!$E$2:$E$1063,_xlpm.m,IFERROR(_xlfn.XMATCH(C940,_xlpm.r),IFERROR(_xlfn.XMATCH(VALUE(C940),_xlpm.r),0)),IF(_xlpm.m=0,"",_xlpm.m+1))</f>
        <v/>
      </c>
      <c r="J940" s="137" t="inlineStr">
        <is>
          <t>Odoo</t>
        </is>
      </c>
    </row>
    <row r="941">
      <c r="A941" s="5" t="inlineStr">
        <is>
          <t>Odoo Universal Unique Brands › Bodega 25 › Bodega 25/General</t>
        </is>
      </c>
      <c r="B941" s="5">
        <f>IF($I2="","",INDEX(Productos!$A:$A,$I2))</f>
        <v/>
      </c>
      <c r="C941" s="134" t="inlineStr">
        <is>
          <t>WG277-9182CF</t>
        </is>
      </c>
      <c r="D941" s="5">
        <f>IF($I2="","",INDEX(Productos!$B:$B,$I2))</f>
        <v/>
      </c>
      <c r="E941" s="5">
        <f>IF($I2="","",INDEX(Productos!$H:$H,$I2))</f>
        <v/>
      </c>
      <c r="F941" s="5">
        <f>IF($I2="","",INDEX(Productos!$I:$I,$I2))</f>
        <v/>
      </c>
      <c r="G941" s="135" t="n">
        <v>12</v>
      </c>
      <c r="H941" s="5">
        <f>IF($I2="","",INDEX(Productos!$AG:$AG,$I2))</f>
        <v/>
      </c>
      <c r="I941" s="136">
        <f>LET(_xlpm.r,Productos!$E$2:$E$1063,_xlpm.m,IFERROR(_xlfn.XMATCH(C941,_xlpm.r),IFERROR(_xlfn.XMATCH(VALUE(C941),_xlpm.r),0)),IF(_xlpm.m=0,"",_xlpm.m+1))</f>
        <v/>
      </c>
      <c r="J941" s="137" t="inlineStr">
        <is>
          <t>Odoo</t>
        </is>
      </c>
    </row>
    <row r="942">
      <c r="A942" s="5" t="inlineStr">
        <is>
          <t>Odoo Universal Unique Brands › Bodega 25 › Bodega 25/General</t>
        </is>
      </c>
      <c r="B942" s="5">
        <f>IF($I2="","",INDEX(Productos!$A:$A,$I2))</f>
        <v/>
      </c>
      <c r="C942" s="134" t="inlineStr">
        <is>
          <t>WG277-9182KH</t>
        </is>
      </c>
      <c r="D942" s="5">
        <f>IF($I2="","",INDEX(Productos!$B:$B,$I2))</f>
        <v/>
      </c>
      <c r="E942" s="5">
        <f>IF($I2="","",INDEX(Productos!$H:$H,$I2))</f>
        <v/>
      </c>
      <c r="F942" s="5">
        <f>IF($I2="","",INDEX(Productos!$I:$I,$I2))</f>
        <v/>
      </c>
      <c r="G942" s="135" t="n">
        <v>6</v>
      </c>
      <c r="H942" s="5">
        <f>IF($I2="","",INDEX(Productos!$AG:$AG,$I2))</f>
        <v/>
      </c>
      <c r="I942" s="136">
        <f>LET(_xlpm.r,Productos!$E$2:$E$1063,_xlpm.m,IFERROR(_xlfn.XMATCH(C942,_xlpm.r),IFERROR(_xlfn.XMATCH(VALUE(C942),_xlpm.r),0)),IF(_xlpm.m=0,"",_xlpm.m+1))</f>
        <v/>
      </c>
      <c r="J942" s="137" t="inlineStr">
        <is>
          <t>Odoo</t>
        </is>
      </c>
    </row>
    <row r="943">
      <c r="A943" s="5" t="inlineStr">
        <is>
          <t>Odoo Universal Unique Brands › Bodega 25 › Bodega 25/General</t>
        </is>
      </c>
      <c r="B943" s="5">
        <f>IF($I2="","",INDEX(Productos!$A:$A,$I2))</f>
        <v/>
      </c>
      <c r="C943" s="134" t="inlineStr">
        <is>
          <t>WG283-8015BR</t>
        </is>
      </c>
      <c r="D943" s="5">
        <f>IF($I2="","",INDEX(Productos!$B:$B,$I2))</f>
        <v/>
      </c>
      <c r="E943" s="5">
        <f>IF($I2="","",INDEX(Productos!$H:$H,$I2))</f>
        <v/>
      </c>
      <c r="F943" s="5">
        <f>IF($I2="","",INDEX(Productos!$I:$I,$I2))</f>
        <v/>
      </c>
      <c r="G943" s="135" t="n">
        <v>4</v>
      </c>
      <c r="H943" s="5">
        <f>IF($I2="","",INDEX(Productos!$AG:$AG,$I2))</f>
        <v/>
      </c>
      <c r="I943" s="136">
        <f>LET(_xlpm.r,Productos!$E$2:$E$1063,_xlpm.m,IFERROR(_xlfn.XMATCH(C943,_xlpm.r),IFERROR(_xlfn.XMATCH(VALUE(C943),_xlpm.r),0)),IF(_xlpm.m=0,"",_xlpm.m+1))</f>
        <v/>
      </c>
      <c r="J943" s="137" t="inlineStr">
        <is>
          <t>Odoo</t>
        </is>
      </c>
    </row>
    <row r="944">
      <c r="A944" s="5" t="inlineStr">
        <is>
          <t>Odoo Universal Unique Brands › Bodega 25 › Bodega 25/General</t>
        </is>
      </c>
      <c r="B944" s="5">
        <f>IF($I2="","",INDEX(Productos!$A:$A,$I2))</f>
        <v/>
      </c>
      <c r="C944" s="134" t="inlineStr">
        <is>
          <t>WG283-8015TN</t>
        </is>
      </c>
      <c r="D944" s="5">
        <f>IF($I2="","",INDEX(Productos!$B:$B,$I2))</f>
        <v/>
      </c>
      <c r="E944" s="5">
        <f>IF($I2="","",INDEX(Productos!$H:$H,$I2))</f>
        <v/>
      </c>
      <c r="F944" s="5">
        <f>IF($I2="","",INDEX(Productos!$I:$I,$I2))</f>
        <v/>
      </c>
      <c r="G944" s="135" t="n">
        <v>1</v>
      </c>
      <c r="H944" s="5">
        <f>IF($I2="","",INDEX(Productos!$AG:$AG,$I2))</f>
        <v/>
      </c>
      <c r="I944" s="136">
        <f>LET(_xlpm.r,Productos!$E$2:$E$1063,_xlpm.m,IFERROR(_xlfn.XMATCH(C944,_xlpm.r),IFERROR(_xlfn.XMATCH(VALUE(C944),_xlpm.r),0)),IF(_xlpm.m=0,"",_xlpm.m+1))</f>
        <v/>
      </c>
      <c r="J944" s="137" t="inlineStr">
        <is>
          <t>Odoo</t>
        </is>
      </c>
    </row>
    <row r="945">
      <c r="A945" s="5" t="inlineStr">
        <is>
          <t>Odoo Universal Unique Brands › Bodega 25 › Bodega 25/General</t>
        </is>
      </c>
      <c r="B945" s="5">
        <f>IF($I2="","",INDEX(Productos!$A:$A,$I2))</f>
        <v/>
      </c>
      <c r="C945" s="134" t="inlineStr">
        <is>
          <t>WG284D-8119BR</t>
        </is>
      </c>
      <c r="D945" s="5">
        <f>IF($I2="","",INDEX(Productos!$B:$B,$I2))</f>
        <v/>
      </c>
      <c r="E945" s="5">
        <f>IF($I2="","",INDEX(Productos!$H:$H,$I2))</f>
        <v/>
      </c>
      <c r="F945" s="5">
        <f>IF($I2="","",INDEX(Productos!$I:$I,$I2))</f>
        <v/>
      </c>
      <c r="G945" s="135" t="n">
        <v>20</v>
      </c>
      <c r="H945" s="5">
        <f>IF($I2="","",INDEX(Productos!$AG:$AG,$I2))</f>
        <v/>
      </c>
      <c r="I945" s="136">
        <f>LET(_xlpm.r,Productos!$E$2:$E$1063,_xlpm.m,IFERROR(_xlfn.XMATCH(C945,_xlpm.r),IFERROR(_xlfn.XMATCH(VALUE(C945),_xlpm.r),0)),IF(_xlpm.m=0,"",_xlpm.m+1))</f>
        <v/>
      </c>
      <c r="J945" s="137" t="inlineStr">
        <is>
          <t>Odoo</t>
        </is>
      </c>
    </row>
    <row r="946">
      <c r="A946" s="5" t="inlineStr">
        <is>
          <t>Odoo Universal Unique Brands › Bodega 25 › Bodega 25/General</t>
        </is>
      </c>
      <c r="B946" s="5">
        <f>IF($I2="","",INDEX(Productos!$A:$A,$I2))</f>
        <v/>
      </c>
      <c r="C946" s="134" t="inlineStr">
        <is>
          <t>WG284D-8119HPK</t>
        </is>
      </c>
      <c r="D946" s="5">
        <f>IF($I2="","",INDEX(Productos!$B:$B,$I2))</f>
        <v/>
      </c>
      <c r="E946" s="5">
        <f>IF($I2="","",INDEX(Productos!$H:$H,$I2))</f>
        <v/>
      </c>
      <c r="F946" s="5">
        <f>IF($I2="","",INDEX(Productos!$I:$I,$I2))</f>
        <v/>
      </c>
      <c r="G946" s="135" t="n">
        <v>5</v>
      </c>
      <c r="H946" s="5">
        <f>IF($I2="","",INDEX(Productos!$AG:$AG,$I2))</f>
        <v/>
      </c>
      <c r="I946" s="136">
        <f>LET(_xlpm.r,Productos!$E$2:$E$1063,_xlpm.m,IFERROR(_xlfn.XMATCH(C946,_xlpm.r),IFERROR(_xlfn.XMATCH(VALUE(C946),_xlpm.r),0)),IF(_xlpm.m=0,"",_xlpm.m+1))</f>
        <v/>
      </c>
      <c r="J946" s="137" t="inlineStr">
        <is>
          <t>Odoo</t>
        </is>
      </c>
    </row>
    <row r="947">
      <c r="A947" s="5" t="inlineStr">
        <is>
          <t>Odoo Universal Unique Brands › Bodega 25 › Bodega 25/General</t>
        </is>
      </c>
      <c r="B947" s="5">
        <f>IF($I2="","",INDEX(Productos!$A:$A,$I2))</f>
        <v/>
      </c>
      <c r="C947" s="134" t="inlineStr">
        <is>
          <t>WG284D-8119RD</t>
        </is>
      </c>
      <c r="D947" s="5">
        <f>IF($I2="","",INDEX(Productos!$B:$B,$I2))</f>
        <v/>
      </c>
      <c r="E947" s="5">
        <f>IF($I2="","",INDEX(Productos!$H:$H,$I2))</f>
        <v/>
      </c>
      <c r="F947" s="5">
        <f>IF($I2="","",INDEX(Productos!$I:$I,$I2))</f>
        <v/>
      </c>
      <c r="G947" s="135" t="n">
        <v>2</v>
      </c>
      <c r="H947" s="5">
        <f>IF($I2="","",INDEX(Productos!$AG:$AG,$I2))</f>
        <v/>
      </c>
      <c r="I947" s="136">
        <f>LET(_xlpm.r,Productos!$E$2:$E$1063,_xlpm.m,IFERROR(_xlfn.XMATCH(C947,_xlpm.r),IFERROR(_xlfn.XMATCH(VALUE(C947),_xlpm.r),0)),IF(_xlpm.m=0,"",_xlpm.m+1))</f>
        <v/>
      </c>
      <c r="J947" s="137" t="inlineStr">
        <is>
          <t>Odoo</t>
        </is>
      </c>
    </row>
    <row r="948">
      <c r="A948" s="5" t="inlineStr">
        <is>
          <t>Odoo Universal Unique Brands › Bodega 25 › Bodega 25/General</t>
        </is>
      </c>
      <c r="B948" s="5">
        <f>IF($I2="","",INDEX(Productos!$A:$A,$I2))</f>
        <v/>
      </c>
      <c r="C948" s="134" t="inlineStr">
        <is>
          <t>WG284D-8119TQ</t>
        </is>
      </c>
      <c r="D948" s="5">
        <f>IF($I2="","",INDEX(Productos!$B:$B,$I2))</f>
        <v/>
      </c>
      <c r="E948" s="5">
        <f>IF($I2="","",INDEX(Productos!$H:$H,$I2))</f>
        <v/>
      </c>
      <c r="F948" s="5">
        <f>IF($I2="","",INDEX(Productos!$I:$I,$I2))</f>
        <v/>
      </c>
      <c r="G948" s="135" t="n">
        <v>22</v>
      </c>
      <c r="H948" s="5">
        <f>IF($I2="","",INDEX(Productos!$AG:$AG,$I2))</f>
        <v/>
      </c>
      <c r="I948" s="136">
        <f>LET(_xlpm.r,Productos!$E$2:$E$1063,_xlpm.m,IFERROR(_xlfn.XMATCH(C948,_xlpm.r),IFERROR(_xlfn.XMATCH(VALUE(C948),_xlpm.r),0)),IF(_xlpm.m=0,"",_xlpm.m+1))</f>
        <v/>
      </c>
      <c r="J948" s="137" t="inlineStr">
        <is>
          <t>Odoo</t>
        </is>
      </c>
    </row>
    <row r="949">
      <c r="A949" s="5" t="inlineStr">
        <is>
          <t>Odoo Universal Unique Brands › Bodega 25 › Bodega 25/General</t>
        </is>
      </c>
      <c r="B949" s="5">
        <f>IF($I2="","",INDEX(Productos!$A:$A,$I2))</f>
        <v/>
      </c>
      <c r="C949" s="134" t="inlineStr">
        <is>
          <t>WG286-1833GN</t>
        </is>
      </c>
      <c r="D949" s="5">
        <f>IF($I2="","",INDEX(Productos!$B:$B,$I2))</f>
        <v/>
      </c>
      <c r="E949" s="5">
        <f>IF($I2="","",INDEX(Productos!$H:$H,$I2))</f>
        <v/>
      </c>
      <c r="F949" s="5">
        <f>IF($I2="","",INDEX(Productos!$I:$I,$I2))</f>
        <v/>
      </c>
      <c r="G949" s="135" t="n">
        <v>2</v>
      </c>
      <c r="H949" s="5">
        <f>IF($I2="","",INDEX(Productos!$AG:$AG,$I2))</f>
        <v/>
      </c>
      <c r="I949" s="136">
        <f>LET(_xlpm.r,Productos!$E$2:$E$1063,_xlpm.m,IFERROR(_xlfn.XMATCH(C949,_xlpm.r),IFERROR(_xlfn.XMATCH(VALUE(C949),_xlpm.r),0)),IF(_xlpm.m=0,"",_xlpm.m+1))</f>
        <v/>
      </c>
      <c r="J949" s="137" t="inlineStr">
        <is>
          <t>Odoo</t>
        </is>
      </c>
    </row>
    <row r="950">
      <c r="A950" s="5" t="inlineStr">
        <is>
          <t>Odoo Universal Unique Brands › Bodega 25 › Bodega 25/General</t>
        </is>
      </c>
      <c r="B950" s="5">
        <f>IF($I2="","",INDEX(Productos!$A:$A,$I2))</f>
        <v/>
      </c>
      <c r="C950" s="134" t="inlineStr">
        <is>
          <t>WG286-1833GY</t>
        </is>
      </c>
      <c r="D950" s="5">
        <f>IF($I2="","",INDEX(Productos!$B:$B,$I2))</f>
        <v/>
      </c>
      <c r="E950" s="5">
        <f>IF($I2="","",INDEX(Productos!$H:$H,$I2))</f>
        <v/>
      </c>
      <c r="F950" s="5">
        <f>IF($I2="","",INDEX(Productos!$I:$I,$I2))</f>
        <v/>
      </c>
      <c r="G950" s="135" t="n">
        <v>3</v>
      </c>
      <c r="H950" s="5">
        <f>IF($I2="","",INDEX(Productos!$AG:$AG,$I2))</f>
        <v/>
      </c>
      <c r="I950" s="136">
        <f>LET(_xlpm.r,Productos!$E$2:$E$1063,_xlpm.m,IFERROR(_xlfn.XMATCH(C950,_xlpm.r),IFERROR(_xlfn.XMATCH(VALUE(C950),_xlpm.r),0)),IF(_xlpm.m=0,"",_xlpm.m+1))</f>
        <v/>
      </c>
      <c r="J950" s="137" t="inlineStr">
        <is>
          <t>Odoo</t>
        </is>
      </c>
    </row>
    <row r="951">
      <c r="A951" s="5" t="inlineStr">
        <is>
          <t>Odoo Universal Unique Brands › Bodega 25 › Bodega 25/General</t>
        </is>
      </c>
      <c r="B951" s="5">
        <f>IF($I2="","",INDEX(Productos!$A:$A,$I2))</f>
        <v/>
      </c>
      <c r="C951" s="134" t="inlineStr">
        <is>
          <t>WG286-1833PK</t>
        </is>
      </c>
      <c r="D951" s="5">
        <f>IF($I2="","",INDEX(Productos!$B:$B,$I2))</f>
        <v/>
      </c>
      <c r="E951" s="5">
        <f>IF($I2="","",INDEX(Productos!$H:$H,$I2))</f>
        <v/>
      </c>
      <c r="F951" s="5">
        <f>IF($I2="","",INDEX(Productos!$I:$I,$I2))</f>
        <v/>
      </c>
      <c r="G951" s="135" t="n">
        <v>2</v>
      </c>
      <c r="H951" s="5">
        <f>IF($I2="","",INDEX(Productos!$AG:$AG,$I2))</f>
        <v/>
      </c>
      <c r="I951" s="136">
        <f>LET(_xlpm.r,Productos!$E$2:$E$1063,_xlpm.m,IFERROR(_xlfn.XMATCH(C951,_xlpm.r),IFERROR(_xlfn.XMATCH(VALUE(C951),_xlpm.r),0)),IF(_xlpm.m=0,"",_xlpm.m+1))</f>
        <v/>
      </c>
      <c r="J951" s="137" t="inlineStr">
        <is>
          <t>Odoo</t>
        </is>
      </c>
    </row>
    <row r="952">
      <c r="A952" s="5" t="inlineStr">
        <is>
          <t>Odoo Universal Unique Brands › Bodega 25 › Bodega 25/General</t>
        </is>
      </c>
      <c r="B952" s="5">
        <f>IF($I2="","",INDEX(Productos!$A:$A,$I2))</f>
        <v/>
      </c>
      <c r="C952" s="134" t="inlineStr">
        <is>
          <t>WG286-5110BR</t>
        </is>
      </c>
      <c r="D952" s="5">
        <f>IF($I2="","",INDEX(Productos!$B:$B,$I2))</f>
        <v/>
      </c>
      <c r="E952" s="5">
        <f>IF($I2="","",INDEX(Productos!$H:$H,$I2))</f>
        <v/>
      </c>
      <c r="F952" s="5">
        <f>IF($I2="","",INDEX(Productos!$I:$I,$I2))</f>
        <v/>
      </c>
      <c r="G952" s="135" t="n">
        <v>1</v>
      </c>
      <c r="H952" s="5">
        <f>IF($I2="","",INDEX(Productos!$AG:$AG,$I2))</f>
        <v/>
      </c>
      <c r="I952" s="136">
        <f>LET(_xlpm.r,Productos!$E$2:$E$1063,_xlpm.m,IFERROR(_xlfn.XMATCH(C952,_xlpm.r),IFERROR(_xlfn.XMATCH(VALUE(C952),_xlpm.r),0)),IF(_xlpm.m=0,"",_xlpm.m+1))</f>
        <v/>
      </c>
      <c r="J952" s="137" t="inlineStr">
        <is>
          <t>Odoo</t>
        </is>
      </c>
    </row>
    <row r="953">
      <c r="A953" s="5" t="inlineStr">
        <is>
          <t>Odoo Universal Unique Brands › Bodega 25 › Bodega 25/General</t>
        </is>
      </c>
      <c r="B953" s="5">
        <f>IF($I2="","",INDEX(Productos!$A:$A,$I2))</f>
        <v/>
      </c>
      <c r="C953" s="134" t="inlineStr">
        <is>
          <t>WG286-8120SBK</t>
        </is>
      </c>
      <c r="D953" s="5">
        <f>IF($I2="","",INDEX(Productos!$B:$B,$I2))</f>
        <v/>
      </c>
      <c r="E953" s="5">
        <f>IF($I2="","",INDEX(Productos!$H:$H,$I2))</f>
        <v/>
      </c>
      <c r="F953" s="5">
        <f>IF($I2="","",INDEX(Productos!$I:$I,$I2))</f>
        <v/>
      </c>
      <c r="G953" s="135" t="n">
        <v>2</v>
      </c>
      <c r="H953" s="5">
        <f>IF($I2="","",INDEX(Productos!$AG:$AG,$I2))</f>
        <v/>
      </c>
      <c r="I953" s="136">
        <f>LET(_xlpm.r,Productos!$E$2:$E$1063,_xlpm.m,IFERROR(_xlfn.XMATCH(C953,_xlpm.r),IFERROR(_xlfn.XMATCH(VALUE(C953),_xlpm.r),0)),IF(_xlpm.m=0,"",_xlpm.m+1))</f>
        <v/>
      </c>
      <c r="J953" s="137" t="inlineStr">
        <is>
          <t>Odoo</t>
        </is>
      </c>
    </row>
    <row r="954">
      <c r="A954" s="5" t="inlineStr">
        <is>
          <t>Odoo Universal Unique Brands › Bodega 25 › Bodega 25/General</t>
        </is>
      </c>
      <c r="B954" s="5">
        <f>IF($I2="","",INDEX(Productos!$A:$A,$I2))</f>
        <v/>
      </c>
      <c r="C954" s="134" t="inlineStr">
        <is>
          <t>WG286-8120SBR</t>
        </is>
      </c>
      <c r="D954" s="5">
        <f>IF($I2="","",INDEX(Productos!$B:$B,$I2))</f>
        <v/>
      </c>
      <c r="E954" s="5">
        <f>IF($I2="","",INDEX(Productos!$H:$H,$I2))</f>
        <v/>
      </c>
      <c r="F954" s="5">
        <f>IF($I2="","",INDEX(Productos!$I:$I,$I2))</f>
        <v/>
      </c>
      <c r="G954" s="135" t="n">
        <v>1</v>
      </c>
      <c r="H954" s="5">
        <f>IF($I2="","",INDEX(Productos!$AG:$AG,$I2))</f>
        <v/>
      </c>
      <c r="I954" s="136">
        <f>LET(_xlpm.r,Productos!$E$2:$E$1063,_xlpm.m,IFERROR(_xlfn.XMATCH(C954,_xlpm.r),IFERROR(_xlfn.XMATCH(VALUE(C954),_xlpm.r),0)),IF(_xlpm.m=0,"",_xlpm.m+1))</f>
        <v/>
      </c>
      <c r="J954" s="137" t="inlineStr">
        <is>
          <t>Odoo</t>
        </is>
      </c>
    </row>
    <row r="955">
      <c r="A955" s="5" t="inlineStr">
        <is>
          <t>Odoo Universal Unique Brands › Bodega 25 › Bodega 25/General</t>
        </is>
      </c>
      <c r="B955" s="5">
        <f>IF($I2="","",INDEX(Productos!$A:$A,$I2))</f>
        <v/>
      </c>
      <c r="C955" s="134" t="inlineStr">
        <is>
          <t>WG286-W0051BK</t>
        </is>
      </c>
      <c r="D955" s="5">
        <f>IF($I2="","",INDEX(Productos!$B:$B,$I2))</f>
        <v/>
      </c>
      <c r="E955" s="5">
        <f>IF($I2="","",INDEX(Productos!$H:$H,$I2))</f>
        <v/>
      </c>
      <c r="F955" s="5">
        <f>IF($I2="","",INDEX(Productos!$I:$I,$I2))</f>
        <v/>
      </c>
      <c r="G955" s="135" t="n">
        <v>2</v>
      </c>
      <c r="H955" s="5">
        <f>IF($I2="","",INDEX(Productos!$AG:$AG,$I2))</f>
        <v/>
      </c>
      <c r="I955" s="136">
        <f>LET(_xlpm.r,Productos!$E$2:$E$1063,_xlpm.m,IFERROR(_xlfn.XMATCH(C955,_xlpm.r),IFERROR(_xlfn.XMATCH(VALUE(C955),_xlpm.r),0)),IF(_xlpm.m=0,"",_xlpm.m+1))</f>
        <v/>
      </c>
      <c r="J955" s="137" t="inlineStr">
        <is>
          <t>Odoo</t>
        </is>
      </c>
    </row>
    <row r="956">
      <c r="A956" s="5" t="inlineStr">
        <is>
          <t>Odoo Universal Unique Brands › Bodega 25 › Bodega 25/General</t>
        </is>
      </c>
      <c r="B956" s="5">
        <f>IF($I2="","",INDEX(Productos!$A:$A,$I2))</f>
        <v/>
      </c>
      <c r="C956" s="134" t="inlineStr">
        <is>
          <t>WG296-8014BR</t>
        </is>
      </c>
      <c r="D956" s="5">
        <f>IF($I2="","",INDEX(Productos!$B:$B,$I2))</f>
        <v/>
      </c>
      <c r="E956" s="5">
        <f>IF($I2="","",INDEX(Productos!$H:$H,$I2))</f>
        <v/>
      </c>
      <c r="F956" s="5">
        <f>IF($I2="","",INDEX(Productos!$I:$I,$I2))</f>
        <v/>
      </c>
      <c r="G956" s="135" t="n">
        <v>3</v>
      </c>
      <c r="H956" s="5">
        <f>IF($I2="","",INDEX(Productos!$AG:$AG,$I2))</f>
        <v/>
      </c>
      <c r="I956" s="136">
        <f>LET(_xlpm.r,Productos!$E$2:$E$1063,_xlpm.m,IFERROR(_xlfn.XMATCH(C956,_xlpm.r),IFERROR(_xlfn.XMATCH(VALUE(C956),_xlpm.r),0)),IF(_xlpm.m=0,"",_xlpm.m+1))</f>
        <v/>
      </c>
      <c r="J956" s="137" t="inlineStr">
        <is>
          <t>Odoo</t>
        </is>
      </c>
    </row>
    <row r="957">
      <c r="A957" s="5" t="inlineStr">
        <is>
          <t>Odoo Universal Unique Brands › Bodega 25 › Bodega 25/General</t>
        </is>
      </c>
      <c r="B957" s="5">
        <f>IF($I2="","",INDEX(Productos!$A:$A,$I2))</f>
        <v/>
      </c>
      <c r="C957" s="134" t="inlineStr">
        <is>
          <t>WG296-8015BR</t>
        </is>
      </c>
      <c r="D957" s="5">
        <f>IF($I2="","",INDEX(Productos!$B:$B,$I2))</f>
        <v/>
      </c>
      <c r="E957" s="5">
        <f>IF($I2="","",INDEX(Productos!$H:$H,$I2))</f>
        <v/>
      </c>
      <c r="F957" s="5">
        <f>IF($I2="","",INDEX(Productos!$I:$I,$I2))</f>
        <v/>
      </c>
      <c r="G957" s="135" t="n">
        <v>2</v>
      </c>
      <c r="H957" s="5">
        <f>IF($I2="","",INDEX(Productos!$AG:$AG,$I2))</f>
        <v/>
      </c>
      <c r="I957" s="136">
        <f>LET(_xlpm.r,Productos!$E$2:$E$1063,_xlpm.m,IFERROR(_xlfn.XMATCH(C957,_xlpm.r),IFERROR(_xlfn.XMATCH(VALUE(C957),_xlpm.r),0)),IF(_xlpm.m=0,"",_xlpm.m+1))</f>
        <v/>
      </c>
      <c r="J957" s="137" t="inlineStr">
        <is>
          <t>Odoo</t>
        </is>
      </c>
    </row>
    <row r="958">
      <c r="A958" s="5" t="inlineStr">
        <is>
          <t>Odoo Universal Unique Brands › Bodega 25 › Bodega 25/General</t>
        </is>
      </c>
      <c r="B958" s="5">
        <f>IF($I2="","",INDEX(Productos!$A:$A,$I2))</f>
        <v/>
      </c>
      <c r="C958" s="134" t="inlineStr">
        <is>
          <t>WG296-8625BR</t>
        </is>
      </c>
      <c r="D958" s="5">
        <f>IF($I2="","",INDEX(Productos!$B:$B,$I2))</f>
        <v/>
      </c>
      <c r="E958" s="5">
        <f>IF($I2="","",INDEX(Productos!$H:$H,$I2))</f>
        <v/>
      </c>
      <c r="F958" s="5">
        <f>IF($I2="","",INDEX(Productos!$I:$I,$I2))</f>
        <v/>
      </c>
      <c r="G958" s="135" t="n">
        <v>2</v>
      </c>
      <c r="H958" s="5">
        <f>IF($I2="","",INDEX(Productos!$AG:$AG,$I2))</f>
        <v/>
      </c>
      <c r="I958" s="136">
        <f>LET(_xlpm.r,Productos!$E$2:$E$1063,_xlpm.m,IFERROR(_xlfn.XMATCH(C958,_xlpm.r),IFERROR(_xlfn.XMATCH(VALUE(C958),_xlpm.r),0)),IF(_xlpm.m=0,"",_xlpm.m+1))</f>
        <v/>
      </c>
      <c r="J958" s="137" t="inlineStr">
        <is>
          <t>Odoo</t>
        </is>
      </c>
    </row>
    <row r="959">
      <c r="A959" s="5" t="inlineStr">
        <is>
          <t>Odoo Universal Unique Brands › Bodega 25 › Bodega 25/General</t>
        </is>
      </c>
      <c r="B959" s="5">
        <f>IF($I2="","",INDEX(Productos!$A:$A,$I2))</f>
        <v/>
      </c>
      <c r="C959" s="134" t="inlineStr">
        <is>
          <t>WG296-8900TN</t>
        </is>
      </c>
      <c r="D959" s="5">
        <f>IF($I2="","",INDEX(Productos!$B:$B,$I2))</f>
        <v/>
      </c>
      <c r="E959" s="5">
        <f>IF($I2="","",INDEX(Productos!$H:$H,$I2))</f>
        <v/>
      </c>
      <c r="F959" s="5">
        <f>IF($I2="","",INDEX(Productos!$I:$I,$I2))</f>
        <v/>
      </c>
      <c r="G959" s="135" t="n">
        <v>2</v>
      </c>
      <c r="H959" s="5">
        <f>IF($I2="","",INDEX(Productos!$AG:$AG,$I2))</f>
        <v/>
      </c>
      <c r="I959" s="136">
        <f>LET(_xlpm.r,Productos!$E$2:$E$1063,_xlpm.m,IFERROR(_xlfn.XMATCH(C959,_xlpm.r),IFERROR(_xlfn.XMATCH(VALUE(C959),_xlpm.r),0)),IF(_xlpm.m=0,"",_xlpm.m+1))</f>
        <v/>
      </c>
      <c r="J959" s="137" t="inlineStr">
        <is>
          <t>Odoo</t>
        </is>
      </c>
    </row>
    <row r="960">
      <c r="A960" s="5" t="inlineStr">
        <is>
          <t>Odoo Universal Unique Brands › Bodega 25 › Bodega 25/General</t>
        </is>
      </c>
      <c r="B960" s="5">
        <f>IF($I2="","",INDEX(Productos!$A:$A,$I2))</f>
        <v/>
      </c>
      <c r="C960" s="134" t="inlineStr">
        <is>
          <t>WG296-W0051CF</t>
        </is>
      </c>
      <c r="D960" s="5">
        <f>IF($I2="","",INDEX(Productos!$B:$B,$I2))</f>
        <v/>
      </c>
      <c r="E960" s="5">
        <f>IF($I2="","",INDEX(Productos!$H:$H,$I2))</f>
        <v/>
      </c>
      <c r="F960" s="5">
        <f>IF($I2="","",INDEX(Productos!$I:$I,$I2))</f>
        <v/>
      </c>
      <c r="G960" s="135" t="n">
        <v>1</v>
      </c>
      <c r="H960" s="5">
        <f>IF($I2="","",INDEX(Productos!$AG:$AG,$I2))</f>
        <v/>
      </c>
      <c r="I960" s="136">
        <f>LET(_xlpm.r,Productos!$E$2:$E$1063,_xlpm.m,IFERROR(_xlfn.XMATCH(C960,_xlpm.r),IFERROR(_xlfn.XMATCH(VALUE(C960),_xlpm.r),0)),IF(_xlpm.m=0,"",_xlpm.m+1))</f>
        <v/>
      </c>
      <c r="J960" s="137" t="inlineStr">
        <is>
          <t>Odoo</t>
        </is>
      </c>
    </row>
    <row r="961">
      <c r="A961" s="5" t="inlineStr">
        <is>
          <t>Odoo Universal Unique Brands › Bodega 25 › Bodega 25/General</t>
        </is>
      </c>
      <c r="B961" s="5">
        <f>IF($I2="","",INDEX(Productos!$A:$A,$I2))</f>
        <v/>
      </c>
      <c r="C961" s="134" t="inlineStr">
        <is>
          <t>WG313-181BDY</t>
        </is>
      </c>
      <c r="D961" s="5">
        <f>IF($I2="","",INDEX(Productos!$B:$B,$I2))</f>
        <v/>
      </c>
      <c r="E961" s="5">
        <f>IF($I2="","",INDEX(Productos!$H:$H,$I2))</f>
        <v/>
      </c>
      <c r="F961" s="5">
        <f>IF($I2="","",INDEX(Productos!$I:$I,$I2))</f>
        <v/>
      </c>
      <c r="G961" s="135" t="n">
        <v>1</v>
      </c>
      <c r="H961" s="5">
        <f>IF($I2="","",INDEX(Productos!$AG:$AG,$I2))</f>
        <v/>
      </c>
      <c r="I961" s="136">
        <f>LET(_xlpm.r,Productos!$E$2:$E$1063,_xlpm.m,IFERROR(_xlfn.XMATCH(C961,_xlpm.r),IFERROR(_xlfn.XMATCH(VALUE(C961),_xlpm.r),0)),IF(_xlpm.m=0,"",_xlpm.m+1))</f>
        <v/>
      </c>
      <c r="J961" s="137" t="inlineStr">
        <is>
          <t>Odoo</t>
        </is>
      </c>
    </row>
    <row r="962">
      <c r="A962" s="5" t="inlineStr">
        <is>
          <t>Odoo Universal Unique Brands › Bodega 25 › Bodega 25/General</t>
        </is>
      </c>
      <c r="B962" s="5">
        <f>IF($I2="","",INDEX(Productos!$A:$A,$I2))</f>
        <v/>
      </c>
      <c r="C962" s="134" t="inlineStr">
        <is>
          <t>WG313-181GN</t>
        </is>
      </c>
      <c r="D962" s="5">
        <f>IF($I2="","",INDEX(Productos!$B:$B,$I2))</f>
        <v/>
      </c>
      <c r="E962" s="5">
        <f>IF($I2="","",INDEX(Productos!$H:$H,$I2))</f>
        <v/>
      </c>
      <c r="F962" s="5">
        <f>IF($I2="","",INDEX(Productos!$I:$I,$I2))</f>
        <v/>
      </c>
      <c r="G962" s="135" t="n">
        <v>5</v>
      </c>
      <c r="H962" s="5">
        <f>IF($I2="","",INDEX(Productos!$AG:$AG,$I2))</f>
        <v/>
      </c>
      <c r="I962" s="136">
        <f>LET(_xlpm.r,Productos!$E$2:$E$1063,_xlpm.m,IFERROR(_xlfn.XMATCH(C962,_xlpm.r),IFERROR(_xlfn.XMATCH(VALUE(C962),_xlpm.r),0)),IF(_xlpm.m=0,"",_xlpm.m+1))</f>
        <v/>
      </c>
      <c r="J962" s="137" t="inlineStr">
        <is>
          <t>Odoo</t>
        </is>
      </c>
    </row>
    <row r="963">
      <c r="A963" s="5" t="inlineStr">
        <is>
          <t>Odoo Universal Unique Brands › Bodega 25 › Bodega 25/General</t>
        </is>
      </c>
      <c r="B963" s="5">
        <f>IF($I2="","",INDEX(Productos!$A:$A,$I2))</f>
        <v/>
      </c>
      <c r="C963" s="134" t="inlineStr">
        <is>
          <t>WG313-2003BDY</t>
        </is>
      </c>
      <c r="D963" s="5">
        <f>IF($I2="","",INDEX(Productos!$B:$B,$I2))</f>
        <v/>
      </c>
      <c r="E963" s="5">
        <f>IF($I2="","",INDEX(Productos!$H:$H,$I2))</f>
        <v/>
      </c>
      <c r="F963" s="5">
        <f>IF($I2="","",INDEX(Productos!$I:$I,$I2))</f>
        <v/>
      </c>
      <c r="G963" s="135" t="n">
        <v>2</v>
      </c>
      <c r="H963" s="5">
        <f>IF($I2="","",INDEX(Productos!$AG:$AG,$I2))</f>
        <v/>
      </c>
      <c r="I963" s="136">
        <f>LET(_xlpm.r,Productos!$E$2:$E$1063,_xlpm.m,IFERROR(_xlfn.XMATCH(C963,_xlpm.r),IFERROR(_xlfn.XMATCH(VALUE(C963),_xlpm.r),0)),IF(_xlpm.m=0,"",_xlpm.m+1))</f>
        <v/>
      </c>
      <c r="J963" s="137" t="inlineStr">
        <is>
          <t>Odoo</t>
        </is>
      </c>
    </row>
    <row r="964">
      <c r="A964" s="5" t="inlineStr">
        <is>
          <t>Odoo Universal Unique Brands › Bodega 25 › Bodega 25/General</t>
        </is>
      </c>
      <c r="B964" s="5">
        <f>IF($I2="","",INDEX(Productos!$A:$A,$I2))</f>
        <v/>
      </c>
      <c r="C964" s="134" t="inlineStr">
        <is>
          <t>WG313-5110TN</t>
        </is>
      </c>
      <c r="D964" s="5">
        <f>IF($I2="","",INDEX(Productos!$B:$B,$I2))</f>
        <v/>
      </c>
      <c r="E964" s="5">
        <f>IF($I2="","",INDEX(Productos!$H:$H,$I2))</f>
        <v/>
      </c>
      <c r="F964" s="5">
        <f>IF($I2="","",INDEX(Productos!$I:$I,$I2))</f>
        <v/>
      </c>
      <c r="G964" s="135" t="n">
        <v>1</v>
      </c>
      <c r="H964" s="5">
        <f>IF($I2="","",INDEX(Productos!$AG:$AG,$I2))</f>
        <v/>
      </c>
      <c r="I964" s="136">
        <f>LET(_xlpm.r,Productos!$E$2:$E$1063,_xlpm.m,IFERROR(_xlfn.XMATCH(C964,_xlpm.r),IFERROR(_xlfn.XMATCH(VALUE(C964),_xlpm.r),0)),IF(_xlpm.m=0,"",_xlpm.m+1))</f>
        <v/>
      </c>
      <c r="J964" s="137" t="inlineStr">
        <is>
          <t>Odoo</t>
        </is>
      </c>
    </row>
    <row r="965">
      <c r="A965" s="5" t="inlineStr">
        <is>
          <t>Odoo Universal Unique Brands › Bodega 25 › Bodega 25/General</t>
        </is>
      </c>
      <c r="B965" s="5">
        <f>IF($I2="","",INDEX(Productos!$A:$A,$I2))</f>
        <v/>
      </c>
      <c r="C965" s="134" t="inlineStr">
        <is>
          <t>WG313-8119BDY</t>
        </is>
      </c>
      <c r="D965" s="5">
        <f>IF($I2="","",INDEX(Productos!$B:$B,$I2))</f>
        <v/>
      </c>
      <c r="E965" s="5">
        <f>IF($I2="","",INDEX(Productos!$H:$H,$I2))</f>
        <v/>
      </c>
      <c r="F965" s="5">
        <f>IF($I2="","",INDEX(Productos!$I:$I,$I2))</f>
        <v/>
      </c>
      <c r="G965" s="135" t="n">
        <v>16</v>
      </c>
      <c r="H965" s="5">
        <f>IF($I2="","",INDEX(Productos!$AG:$AG,$I2))</f>
        <v/>
      </c>
      <c r="I965" s="136">
        <f>LET(_xlpm.r,Productos!$E$2:$E$1063,_xlpm.m,IFERROR(_xlfn.XMATCH(C965,_xlpm.r),IFERROR(_xlfn.XMATCH(VALUE(C965),_xlpm.r),0)),IF(_xlpm.m=0,"",_xlpm.m+1))</f>
        <v/>
      </c>
      <c r="J965" s="137" t="inlineStr">
        <is>
          <t>Odoo</t>
        </is>
      </c>
    </row>
    <row r="966">
      <c r="A966" s="5" t="inlineStr">
        <is>
          <t>Odoo Universal Unique Brands › Bodega 25 › Bodega 25/General</t>
        </is>
      </c>
      <c r="B966" s="5">
        <f>IF($I2="","",INDEX(Productos!$A:$A,$I2))</f>
        <v/>
      </c>
      <c r="C966" s="134" t="inlineStr">
        <is>
          <t>WG313-8119BR</t>
        </is>
      </c>
      <c r="D966" s="5">
        <f>IF($I2="","",INDEX(Productos!$B:$B,$I2))</f>
        <v/>
      </c>
      <c r="E966" s="5">
        <f>IF($I2="","",INDEX(Productos!$H:$H,$I2))</f>
        <v/>
      </c>
      <c r="F966" s="5">
        <f>IF($I2="","",INDEX(Productos!$I:$I,$I2))</f>
        <v/>
      </c>
      <c r="G966" s="135" t="n">
        <v>2</v>
      </c>
      <c r="H966" s="5">
        <f>IF($I2="","",INDEX(Productos!$AG:$AG,$I2))</f>
        <v/>
      </c>
      <c r="I966" s="136">
        <f>LET(_xlpm.r,Productos!$E$2:$E$1063,_xlpm.m,IFERROR(_xlfn.XMATCH(C966,_xlpm.r),IFERROR(_xlfn.XMATCH(VALUE(C966),_xlpm.r),0)),IF(_xlpm.m=0,"",_xlpm.m+1))</f>
        <v/>
      </c>
      <c r="J966" s="137" t="inlineStr">
        <is>
          <t>Odoo</t>
        </is>
      </c>
    </row>
    <row r="967">
      <c r="A967" s="5" t="inlineStr">
        <is>
          <t>Odoo Universal Unique Brands › Bodega 25 › Bodega 25/General</t>
        </is>
      </c>
      <c r="B967" s="5">
        <f>IF($I2="","",INDEX(Productos!$A:$A,$I2))</f>
        <v/>
      </c>
      <c r="C967" s="134" t="inlineStr">
        <is>
          <t>WG313-8119GN</t>
        </is>
      </c>
      <c r="D967" s="5">
        <f>IF($I2="","",INDEX(Productos!$B:$B,$I2))</f>
        <v/>
      </c>
      <c r="E967" s="5">
        <f>IF($I2="","",INDEX(Productos!$H:$H,$I2))</f>
        <v/>
      </c>
      <c r="F967" s="5">
        <f>IF($I2="","",INDEX(Productos!$I:$I,$I2))</f>
        <v/>
      </c>
      <c r="G967" s="135" t="n">
        <v>26</v>
      </c>
      <c r="H967" s="5">
        <f>IF($I2="","",INDEX(Productos!$AG:$AG,$I2))</f>
        <v/>
      </c>
      <c r="I967" s="136">
        <f>LET(_xlpm.r,Productos!$E$2:$E$1063,_xlpm.m,IFERROR(_xlfn.XMATCH(C967,_xlpm.r),IFERROR(_xlfn.XMATCH(VALUE(C967),_xlpm.r),0)),IF(_xlpm.m=0,"",_xlpm.m+1))</f>
        <v/>
      </c>
      <c r="J967" s="137" t="inlineStr">
        <is>
          <t>Odoo</t>
        </is>
      </c>
    </row>
    <row r="968">
      <c r="A968" s="5" t="inlineStr">
        <is>
          <t>Odoo Universal Unique Brands › Bodega 25 › Bodega 25/General</t>
        </is>
      </c>
      <c r="B968" s="5">
        <f>IF($I2="","",INDEX(Productos!$A:$A,$I2))</f>
        <v/>
      </c>
      <c r="C968" s="134" t="inlineStr">
        <is>
          <t>WG331-2005TQ</t>
        </is>
      </c>
      <c r="D968" s="5">
        <f>IF($I2="","",INDEX(Productos!$B:$B,$I2))</f>
        <v/>
      </c>
      <c r="E968" s="5">
        <f>IF($I2="","",INDEX(Productos!$H:$H,$I2))</f>
        <v/>
      </c>
      <c r="F968" s="5">
        <f>IF($I2="","",INDEX(Productos!$I:$I,$I2))</f>
        <v/>
      </c>
      <c r="G968" s="135" t="n">
        <v>11</v>
      </c>
      <c r="H968" s="5">
        <f>IF($I2="","",INDEX(Productos!$AG:$AG,$I2))</f>
        <v/>
      </c>
      <c r="I968" s="136">
        <f>LET(_xlpm.r,Productos!$E$2:$E$1063,_xlpm.m,IFERROR(_xlfn.XMATCH(C968,_xlpm.r),IFERROR(_xlfn.XMATCH(VALUE(C968),_xlpm.r),0)),IF(_xlpm.m=0,"",_xlpm.m+1))</f>
        <v/>
      </c>
      <c r="J968" s="137" t="inlineStr">
        <is>
          <t>Odoo</t>
        </is>
      </c>
    </row>
    <row r="969">
      <c r="A969" s="5" t="inlineStr">
        <is>
          <t>Odoo Universal Unique Brands › Bodega 25 › Bodega 25/General</t>
        </is>
      </c>
      <c r="B969" s="5">
        <f>IF($I2="","",INDEX(Productos!$A:$A,$I2))</f>
        <v/>
      </c>
      <c r="C969" s="134" t="inlineStr">
        <is>
          <t>WG331-2005YL</t>
        </is>
      </c>
      <c r="D969" s="5">
        <f>IF($I2="","",INDEX(Productos!$B:$B,$I2))</f>
        <v/>
      </c>
      <c r="E969" s="5">
        <f>IF($I2="","",INDEX(Productos!$H:$H,$I2))</f>
        <v/>
      </c>
      <c r="F969" s="5">
        <f>IF($I2="","",INDEX(Productos!$I:$I,$I2))</f>
        <v/>
      </c>
      <c r="G969" s="135" t="n">
        <v>11</v>
      </c>
      <c r="H969" s="5">
        <f>IF($I2="","",INDEX(Productos!$AG:$AG,$I2))</f>
        <v/>
      </c>
      <c r="I969" s="136">
        <f>LET(_xlpm.r,Productos!$E$2:$E$1063,_xlpm.m,IFERROR(_xlfn.XMATCH(C969,_xlpm.r),IFERROR(_xlfn.XMATCH(VALUE(C969),_xlpm.r),0)),IF(_xlpm.m=0,"",_xlpm.m+1))</f>
        <v/>
      </c>
      <c r="J969" s="137" t="inlineStr">
        <is>
          <t>Odoo</t>
        </is>
      </c>
    </row>
    <row r="970">
      <c r="A970" s="5" t="inlineStr">
        <is>
          <t>Odoo Universal Unique Brands › Bodega 25 › Bodega 25/General</t>
        </is>
      </c>
      <c r="B970" s="5">
        <f>IF($I2="","",INDEX(Productos!$A:$A,$I2))</f>
        <v/>
      </c>
      <c r="C970" s="134" t="inlineStr">
        <is>
          <t>WG331-8120SBK</t>
        </is>
      </c>
      <c r="D970" s="5">
        <f>IF($I2="","",INDEX(Productos!$B:$B,$I2))</f>
        <v/>
      </c>
      <c r="E970" s="5">
        <f>IF($I2="","",INDEX(Productos!$H:$H,$I2))</f>
        <v/>
      </c>
      <c r="F970" s="5">
        <f>IF($I2="","",INDEX(Productos!$I:$I,$I2))</f>
        <v/>
      </c>
      <c r="G970" s="135" t="n">
        <v>1</v>
      </c>
      <c r="H970" s="5">
        <f>IF($I2="","",INDEX(Productos!$AG:$AG,$I2))</f>
        <v/>
      </c>
      <c r="I970" s="136">
        <f>LET(_xlpm.r,Productos!$E$2:$E$1063,_xlpm.m,IFERROR(_xlfn.XMATCH(C970,_xlpm.r),IFERROR(_xlfn.XMATCH(VALUE(C970),_xlpm.r),0)),IF(_xlpm.m=0,"",_xlpm.m+1))</f>
        <v/>
      </c>
      <c r="J970" s="137" t="inlineStr">
        <is>
          <t>Odoo</t>
        </is>
      </c>
    </row>
    <row r="971">
      <c r="A971" s="5" t="inlineStr">
        <is>
          <t>Odoo Universal Unique Brands › Bodega 25 › Bodega 25/General</t>
        </is>
      </c>
      <c r="B971" s="5">
        <f>IF($I2="","",INDEX(Productos!$A:$A,$I2))</f>
        <v/>
      </c>
      <c r="C971" s="134" t="inlineStr">
        <is>
          <t>WG331-8120SYL</t>
        </is>
      </c>
      <c r="D971" s="5">
        <f>IF($I2="","",INDEX(Productos!$B:$B,$I2))</f>
        <v/>
      </c>
      <c r="E971" s="5">
        <f>IF($I2="","",INDEX(Productos!$H:$H,$I2))</f>
        <v/>
      </c>
      <c r="F971" s="5">
        <f>IF($I2="","",INDEX(Productos!$I:$I,$I2))</f>
        <v/>
      </c>
      <c r="G971" s="135" t="n">
        <v>3</v>
      </c>
      <c r="H971" s="5">
        <f>IF($I2="","",INDEX(Productos!$AG:$AG,$I2))</f>
        <v/>
      </c>
      <c r="I971" s="136">
        <f>LET(_xlpm.r,Productos!$E$2:$E$1063,_xlpm.m,IFERROR(_xlfn.XMATCH(C971,_xlpm.r),IFERROR(_xlfn.XMATCH(VALUE(C971),_xlpm.r),0)),IF(_xlpm.m=0,"",_xlpm.m+1))</f>
        <v/>
      </c>
      <c r="J971" s="137" t="inlineStr">
        <is>
          <t>Odoo</t>
        </is>
      </c>
    </row>
    <row r="972">
      <c r="A972" s="5" t="inlineStr">
        <is>
          <t>Odoo Universal Unique Brands › Bodega 25 › Bodega 25/General</t>
        </is>
      </c>
      <c r="B972" s="5">
        <f>IF($I2="","",INDEX(Productos!$A:$A,$I2))</f>
        <v/>
      </c>
      <c r="C972" s="134" t="inlineStr">
        <is>
          <t>WG331-9012TQ</t>
        </is>
      </c>
      <c r="D972" s="5">
        <f>IF($I2="","",INDEX(Productos!$B:$B,$I2))</f>
        <v/>
      </c>
      <c r="E972" s="5">
        <f>IF($I2="","",INDEX(Productos!$H:$H,$I2))</f>
        <v/>
      </c>
      <c r="F972" s="5">
        <f>IF($I2="","",INDEX(Productos!$I:$I,$I2))</f>
        <v/>
      </c>
      <c r="G972" s="135" t="n">
        <v>10</v>
      </c>
      <c r="H972" s="5">
        <f>IF($I2="","",INDEX(Productos!$AG:$AG,$I2))</f>
        <v/>
      </c>
      <c r="I972" s="136">
        <f>LET(_xlpm.r,Productos!$E$2:$E$1063,_xlpm.m,IFERROR(_xlfn.XMATCH(C972,_xlpm.r),IFERROR(_xlfn.XMATCH(VALUE(C972),_xlpm.r),0)),IF(_xlpm.m=0,"",_xlpm.m+1))</f>
        <v/>
      </c>
      <c r="J972" s="137" t="inlineStr">
        <is>
          <t>Odoo</t>
        </is>
      </c>
    </row>
    <row r="973">
      <c r="A973" s="5" t="inlineStr">
        <is>
          <t>Odoo Universal Unique Brands › Bodega 25 › Bodega 25/General</t>
        </is>
      </c>
      <c r="B973" s="5">
        <f>IF($I2="","",INDEX(Productos!$A:$A,$I2))</f>
        <v/>
      </c>
      <c r="C973" s="134" t="inlineStr">
        <is>
          <t>WG331-9012YL</t>
        </is>
      </c>
      <c r="D973" s="5">
        <f>IF($I2="","",INDEX(Productos!$B:$B,$I2))</f>
        <v/>
      </c>
      <c r="E973" s="5">
        <f>IF($I2="","",INDEX(Productos!$H:$H,$I2))</f>
        <v/>
      </c>
      <c r="F973" s="5">
        <f>IF($I2="","",INDEX(Productos!$I:$I,$I2))</f>
        <v/>
      </c>
      <c r="G973" s="135" t="n">
        <v>9</v>
      </c>
      <c r="H973" s="5">
        <f>IF($I2="","",INDEX(Productos!$AG:$AG,$I2))</f>
        <v/>
      </c>
      <c r="I973" s="136">
        <f>LET(_xlpm.r,Productos!$E$2:$E$1063,_xlpm.m,IFERROR(_xlfn.XMATCH(C973,_xlpm.r),IFERROR(_xlfn.XMATCH(VALUE(C973),_xlpm.r),0)),IF(_xlpm.m=0,"",_xlpm.m+1))</f>
        <v/>
      </c>
      <c r="J973" s="137" t="inlineStr">
        <is>
          <t>Odoo</t>
        </is>
      </c>
    </row>
    <row r="974">
      <c r="A974" s="5" t="inlineStr">
        <is>
          <t>Odoo Universal Unique Brands › Bodega 25 › Bodega 25/General</t>
        </is>
      </c>
      <c r="B974" s="5">
        <f>IF($I2="","",INDEX(Productos!$A:$A,$I2))</f>
        <v/>
      </c>
      <c r="C974" s="134" t="inlineStr">
        <is>
          <t>WG331-W115RD</t>
        </is>
      </c>
      <c r="D974" s="5">
        <f>IF($I2="","",INDEX(Productos!$B:$B,$I2))</f>
        <v/>
      </c>
      <c r="E974" s="5">
        <f>IF($I2="","",INDEX(Productos!$H:$H,$I2))</f>
        <v/>
      </c>
      <c r="F974" s="5">
        <f>IF($I2="","",INDEX(Productos!$I:$I,$I2))</f>
        <v/>
      </c>
      <c r="G974" s="135" t="n">
        <v>2</v>
      </c>
      <c r="H974" s="5">
        <f>IF($I2="","",INDEX(Productos!$AG:$AG,$I2))</f>
        <v/>
      </c>
      <c r="I974" s="136">
        <f>LET(_xlpm.r,Productos!$E$2:$E$1063,_xlpm.m,IFERROR(_xlfn.XMATCH(C974,_xlpm.r),IFERROR(_xlfn.XMATCH(VALUE(C974),_xlpm.r),0)),IF(_xlpm.m=0,"",_xlpm.m+1))</f>
        <v/>
      </c>
      <c r="J974" s="137" t="inlineStr">
        <is>
          <t>Odoo</t>
        </is>
      </c>
    </row>
    <row r="975">
      <c r="A975" s="5" t="inlineStr">
        <is>
          <t>Odoo Universal Unique Brands › Bodega 25 › Bodega 25/General</t>
        </is>
      </c>
      <c r="B975" s="5">
        <f>IF($I2="","",INDEX(Productos!$A:$A,$I2))</f>
        <v/>
      </c>
      <c r="C975" s="134" t="inlineStr">
        <is>
          <t>WG331-W115TQ</t>
        </is>
      </c>
      <c r="D975" s="5">
        <f>IF($I2="","",INDEX(Productos!$B:$B,$I2))</f>
        <v/>
      </c>
      <c r="E975" s="5">
        <f>IF($I2="","",INDEX(Productos!$H:$H,$I2))</f>
        <v/>
      </c>
      <c r="F975" s="5">
        <f>IF($I2="","",INDEX(Productos!$I:$I,$I2))</f>
        <v/>
      </c>
      <c r="G975" s="135" t="n">
        <v>18</v>
      </c>
      <c r="H975" s="5">
        <f>IF($I2="","",INDEX(Productos!$AG:$AG,$I2))</f>
        <v/>
      </c>
      <c r="I975" s="136">
        <f>LET(_xlpm.r,Productos!$E$2:$E$1063,_xlpm.m,IFERROR(_xlfn.XMATCH(C975,_xlpm.r),IFERROR(_xlfn.XMATCH(VALUE(C975),_xlpm.r),0)),IF(_xlpm.m=0,"",_xlpm.m+1))</f>
        <v/>
      </c>
      <c r="J975" s="137" t="inlineStr">
        <is>
          <t>Odoo</t>
        </is>
      </c>
    </row>
    <row r="976">
      <c r="A976" s="5" t="inlineStr">
        <is>
          <t>Odoo Universal Unique Brands › Bodega 25 › Bodega 25/General</t>
        </is>
      </c>
      <c r="B976" s="5">
        <f>IF($I2="","",INDEX(Productos!$A:$A,$I2))</f>
        <v/>
      </c>
      <c r="C976" s="134" t="inlineStr">
        <is>
          <t>WG331-W115YL</t>
        </is>
      </c>
      <c r="D976" s="5">
        <f>IF($I2="","",INDEX(Productos!$B:$B,$I2))</f>
        <v/>
      </c>
      <c r="E976" s="5">
        <f>IF($I2="","",INDEX(Productos!$H:$H,$I2))</f>
        <v/>
      </c>
      <c r="F976" s="5">
        <f>IF($I2="","",INDEX(Productos!$I:$I,$I2))</f>
        <v/>
      </c>
      <c r="G976" s="135" t="n">
        <v>2</v>
      </c>
      <c r="H976" s="5">
        <f>IF($I2="","",INDEX(Productos!$AG:$AG,$I2))</f>
        <v/>
      </c>
      <c r="I976" s="136">
        <f>LET(_xlpm.r,Productos!$E$2:$E$1063,_xlpm.m,IFERROR(_xlfn.XMATCH(C976,_xlpm.r),IFERROR(_xlfn.XMATCH(VALUE(C976),_xlpm.r),0)),IF(_xlpm.m=0,"",_xlpm.m+1))</f>
        <v/>
      </c>
      <c r="J976" s="137" t="inlineStr">
        <is>
          <t>Odoo</t>
        </is>
      </c>
    </row>
    <row r="977">
      <c r="A977" s="5" t="inlineStr">
        <is>
          <t>Odoo Universal Unique Brands › Bodega 25 › Bodega 25/General</t>
        </is>
      </c>
      <c r="B977" s="5">
        <f>IF($I2="","",INDEX(Productos!$A:$A,$I2))</f>
        <v/>
      </c>
      <c r="C977" s="134" t="inlineStr">
        <is>
          <t>WG337-2003BK</t>
        </is>
      </c>
      <c r="D977" s="5">
        <f>IF($I2="","",INDEX(Productos!$B:$B,$I2))</f>
        <v/>
      </c>
      <c r="E977" s="5">
        <f>IF($I2="","",INDEX(Productos!$H:$H,$I2))</f>
        <v/>
      </c>
      <c r="F977" s="5">
        <f>IF($I2="","",INDEX(Productos!$I:$I,$I2))</f>
        <v/>
      </c>
      <c r="G977" s="135" t="n">
        <v>1</v>
      </c>
      <c r="H977" s="5">
        <f>IF($I2="","",INDEX(Productos!$AG:$AG,$I2))</f>
        <v/>
      </c>
      <c r="I977" s="136">
        <f>LET(_xlpm.r,Productos!$E$2:$E$1063,_xlpm.m,IFERROR(_xlfn.XMATCH(C977,_xlpm.r),IFERROR(_xlfn.XMATCH(VALUE(C977),_xlpm.r),0)),IF(_xlpm.m=0,"",_xlpm.m+1))</f>
        <v/>
      </c>
      <c r="J977" s="137" t="inlineStr">
        <is>
          <t>Odoo</t>
        </is>
      </c>
    </row>
    <row r="978">
      <c r="A978" s="5" t="inlineStr">
        <is>
          <t>Odoo Universal Unique Brands › Bodega 25 › Bodega 25/General</t>
        </is>
      </c>
      <c r="B978" s="5">
        <f>IF($I2="","",INDEX(Productos!$A:$A,$I2))</f>
        <v/>
      </c>
      <c r="C978" s="134" t="inlineStr">
        <is>
          <t>WG337-2003BR</t>
        </is>
      </c>
      <c r="D978" s="5">
        <f>IF($I2="","",INDEX(Productos!$B:$B,$I2))</f>
        <v/>
      </c>
      <c r="E978" s="5">
        <f>IF($I2="","",INDEX(Productos!$H:$H,$I2))</f>
        <v/>
      </c>
      <c r="F978" s="5">
        <f>IF($I2="","",INDEX(Productos!$I:$I,$I2))</f>
        <v/>
      </c>
      <c r="G978" s="135" t="n">
        <v>1</v>
      </c>
      <c r="H978" s="5">
        <f>IF($I2="","",INDEX(Productos!$AG:$AG,$I2))</f>
        <v/>
      </c>
      <c r="I978" s="136">
        <f>LET(_xlpm.r,Productos!$E$2:$E$1063,_xlpm.m,IFERROR(_xlfn.XMATCH(C978,_xlpm.r),IFERROR(_xlfn.XMATCH(VALUE(C978),_xlpm.r),0)),IF(_xlpm.m=0,"",_xlpm.m+1))</f>
        <v/>
      </c>
      <c r="J978" s="137" t="inlineStr">
        <is>
          <t>Odoo</t>
        </is>
      </c>
    </row>
    <row r="979">
      <c r="A979" s="5" t="inlineStr">
        <is>
          <t>Odoo Universal Unique Brands › Bodega 25 › Bodega 25/General</t>
        </is>
      </c>
      <c r="B979" s="5">
        <f>IF($I2="","",INDEX(Productos!$A:$A,$I2))</f>
        <v/>
      </c>
      <c r="C979" s="134" t="inlineStr">
        <is>
          <t>WG337-2003GN</t>
        </is>
      </c>
      <c r="D979" s="5">
        <f>IF($I2="","",INDEX(Productos!$B:$B,$I2))</f>
        <v/>
      </c>
      <c r="E979" s="5">
        <f>IF($I2="","",INDEX(Productos!$H:$H,$I2))</f>
        <v/>
      </c>
      <c r="F979" s="5">
        <f>IF($I2="","",INDEX(Productos!$I:$I,$I2))</f>
        <v/>
      </c>
      <c r="G979" s="135" t="n">
        <v>2</v>
      </c>
      <c r="H979" s="5">
        <f>IF($I2="","",INDEX(Productos!$AG:$AG,$I2))</f>
        <v/>
      </c>
      <c r="I979" s="136">
        <f>LET(_xlpm.r,Productos!$E$2:$E$1063,_xlpm.m,IFERROR(_xlfn.XMATCH(C979,_xlpm.r),IFERROR(_xlfn.XMATCH(VALUE(C979),_xlpm.r),0)),IF(_xlpm.m=0,"",_xlpm.m+1))</f>
        <v/>
      </c>
      <c r="J979" s="137" t="inlineStr">
        <is>
          <t>Odoo</t>
        </is>
      </c>
    </row>
    <row r="980">
      <c r="A980" s="5" t="inlineStr">
        <is>
          <t>Odoo Universal Unique Brands › Bodega 25 › Bodega 25/General</t>
        </is>
      </c>
      <c r="B980" s="5">
        <f>IF($I2="","",INDEX(Productos!$A:$A,$I2))</f>
        <v/>
      </c>
      <c r="C980" s="134" t="inlineStr">
        <is>
          <t>WG338-W099BK</t>
        </is>
      </c>
      <c r="D980" s="5">
        <f>IF($I2="","",INDEX(Productos!$B:$B,$I2))</f>
        <v/>
      </c>
      <c r="E980" s="5">
        <f>IF($I2="","",INDEX(Productos!$H:$H,$I2))</f>
        <v/>
      </c>
      <c r="F980" s="5">
        <f>IF($I2="","",INDEX(Productos!$I:$I,$I2))</f>
        <v/>
      </c>
      <c r="G980" s="135" t="n">
        <v>5</v>
      </c>
      <c r="H980" s="5">
        <f>IF($I2="","",INDEX(Productos!$AG:$AG,$I2))</f>
        <v/>
      </c>
      <c r="I980" s="136">
        <f>LET(_xlpm.r,Productos!$E$2:$E$1063,_xlpm.m,IFERROR(_xlfn.XMATCH(C980,_xlpm.r),IFERROR(_xlfn.XMATCH(VALUE(C980),_xlpm.r),0)),IF(_xlpm.m=0,"",_xlpm.m+1))</f>
        <v/>
      </c>
      <c r="J980" s="137" t="inlineStr">
        <is>
          <t>Odoo</t>
        </is>
      </c>
    </row>
    <row r="981">
      <c r="A981" s="5" t="inlineStr">
        <is>
          <t>Odoo Universal Unique Brands › Bodega 25 › Bodega 25/General</t>
        </is>
      </c>
      <c r="B981" s="5">
        <f>IF($I2="","",INDEX(Productos!$A:$A,$I2))</f>
        <v/>
      </c>
      <c r="C981" s="134" t="inlineStr">
        <is>
          <t>WG338-W099TN</t>
        </is>
      </c>
      <c r="D981" s="5">
        <f>IF($I2="","",INDEX(Productos!$B:$B,$I2))</f>
        <v/>
      </c>
      <c r="E981" s="5">
        <f>IF($I2="","",INDEX(Productos!$H:$H,$I2))</f>
        <v/>
      </c>
      <c r="F981" s="5">
        <f>IF($I2="","",INDEX(Productos!$I:$I,$I2))</f>
        <v/>
      </c>
      <c r="G981" s="135" t="n">
        <v>15</v>
      </c>
      <c r="H981" s="5">
        <f>IF($I2="","",INDEX(Productos!$AG:$AG,$I2))</f>
        <v/>
      </c>
      <c r="I981" s="136">
        <f>LET(_xlpm.r,Productos!$E$2:$E$1063,_xlpm.m,IFERROR(_xlfn.XMATCH(C981,_xlpm.r),IFERROR(_xlfn.XMATCH(VALUE(C981),_xlpm.r),0)),IF(_xlpm.m=0,"",_xlpm.m+1))</f>
        <v/>
      </c>
      <c r="J981" s="137" t="inlineStr">
        <is>
          <t>Odoo</t>
        </is>
      </c>
    </row>
    <row r="982">
      <c r="A982" s="5" t="inlineStr">
        <is>
          <t>Odoo Universal Unique Brands › Bodega 25 › Bodega 25/General</t>
        </is>
      </c>
      <c r="B982" s="5">
        <f>IF($I2="","",INDEX(Productos!$A:$A,$I2))</f>
        <v/>
      </c>
      <c r="C982" s="134" t="inlineStr">
        <is>
          <t>WG338-W100TN</t>
        </is>
      </c>
      <c r="D982" s="5">
        <f>IF($I2="","",INDEX(Productos!$B:$B,$I2))</f>
        <v/>
      </c>
      <c r="E982" s="5">
        <f>IF($I2="","",INDEX(Productos!$H:$H,$I2))</f>
        <v/>
      </c>
      <c r="F982" s="5">
        <f>IF($I2="","",INDEX(Productos!$I:$I,$I2))</f>
        <v/>
      </c>
      <c r="G982" s="135" t="n">
        <v>20</v>
      </c>
      <c r="H982" s="5">
        <f>IF($I2="","",INDEX(Productos!$AG:$AG,$I2))</f>
        <v/>
      </c>
      <c r="I982" s="136">
        <f>LET(_xlpm.r,Productos!$E$2:$E$1063,_xlpm.m,IFERROR(_xlfn.XMATCH(C982,_xlpm.r),IFERROR(_xlfn.XMATCH(VALUE(C982),_xlpm.r),0)),IF(_xlpm.m=0,"",_xlpm.m+1))</f>
        <v/>
      </c>
      <c r="J982" s="137" t="inlineStr">
        <is>
          <t>Odoo</t>
        </is>
      </c>
    </row>
    <row r="983">
      <c r="A983" s="5" t="inlineStr">
        <is>
          <t>Odoo Universal Unique Brands › Bodega 25 › Bodega 25/General</t>
        </is>
      </c>
      <c r="B983" s="5">
        <f>IF($I2="","",INDEX(Productos!$A:$A,$I2))</f>
        <v/>
      </c>
      <c r="C983" s="134" t="inlineStr">
        <is>
          <t>WG367-8360BG</t>
        </is>
      </c>
      <c r="D983" s="5">
        <f>IF($I2="","",INDEX(Productos!$B:$B,$I2))</f>
        <v/>
      </c>
      <c r="E983" s="5">
        <f>IF($I2="","",INDEX(Productos!$H:$H,$I2))</f>
        <v/>
      </c>
      <c r="F983" s="5">
        <f>IF($I2="","",INDEX(Productos!$I:$I,$I2))</f>
        <v/>
      </c>
      <c r="G983" s="135" t="n">
        <v>1</v>
      </c>
      <c r="H983" s="5">
        <f>IF($I2="","",INDEX(Productos!$AG:$AG,$I2))</f>
        <v/>
      </c>
      <c r="I983" s="136">
        <f>LET(_xlpm.r,Productos!$E$2:$E$1063,_xlpm.m,IFERROR(_xlfn.XMATCH(C983,_xlpm.r),IFERROR(_xlfn.XMATCH(VALUE(C983),_xlpm.r),0)),IF(_xlpm.m=0,"",_xlpm.m+1))</f>
        <v/>
      </c>
      <c r="J983" s="137" t="inlineStr">
        <is>
          <t>Odoo</t>
        </is>
      </c>
    </row>
    <row r="984">
      <c r="A984" s="5" t="inlineStr">
        <is>
          <t>Odoo Universal Unique Brands › Bodega 25 › Bodega 25/General</t>
        </is>
      </c>
      <c r="B984" s="5">
        <f>IF($I2="","",INDEX(Productos!$A:$A,$I2))</f>
        <v/>
      </c>
      <c r="C984" s="134" t="inlineStr">
        <is>
          <t>WG367-8360RD</t>
        </is>
      </c>
      <c r="D984" s="5">
        <f>IF($I2="","",INDEX(Productos!$B:$B,$I2))</f>
        <v/>
      </c>
      <c r="E984" s="5">
        <f>IF($I2="","",INDEX(Productos!$H:$H,$I2))</f>
        <v/>
      </c>
      <c r="F984" s="5">
        <f>IF($I2="","",INDEX(Productos!$I:$I,$I2))</f>
        <v/>
      </c>
      <c r="G984" s="135" t="n">
        <v>4</v>
      </c>
      <c r="H984" s="5">
        <f>IF($I2="","",INDEX(Productos!$AG:$AG,$I2))</f>
        <v/>
      </c>
      <c r="I984" s="136">
        <f>LET(_xlpm.r,Productos!$E$2:$E$1063,_xlpm.m,IFERROR(_xlfn.XMATCH(C984,_xlpm.r),IFERROR(_xlfn.XMATCH(VALUE(C984),_xlpm.r),0)),IF(_xlpm.m=0,"",_xlpm.m+1))</f>
        <v/>
      </c>
      <c r="J984" s="137" t="inlineStr">
        <is>
          <t>Odoo</t>
        </is>
      </c>
    </row>
    <row r="985">
      <c r="A985" s="5" t="inlineStr">
        <is>
          <t>Odoo Universal Unique Brands › Bodega 25 › Bodega 25/General</t>
        </is>
      </c>
      <c r="B985" s="5">
        <f>IF($I2="","",INDEX(Productos!$A:$A,$I2))</f>
        <v/>
      </c>
      <c r="C985" s="134" t="inlineStr">
        <is>
          <t>WG367-W119BG</t>
        </is>
      </c>
      <c r="D985" s="5">
        <f>IF($I2="","",INDEX(Productos!$B:$B,$I2))</f>
        <v/>
      </c>
      <c r="E985" s="5">
        <f>IF($I2="","",INDEX(Productos!$H:$H,$I2))</f>
        <v/>
      </c>
      <c r="F985" s="5">
        <f>IF($I2="","",INDEX(Productos!$I:$I,$I2))</f>
        <v/>
      </c>
      <c r="G985" s="135" t="n">
        <v>1</v>
      </c>
      <c r="H985" s="5">
        <f>IF($I2="","",INDEX(Productos!$AG:$AG,$I2))</f>
        <v/>
      </c>
      <c r="I985" s="136">
        <f>LET(_xlpm.r,Productos!$E$2:$E$1063,_xlpm.m,IFERROR(_xlfn.XMATCH(C985,_xlpm.r),IFERROR(_xlfn.XMATCH(VALUE(C985),_xlpm.r),0)),IF(_xlpm.m=0,"",_xlpm.m+1))</f>
        <v/>
      </c>
      <c r="J985" s="137" t="inlineStr">
        <is>
          <t>Odoo</t>
        </is>
      </c>
    </row>
    <row r="986">
      <c r="A986" s="5" t="inlineStr">
        <is>
          <t>Odoo Universal Unique Brands › Bodega 25 › Bodega 25/General</t>
        </is>
      </c>
      <c r="B986" s="5">
        <f>IF($I2="","",INDEX(Productos!$A:$A,$I2))</f>
        <v/>
      </c>
      <c r="C986" s="134" t="inlineStr">
        <is>
          <t>WG367-W119BK</t>
        </is>
      </c>
      <c r="D986" s="5">
        <f>IF($I2="","",INDEX(Productos!$B:$B,$I2))</f>
        <v/>
      </c>
      <c r="E986" s="5">
        <f>IF($I2="","",INDEX(Productos!$H:$H,$I2))</f>
        <v/>
      </c>
      <c r="F986" s="5">
        <f>IF($I2="","",INDEX(Productos!$I:$I,$I2))</f>
        <v/>
      </c>
      <c r="G986" s="135" t="n">
        <v>1</v>
      </c>
      <c r="H986" s="5">
        <f>IF($I2="","",INDEX(Productos!$AG:$AG,$I2))</f>
        <v/>
      </c>
      <c r="I986" s="136">
        <f>LET(_xlpm.r,Productos!$E$2:$E$1063,_xlpm.m,IFERROR(_xlfn.XMATCH(C986,_xlpm.r),IFERROR(_xlfn.XMATCH(VALUE(C986),_xlpm.r),0)),IF(_xlpm.m=0,"",_xlpm.m+1))</f>
        <v/>
      </c>
      <c r="J986" s="137" t="inlineStr">
        <is>
          <t>Odoo</t>
        </is>
      </c>
    </row>
    <row r="987">
      <c r="A987" s="5" t="inlineStr">
        <is>
          <t>Odoo Universal Unique Brands › Bodega 25 › Bodega 25/General</t>
        </is>
      </c>
      <c r="B987" s="5">
        <f>IF($I2="","",INDEX(Productos!$A:$A,$I2))</f>
        <v/>
      </c>
      <c r="C987" s="134" t="inlineStr">
        <is>
          <t>WG367-W119CF</t>
        </is>
      </c>
      <c r="D987" s="5">
        <f>IF($I2="","",INDEX(Productos!$B:$B,$I2))</f>
        <v/>
      </c>
      <c r="E987" s="5">
        <f>IF($I2="","",INDEX(Productos!$H:$H,$I2))</f>
        <v/>
      </c>
      <c r="F987" s="5">
        <f>IF($I2="","",INDEX(Productos!$I:$I,$I2))</f>
        <v/>
      </c>
      <c r="G987" s="135" t="n">
        <v>1</v>
      </c>
      <c r="H987" s="5">
        <f>IF($I2="","",INDEX(Productos!$AG:$AG,$I2))</f>
        <v/>
      </c>
      <c r="I987" s="136">
        <f>LET(_xlpm.r,Productos!$E$2:$E$1063,_xlpm.m,IFERROR(_xlfn.XMATCH(C987,_xlpm.r),IFERROR(_xlfn.XMATCH(VALUE(C987),_xlpm.r),0)),IF(_xlpm.m=0,"",_xlpm.m+1))</f>
        <v/>
      </c>
      <c r="J987" s="137" t="inlineStr">
        <is>
          <t>Odoo</t>
        </is>
      </c>
    </row>
    <row r="988">
      <c r="A988" s="5" t="inlineStr">
        <is>
          <t>Odoo Universal Unique Brands › Bodega 25 › Bodega 25/General</t>
        </is>
      </c>
      <c r="B988" s="5">
        <f>IF($I2="","",INDEX(Productos!$A:$A,$I2))</f>
        <v/>
      </c>
      <c r="C988" s="134" t="inlineStr">
        <is>
          <t>WG367-W119HPK</t>
        </is>
      </c>
      <c r="D988" s="5">
        <f>IF($I2="","",INDEX(Productos!$B:$B,$I2))</f>
        <v/>
      </c>
      <c r="E988" s="5">
        <f>IF($I2="","",INDEX(Productos!$H:$H,$I2))</f>
        <v/>
      </c>
      <c r="F988" s="5">
        <f>IF($I2="","",INDEX(Productos!$I:$I,$I2))</f>
        <v/>
      </c>
      <c r="G988" s="135" t="n">
        <v>1</v>
      </c>
      <c r="H988" s="5">
        <f>IF($I2="","",INDEX(Productos!$AG:$AG,$I2))</f>
        <v/>
      </c>
      <c r="I988" s="136">
        <f>LET(_xlpm.r,Productos!$E$2:$E$1063,_xlpm.m,IFERROR(_xlfn.XMATCH(C988,_xlpm.r),IFERROR(_xlfn.XMATCH(VALUE(C988),_xlpm.r),0)),IF(_xlpm.m=0,"",_xlpm.m+1))</f>
        <v/>
      </c>
      <c r="J988" s="137" t="inlineStr">
        <is>
          <t>Odoo</t>
        </is>
      </c>
    </row>
    <row r="989">
      <c r="A989" s="5" t="inlineStr">
        <is>
          <t>Odoo Universal Unique Brands › Bodega 25 › Bodega 25/General</t>
        </is>
      </c>
      <c r="B989" s="5">
        <f>IF($I2="","",INDEX(Productos!$A:$A,$I2))</f>
        <v/>
      </c>
      <c r="C989" s="134" t="inlineStr">
        <is>
          <t>WG367-W119LBR</t>
        </is>
      </c>
      <c r="D989" s="5">
        <f>IF($I2="","",INDEX(Productos!$B:$B,$I2))</f>
        <v/>
      </c>
      <c r="E989" s="5">
        <f>IF($I2="","",INDEX(Productos!$H:$H,$I2))</f>
        <v/>
      </c>
      <c r="F989" s="5">
        <f>IF($I2="","",INDEX(Productos!$I:$I,$I2))</f>
        <v/>
      </c>
      <c r="G989" s="135" t="n">
        <v>1</v>
      </c>
      <c r="H989" s="5">
        <f>IF($I2="","",INDEX(Productos!$AG:$AG,$I2))</f>
        <v/>
      </c>
      <c r="I989" s="136">
        <f>LET(_xlpm.r,Productos!$E$2:$E$1063,_xlpm.m,IFERROR(_xlfn.XMATCH(C989,_xlpm.r),IFERROR(_xlfn.XMATCH(VALUE(C989),_xlpm.r),0)),IF(_xlpm.m=0,"",_xlpm.m+1))</f>
        <v/>
      </c>
      <c r="J989" s="137" t="inlineStr">
        <is>
          <t>Odoo</t>
        </is>
      </c>
    </row>
    <row r="990">
      <c r="A990" s="5" t="inlineStr">
        <is>
          <t>Odoo Universal Unique Brands › Bodega 25 › Bodega 25/General</t>
        </is>
      </c>
      <c r="B990" s="5">
        <f>IF($I2="","",INDEX(Productos!$A:$A,$I2))</f>
        <v/>
      </c>
      <c r="C990" s="134" t="inlineStr">
        <is>
          <t>WG367-W119RD</t>
        </is>
      </c>
      <c r="D990" s="5">
        <f>IF($I2="","",INDEX(Productos!$B:$B,$I2))</f>
        <v/>
      </c>
      <c r="E990" s="5">
        <f>IF($I2="","",INDEX(Productos!$H:$H,$I2))</f>
        <v/>
      </c>
      <c r="F990" s="5">
        <f>IF($I2="","",INDEX(Productos!$I:$I,$I2))</f>
        <v/>
      </c>
      <c r="G990" s="135" t="n">
        <v>1</v>
      </c>
      <c r="H990" s="5">
        <f>IF($I2="","",INDEX(Productos!$AG:$AG,$I2))</f>
        <v/>
      </c>
      <c r="I990" s="136">
        <f>LET(_xlpm.r,Productos!$E$2:$E$1063,_xlpm.m,IFERROR(_xlfn.XMATCH(C990,_xlpm.r),IFERROR(_xlfn.XMATCH(VALUE(C990),_xlpm.r),0)),IF(_xlpm.m=0,"",_xlpm.m+1))</f>
        <v/>
      </c>
      <c r="J990" s="137" t="inlineStr">
        <is>
          <t>Odoo</t>
        </is>
      </c>
    </row>
    <row r="991">
      <c r="A991" s="5" t="inlineStr">
        <is>
          <t>Odoo Universal Unique Brands › Bodega 25 › Bodega 25/General</t>
        </is>
      </c>
      <c r="B991" s="5">
        <f>IF($I2="","",INDEX(Productos!$A:$A,$I2))</f>
        <v/>
      </c>
      <c r="C991" s="134" t="inlineStr">
        <is>
          <t>WG386-8120SBK</t>
        </is>
      </c>
      <c r="D991" s="5">
        <f>IF($I2="","",INDEX(Productos!$B:$B,$I2))</f>
        <v/>
      </c>
      <c r="E991" s="5">
        <f>IF($I2="","",INDEX(Productos!$H:$H,$I2))</f>
        <v/>
      </c>
      <c r="F991" s="5">
        <f>IF($I2="","",INDEX(Productos!$I:$I,$I2))</f>
        <v/>
      </c>
      <c r="G991" s="135" t="n">
        <v>72</v>
      </c>
      <c r="H991" s="5">
        <f>IF($I2="","",INDEX(Productos!$AG:$AG,$I2))</f>
        <v/>
      </c>
      <c r="I991" s="136">
        <f>LET(_xlpm.r,Productos!$E$2:$E$1063,_xlpm.m,IFERROR(_xlfn.XMATCH(C991,_xlpm.r),IFERROR(_xlfn.XMATCH(VALUE(C991),_xlpm.r),0)),IF(_xlpm.m=0,"",_xlpm.m+1))</f>
        <v/>
      </c>
      <c r="J991" s="137" t="inlineStr">
        <is>
          <t>Odoo</t>
        </is>
      </c>
    </row>
    <row r="992">
      <c r="A992" s="5" t="inlineStr">
        <is>
          <t>Odoo Universal Unique Brands › Bodega 25 › Bodega 25/General</t>
        </is>
      </c>
      <c r="B992" s="5">
        <f>IF($I2="","",INDEX(Productos!$A:$A,$I2))</f>
        <v/>
      </c>
      <c r="C992" s="134" t="inlineStr">
        <is>
          <t>WG386-8120SBR</t>
        </is>
      </c>
      <c r="D992" s="5">
        <f>IF($I2="","",INDEX(Productos!$B:$B,$I2))</f>
        <v/>
      </c>
      <c r="E992" s="5">
        <f>IF($I2="","",INDEX(Productos!$H:$H,$I2))</f>
        <v/>
      </c>
      <c r="F992" s="5">
        <f>IF($I2="","",INDEX(Productos!$I:$I,$I2))</f>
        <v/>
      </c>
      <c r="G992" s="135" t="n">
        <v>13</v>
      </c>
      <c r="H992" s="5">
        <f>IF($I2="","",INDEX(Productos!$AG:$AG,$I2))</f>
        <v/>
      </c>
      <c r="I992" s="136">
        <f>LET(_xlpm.r,Productos!$E$2:$E$1063,_xlpm.m,IFERROR(_xlfn.XMATCH(C992,_xlpm.r),IFERROR(_xlfn.XMATCH(VALUE(C992),_xlpm.r),0)),IF(_xlpm.m=0,"",_xlpm.m+1))</f>
        <v/>
      </c>
      <c r="J992" s="137" t="inlineStr">
        <is>
          <t>Odoo</t>
        </is>
      </c>
    </row>
    <row r="993">
      <c r="A993" s="5" t="inlineStr">
        <is>
          <t>Odoo Universal Unique Brands › Bodega 25 › Bodega 25/General</t>
        </is>
      </c>
      <c r="B993" s="5">
        <f>IF($I2="","",INDEX(Productos!$A:$A,$I2))</f>
        <v/>
      </c>
      <c r="C993" s="134" t="inlineStr">
        <is>
          <t>WG386-8120SKH</t>
        </is>
      </c>
      <c r="D993" s="5">
        <f>IF($I2="","",INDEX(Productos!$B:$B,$I2))</f>
        <v/>
      </c>
      <c r="E993" s="5">
        <f>IF($I2="","",INDEX(Productos!$H:$H,$I2))</f>
        <v/>
      </c>
      <c r="F993" s="5">
        <f>IF($I2="","",INDEX(Productos!$I:$I,$I2))</f>
        <v/>
      </c>
      <c r="G993" s="135" t="n">
        <v>10</v>
      </c>
      <c r="H993" s="5">
        <f>IF($I2="","",INDEX(Productos!$AG:$AG,$I2))</f>
        <v/>
      </c>
      <c r="I993" s="136">
        <f>LET(_xlpm.r,Productos!$E$2:$E$1063,_xlpm.m,IFERROR(_xlfn.XMATCH(C993,_xlpm.r),IFERROR(_xlfn.XMATCH(VALUE(C993),_xlpm.r),0)),IF(_xlpm.m=0,"",_xlpm.m+1))</f>
        <v/>
      </c>
      <c r="J993" s="137" t="inlineStr">
        <is>
          <t>Odoo</t>
        </is>
      </c>
    </row>
    <row r="994">
      <c r="A994" s="5" t="inlineStr">
        <is>
          <t>Odoo Universal Unique Brands › Bodega 25 › Bodega 25/General</t>
        </is>
      </c>
      <c r="B994" s="5">
        <f>IF($I2="","",INDEX(Productos!$A:$A,$I2))</f>
        <v/>
      </c>
      <c r="C994" s="134" t="inlineStr">
        <is>
          <t>WG389-8119CF</t>
        </is>
      </c>
      <c r="D994" s="5">
        <f>IF($I2="","",INDEX(Productos!$B:$B,$I2))</f>
        <v/>
      </c>
      <c r="E994" s="5">
        <f>IF($I2="","",INDEX(Productos!$H:$H,$I2))</f>
        <v/>
      </c>
      <c r="F994" s="5">
        <f>IF($I2="","",INDEX(Productos!$I:$I,$I2))</f>
        <v/>
      </c>
      <c r="G994" s="135" t="n">
        <v>6</v>
      </c>
      <c r="H994" s="5">
        <f>IF($I2="","",INDEX(Productos!$AG:$AG,$I2))</f>
        <v/>
      </c>
      <c r="I994" s="136">
        <f>LET(_xlpm.r,Productos!$E$2:$E$1063,_xlpm.m,IFERROR(_xlfn.XMATCH(C994,_xlpm.r),IFERROR(_xlfn.XMATCH(VALUE(C994),_xlpm.r),0)),IF(_xlpm.m=0,"",_xlpm.m+1))</f>
        <v/>
      </c>
      <c r="J994" s="137" t="inlineStr">
        <is>
          <t>Odoo</t>
        </is>
      </c>
    </row>
    <row r="995">
      <c r="A995" s="5" t="inlineStr">
        <is>
          <t>Odoo Universal Unique Brands › Bodega 25 › Bodega 25/General</t>
        </is>
      </c>
      <c r="B995" s="5">
        <f>IF($I2="","",INDEX(Productos!$A:$A,$I2))</f>
        <v/>
      </c>
      <c r="C995" s="134" t="inlineStr">
        <is>
          <t>WG389-8119RD</t>
        </is>
      </c>
      <c r="D995" s="5">
        <f>IF($I2="","",INDEX(Productos!$B:$B,$I2))</f>
        <v/>
      </c>
      <c r="E995" s="5">
        <f>IF($I2="","",INDEX(Productos!$H:$H,$I2))</f>
        <v/>
      </c>
      <c r="F995" s="5">
        <f>IF($I2="","",INDEX(Productos!$I:$I,$I2))</f>
        <v/>
      </c>
      <c r="G995" s="135" t="n">
        <v>22</v>
      </c>
      <c r="H995" s="5">
        <f>IF($I2="","",INDEX(Productos!$AG:$AG,$I2))</f>
        <v/>
      </c>
      <c r="I995" s="136">
        <f>LET(_xlpm.r,Productos!$E$2:$E$1063,_xlpm.m,IFERROR(_xlfn.XMATCH(C995,_xlpm.r),IFERROR(_xlfn.XMATCH(VALUE(C995),_xlpm.r),0)),IF(_xlpm.m=0,"",_xlpm.m+1))</f>
        <v/>
      </c>
      <c r="J995" s="137" t="inlineStr">
        <is>
          <t>Odoo</t>
        </is>
      </c>
    </row>
    <row r="996">
      <c r="A996" s="5" t="inlineStr">
        <is>
          <t>Odoo Universal Unique Brands › Bodega 25 › Bodega 25/General</t>
        </is>
      </c>
      <c r="B996" s="5">
        <f>IF($I2="","",INDEX(Productos!$A:$A,$I2))</f>
        <v/>
      </c>
      <c r="C996" s="134" t="inlineStr">
        <is>
          <t>WG399-5112BK-COW</t>
        </is>
      </c>
      <c r="D996" s="5">
        <f>IF($I2="","",INDEX(Productos!$B:$B,$I2))</f>
        <v/>
      </c>
      <c r="E996" s="5">
        <f>IF($I2="","",INDEX(Productos!$H:$H,$I2))</f>
        <v/>
      </c>
      <c r="F996" s="5">
        <f>IF($I2="","",INDEX(Productos!$I:$I,$I2))</f>
        <v/>
      </c>
      <c r="G996" s="135" t="n">
        <v>5</v>
      </c>
      <c r="H996" s="5">
        <f>IF($I2="","",INDEX(Productos!$AG:$AG,$I2))</f>
        <v/>
      </c>
      <c r="I996" s="136">
        <f>LET(_xlpm.r,Productos!$E$2:$E$1063,_xlpm.m,IFERROR(_xlfn.XMATCH(C996,_xlpm.r),IFERROR(_xlfn.XMATCH(VALUE(C996),_xlpm.r),0)),IF(_xlpm.m=0,"",_xlpm.m+1))</f>
        <v/>
      </c>
      <c r="J996" s="137" t="inlineStr">
        <is>
          <t>Odoo</t>
        </is>
      </c>
    </row>
    <row r="997">
      <c r="A997" s="5" t="inlineStr">
        <is>
          <t>Odoo Universal Unique Brands › Bodega 25 › Bodega 25/General</t>
        </is>
      </c>
      <c r="B997" s="5">
        <f>IF($I2="","",INDEX(Productos!$A:$A,$I2))</f>
        <v/>
      </c>
      <c r="C997" s="134" t="inlineStr">
        <is>
          <t>WG399-5112BR-COW</t>
        </is>
      </c>
      <c r="D997" s="5">
        <f>IF($I2="","",INDEX(Productos!$B:$B,$I2))</f>
        <v/>
      </c>
      <c r="E997" s="5">
        <f>IF($I2="","",INDEX(Productos!$H:$H,$I2))</f>
        <v/>
      </c>
      <c r="F997" s="5">
        <f>IF($I2="","",INDEX(Productos!$I:$I,$I2))</f>
        <v/>
      </c>
      <c r="G997" s="135" t="n">
        <v>1</v>
      </c>
      <c r="H997" s="5">
        <f>IF($I2="","",INDEX(Productos!$AG:$AG,$I2))</f>
        <v/>
      </c>
      <c r="I997" s="136">
        <f>LET(_xlpm.r,Productos!$E$2:$E$1063,_xlpm.m,IFERROR(_xlfn.XMATCH(C997,_xlpm.r),IFERROR(_xlfn.XMATCH(VALUE(C997),_xlpm.r),0)),IF(_xlpm.m=0,"",_xlpm.m+1))</f>
        <v/>
      </c>
      <c r="J997" s="137" t="inlineStr">
        <is>
          <t>Odoo</t>
        </is>
      </c>
    </row>
    <row r="998">
      <c r="A998" s="5" t="inlineStr">
        <is>
          <t>Odoo Universal Unique Brands › Bodega 25 › Bodega 25/General</t>
        </is>
      </c>
      <c r="B998" s="5">
        <f>IF($I2="","",INDEX(Productos!$A:$A,$I2))</f>
        <v/>
      </c>
      <c r="C998" s="134" t="inlineStr">
        <is>
          <t>WG435-8119BG</t>
        </is>
      </c>
      <c r="D998" s="5">
        <f>IF($I2="","",INDEX(Productos!$B:$B,$I2))</f>
        <v/>
      </c>
      <c r="E998" s="5">
        <f>IF($I2="","",INDEX(Productos!$H:$H,$I2))</f>
        <v/>
      </c>
      <c r="F998" s="5">
        <f>IF($I2="","",INDEX(Productos!$I:$I,$I2))</f>
        <v/>
      </c>
      <c r="G998" s="135" t="n">
        <v>31</v>
      </c>
      <c r="H998" s="5">
        <f>IF($I2="","",INDEX(Productos!$AG:$AG,$I2))</f>
        <v/>
      </c>
      <c r="I998" s="136">
        <f>LET(_xlpm.r,Productos!$E$2:$E$1063,_xlpm.m,IFERROR(_xlfn.XMATCH(C998,_xlpm.r),IFERROR(_xlfn.XMATCH(VALUE(C998),_xlpm.r),0)),IF(_xlpm.m=0,"",_xlpm.m+1))</f>
        <v/>
      </c>
      <c r="J998" s="137" t="inlineStr">
        <is>
          <t>Odoo</t>
        </is>
      </c>
    </row>
    <row r="999">
      <c r="A999" s="5" t="inlineStr">
        <is>
          <t>Odoo Universal Unique Brands › Bodega 25 › Bodega 25/General</t>
        </is>
      </c>
      <c r="B999" s="5">
        <f>IF($I2="","",INDEX(Productos!$A:$A,$I2))</f>
        <v/>
      </c>
      <c r="C999" s="134" t="inlineStr">
        <is>
          <t>WG444-1818BK</t>
        </is>
      </c>
      <c r="D999" s="5">
        <f>IF($I2="","",INDEX(Productos!$B:$B,$I2))</f>
        <v/>
      </c>
      <c r="E999" s="5">
        <f>IF($I2="","",INDEX(Productos!$H:$H,$I2))</f>
        <v/>
      </c>
      <c r="F999" s="5">
        <f>IF($I2="","",INDEX(Productos!$I:$I,$I2))</f>
        <v/>
      </c>
      <c r="G999" s="135" t="n">
        <v>3</v>
      </c>
      <c r="H999" s="5">
        <f>IF($I2="","",INDEX(Productos!$AG:$AG,$I2))</f>
        <v/>
      </c>
      <c r="I999" s="136">
        <f>LET(_xlpm.r,Productos!$E$2:$E$1063,_xlpm.m,IFERROR(_xlfn.XMATCH(C999,_xlpm.r),IFERROR(_xlfn.XMATCH(VALUE(C999),_xlpm.r),0)),IF(_xlpm.m=0,"",_xlpm.m+1))</f>
        <v/>
      </c>
      <c r="J999" s="137" t="inlineStr">
        <is>
          <t>Odoo</t>
        </is>
      </c>
    </row>
    <row r="1000">
      <c r="A1000" s="5" t="inlineStr">
        <is>
          <t>Odoo Universal Unique Brands › Bodega 25 › Bodega 25/General</t>
        </is>
      </c>
      <c r="B1000" s="5">
        <f>IF($I2="","",INDEX(Productos!$A:$A,$I2))</f>
        <v/>
      </c>
      <c r="C1000" s="134" t="inlineStr">
        <is>
          <t>WG524-8120SCF</t>
        </is>
      </c>
      <c r="D1000" s="5">
        <f>IF($I2="","",INDEX(Productos!$B:$B,$I2))</f>
        <v/>
      </c>
      <c r="E1000" s="5">
        <f>IF($I2="","",INDEX(Productos!$H:$H,$I2))</f>
        <v/>
      </c>
      <c r="F1000" s="5">
        <f>IF($I2="","",INDEX(Productos!$I:$I,$I2))</f>
        <v/>
      </c>
      <c r="G1000" s="135" t="n">
        <v>36</v>
      </c>
      <c r="H1000" s="5">
        <f>IF($I2="","",INDEX(Productos!$AG:$AG,$I2))</f>
        <v/>
      </c>
      <c r="I1000" s="136">
        <f>LET(_xlpm.r,Productos!$E$2:$E$1063,_xlpm.m,IFERROR(_xlfn.XMATCH(C1000,_xlpm.r),IFERROR(_xlfn.XMATCH(VALUE(C1000),_xlpm.r),0)),IF(_xlpm.m=0,"",_xlpm.m+1))</f>
        <v/>
      </c>
      <c r="J1000" s="137" t="inlineStr">
        <is>
          <t>Odoo</t>
        </is>
      </c>
    </row>
    <row r="1001">
      <c r="A1001" s="5" t="inlineStr">
        <is>
          <t>Odoo Universal Unique Brands › Bodega 25 › Bodega 25/General</t>
        </is>
      </c>
      <c r="B1001" s="5">
        <f>IF($I2="","",INDEX(Productos!$A:$A,$I2))</f>
        <v/>
      </c>
      <c r="C1001" s="134" t="inlineStr">
        <is>
          <t>WG524-8120SPK</t>
        </is>
      </c>
      <c r="D1001" s="5">
        <f>IF($I2="","",INDEX(Productos!$B:$B,$I2))</f>
        <v/>
      </c>
      <c r="E1001" s="5">
        <f>IF($I2="","",INDEX(Productos!$H:$H,$I2))</f>
        <v/>
      </c>
      <c r="F1001" s="5">
        <f>IF($I2="","",INDEX(Productos!$I:$I,$I2))</f>
        <v/>
      </c>
      <c r="G1001" s="135" t="n">
        <v>16</v>
      </c>
      <c r="H1001" s="5">
        <f>IF($I2="","",INDEX(Productos!$AG:$AG,$I2))</f>
        <v/>
      </c>
      <c r="I1001" s="136">
        <f>LET(_xlpm.r,Productos!$E$2:$E$1063,_xlpm.m,IFERROR(_xlfn.XMATCH(C1001,_xlpm.r),IFERROR(_xlfn.XMATCH(VALUE(C1001),_xlpm.r),0)),IF(_xlpm.m=0,"",_xlpm.m+1))</f>
        <v/>
      </c>
      <c r="J1001" s="137" t="inlineStr">
        <is>
          <t>Odoo</t>
        </is>
      </c>
    </row>
    <row r="1002">
      <c r="A1002" s="5" t="inlineStr">
        <is>
          <t>Odoo Universal Unique Brands › Bodega 25 › Bodega 25/General</t>
        </is>
      </c>
      <c r="B1002" s="5">
        <f>IF($I2="","",INDEX(Productos!$A:$A,$I2))</f>
        <v/>
      </c>
      <c r="C1002" s="134" t="inlineStr">
        <is>
          <t>WG60-1812DBR</t>
        </is>
      </c>
      <c r="D1002" s="5">
        <f>IF($I2="","",INDEX(Productos!$B:$B,$I2))</f>
        <v/>
      </c>
      <c r="E1002" s="5">
        <f>IF($I2="","",INDEX(Productos!$H:$H,$I2))</f>
        <v/>
      </c>
      <c r="F1002" s="5">
        <f>IF($I2="","",INDEX(Productos!$I:$I,$I2))</f>
        <v/>
      </c>
      <c r="G1002" s="135" t="n">
        <v>6</v>
      </c>
      <c r="H1002" s="5">
        <f>IF($I2="","",INDEX(Productos!$AG:$AG,$I2))</f>
        <v/>
      </c>
      <c r="I1002" s="136">
        <f>LET(_xlpm.r,Productos!$E$2:$E$1063,_xlpm.m,IFERROR(_xlfn.XMATCH(C1002,_xlpm.r),IFERROR(_xlfn.XMATCH(VALUE(C1002),_xlpm.r),0)),IF(_xlpm.m=0,"",_xlpm.m+1))</f>
        <v/>
      </c>
      <c r="J1002" s="137" t="inlineStr">
        <is>
          <t>Odoo</t>
        </is>
      </c>
    </row>
    <row r="1003">
      <c r="A1003" s="5" t="inlineStr">
        <is>
          <t>Odoo Universal Unique Brands › Bodega 25 › Bodega 25/General</t>
        </is>
      </c>
      <c r="B1003" s="5">
        <f>IF($I2="","",INDEX(Productos!$A:$A,$I2))</f>
        <v/>
      </c>
      <c r="C1003" s="134" t="inlineStr">
        <is>
          <t>WG60-9110DBR</t>
        </is>
      </c>
      <c r="D1003" s="5">
        <f>IF($I2="","",INDEX(Productos!$B:$B,$I2))</f>
        <v/>
      </c>
      <c r="E1003" s="5">
        <f>IF($I2="","",INDEX(Productos!$H:$H,$I2))</f>
        <v/>
      </c>
      <c r="F1003" s="5">
        <f>IF($I2="","",INDEX(Productos!$I:$I,$I2))</f>
        <v/>
      </c>
      <c r="G1003" s="135" t="n">
        <v>7</v>
      </c>
      <c r="H1003" s="5">
        <f>IF($I2="","",INDEX(Productos!$AG:$AG,$I2))</f>
        <v/>
      </c>
      <c r="I1003" s="136">
        <f>LET(_xlpm.r,Productos!$E$2:$E$1063,_xlpm.m,IFERROR(_xlfn.XMATCH(C1003,_xlpm.r),IFERROR(_xlfn.XMATCH(VALUE(C1003),_xlpm.r),0)),IF(_xlpm.m=0,"",_xlpm.m+1))</f>
        <v/>
      </c>
      <c r="J1003" s="137" t="inlineStr">
        <is>
          <t>Odoo</t>
        </is>
      </c>
    </row>
    <row r="1004">
      <c r="A1004" s="5" t="inlineStr">
        <is>
          <t>Odoo Universal Unique Brands › Bodega 25 › Bodega 25/General</t>
        </is>
      </c>
      <c r="B1004" s="5">
        <f>IF($I2="","",INDEX(Productos!$A:$A,$I2))</f>
        <v/>
      </c>
      <c r="C1004" s="134" t="inlineStr">
        <is>
          <t>WG60-9110DK-YL</t>
        </is>
      </c>
      <c r="D1004" s="5">
        <f>IF($I2="","",INDEX(Productos!$B:$B,$I2))</f>
        <v/>
      </c>
      <c r="E1004" s="5">
        <f>IF($I2="","",INDEX(Productos!$H:$H,$I2))</f>
        <v/>
      </c>
      <c r="F1004" s="5">
        <f>IF($I2="","",INDEX(Productos!$I:$I,$I2))</f>
        <v/>
      </c>
      <c r="G1004" s="135" t="n">
        <v>3</v>
      </c>
      <c r="H1004" s="5">
        <f>IF($I2="","",INDEX(Productos!$AG:$AG,$I2))</f>
        <v/>
      </c>
      <c r="I1004" s="136">
        <f>LET(_xlpm.r,Productos!$E$2:$E$1063,_xlpm.m,IFERROR(_xlfn.XMATCH(C1004,_xlpm.r),IFERROR(_xlfn.XMATCH(VALUE(C1004),_xlpm.r),0)),IF(_xlpm.m=0,"",_xlpm.m+1))</f>
        <v/>
      </c>
      <c r="J1004" s="137" t="inlineStr">
        <is>
          <t>Odoo</t>
        </is>
      </c>
    </row>
    <row r="1005">
      <c r="A1005" s="5" t="inlineStr">
        <is>
          <t>Odoo Universal Unique Brands › Bodega 25 › Bodega 25/General</t>
        </is>
      </c>
      <c r="B1005" s="5">
        <f>IF($I2="","",INDEX(Productos!$A:$A,$I2))</f>
        <v/>
      </c>
      <c r="C1005" s="134" t="inlineStr">
        <is>
          <t>WG60-9110JN</t>
        </is>
      </c>
      <c r="D1005" s="5">
        <f>IF($I2="","",INDEX(Productos!$B:$B,$I2))</f>
        <v/>
      </c>
      <c r="E1005" s="5">
        <f>IF($I2="","",INDEX(Productos!$H:$H,$I2))</f>
        <v/>
      </c>
      <c r="F1005" s="5">
        <f>IF($I2="","",INDEX(Productos!$I:$I,$I2))</f>
        <v/>
      </c>
      <c r="G1005" s="135" t="n">
        <v>2</v>
      </c>
      <c r="H1005" s="5">
        <f>IF($I2="","",INDEX(Productos!$AG:$AG,$I2))</f>
        <v/>
      </c>
      <c r="I1005" s="136">
        <f>LET(_xlpm.r,Productos!$E$2:$E$1063,_xlpm.m,IFERROR(_xlfn.XMATCH(C1005,_xlpm.r),IFERROR(_xlfn.XMATCH(VALUE(C1005),_xlpm.r),0)),IF(_xlpm.m=0,"",_xlpm.m+1))</f>
        <v/>
      </c>
      <c r="J1005" s="137" t="inlineStr">
        <is>
          <t>Odoo</t>
        </is>
      </c>
    </row>
    <row r="1006">
      <c r="A1006" s="5" t="inlineStr">
        <is>
          <t>Odoo Universal Unique Brands › Bodega 25 › Bodega 25/General</t>
        </is>
      </c>
      <c r="B1006" s="5">
        <f>IF($I2="","",INDEX(Productos!$A:$A,$I2))</f>
        <v/>
      </c>
      <c r="C1006" s="134" t="inlineStr">
        <is>
          <t>WG60G-8317JN</t>
        </is>
      </c>
      <c r="D1006" s="5">
        <f>IF($I2="","",INDEX(Productos!$B:$B,$I2))</f>
        <v/>
      </c>
      <c r="E1006" s="5">
        <f>IF($I2="","",INDEX(Productos!$H:$H,$I2))</f>
        <v/>
      </c>
      <c r="F1006" s="5">
        <f>IF($I2="","",INDEX(Productos!$I:$I,$I2))</f>
        <v/>
      </c>
      <c r="G1006" s="135" t="n">
        <v>18</v>
      </c>
      <c r="H1006" s="5">
        <f>IF($I2="","",INDEX(Productos!$AG:$AG,$I2))</f>
        <v/>
      </c>
      <c r="I1006" s="136">
        <f>LET(_xlpm.r,Productos!$E$2:$E$1063,_xlpm.m,IFERROR(_xlfn.XMATCH(C1006,_xlpm.r),IFERROR(_xlfn.XMATCH(VALUE(C1006),_xlpm.r),0)),IF(_xlpm.m=0,"",_xlpm.m+1))</f>
        <v/>
      </c>
      <c r="J1006" s="137" t="inlineStr">
        <is>
          <t>Odoo</t>
        </is>
      </c>
    </row>
    <row r="1007">
      <c r="A1007" s="5" t="inlineStr">
        <is>
          <t>Odoo Universal Unique Brands › Bodega 25 › Bodega 25/General</t>
        </is>
      </c>
      <c r="B1007" s="5">
        <f>IF($I2="","",INDEX(Productos!$A:$A,$I2))</f>
        <v/>
      </c>
      <c r="C1007" s="134" t="inlineStr">
        <is>
          <t>WG705-8120BR</t>
        </is>
      </c>
      <c r="D1007" s="5">
        <f>IF($I2="","",INDEX(Productos!$B:$B,$I2))</f>
        <v/>
      </c>
      <c r="E1007" s="5">
        <f>IF($I2="","",INDEX(Productos!$H:$H,$I2))</f>
        <v/>
      </c>
      <c r="F1007" s="5">
        <f>IF($I2="","",INDEX(Productos!$I:$I,$I2))</f>
        <v/>
      </c>
      <c r="G1007" s="135" t="n">
        <v>6</v>
      </c>
      <c r="H1007" s="5">
        <f>IF($I2="","",INDEX(Productos!$AG:$AG,$I2))</f>
        <v/>
      </c>
      <c r="I1007" s="136">
        <f>LET(_xlpm.r,Productos!$E$2:$E$1063,_xlpm.m,IFERROR(_xlfn.XMATCH(C1007,_xlpm.r),IFERROR(_xlfn.XMATCH(VALUE(C1007),_xlpm.r),0)),IF(_xlpm.m=0,"",_xlpm.m+1))</f>
        <v/>
      </c>
      <c r="J1007" s="137" t="inlineStr">
        <is>
          <t>Odoo</t>
        </is>
      </c>
    </row>
    <row r="1008">
      <c r="A1008" s="5" t="inlineStr">
        <is>
          <t>Odoo Universal Unique Brands › Bodega 25 › Bodega 25/General</t>
        </is>
      </c>
      <c r="B1008" s="5">
        <f>IF($I2="","",INDEX(Productos!$A:$A,$I2))</f>
        <v/>
      </c>
      <c r="C1008" s="134" t="inlineStr">
        <is>
          <t>WG70S-8120KH</t>
        </is>
      </c>
      <c r="D1008" s="5">
        <f>IF($I2="","",INDEX(Productos!$B:$B,$I2))</f>
        <v/>
      </c>
      <c r="E1008" s="5">
        <f>IF($I2="","",INDEX(Productos!$H:$H,$I2))</f>
        <v/>
      </c>
      <c r="F1008" s="5">
        <f>IF($I2="","",INDEX(Productos!$I:$I,$I2))</f>
        <v/>
      </c>
      <c r="G1008" s="135" t="n">
        <v>6</v>
      </c>
      <c r="H1008" s="5">
        <f>IF($I2="","",INDEX(Productos!$AG:$AG,$I2))</f>
        <v/>
      </c>
      <c r="I1008" s="136">
        <f>LET(_xlpm.r,Productos!$E$2:$E$1063,_xlpm.m,IFERROR(_xlfn.XMATCH(C1008,_xlpm.r),IFERROR(_xlfn.XMATCH(VALUE(C1008),_xlpm.r),0)),IF(_xlpm.m=0,"",_xlpm.m+1))</f>
        <v/>
      </c>
      <c r="J1008" s="137" t="inlineStr">
        <is>
          <t>Odoo</t>
        </is>
      </c>
    </row>
    <row r="1009">
      <c r="A1009" s="5" t="inlineStr">
        <is>
          <t>Odoo Universal Unique Brands › Bodega 25 › Bodega 25/General</t>
        </is>
      </c>
      <c r="B1009" s="5">
        <f>IF($I2="","",INDEX(Productos!$A:$A,$I2))</f>
        <v/>
      </c>
      <c r="C1009" s="134" t="inlineStr">
        <is>
          <t>WG75-014BK</t>
        </is>
      </c>
      <c r="D1009" s="5">
        <f>IF($I2="","",INDEX(Productos!$B:$B,$I2))</f>
        <v/>
      </c>
      <c r="E1009" s="5">
        <f>IF($I2="","",INDEX(Productos!$H:$H,$I2))</f>
        <v/>
      </c>
      <c r="F1009" s="5">
        <f>IF($I2="","",INDEX(Productos!$I:$I,$I2))</f>
        <v/>
      </c>
      <c r="G1009" s="135" t="n">
        <v>1</v>
      </c>
      <c r="H1009" s="5">
        <f>IF($I2="","",INDEX(Productos!$AG:$AG,$I2))</f>
        <v/>
      </c>
      <c r="I1009" s="136">
        <f>LET(_xlpm.r,Productos!$E$2:$E$1063,_xlpm.m,IFERROR(_xlfn.XMATCH(C1009,_xlpm.r),IFERROR(_xlfn.XMATCH(VALUE(C1009),_xlpm.r),0)),IF(_xlpm.m=0,"",_xlpm.m+1))</f>
        <v/>
      </c>
      <c r="J1009" s="137" t="inlineStr">
        <is>
          <t>Odoo</t>
        </is>
      </c>
    </row>
    <row r="1010">
      <c r="A1010" s="5" t="inlineStr">
        <is>
          <t>Odoo Universal Unique Brands › Bodega 25 › Bodega 25/General</t>
        </is>
      </c>
      <c r="B1010" s="5">
        <f>IF($I2="","",INDEX(Productos!$A:$A,$I2))</f>
        <v/>
      </c>
      <c r="C1010" s="134" t="inlineStr">
        <is>
          <t>WG75-014CF</t>
        </is>
      </c>
      <c r="D1010" s="5">
        <f>IF($I2="","",INDEX(Productos!$B:$B,$I2))</f>
        <v/>
      </c>
      <c r="E1010" s="5">
        <f>IF($I2="","",INDEX(Productos!$H:$H,$I2))</f>
        <v/>
      </c>
      <c r="F1010" s="5">
        <f>IF($I2="","",INDEX(Productos!$I:$I,$I2))</f>
        <v/>
      </c>
      <c r="G1010" s="135" t="n">
        <v>5</v>
      </c>
      <c r="H1010" s="5">
        <f>IF($I2="","",INDEX(Productos!$AG:$AG,$I2))</f>
        <v/>
      </c>
      <c r="I1010" s="136">
        <f>LET(_xlpm.r,Productos!$E$2:$E$1063,_xlpm.m,IFERROR(_xlfn.XMATCH(C1010,_xlpm.r),IFERROR(_xlfn.XMATCH(VALUE(C1010),_xlpm.r),0)),IF(_xlpm.m=0,"",_xlpm.m+1))</f>
        <v/>
      </c>
      <c r="J1010" s="137" t="inlineStr">
        <is>
          <t>Odoo</t>
        </is>
      </c>
    </row>
    <row r="1011">
      <c r="A1011" s="5" t="inlineStr">
        <is>
          <t>Odoo Universal Unique Brands › Bodega 25 › Bodega 25/General</t>
        </is>
      </c>
      <c r="B1011" s="5">
        <f>IF($I2="","",INDEX(Productos!$A:$A,$I2))</f>
        <v/>
      </c>
      <c r="C1011" s="134" t="inlineStr">
        <is>
          <t>WG87-324CF</t>
        </is>
      </c>
      <c r="D1011" s="5">
        <f>IF($I2="","",INDEX(Productos!$B:$B,$I2))</f>
        <v/>
      </c>
      <c r="E1011" s="5">
        <f>IF($I2="","",INDEX(Productos!$H:$H,$I2))</f>
        <v/>
      </c>
      <c r="F1011" s="5">
        <f>IF($I2="","",INDEX(Productos!$I:$I,$I2))</f>
        <v/>
      </c>
      <c r="G1011" s="135" t="n">
        <v>19</v>
      </c>
      <c r="H1011" s="5">
        <f>IF($I2="","",INDEX(Productos!$AG:$AG,$I2))</f>
        <v/>
      </c>
      <c r="I1011" s="136">
        <f>LET(_xlpm.r,Productos!$E$2:$E$1063,_xlpm.m,IFERROR(_xlfn.XMATCH(C1011,_xlpm.r),IFERROR(_xlfn.XMATCH(VALUE(C1011),_xlpm.r),0)),IF(_xlpm.m=0,"",_xlpm.m+1))</f>
        <v/>
      </c>
      <c r="J1011" s="137" t="inlineStr">
        <is>
          <t>Odoo</t>
        </is>
      </c>
    </row>
    <row r="1012">
      <c r="A1012" s="5" t="inlineStr">
        <is>
          <t>Odoo Universal Unique Brands › Bodega 25 › Bodega 25/General</t>
        </is>
      </c>
      <c r="B1012" s="5">
        <f>IF($I2="","",INDEX(Productos!$A:$A,$I2))</f>
        <v/>
      </c>
      <c r="C1012" s="134" t="inlineStr">
        <is>
          <t>WRBX-98-UNI</t>
        </is>
      </c>
      <c r="D1012" s="5">
        <f>IF($I2="","",INDEX(Productos!$B:$B,$I2))</f>
        <v/>
      </c>
      <c r="E1012" s="5">
        <f>IF($I2="","",INDEX(Productos!$H:$H,$I2))</f>
        <v/>
      </c>
      <c r="F1012" s="5">
        <f>IF($I2="","",INDEX(Productos!$I:$I,$I2))</f>
        <v/>
      </c>
      <c r="G1012" s="135" t="n">
        <v>625</v>
      </c>
      <c r="H1012" s="5">
        <f>IF($I2="","",INDEX(Productos!$AG:$AG,$I2))</f>
        <v/>
      </c>
      <c r="I1012" s="136">
        <f>LET(_xlpm.r,Productos!$E$2:$E$1063,_xlpm.m,IFERROR(_xlfn.XMATCH(C1012,_xlpm.r),IFERROR(_xlfn.XMATCH(VALUE(C1012),_xlpm.r),0)),IF(_xlpm.m=0,"",_xlpm.m+1))</f>
        <v/>
      </c>
      <c r="J1012" s="137" t="inlineStr">
        <is>
          <t>Odoo</t>
        </is>
      </c>
    </row>
    <row r="1013">
      <c r="A1013" s="5" t="inlineStr">
        <is>
          <t>Odoo Universal Unique Brands › Bodega 25 › Bodega 25/General</t>
        </is>
      </c>
      <c r="B1013" s="5">
        <f>IF($I2="","",INDEX(Productos!$A:$A,$I2))</f>
        <v/>
      </c>
      <c r="C1013" s="134" t="inlineStr">
        <is>
          <t>WST-008</t>
        </is>
      </c>
      <c r="D1013" s="5">
        <f>IF($I2="","",INDEX(Productos!$B:$B,$I2))</f>
        <v/>
      </c>
      <c r="E1013" s="5">
        <f>IF($I2="","",INDEX(Productos!$H:$H,$I2))</f>
        <v/>
      </c>
      <c r="F1013" s="5">
        <f>IF($I2="","",INDEX(Productos!$I:$I,$I2))</f>
        <v/>
      </c>
      <c r="G1013" s="135" t="n">
        <v>16</v>
      </c>
      <c r="H1013" s="5">
        <f>IF($I2="","",INDEX(Productos!$AG:$AG,$I2))</f>
        <v/>
      </c>
      <c r="I1013" s="136">
        <f>LET(_xlpm.r,Productos!$E$2:$E$1063,_xlpm.m,IFERROR(_xlfn.XMATCH(C1013,_xlpm.r),IFERROR(_xlfn.XMATCH(VALUE(C1013),_xlpm.r),0)),IF(_xlpm.m=0,"",_xlpm.m+1))</f>
        <v/>
      </c>
      <c r="J1013" s="137" t="inlineStr">
        <is>
          <t>Odoo</t>
        </is>
      </c>
    </row>
  </sheetData>
  <autoFilter ref="A1:J1013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IF(ISNUMBER(I6),SUM(I6:I1519),0)</f>
        <v/>
      </c>
      <c r="F3" s="145" t="inlineStr">
        <is>
          <t>Renglones:</t>
        </is>
      </c>
      <c r="G3" s="144">
        <f>IF(ISNUMBER(I6),COUNT(I6:I1519),0)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43"",""""))))),pE,Productos!$E$2:$E$1063,pA,Productos!$A$2:$A$1063&amp;"""",s,'Stock por Ubicación'!$A$2:$J$1013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$1063,""""),sk,XLOOKUP(sk,pE,Produc"&amp;"tos!$B$2:$B$2502,""""),XLOOKUP(sk,pE,Productos!$H$2:$H$1063,""""),XLOOKUP(sk,pE,Productos!$I$2:$I$1063,""""),pz),IFERROR(FILTER(rw,pz&gt;0),""""))),todo,IF(INDEX(a,1,1)="""",b,IF(INDEX(b,1,1)="""",a,VSTACK(a,b))),IF(INDEX(todo,1,1)="""",""Sin existencias en "&amp;"esta bodega"",LET(tl,XLOOKUP(INDEX(todo,0,4),pE,Productos!$F$2:$F$1063,"""")&amp;"""",o,HSTACK(CHOOSECOLS(todo,1,2,3,4,5,6,7),tl,CHOOSECOLS(todo,8)),x,SORT(o,1,TRUE,4,TRUE),IF(x="""","""",x)))))"),"B25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IF(ISNUMBER(I6),SUM(I6:I1519),0)</f>
        <v/>
      </c>
      <c r="F3" s="145" t="inlineStr">
        <is>
          <t>Renglones:</t>
        </is>
      </c>
      <c r="G3" s="144">
        <f>IF(ISNUMBER(I6),COUNT(I6:I1519),0)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43"",""""))))),pE,Productos!$E$2:$E$1063,s,'Stock por Ubicación'!$A$2:$J$1013,su,INDEX(s,0,1),sq,INDEX(s,0,7),selSis,(su&lt;&gt;"""")*ISNUMBER(sq)*(sq&gt;0)*(asig(su)=bod)&gt;0,a,IFERROR(FILTER(CHOOSECOLS(s,1,10,2,3,4,5,6,7),sel"&amp;"Sis),""""),tu,Table_2[Ubicación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$1063,""""),sk,XLOOKUP(sk,pE,Productos!$B$2:$B$1063"&amp;"02,""""),XLOOKUP(sk,pE,Productos!$H$2:$H$1063,""""),XLOOKUP(sk,pE,Productos!$I$2:$I$1063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$1063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2026-10-06T16:42:57Z</dcterms:modified>
</cp:coreProperties>
</file>